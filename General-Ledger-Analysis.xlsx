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DB82692-8236-4745-B0D6-7D6A5B4E02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Solutions" sheetId="4" r:id="rId2"/>
    <sheet name="Sheet6" sheetId="6" state="hidden" r:id="rId3"/>
    <sheet name="Audit" sheetId="9" r:id="rId4"/>
    <sheet name="Account_Mapping" sheetId="5" r:id="rId5"/>
    <sheet name="FX_table" sheetId="7" r:id="rId6"/>
  </sheets>
  <definedNames>
    <definedName name="_xlnm._FilterDatabase" localSheetId="0" hidden="1">Data!$A$1:$L$2001</definedName>
    <definedName name="ExternalData_1" localSheetId="3" hidden="1">Audit!$A$1:$V$2001</definedName>
  </definedNames>
  <calcPr calcId="191029"/>
  <pivotCaches>
    <pivotCache cacheId="17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H47" i="1" s="1"/>
  <c r="O48" i="1" a="1"/>
  <c r="O48" i="1" s="1"/>
  <c r="H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H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O102" i="1" a="1"/>
  <c r="O102" i="1" s="1"/>
  <c r="O103" i="1" a="1"/>
  <c r="O103" i="1" s="1"/>
  <c r="O104" i="1" a="1"/>
  <c r="O104" i="1" s="1"/>
  <c r="H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 s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H159" i="1" s="1"/>
  <c r="O160" i="1" a="1"/>
  <c r="O160" i="1" s="1"/>
  <c r="O161" i="1" a="1"/>
  <c r="O161" i="1" s="1"/>
  <c r="O162" i="1" a="1"/>
  <c r="O162" i="1" s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H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 s="1"/>
  <c r="O187" i="1" a="1"/>
  <c r="O187" i="1" s="1"/>
  <c r="O188" i="1" a="1"/>
  <c r="O188" i="1" s="1"/>
  <c r="O189" i="1" a="1"/>
  <c r="O189" i="1" s="1"/>
  <c r="O190" i="1" a="1"/>
  <c r="O190" i="1" s="1"/>
  <c r="O191" i="1" a="1"/>
  <c r="O191" i="1" s="1"/>
  <c r="O192" i="1" a="1"/>
  <c r="O192" i="1" s="1"/>
  <c r="O193" i="1" a="1"/>
  <c r="O193" i="1" s="1"/>
  <c r="O194" i="1" a="1"/>
  <c r="O194" i="1" s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 s="1"/>
  <c r="O219" i="1" a="1"/>
  <c r="O219" i="1" s="1"/>
  <c r="O220" i="1" a="1"/>
  <c r="O220" i="1" s="1"/>
  <c r="O221" i="1" a="1"/>
  <c r="O221" i="1" s="1"/>
  <c r="O222" i="1" a="1"/>
  <c r="O222" i="1" s="1"/>
  <c r="O223" i="1" a="1"/>
  <c r="O223" i="1" s="1"/>
  <c r="O224" i="1" a="1"/>
  <c r="O224" i="1" s="1"/>
  <c r="O225" i="1" a="1"/>
  <c r="O225" i="1" s="1"/>
  <c r="O226" i="1" a="1"/>
  <c r="O226" i="1" s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H255" i="1" s="1"/>
  <c r="O256" i="1" a="1"/>
  <c r="O256" i="1" s="1"/>
  <c r="O257" i="1" a="1"/>
  <c r="O257" i="1" s="1"/>
  <c r="O258" i="1" a="1"/>
  <c r="O258" i="1" s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H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 s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 s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H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H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 s="1"/>
  <c r="O363" i="1" a="1"/>
  <c r="O363" i="1" s="1"/>
  <c r="O364" i="1" a="1"/>
  <c r="O364" i="1" s="1"/>
  <c r="O365" i="1" a="1"/>
  <c r="O365" i="1" s="1"/>
  <c r="H365" i="1" s="1"/>
  <c r="O366" i="1" a="1"/>
  <c r="O366" i="1" s="1"/>
  <c r="O367" i="1" a="1"/>
  <c r="O367" i="1" s="1"/>
  <c r="O368" i="1" a="1"/>
  <c r="O368" i="1" s="1"/>
  <c r="O369" i="1" a="1"/>
  <c r="O369" i="1" s="1"/>
  <c r="O370" i="1" a="1"/>
  <c r="O370" i="1" s="1"/>
  <c r="O371" i="1" a="1"/>
  <c r="O371" i="1" s="1"/>
  <c r="O372" i="1" a="1"/>
  <c r="O372" i="1" s="1"/>
  <c r="O373" i="1" a="1"/>
  <c r="O373" i="1" s="1"/>
  <c r="O374" i="1" a="1"/>
  <c r="O374" i="1" s="1"/>
  <c r="O375" i="1" a="1"/>
  <c r="O375" i="1" s="1"/>
  <c r="O376" i="1" a="1"/>
  <c r="O376" i="1" s="1"/>
  <c r="O377" i="1" a="1"/>
  <c r="O377" i="1" s="1"/>
  <c r="O378" i="1" a="1"/>
  <c r="O378" i="1" s="1"/>
  <c r="O379" i="1" a="1"/>
  <c r="O379" i="1" s="1"/>
  <c r="O380" i="1" a="1"/>
  <c r="O380" i="1" s="1"/>
  <c r="O381" i="1" a="1"/>
  <c r="O381" i="1" s="1"/>
  <c r="H381" i="1" s="1"/>
  <c r="O382" i="1" a="1"/>
  <c r="O382" i="1" s="1"/>
  <c r="O383" i="1" a="1"/>
  <c r="O383" i="1" s="1"/>
  <c r="O384" i="1" a="1"/>
  <c r="O384" i="1" s="1"/>
  <c r="O385" i="1" a="1"/>
  <c r="O385" i="1" s="1"/>
  <c r="O386" i="1" a="1"/>
  <c r="O386" i="1" s="1"/>
  <c r="O387" i="1" a="1"/>
  <c r="O387" i="1" s="1"/>
  <c r="O388" i="1" a="1"/>
  <c r="O388" i="1" s="1"/>
  <c r="O389" i="1" a="1"/>
  <c r="O389" i="1" s="1"/>
  <c r="O390" i="1" a="1"/>
  <c r="O390" i="1" s="1"/>
  <c r="O391" i="1" a="1"/>
  <c r="O391" i="1" s="1"/>
  <c r="O392" i="1" a="1"/>
  <c r="O392" i="1" s="1"/>
  <c r="O393" i="1" a="1"/>
  <c r="O393" i="1" s="1"/>
  <c r="O394" i="1" a="1"/>
  <c r="O394" i="1" s="1"/>
  <c r="O395" i="1" a="1"/>
  <c r="O395" i="1" s="1"/>
  <c r="O396" i="1" a="1"/>
  <c r="O396" i="1" s="1"/>
  <c r="O397" i="1" a="1"/>
  <c r="O397" i="1" s="1"/>
  <c r="O398" i="1" a="1"/>
  <c r="O398" i="1" s="1"/>
  <c r="O399" i="1" a="1"/>
  <c r="O399" i="1" s="1"/>
  <c r="O400" i="1" a="1"/>
  <c r="O400" i="1" s="1"/>
  <c r="O401" i="1" a="1"/>
  <c r="O401" i="1" s="1"/>
  <c r="O402" i="1" a="1"/>
  <c r="O402" i="1" s="1"/>
  <c r="O403" i="1" a="1"/>
  <c r="O403" i="1" s="1"/>
  <c r="O404" i="1" a="1"/>
  <c r="O404" i="1" s="1"/>
  <c r="O405" i="1" a="1"/>
  <c r="O405" i="1" s="1"/>
  <c r="O406" i="1" a="1"/>
  <c r="O406" i="1" s="1"/>
  <c r="O407" i="1" a="1"/>
  <c r="O407" i="1" s="1"/>
  <c r="O408" i="1" a="1"/>
  <c r="O408" i="1" s="1"/>
  <c r="O409" i="1" a="1"/>
  <c r="O409" i="1" s="1"/>
  <c r="O410" i="1" a="1"/>
  <c r="O410" i="1" s="1"/>
  <c r="O411" i="1" a="1"/>
  <c r="O411" i="1" s="1"/>
  <c r="O412" i="1" a="1"/>
  <c r="O412" i="1" s="1"/>
  <c r="O413" i="1" a="1"/>
  <c r="O413" i="1" s="1"/>
  <c r="H413" i="1" s="1"/>
  <c r="O414" i="1" a="1"/>
  <c r="O414" i="1" s="1"/>
  <c r="O415" i="1" a="1"/>
  <c r="O415" i="1" s="1"/>
  <c r="O416" i="1" a="1"/>
  <c r="O416" i="1" s="1"/>
  <c r="O417" i="1" a="1"/>
  <c r="O417" i="1" s="1"/>
  <c r="O418" i="1" a="1"/>
  <c r="O418" i="1" s="1"/>
  <c r="O419" i="1" a="1"/>
  <c r="O419" i="1" s="1"/>
  <c r="O420" i="1" a="1"/>
  <c r="O420" i="1" s="1"/>
  <c r="O421" i="1" a="1"/>
  <c r="O421" i="1" s="1"/>
  <c r="O422" i="1" a="1"/>
  <c r="O422" i="1" s="1"/>
  <c r="O423" i="1" a="1"/>
  <c r="O423" i="1" s="1"/>
  <c r="O424" i="1" a="1"/>
  <c r="O424" i="1" s="1"/>
  <c r="O425" i="1" a="1"/>
  <c r="O425" i="1" s="1"/>
  <c r="O426" i="1" a="1"/>
  <c r="O426" i="1" s="1"/>
  <c r="O427" i="1" a="1"/>
  <c r="O427" i="1" s="1"/>
  <c r="O428" i="1" a="1"/>
  <c r="O428" i="1" s="1"/>
  <c r="O429" i="1" a="1"/>
  <c r="O429" i="1" s="1"/>
  <c r="O430" i="1" a="1"/>
  <c r="O430" i="1" s="1"/>
  <c r="O431" i="1" a="1"/>
  <c r="O431" i="1" s="1"/>
  <c r="O432" i="1" a="1"/>
  <c r="O432" i="1" s="1"/>
  <c r="O433" i="1" a="1"/>
  <c r="O433" i="1" s="1"/>
  <c r="O434" i="1" a="1"/>
  <c r="O434" i="1" s="1"/>
  <c r="O435" i="1" a="1"/>
  <c r="O435" i="1" s="1"/>
  <c r="O436" i="1" a="1"/>
  <c r="O436" i="1" s="1"/>
  <c r="O437" i="1" a="1"/>
  <c r="O437" i="1" s="1"/>
  <c r="O438" i="1" a="1"/>
  <c r="O438" i="1" s="1"/>
  <c r="O439" i="1" a="1"/>
  <c r="O439" i="1" s="1"/>
  <c r="O440" i="1" a="1"/>
  <c r="O440" i="1" s="1"/>
  <c r="O441" i="1" a="1"/>
  <c r="O441" i="1" s="1"/>
  <c r="O442" i="1" a="1"/>
  <c r="O442" i="1" s="1"/>
  <c r="O443" i="1" a="1"/>
  <c r="O443" i="1"/>
  <c r="O444" i="1" a="1"/>
  <c r="O444" i="1" s="1"/>
  <c r="O445" i="1" a="1"/>
  <c r="O445" i="1" s="1"/>
  <c r="O446" i="1" a="1"/>
  <c r="O446" i="1" s="1"/>
  <c r="O447" i="1" a="1"/>
  <c r="O447" i="1" s="1"/>
  <c r="O448" i="1" a="1"/>
  <c r="O448" i="1" s="1"/>
  <c r="O449" i="1" a="1"/>
  <c r="O449" i="1" s="1"/>
  <c r="O450" i="1" a="1"/>
  <c r="O450" i="1" s="1"/>
  <c r="O451" i="1" a="1"/>
  <c r="O451" i="1" s="1"/>
  <c r="O452" i="1" a="1"/>
  <c r="O452" i="1" s="1"/>
  <c r="O453" i="1" a="1"/>
  <c r="O453" i="1" s="1"/>
  <c r="O454" i="1" a="1"/>
  <c r="O454" i="1" s="1"/>
  <c r="O455" i="1" a="1"/>
  <c r="O455" i="1" s="1"/>
  <c r="O456" i="1" a="1"/>
  <c r="O456" i="1" s="1"/>
  <c r="O457" i="1" a="1"/>
  <c r="O457" i="1" s="1"/>
  <c r="O458" i="1" a="1"/>
  <c r="O458" i="1" s="1"/>
  <c r="O459" i="1" a="1"/>
  <c r="O459" i="1" s="1"/>
  <c r="O460" i="1" a="1"/>
  <c r="O460" i="1" s="1"/>
  <c r="O461" i="1" a="1"/>
  <c r="O461" i="1" s="1"/>
  <c r="H461" i="1" s="1"/>
  <c r="O462" i="1" a="1"/>
  <c r="O462" i="1" s="1"/>
  <c r="O463" i="1" a="1"/>
  <c r="O463" i="1" s="1"/>
  <c r="O464" i="1" a="1"/>
  <c r="O464" i="1" s="1"/>
  <c r="H464" i="1" s="1"/>
  <c r="O465" i="1" a="1"/>
  <c r="O465" i="1" s="1"/>
  <c r="O466" i="1" a="1"/>
  <c r="O466" i="1" s="1"/>
  <c r="O467" i="1" a="1"/>
  <c r="O467" i="1" s="1"/>
  <c r="O468" i="1" a="1"/>
  <c r="O468" i="1" s="1"/>
  <c r="O469" i="1" a="1"/>
  <c r="O469" i="1" s="1"/>
  <c r="O470" i="1" a="1"/>
  <c r="O470" i="1" s="1"/>
  <c r="O471" i="1" a="1"/>
  <c r="O471" i="1" s="1"/>
  <c r="O472" i="1" a="1"/>
  <c r="O472" i="1" s="1"/>
  <c r="O473" i="1" a="1"/>
  <c r="O473" i="1" s="1"/>
  <c r="O474" i="1" a="1"/>
  <c r="O474" i="1"/>
  <c r="O475" i="1" a="1"/>
  <c r="O475" i="1" s="1"/>
  <c r="O476" i="1" a="1"/>
  <c r="O476" i="1" s="1"/>
  <c r="O477" i="1" a="1"/>
  <c r="O477" i="1" s="1"/>
  <c r="O478" i="1" a="1"/>
  <c r="O478" i="1" s="1"/>
  <c r="O479" i="1" a="1"/>
  <c r="O479" i="1" s="1"/>
  <c r="O480" i="1" a="1"/>
  <c r="O480" i="1" s="1"/>
  <c r="H480" i="1" s="1"/>
  <c r="O481" i="1" a="1"/>
  <c r="O481" i="1" s="1"/>
  <c r="H481" i="1" s="1"/>
  <c r="O482" i="1" a="1"/>
  <c r="O482" i="1" s="1"/>
  <c r="O483" i="1" a="1"/>
  <c r="O483" i="1" s="1"/>
  <c r="O484" i="1" a="1"/>
  <c r="O484" i="1" s="1"/>
  <c r="O485" i="1" a="1"/>
  <c r="O485" i="1" s="1"/>
  <c r="O486" i="1" a="1"/>
  <c r="O486" i="1" s="1"/>
  <c r="O487" i="1" a="1"/>
  <c r="O487" i="1" s="1"/>
  <c r="O488" i="1" a="1"/>
  <c r="O488" i="1" s="1"/>
  <c r="H488" i="1" s="1"/>
  <c r="O489" i="1" a="1"/>
  <c r="O489" i="1" s="1"/>
  <c r="O490" i="1" a="1"/>
  <c r="O490" i="1" s="1"/>
  <c r="O491" i="1" a="1"/>
  <c r="O491" i="1" s="1"/>
  <c r="O492" i="1" a="1"/>
  <c r="O492" i="1" s="1"/>
  <c r="O493" i="1" a="1"/>
  <c r="O493" i="1" s="1"/>
  <c r="O494" i="1" a="1"/>
  <c r="O494" i="1" s="1"/>
  <c r="O495" i="1" a="1"/>
  <c r="O495" i="1" s="1"/>
  <c r="O496" i="1" a="1"/>
  <c r="O496" i="1" s="1"/>
  <c r="O497" i="1" a="1"/>
  <c r="O497" i="1" s="1"/>
  <c r="H497" i="1" s="1"/>
  <c r="O498" i="1" a="1"/>
  <c r="O498" i="1" s="1"/>
  <c r="O499" i="1" a="1"/>
  <c r="O499" i="1" s="1"/>
  <c r="O500" i="1" a="1"/>
  <c r="O500" i="1" s="1"/>
  <c r="O501" i="1" a="1"/>
  <c r="O501" i="1" s="1"/>
  <c r="O502" i="1" a="1"/>
  <c r="O502" i="1" s="1"/>
  <c r="O503" i="1" a="1"/>
  <c r="O503" i="1" s="1"/>
  <c r="O504" i="1" a="1"/>
  <c r="O504" i="1" s="1"/>
  <c r="O505" i="1" a="1"/>
  <c r="O505" i="1" s="1"/>
  <c r="O506" i="1" a="1"/>
  <c r="O506" i="1" s="1"/>
  <c r="O507" i="1" a="1"/>
  <c r="O507" i="1" s="1"/>
  <c r="O508" i="1" a="1"/>
  <c r="O508" i="1" s="1"/>
  <c r="O509" i="1" a="1"/>
  <c r="O509" i="1" s="1"/>
  <c r="O510" i="1" a="1"/>
  <c r="O510" i="1" s="1"/>
  <c r="O511" i="1" a="1"/>
  <c r="O511" i="1" s="1"/>
  <c r="H511" i="1" s="1"/>
  <c r="O512" i="1" a="1"/>
  <c r="O512" i="1" s="1"/>
  <c r="H512" i="1" s="1"/>
  <c r="O513" i="1" a="1"/>
  <c r="O513" i="1" s="1"/>
  <c r="H513" i="1" s="1"/>
  <c r="O514" i="1" a="1"/>
  <c r="O514" i="1" s="1"/>
  <c r="O515" i="1" a="1"/>
  <c r="O515" i="1" s="1"/>
  <c r="O516" i="1" a="1"/>
  <c r="O516" i="1" s="1"/>
  <c r="O517" i="1" a="1"/>
  <c r="O517" i="1" s="1"/>
  <c r="O518" i="1" a="1"/>
  <c r="O518" i="1" s="1"/>
  <c r="O519" i="1" a="1"/>
  <c r="O519" i="1" s="1"/>
  <c r="O520" i="1" a="1"/>
  <c r="O520" i="1" s="1"/>
  <c r="O521" i="1" a="1"/>
  <c r="O521" i="1" s="1"/>
  <c r="O522" i="1" a="1"/>
  <c r="O522" i="1" s="1"/>
  <c r="O523" i="1" a="1"/>
  <c r="O523" i="1"/>
  <c r="O524" i="1" a="1"/>
  <c r="O524" i="1" s="1"/>
  <c r="O525" i="1" a="1"/>
  <c r="O525" i="1" s="1"/>
  <c r="O526" i="1" a="1"/>
  <c r="O526" i="1" s="1"/>
  <c r="O527" i="1" a="1"/>
  <c r="O527" i="1" s="1"/>
  <c r="O528" i="1" a="1"/>
  <c r="O528" i="1" s="1"/>
  <c r="O529" i="1" a="1"/>
  <c r="O529" i="1" s="1"/>
  <c r="O530" i="1" a="1"/>
  <c r="O530" i="1" s="1"/>
  <c r="O531" i="1" a="1"/>
  <c r="O531" i="1" s="1"/>
  <c r="O532" i="1" a="1"/>
  <c r="O532" i="1" s="1"/>
  <c r="O533" i="1" a="1"/>
  <c r="O533" i="1" s="1"/>
  <c r="O534" i="1" a="1"/>
  <c r="O534" i="1" s="1"/>
  <c r="O535" i="1" a="1"/>
  <c r="O535" i="1" s="1"/>
  <c r="O536" i="1" a="1"/>
  <c r="O536" i="1" s="1"/>
  <c r="O537" i="1" a="1"/>
  <c r="O537" i="1" s="1"/>
  <c r="O538" i="1" a="1"/>
  <c r="O538" i="1" s="1"/>
  <c r="O539" i="1" a="1"/>
  <c r="O539" i="1" s="1"/>
  <c r="O540" i="1" a="1"/>
  <c r="O540" i="1" s="1"/>
  <c r="O541" i="1" a="1"/>
  <c r="O541" i="1" s="1"/>
  <c r="H541" i="1" s="1"/>
  <c r="O542" i="1" a="1"/>
  <c r="O542" i="1" s="1"/>
  <c r="O543" i="1" a="1"/>
  <c r="O543" i="1" s="1"/>
  <c r="H543" i="1" s="1"/>
  <c r="O544" i="1" a="1"/>
  <c r="O544" i="1" s="1"/>
  <c r="O545" i="1" a="1"/>
  <c r="O545" i="1" s="1"/>
  <c r="O546" i="1" a="1"/>
  <c r="O546" i="1" s="1"/>
  <c r="O547" i="1" a="1"/>
  <c r="O547" i="1" s="1"/>
  <c r="O548" i="1" a="1"/>
  <c r="O548" i="1" s="1"/>
  <c r="O549" i="1" a="1"/>
  <c r="O549" i="1" s="1"/>
  <c r="O550" i="1" a="1"/>
  <c r="O550" i="1" s="1"/>
  <c r="O551" i="1" a="1"/>
  <c r="O551" i="1" s="1"/>
  <c r="O552" i="1" a="1"/>
  <c r="O552" i="1" s="1"/>
  <c r="O553" i="1" a="1"/>
  <c r="O553" i="1" s="1"/>
  <c r="O554" i="1" a="1"/>
  <c r="O554" i="1" s="1"/>
  <c r="O555" i="1" a="1"/>
  <c r="O555" i="1" s="1"/>
  <c r="O556" i="1" a="1"/>
  <c r="O556" i="1" s="1"/>
  <c r="O557" i="1" a="1"/>
  <c r="O557" i="1" s="1"/>
  <c r="O558" i="1" a="1"/>
  <c r="O558" i="1" s="1"/>
  <c r="O559" i="1" a="1"/>
  <c r="O559" i="1" s="1"/>
  <c r="H559" i="1" s="1"/>
  <c r="O560" i="1" a="1"/>
  <c r="O560" i="1" s="1"/>
  <c r="H560" i="1" s="1"/>
  <c r="O561" i="1" a="1"/>
  <c r="O561" i="1" s="1"/>
  <c r="H561" i="1" s="1"/>
  <c r="O562" i="1" a="1"/>
  <c r="O562" i="1" s="1"/>
  <c r="O563" i="1" a="1"/>
  <c r="O563" i="1" s="1"/>
  <c r="O564" i="1" a="1"/>
  <c r="O564" i="1" s="1"/>
  <c r="O565" i="1" a="1"/>
  <c r="O565" i="1" s="1"/>
  <c r="O566" i="1" a="1"/>
  <c r="O566" i="1" s="1"/>
  <c r="O567" i="1" a="1"/>
  <c r="O567" i="1" s="1"/>
  <c r="O568" i="1" a="1"/>
  <c r="O568" i="1" s="1"/>
  <c r="H568" i="1" s="1"/>
  <c r="O569" i="1" a="1"/>
  <c r="O569" i="1" s="1"/>
  <c r="O570" i="1" a="1"/>
  <c r="O570" i="1" s="1"/>
  <c r="O571" i="1" a="1"/>
  <c r="O571" i="1" s="1"/>
  <c r="O572" i="1" a="1"/>
  <c r="O572" i="1" s="1"/>
  <c r="O573" i="1" a="1"/>
  <c r="O573" i="1" s="1"/>
  <c r="O574" i="1" a="1"/>
  <c r="O574" i="1" s="1"/>
  <c r="O575" i="1" a="1"/>
  <c r="O575" i="1" s="1"/>
  <c r="O576" i="1" a="1"/>
  <c r="O576" i="1" s="1"/>
  <c r="O577" i="1" a="1"/>
  <c r="O577" i="1" s="1"/>
  <c r="O578" i="1" a="1"/>
  <c r="O578" i="1" s="1"/>
  <c r="O579" i="1" a="1"/>
  <c r="O579" i="1" s="1"/>
  <c r="O580" i="1" a="1"/>
  <c r="O580" i="1" s="1"/>
  <c r="O581" i="1" a="1"/>
  <c r="O581" i="1" s="1"/>
  <c r="O582" i="1" a="1"/>
  <c r="O582" i="1" s="1"/>
  <c r="O583" i="1" a="1"/>
  <c r="O583" i="1" s="1"/>
  <c r="O584" i="1" a="1"/>
  <c r="O584" i="1" s="1"/>
  <c r="O585" i="1" a="1"/>
  <c r="O585" i="1" s="1"/>
  <c r="O586" i="1" a="1"/>
  <c r="O586" i="1" s="1"/>
  <c r="O587" i="1" a="1"/>
  <c r="O587" i="1" s="1"/>
  <c r="O588" i="1" a="1"/>
  <c r="O588" i="1" s="1"/>
  <c r="O589" i="1" a="1"/>
  <c r="O589" i="1" s="1"/>
  <c r="O590" i="1" a="1"/>
  <c r="O590" i="1" s="1"/>
  <c r="O591" i="1" a="1"/>
  <c r="O591" i="1"/>
  <c r="O592" i="1" a="1"/>
  <c r="O592" i="1" s="1"/>
  <c r="O593" i="1" a="1"/>
  <c r="O593" i="1" s="1"/>
  <c r="O594" i="1" a="1"/>
  <c r="O594" i="1" s="1"/>
  <c r="O595" i="1" a="1"/>
  <c r="O595" i="1" s="1"/>
  <c r="O596" i="1" a="1"/>
  <c r="O596" i="1" s="1"/>
  <c r="O597" i="1" a="1"/>
  <c r="O597" i="1" s="1"/>
  <c r="O598" i="1" a="1"/>
  <c r="O598" i="1" s="1"/>
  <c r="O599" i="1" a="1"/>
  <c r="O599" i="1" s="1"/>
  <c r="O600" i="1" a="1"/>
  <c r="O600" i="1" s="1"/>
  <c r="O601" i="1" a="1"/>
  <c r="O601" i="1" s="1"/>
  <c r="O602" i="1" a="1"/>
  <c r="O602" i="1" s="1"/>
  <c r="O603" i="1" a="1"/>
  <c r="O603" i="1" s="1"/>
  <c r="O604" i="1" a="1"/>
  <c r="O604" i="1" s="1"/>
  <c r="O605" i="1" a="1"/>
  <c r="O605" i="1" s="1"/>
  <c r="O606" i="1" a="1"/>
  <c r="O606" i="1" s="1"/>
  <c r="O607" i="1" a="1"/>
  <c r="O607" i="1" s="1"/>
  <c r="O608" i="1" a="1"/>
  <c r="O608" i="1" s="1"/>
  <c r="O609" i="1" a="1"/>
  <c r="O609" i="1" s="1"/>
  <c r="O610" i="1" a="1"/>
  <c r="O610" i="1" s="1"/>
  <c r="O611" i="1" a="1"/>
  <c r="O611" i="1" s="1"/>
  <c r="O612" i="1" a="1"/>
  <c r="O612" i="1" s="1"/>
  <c r="O613" i="1" a="1"/>
  <c r="O613" i="1" s="1"/>
  <c r="O614" i="1" a="1"/>
  <c r="O614" i="1"/>
  <c r="O615" i="1" a="1"/>
  <c r="O615" i="1" s="1"/>
  <c r="O616" i="1" a="1"/>
  <c r="O616" i="1" s="1"/>
  <c r="O617" i="1" a="1"/>
  <c r="O617" i="1" s="1"/>
  <c r="O618" i="1" a="1"/>
  <c r="O618" i="1" s="1"/>
  <c r="O619" i="1" a="1"/>
  <c r="O619" i="1" s="1"/>
  <c r="O620" i="1" a="1"/>
  <c r="O620" i="1" s="1"/>
  <c r="O621" i="1" a="1"/>
  <c r="O621" i="1" s="1"/>
  <c r="H621" i="1" s="1"/>
  <c r="O622" i="1" a="1"/>
  <c r="O622" i="1" s="1"/>
  <c r="O623" i="1" a="1"/>
  <c r="O623" i="1" s="1"/>
  <c r="O624" i="1" a="1"/>
  <c r="O624" i="1" s="1"/>
  <c r="O625" i="1" a="1"/>
  <c r="O625" i="1" s="1"/>
  <c r="O626" i="1" a="1"/>
  <c r="O626" i="1" s="1"/>
  <c r="O627" i="1" a="1"/>
  <c r="O627" i="1" s="1"/>
  <c r="O628" i="1" a="1"/>
  <c r="O628" i="1" s="1"/>
  <c r="O629" i="1" a="1"/>
  <c r="O629" i="1" s="1"/>
  <c r="O630" i="1" a="1"/>
  <c r="O630" i="1" s="1"/>
  <c r="O631" i="1" a="1"/>
  <c r="O631" i="1" s="1"/>
  <c r="O632" i="1" a="1"/>
  <c r="O632" i="1" s="1"/>
  <c r="O633" i="1" a="1"/>
  <c r="O633" i="1" s="1"/>
  <c r="O634" i="1" a="1"/>
  <c r="O634" i="1" s="1"/>
  <c r="O635" i="1" a="1"/>
  <c r="O635" i="1" s="1"/>
  <c r="O636" i="1" a="1"/>
  <c r="O636" i="1" s="1"/>
  <c r="O637" i="1" a="1"/>
  <c r="O637" i="1" s="1"/>
  <c r="O638" i="1" a="1"/>
  <c r="O638" i="1" s="1"/>
  <c r="O639" i="1" a="1"/>
  <c r="O639" i="1" s="1"/>
  <c r="O640" i="1" a="1"/>
  <c r="O640" i="1" s="1"/>
  <c r="O641" i="1" a="1"/>
  <c r="O641" i="1" s="1"/>
  <c r="O642" i="1" a="1"/>
  <c r="O642" i="1" s="1"/>
  <c r="O643" i="1" a="1"/>
  <c r="O643" i="1" s="1"/>
  <c r="O644" i="1" a="1"/>
  <c r="O644" i="1" s="1"/>
  <c r="O645" i="1" a="1"/>
  <c r="O645" i="1" s="1"/>
  <c r="O646" i="1" a="1"/>
  <c r="O646" i="1" s="1"/>
  <c r="O647" i="1" a="1"/>
  <c r="O647" i="1" s="1"/>
  <c r="O648" i="1" a="1"/>
  <c r="O648" i="1" s="1"/>
  <c r="O649" i="1" a="1"/>
  <c r="O649" i="1" s="1"/>
  <c r="O650" i="1" a="1"/>
  <c r="O650" i="1" s="1"/>
  <c r="O651" i="1" a="1"/>
  <c r="O651" i="1" s="1"/>
  <c r="O652" i="1" a="1"/>
  <c r="O652" i="1" s="1"/>
  <c r="O653" i="1" a="1"/>
  <c r="O653" i="1" s="1"/>
  <c r="O654" i="1" a="1"/>
  <c r="O654" i="1" s="1"/>
  <c r="O655" i="1" a="1"/>
  <c r="O655" i="1" s="1"/>
  <c r="O656" i="1" a="1"/>
  <c r="O656" i="1" s="1"/>
  <c r="O657" i="1" a="1"/>
  <c r="O657" i="1" s="1"/>
  <c r="O658" i="1" a="1"/>
  <c r="O658" i="1" s="1"/>
  <c r="O659" i="1" a="1"/>
  <c r="O659" i="1" s="1"/>
  <c r="O660" i="1" a="1"/>
  <c r="O660" i="1" s="1"/>
  <c r="O661" i="1" a="1"/>
  <c r="O661" i="1" s="1"/>
  <c r="O662" i="1" a="1"/>
  <c r="O662" i="1" s="1"/>
  <c r="O663" i="1" a="1"/>
  <c r="O663" i="1" s="1"/>
  <c r="O664" i="1" a="1"/>
  <c r="O664" i="1" s="1"/>
  <c r="O665" i="1" a="1"/>
  <c r="O665" i="1" s="1"/>
  <c r="O666" i="1" a="1"/>
  <c r="O666" i="1" s="1"/>
  <c r="O667" i="1" a="1"/>
  <c r="O667" i="1" s="1"/>
  <c r="O668" i="1" a="1"/>
  <c r="O668" i="1" s="1"/>
  <c r="O669" i="1" a="1"/>
  <c r="O669" i="1" s="1"/>
  <c r="O670" i="1" a="1"/>
  <c r="O670" i="1" s="1"/>
  <c r="O671" i="1" a="1"/>
  <c r="O671" i="1" s="1"/>
  <c r="O672" i="1" a="1"/>
  <c r="O672" i="1" s="1"/>
  <c r="O673" i="1" a="1"/>
  <c r="O673" i="1" s="1"/>
  <c r="O674" i="1" a="1"/>
  <c r="O674" i="1" s="1"/>
  <c r="O675" i="1" a="1"/>
  <c r="O675" i="1" s="1"/>
  <c r="O676" i="1" a="1"/>
  <c r="O676" i="1" s="1"/>
  <c r="O677" i="1" a="1"/>
  <c r="O677" i="1" s="1"/>
  <c r="O678" i="1" a="1"/>
  <c r="O678" i="1" s="1"/>
  <c r="O679" i="1" a="1"/>
  <c r="O679" i="1" s="1"/>
  <c r="O680" i="1" a="1"/>
  <c r="O680" i="1" s="1"/>
  <c r="O681" i="1" a="1"/>
  <c r="O681" i="1" s="1"/>
  <c r="O682" i="1" a="1"/>
  <c r="O682" i="1" s="1"/>
  <c r="O683" i="1" a="1"/>
  <c r="O683" i="1" s="1"/>
  <c r="O684" i="1" a="1"/>
  <c r="O684" i="1" s="1"/>
  <c r="O685" i="1" a="1"/>
  <c r="O685" i="1" s="1"/>
  <c r="O686" i="1" a="1"/>
  <c r="O686" i="1" s="1"/>
  <c r="O687" i="1" a="1"/>
  <c r="O687" i="1" s="1"/>
  <c r="O688" i="1" a="1"/>
  <c r="O688" i="1" s="1"/>
  <c r="H688" i="1" s="1"/>
  <c r="O689" i="1" a="1"/>
  <c r="O689" i="1" s="1"/>
  <c r="O690" i="1" a="1"/>
  <c r="O690" i="1" s="1"/>
  <c r="O691" i="1" a="1"/>
  <c r="O691" i="1" s="1"/>
  <c r="O692" i="1" a="1"/>
  <c r="O692" i="1" s="1"/>
  <c r="O693" i="1" a="1"/>
  <c r="O693" i="1" s="1"/>
  <c r="O694" i="1" a="1"/>
  <c r="O694" i="1" s="1"/>
  <c r="O695" i="1" a="1"/>
  <c r="O695" i="1" s="1"/>
  <c r="O696" i="1" a="1"/>
  <c r="O696" i="1" s="1"/>
  <c r="H696" i="1" s="1"/>
  <c r="O697" i="1" a="1"/>
  <c r="O697" i="1" s="1"/>
  <c r="O698" i="1" a="1"/>
  <c r="O698" i="1" s="1"/>
  <c r="H698" i="1" s="1"/>
  <c r="O699" i="1" a="1"/>
  <c r="O699" i="1" s="1"/>
  <c r="H699" i="1" s="1"/>
  <c r="O700" i="1" a="1"/>
  <c r="O700" i="1" s="1"/>
  <c r="O701" i="1" a="1"/>
  <c r="O701" i="1" s="1"/>
  <c r="O702" i="1" a="1"/>
  <c r="O702" i="1" s="1"/>
  <c r="O703" i="1" a="1"/>
  <c r="O703" i="1" s="1"/>
  <c r="O704" i="1" a="1"/>
  <c r="O704" i="1" s="1"/>
  <c r="O705" i="1" a="1"/>
  <c r="O705" i="1" s="1"/>
  <c r="O706" i="1" a="1"/>
  <c r="O706" i="1" s="1"/>
  <c r="O707" i="1" a="1"/>
  <c r="O707" i="1" s="1"/>
  <c r="O708" i="1" a="1"/>
  <c r="O708" i="1" s="1"/>
  <c r="O709" i="1" a="1"/>
  <c r="O709" i="1" s="1"/>
  <c r="H709" i="1" s="1"/>
  <c r="O710" i="1" a="1"/>
  <c r="O710" i="1" s="1"/>
  <c r="O711" i="1" a="1"/>
  <c r="O711" i="1" s="1"/>
  <c r="O712" i="1" a="1"/>
  <c r="O712" i="1" s="1"/>
  <c r="O713" i="1" a="1"/>
  <c r="O713" i="1" s="1"/>
  <c r="O714" i="1" a="1"/>
  <c r="O714" i="1" s="1"/>
  <c r="H714" i="1" s="1"/>
  <c r="O715" i="1" a="1"/>
  <c r="O715" i="1" s="1"/>
  <c r="O716" i="1" a="1"/>
  <c r="O716" i="1" s="1"/>
  <c r="O717" i="1" a="1"/>
  <c r="O717" i="1" s="1"/>
  <c r="H717" i="1" s="1"/>
  <c r="O718" i="1" a="1"/>
  <c r="O718" i="1" s="1"/>
  <c r="O719" i="1" a="1"/>
  <c r="O719" i="1" s="1"/>
  <c r="O720" i="1" a="1"/>
  <c r="O720" i="1" s="1"/>
  <c r="O721" i="1" a="1"/>
  <c r="O721" i="1" s="1"/>
  <c r="O722" i="1" a="1"/>
  <c r="O722" i="1" s="1"/>
  <c r="H722" i="1" s="1"/>
  <c r="O723" i="1" a="1"/>
  <c r="O723" i="1" s="1"/>
  <c r="O724" i="1" a="1"/>
  <c r="O724" i="1" s="1"/>
  <c r="O725" i="1" a="1"/>
  <c r="O725" i="1" s="1"/>
  <c r="O726" i="1" a="1"/>
  <c r="O726" i="1" s="1"/>
  <c r="O727" i="1" a="1"/>
  <c r="O727" i="1" s="1"/>
  <c r="O728" i="1" a="1"/>
  <c r="O728" i="1" s="1"/>
  <c r="O729" i="1" a="1"/>
  <c r="O729" i="1" s="1"/>
  <c r="O730" i="1" a="1"/>
  <c r="O730" i="1" s="1"/>
  <c r="O731" i="1" a="1"/>
  <c r="O731" i="1" s="1"/>
  <c r="O732" i="1" a="1"/>
  <c r="O732" i="1" s="1"/>
  <c r="O733" i="1" a="1"/>
  <c r="O733" i="1" s="1"/>
  <c r="O734" i="1" a="1"/>
  <c r="O734" i="1" s="1"/>
  <c r="O735" i="1" a="1"/>
  <c r="O735" i="1" s="1"/>
  <c r="O736" i="1" a="1"/>
  <c r="O736" i="1" s="1"/>
  <c r="O737" i="1" a="1"/>
  <c r="O737" i="1" s="1"/>
  <c r="O738" i="1" a="1"/>
  <c r="O738" i="1" s="1"/>
  <c r="H738" i="1" s="1"/>
  <c r="O739" i="1" a="1"/>
  <c r="O739" i="1" s="1"/>
  <c r="H739" i="1" s="1"/>
  <c r="O740" i="1" a="1"/>
  <c r="O740" i="1" s="1"/>
  <c r="O741" i="1" a="1"/>
  <c r="O741" i="1" s="1"/>
  <c r="O742" i="1" a="1"/>
  <c r="O742" i="1" s="1"/>
  <c r="O743" i="1" a="1"/>
  <c r="O743" i="1" s="1"/>
  <c r="O744" i="1" a="1"/>
  <c r="O744" i="1" s="1"/>
  <c r="O745" i="1" a="1"/>
  <c r="O745" i="1" s="1"/>
  <c r="O746" i="1" a="1"/>
  <c r="O746" i="1" s="1"/>
  <c r="O747" i="1" a="1"/>
  <c r="O747" i="1" s="1"/>
  <c r="O748" i="1" a="1"/>
  <c r="O748" i="1" s="1"/>
  <c r="O749" i="1" a="1"/>
  <c r="O749" i="1" s="1"/>
  <c r="O750" i="1" a="1"/>
  <c r="O750" i="1" s="1"/>
  <c r="O751" i="1" a="1"/>
  <c r="O751" i="1" s="1"/>
  <c r="O752" i="1" a="1"/>
  <c r="O752" i="1" s="1"/>
  <c r="O753" i="1" a="1"/>
  <c r="O753" i="1" s="1"/>
  <c r="O754" i="1" a="1"/>
  <c r="O754" i="1" s="1"/>
  <c r="O755" i="1" a="1"/>
  <c r="O755" i="1" s="1"/>
  <c r="O756" i="1" a="1"/>
  <c r="O756" i="1" s="1"/>
  <c r="O757" i="1" a="1"/>
  <c r="O757" i="1" s="1"/>
  <c r="O758" i="1" a="1"/>
  <c r="O758" i="1" s="1"/>
  <c r="O759" i="1" a="1"/>
  <c r="O759" i="1" s="1"/>
  <c r="O760" i="1" a="1"/>
  <c r="O760" i="1" s="1"/>
  <c r="O761" i="1" a="1"/>
  <c r="O761" i="1" s="1"/>
  <c r="O762" i="1" a="1"/>
  <c r="O762" i="1" s="1"/>
  <c r="O763" i="1" a="1"/>
  <c r="O763" i="1" s="1"/>
  <c r="O764" i="1" a="1"/>
  <c r="O764" i="1" s="1"/>
  <c r="O765" i="1" a="1"/>
  <c r="O765" i="1" s="1"/>
  <c r="O766" i="1" a="1"/>
  <c r="O766" i="1" s="1"/>
  <c r="O767" i="1" a="1"/>
  <c r="O767" i="1" s="1"/>
  <c r="O768" i="1" a="1"/>
  <c r="O768" i="1" s="1"/>
  <c r="O769" i="1" a="1"/>
  <c r="O769" i="1" s="1"/>
  <c r="O770" i="1" a="1"/>
  <c r="O770" i="1" s="1"/>
  <c r="O771" i="1" a="1"/>
  <c r="O771" i="1" s="1"/>
  <c r="O772" i="1" a="1"/>
  <c r="O772" i="1" s="1"/>
  <c r="O773" i="1" a="1"/>
  <c r="O773" i="1" s="1"/>
  <c r="O774" i="1" a="1"/>
  <c r="O774" i="1" s="1"/>
  <c r="O775" i="1" a="1"/>
  <c r="O775" i="1" s="1"/>
  <c r="O776" i="1" a="1"/>
  <c r="O776" i="1" s="1"/>
  <c r="O777" i="1" a="1"/>
  <c r="O777" i="1" s="1"/>
  <c r="O778" i="1" a="1"/>
  <c r="O778" i="1" s="1"/>
  <c r="O779" i="1" a="1"/>
  <c r="O779" i="1" s="1"/>
  <c r="O780" i="1" a="1"/>
  <c r="O780" i="1" s="1"/>
  <c r="O781" i="1" a="1"/>
  <c r="O781" i="1" s="1"/>
  <c r="O782" i="1" a="1"/>
  <c r="O782" i="1" s="1"/>
  <c r="O783" i="1" a="1"/>
  <c r="O783" i="1" s="1"/>
  <c r="O784" i="1" a="1"/>
  <c r="O784" i="1" s="1"/>
  <c r="O785" i="1" a="1"/>
  <c r="O785" i="1" s="1"/>
  <c r="O786" i="1" a="1"/>
  <c r="O786" i="1" s="1"/>
  <c r="O787" i="1" a="1"/>
  <c r="O787" i="1" s="1"/>
  <c r="O788" i="1" a="1"/>
  <c r="O788" i="1" s="1"/>
  <c r="O789" i="1" a="1"/>
  <c r="O789" i="1" s="1"/>
  <c r="O790" i="1" a="1"/>
  <c r="O790" i="1" s="1"/>
  <c r="O791" i="1" a="1"/>
  <c r="O791" i="1" s="1"/>
  <c r="O792" i="1" a="1"/>
  <c r="O792" i="1" s="1"/>
  <c r="O793" i="1" a="1"/>
  <c r="O793" i="1" s="1"/>
  <c r="O794" i="1" a="1"/>
  <c r="O794" i="1" s="1"/>
  <c r="O795" i="1" a="1"/>
  <c r="O795" i="1" s="1"/>
  <c r="O796" i="1" a="1"/>
  <c r="O796" i="1" s="1"/>
  <c r="O797" i="1" a="1"/>
  <c r="O797" i="1" s="1"/>
  <c r="O798" i="1" a="1"/>
  <c r="O798" i="1" s="1"/>
  <c r="O799" i="1" a="1"/>
  <c r="O799" i="1" s="1"/>
  <c r="O800" i="1" a="1"/>
  <c r="O800" i="1" s="1"/>
  <c r="O801" i="1" a="1"/>
  <c r="O801" i="1" s="1"/>
  <c r="O802" i="1" a="1"/>
  <c r="O802" i="1" s="1"/>
  <c r="O803" i="1" a="1"/>
  <c r="O803" i="1" s="1"/>
  <c r="O804" i="1" a="1"/>
  <c r="O804" i="1" s="1"/>
  <c r="O805" i="1" a="1"/>
  <c r="O805" i="1" s="1"/>
  <c r="O806" i="1" a="1"/>
  <c r="O806" i="1" s="1"/>
  <c r="O807" i="1" a="1"/>
  <c r="O807" i="1" s="1"/>
  <c r="O808" i="1" a="1"/>
  <c r="O808" i="1"/>
  <c r="O809" i="1" a="1"/>
  <c r="O809" i="1" s="1"/>
  <c r="O810" i="1" a="1"/>
  <c r="O810" i="1" s="1"/>
  <c r="O811" i="1" a="1"/>
  <c r="O811" i="1" s="1"/>
  <c r="O812" i="1" a="1"/>
  <c r="O812" i="1" s="1"/>
  <c r="O813" i="1" a="1"/>
  <c r="O813" i="1" s="1"/>
  <c r="O814" i="1" a="1"/>
  <c r="O814" i="1" s="1"/>
  <c r="F814" i="1" s="1"/>
  <c r="O815" i="1" a="1"/>
  <c r="O815" i="1" s="1"/>
  <c r="O816" i="1" a="1"/>
  <c r="O816" i="1" s="1"/>
  <c r="H816" i="1" s="1"/>
  <c r="O817" i="1" a="1"/>
  <c r="O817" i="1" s="1"/>
  <c r="O818" i="1" a="1"/>
  <c r="O818" i="1" s="1"/>
  <c r="O819" i="1" a="1"/>
  <c r="O819" i="1" s="1"/>
  <c r="O820" i="1" a="1"/>
  <c r="O820" i="1" s="1"/>
  <c r="O821" i="1" a="1"/>
  <c r="O821" i="1" s="1"/>
  <c r="O822" i="1" a="1"/>
  <c r="O822" i="1" s="1"/>
  <c r="F822" i="1" s="1"/>
  <c r="O823" i="1" a="1"/>
  <c r="O823" i="1" s="1"/>
  <c r="O824" i="1" a="1"/>
  <c r="O824" i="1" s="1"/>
  <c r="H824" i="1" s="1"/>
  <c r="O825" i="1" a="1"/>
  <c r="O825" i="1" s="1"/>
  <c r="O826" i="1" a="1"/>
  <c r="O826" i="1" s="1"/>
  <c r="O827" i="1" a="1"/>
  <c r="O827" i="1" s="1"/>
  <c r="O828" i="1" a="1"/>
  <c r="O828" i="1" s="1"/>
  <c r="O829" i="1" a="1"/>
  <c r="O829" i="1" s="1"/>
  <c r="O830" i="1" a="1"/>
  <c r="O830" i="1" s="1"/>
  <c r="F830" i="1" s="1"/>
  <c r="O831" i="1" a="1"/>
  <c r="O831" i="1"/>
  <c r="O832" i="1" a="1"/>
  <c r="O832" i="1" s="1"/>
  <c r="O833" i="1" a="1"/>
  <c r="O833" i="1" s="1"/>
  <c r="O834" i="1" a="1"/>
  <c r="O834" i="1" s="1"/>
  <c r="O835" i="1" a="1"/>
  <c r="O835" i="1" s="1"/>
  <c r="O836" i="1" a="1"/>
  <c r="O836" i="1" s="1"/>
  <c r="O837" i="1" a="1"/>
  <c r="O837" i="1" s="1"/>
  <c r="H837" i="1" s="1"/>
  <c r="O838" i="1" a="1"/>
  <c r="O838" i="1" s="1"/>
  <c r="F838" i="1" s="1"/>
  <c r="O839" i="1" a="1"/>
  <c r="O839" i="1" s="1"/>
  <c r="O840" i="1" a="1"/>
  <c r="O840" i="1" s="1"/>
  <c r="O841" i="1" a="1"/>
  <c r="O841" i="1" s="1"/>
  <c r="O842" i="1" a="1"/>
  <c r="O842" i="1" s="1"/>
  <c r="O843" i="1" a="1"/>
  <c r="O843" i="1" s="1"/>
  <c r="O844" i="1" a="1"/>
  <c r="O844" i="1" s="1"/>
  <c r="O845" i="1" a="1"/>
  <c r="O845" i="1" s="1"/>
  <c r="O846" i="1" a="1"/>
  <c r="O846" i="1" s="1"/>
  <c r="F846" i="1" s="1"/>
  <c r="O847" i="1" a="1"/>
  <c r="O847" i="1" s="1"/>
  <c r="O848" i="1" a="1"/>
  <c r="O848" i="1" s="1"/>
  <c r="O849" i="1" a="1"/>
  <c r="O849" i="1" s="1"/>
  <c r="O850" i="1" a="1"/>
  <c r="O850" i="1" s="1"/>
  <c r="O851" i="1" a="1"/>
  <c r="O851" i="1" s="1"/>
  <c r="O852" i="1" a="1"/>
  <c r="O852" i="1" s="1"/>
  <c r="O853" i="1" a="1"/>
  <c r="O853" i="1" s="1"/>
  <c r="O854" i="1" a="1"/>
  <c r="O854" i="1" s="1"/>
  <c r="O855" i="1" a="1"/>
  <c r="O855" i="1" s="1"/>
  <c r="O856" i="1" a="1"/>
  <c r="O856" i="1" s="1"/>
  <c r="O857" i="1" a="1"/>
  <c r="O857" i="1" s="1"/>
  <c r="O858" i="1" a="1"/>
  <c r="O858" i="1" s="1"/>
  <c r="O859" i="1" a="1"/>
  <c r="O859" i="1" s="1"/>
  <c r="O860" i="1" a="1"/>
  <c r="O860" i="1" s="1"/>
  <c r="O861" i="1" a="1"/>
  <c r="O861" i="1" s="1"/>
  <c r="H861" i="1" s="1"/>
  <c r="O862" i="1" a="1"/>
  <c r="O862" i="1" s="1"/>
  <c r="F862" i="1" s="1"/>
  <c r="O863" i="1" a="1"/>
  <c r="O863" i="1" s="1"/>
  <c r="O864" i="1" a="1"/>
  <c r="O864" i="1" s="1"/>
  <c r="O865" i="1" a="1"/>
  <c r="O865" i="1" s="1"/>
  <c r="O866" i="1" a="1"/>
  <c r="O866" i="1" s="1"/>
  <c r="H866" i="1" s="1"/>
  <c r="O867" i="1" a="1"/>
  <c r="O867" i="1" s="1"/>
  <c r="H867" i="1" s="1"/>
  <c r="O868" i="1" a="1"/>
  <c r="O868" i="1" s="1"/>
  <c r="O869" i="1" a="1"/>
  <c r="O869" i="1" s="1"/>
  <c r="O870" i="1" a="1"/>
  <c r="O870" i="1" s="1"/>
  <c r="F870" i="1" s="1"/>
  <c r="O871" i="1" a="1"/>
  <c r="O871" i="1" s="1"/>
  <c r="O872" i="1" a="1"/>
  <c r="O872" i="1" s="1"/>
  <c r="O873" i="1" a="1"/>
  <c r="O873" i="1" s="1"/>
  <c r="O874" i="1" a="1"/>
  <c r="O874" i="1" s="1"/>
  <c r="O875" i="1" a="1"/>
  <c r="O875" i="1" s="1"/>
  <c r="O876" i="1" a="1"/>
  <c r="O876" i="1" s="1"/>
  <c r="O877" i="1" a="1"/>
  <c r="O877" i="1" s="1"/>
  <c r="O878" i="1" a="1"/>
  <c r="O878" i="1" s="1"/>
  <c r="F878" i="1" s="1"/>
  <c r="O879" i="1" a="1"/>
  <c r="O879" i="1" s="1"/>
  <c r="O880" i="1" a="1"/>
  <c r="O880" i="1" s="1"/>
  <c r="O881" i="1" a="1"/>
  <c r="O881" i="1" s="1"/>
  <c r="O882" i="1" a="1"/>
  <c r="O882" i="1" s="1"/>
  <c r="O883" i="1" a="1"/>
  <c r="O883" i="1" s="1"/>
  <c r="O884" i="1" a="1"/>
  <c r="O884" i="1" s="1"/>
  <c r="O885" i="1" a="1"/>
  <c r="O885" i="1" s="1"/>
  <c r="O886" i="1" a="1"/>
  <c r="O886" i="1" s="1"/>
  <c r="F886" i="1" s="1"/>
  <c r="O887" i="1" a="1"/>
  <c r="O887" i="1" s="1"/>
  <c r="O888" i="1" a="1"/>
  <c r="O888" i="1" s="1"/>
  <c r="O889" i="1" a="1"/>
  <c r="O889" i="1" s="1"/>
  <c r="O890" i="1" a="1"/>
  <c r="O890" i="1" s="1"/>
  <c r="H890" i="1" s="1"/>
  <c r="O891" i="1" a="1"/>
  <c r="O891" i="1" s="1"/>
  <c r="H891" i="1" s="1"/>
  <c r="O892" i="1" a="1"/>
  <c r="O892" i="1" s="1"/>
  <c r="H892" i="1" s="1"/>
  <c r="O893" i="1" a="1"/>
  <c r="O893" i="1" s="1"/>
  <c r="O894" i="1" a="1"/>
  <c r="O894" i="1" s="1"/>
  <c r="O895" i="1" a="1"/>
  <c r="O895" i="1" s="1"/>
  <c r="O896" i="1" a="1"/>
  <c r="O896" i="1" s="1"/>
  <c r="O897" i="1" a="1"/>
  <c r="O897" i="1" s="1"/>
  <c r="O898" i="1" a="1"/>
  <c r="O898" i="1" s="1"/>
  <c r="O899" i="1" a="1"/>
  <c r="O899" i="1" s="1"/>
  <c r="O900" i="1" a="1"/>
  <c r="O900" i="1" s="1"/>
  <c r="O901" i="1" a="1"/>
  <c r="O901" i="1" s="1"/>
  <c r="O902" i="1" a="1"/>
  <c r="O902" i="1" s="1"/>
  <c r="O903" i="1" a="1"/>
  <c r="O903" i="1" s="1"/>
  <c r="O904" i="1" a="1"/>
  <c r="O904" i="1" s="1"/>
  <c r="O905" i="1" a="1"/>
  <c r="O905" i="1" s="1"/>
  <c r="O906" i="1" a="1"/>
  <c r="O906" i="1" s="1"/>
  <c r="O907" i="1" a="1"/>
  <c r="O907" i="1" s="1"/>
  <c r="O908" i="1" a="1"/>
  <c r="O908" i="1" s="1"/>
  <c r="O909" i="1" a="1"/>
  <c r="O909" i="1" s="1"/>
  <c r="O910" i="1" a="1"/>
  <c r="O910" i="1" s="1"/>
  <c r="O911" i="1" a="1"/>
  <c r="O911" i="1" s="1"/>
  <c r="O912" i="1" a="1"/>
  <c r="O912" i="1" s="1"/>
  <c r="O913" i="1" a="1"/>
  <c r="O913" i="1" s="1"/>
  <c r="O914" i="1" a="1"/>
  <c r="O914" i="1" s="1"/>
  <c r="H914" i="1" s="1"/>
  <c r="O915" i="1" a="1"/>
  <c r="O915" i="1" s="1"/>
  <c r="H915" i="1" s="1"/>
  <c r="O916" i="1" a="1"/>
  <c r="O916" i="1" s="1"/>
  <c r="O917" i="1" a="1"/>
  <c r="O917" i="1" s="1"/>
  <c r="O918" i="1" a="1"/>
  <c r="O918" i="1" s="1"/>
  <c r="O919" i="1" a="1"/>
  <c r="O919" i="1" s="1"/>
  <c r="O920" i="1" a="1"/>
  <c r="O920" i="1" s="1"/>
  <c r="O921" i="1" a="1"/>
  <c r="O921" i="1" s="1"/>
  <c r="O922" i="1" a="1"/>
  <c r="O922" i="1" s="1"/>
  <c r="O923" i="1" a="1"/>
  <c r="O923" i="1" s="1"/>
  <c r="O924" i="1" a="1"/>
  <c r="O924" i="1" s="1"/>
  <c r="O925" i="1" a="1"/>
  <c r="O925" i="1" s="1"/>
  <c r="O926" i="1" a="1"/>
  <c r="O926" i="1" s="1"/>
  <c r="O927" i="1" a="1"/>
  <c r="O927" i="1" s="1"/>
  <c r="O928" i="1" a="1"/>
  <c r="O928" i="1" s="1"/>
  <c r="O929" i="1" a="1"/>
  <c r="O929" i="1" s="1"/>
  <c r="O930" i="1" a="1"/>
  <c r="O930" i="1" s="1"/>
  <c r="O931" i="1" a="1"/>
  <c r="O931" i="1" s="1"/>
  <c r="O932" i="1" a="1"/>
  <c r="O932" i="1" s="1"/>
  <c r="O933" i="1" a="1"/>
  <c r="O933" i="1" s="1"/>
  <c r="O934" i="1" a="1"/>
  <c r="O934" i="1" s="1"/>
  <c r="O935" i="1" a="1"/>
  <c r="O935" i="1" s="1"/>
  <c r="O936" i="1" a="1"/>
  <c r="O936" i="1" s="1"/>
  <c r="O937" i="1" a="1"/>
  <c r="O937" i="1" s="1"/>
  <c r="O938" i="1" a="1"/>
  <c r="O938" i="1" s="1"/>
  <c r="O939" i="1" a="1"/>
  <c r="O939" i="1" s="1"/>
  <c r="H939" i="1" s="1"/>
  <c r="O940" i="1" a="1"/>
  <c r="O940" i="1" s="1"/>
  <c r="O941" i="1" a="1"/>
  <c r="O941" i="1" s="1"/>
  <c r="O942" i="1" a="1"/>
  <c r="O942" i="1" s="1"/>
  <c r="O943" i="1" a="1"/>
  <c r="O943" i="1" s="1"/>
  <c r="O944" i="1" a="1"/>
  <c r="O944" i="1" s="1"/>
  <c r="O945" i="1" a="1"/>
  <c r="O945" i="1" s="1"/>
  <c r="O946" i="1" a="1"/>
  <c r="O946" i="1" s="1"/>
  <c r="O947" i="1" a="1"/>
  <c r="O947" i="1" s="1"/>
  <c r="O948" i="1" a="1"/>
  <c r="O948" i="1" s="1"/>
  <c r="O949" i="1" a="1"/>
  <c r="O949" i="1" s="1"/>
  <c r="O950" i="1" a="1"/>
  <c r="O950" i="1" s="1"/>
  <c r="O951" i="1" a="1"/>
  <c r="O951" i="1" s="1"/>
  <c r="O952" i="1" a="1"/>
  <c r="O952" i="1" s="1"/>
  <c r="O953" i="1" a="1"/>
  <c r="O953" i="1" s="1"/>
  <c r="O954" i="1" a="1"/>
  <c r="O954" i="1" s="1"/>
  <c r="O955" i="1" a="1"/>
  <c r="O955" i="1" s="1"/>
  <c r="O956" i="1" a="1"/>
  <c r="O956" i="1" s="1"/>
  <c r="O957" i="1" a="1"/>
  <c r="O957" i="1" s="1"/>
  <c r="O958" i="1" a="1"/>
  <c r="O958" i="1" s="1"/>
  <c r="O959" i="1" a="1"/>
  <c r="O959" i="1" s="1"/>
  <c r="O960" i="1" a="1"/>
  <c r="O960" i="1" s="1"/>
  <c r="O961" i="1" a="1"/>
  <c r="O961" i="1" s="1"/>
  <c r="O962" i="1" a="1"/>
  <c r="O962" i="1" s="1"/>
  <c r="O963" i="1" a="1"/>
  <c r="O963" i="1" s="1"/>
  <c r="O964" i="1" a="1"/>
  <c r="O964" i="1" s="1"/>
  <c r="H964" i="1" s="1"/>
  <c r="O965" i="1" a="1"/>
  <c r="O965" i="1" s="1"/>
  <c r="O966" i="1" a="1"/>
  <c r="O966" i="1" s="1"/>
  <c r="O967" i="1" a="1"/>
  <c r="O967" i="1" s="1"/>
  <c r="O968" i="1" a="1"/>
  <c r="O968" i="1" s="1"/>
  <c r="O969" i="1" a="1"/>
  <c r="O969" i="1" s="1"/>
  <c r="O970" i="1" a="1"/>
  <c r="O970" i="1" s="1"/>
  <c r="H970" i="1" s="1"/>
  <c r="O971" i="1" a="1"/>
  <c r="O971" i="1" s="1"/>
  <c r="O972" i="1" a="1"/>
  <c r="O972" i="1" s="1"/>
  <c r="O973" i="1" a="1"/>
  <c r="O973" i="1" s="1"/>
  <c r="O974" i="1" a="1"/>
  <c r="O974" i="1" s="1"/>
  <c r="O975" i="1" a="1"/>
  <c r="O975" i="1" s="1"/>
  <c r="O976" i="1" a="1"/>
  <c r="O976" i="1" s="1"/>
  <c r="O977" i="1" a="1"/>
  <c r="O977" i="1" s="1"/>
  <c r="O978" i="1" a="1"/>
  <c r="O978" i="1" s="1"/>
  <c r="O979" i="1" a="1"/>
  <c r="O979" i="1" s="1"/>
  <c r="O980" i="1" a="1"/>
  <c r="O980" i="1" s="1"/>
  <c r="O981" i="1" a="1"/>
  <c r="O981" i="1" s="1"/>
  <c r="O982" i="1" a="1"/>
  <c r="O982" i="1" s="1"/>
  <c r="O983" i="1" a="1"/>
  <c r="O983" i="1" s="1"/>
  <c r="O984" i="1" a="1"/>
  <c r="O984" i="1" s="1"/>
  <c r="O985" i="1" a="1"/>
  <c r="O985" i="1" s="1"/>
  <c r="O986" i="1" a="1"/>
  <c r="O986" i="1" s="1"/>
  <c r="O987" i="1" a="1"/>
  <c r="O987" i="1" s="1"/>
  <c r="O988" i="1" a="1"/>
  <c r="O988" i="1" s="1"/>
  <c r="O989" i="1" a="1"/>
  <c r="O989" i="1" s="1"/>
  <c r="O990" i="1" a="1"/>
  <c r="O990" i="1" s="1"/>
  <c r="O991" i="1" a="1"/>
  <c r="O991" i="1" s="1"/>
  <c r="O992" i="1" a="1"/>
  <c r="O992" i="1" s="1"/>
  <c r="O993" i="1" a="1"/>
  <c r="O993" i="1" s="1"/>
  <c r="O994" i="1" a="1"/>
  <c r="O994" i="1" s="1"/>
  <c r="H994" i="1" s="1"/>
  <c r="O995" i="1" a="1"/>
  <c r="O995" i="1" s="1"/>
  <c r="H995" i="1" s="1"/>
  <c r="O996" i="1" a="1"/>
  <c r="O996" i="1" s="1"/>
  <c r="O997" i="1" a="1"/>
  <c r="O997" i="1" s="1"/>
  <c r="O998" i="1" a="1"/>
  <c r="O998" i="1" s="1"/>
  <c r="O999" i="1" a="1"/>
  <c r="O999" i="1" s="1"/>
  <c r="O1000" i="1" a="1"/>
  <c r="O1000" i="1" s="1"/>
  <c r="O1001" i="1" a="1"/>
  <c r="O1001" i="1" s="1"/>
  <c r="O1002" i="1" a="1"/>
  <c r="O1002" i="1" s="1"/>
  <c r="O1003" i="1" a="1"/>
  <c r="O1003" i="1" s="1"/>
  <c r="O1004" i="1" a="1"/>
  <c r="O1004" i="1" s="1"/>
  <c r="O1005" i="1" a="1"/>
  <c r="O1005" i="1" s="1"/>
  <c r="O1006" i="1" a="1"/>
  <c r="O1006" i="1" s="1"/>
  <c r="O1007" i="1" a="1"/>
  <c r="O1007" i="1" s="1"/>
  <c r="O1008" i="1" a="1"/>
  <c r="O1008" i="1" s="1"/>
  <c r="O1009" i="1" a="1"/>
  <c r="O1009" i="1" s="1"/>
  <c r="O1010" i="1" a="1"/>
  <c r="O1010" i="1" s="1"/>
  <c r="O1011" i="1" a="1"/>
  <c r="O1011" i="1" s="1"/>
  <c r="O1012" i="1" a="1"/>
  <c r="O1012" i="1" s="1"/>
  <c r="O1013" i="1" a="1"/>
  <c r="O1013" i="1" s="1"/>
  <c r="O1014" i="1" a="1"/>
  <c r="O1014" i="1" s="1"/>
  <c r="O1015" i="1" a="1"/>
  <c r="O1015" i="1" s="1"/>
  <c r="O1016" i="1" a="1"/>
  <c r="O1016" i="1" s="1"/>
  <c r="H1016" i="1" s="1"/>
  <c r="O1017" i="1" a="1"/>
  <c r="O1017" i="1" s="1"/>
  <c r="O1018" i="1" a="1"/>
  <c r="O1018" i="1" s="1"/>
  <c r="H1018" i="1" s="1"/>
  <c r="O1019" i="1" a="1"/>
  <c r="O1019" i="1" s="1"/>
  <c r="O1020" i="1" a="1"/>
  <c r="O1020" i="1" s="1"/>
  <c r="O1021" i="1" a="1"/>
  <c r="O1021" i="1" s="1"/>
  <c r="O1022" i="1" a="1"/>
  <c r="O1022" i="1" s="1"/>
  <c r="O1023" i="1" a="1"/>
  <c r="O1023" i="1" s="1"/>
  <c r="O1024" i="1" a="1"/>
  <c r="O1024" i="1" s="1"/>
  <c r="O1025" i="1" a="1"/>
  <c r="O1025" i="1" s="1"/>
  <c r="O1026" i="1" a="1"/>
  <c r="O1026" i="1" s="1"/>
  <c r="O1027" i="1" a="1"/>
  <c r="O1027" i="1" s="1"/>
  <c r="O1028" i="1" a="1"/>
  <c r="O1028" i="1" s="1"/>
  <c r="O1029" i="1" a="1"/>
  <c r="O1029" i="1" s="1"/>
  <c r="O1030" i="1" a="1"/>
  <c r="O1030" i="1" s="1"/>
  <c r="O1031" i="1" a="1"/>
  <c r="O1031" i="1" s="1"/>
  <c r="O1032" i="1" a="1"/>
  <c r="O1032" i="1" s="1"/>
  <c r="O1033" i="1" a="1"/>
  <c r="O1033" i="1" s="1"/>
  <c r="O1034" i="1" a="1"/>
  <c r="O1034" i="1" s="1"/>
  <c r="O1035" i="1" a="1"/>
  <c r="O1035" i="1" s="1"/>
  <c r="O1036" i="1" a="1"/>
  <c r="O1036" i="1" s="1"/>
  <c r="O1037" i="1" a="1"/>
  <c r="O1037" i="1" s="1"/>
  <c r="O1038" i="1" a="1"/>
  <c r="O1038" i="1" s="1"/>
  <c r="O1039" i="1" a="1"/>
  <c r="O1039" i="1" s="1"/>
  <c r="O1040" i="1" a="1"/>
  <c r="O1040" i="1" s="1"/>
  <c r="H1040" i="1" s="1"/>
  <c r="O1041" i="1" a="1"/>
  <c r="O1041" i="1" s="1"/>
  <c r="H1041" i="1" s="1"/>
  <c r="O1042" i="1" a="1"/>
  <c r="O1042" i="1" s="1"/>
  <c r="O1043" i="1" a="1"/>
  <c r="O1043" i="1" s="1"/>
  <c r="O1044" i="1" a="1"/>
  <c r="O1044" i="1" s="1"/>
  <c r="O1045" i="1" a="1"/>
  <c r="O1045" i="1" s="1"/>
  <c r="O1046" i="1" a="1"/>
  <c r="O1046" i="1" s="1"/>
  <c r="F1046" i="1" s="1"/>
  <c r="O1047" i="1" a="1"/>
  <c r="O1047" i="1" s="1"/>
  <c r="O1048" i="1" a="1"/>
  <c r="O1048" i="1"/>
  <c r="O1049" i="1" a="1"/>
  <c r="O1049" i="1" s="1"/>
  <c r="O1050" i="1" a="1"/>
  <c r="O1050" i="1" s="1"/>
  <c r="O1051" i="1" a="1"/>
  <c r="O1051" i="1" s="1"/>
  <c r="O1052" i="1" a="1"/>
  <c r="O1052" i="1" s="1"/>
  <c r="O1053" i="1" a="1"/>
  <c r="O1053" i="1" s="1"/>
  <c r="O1054" i="1" a="1"/>
  <c r="O1054" i="1" s="1"/>
  <c r="F1054" i="1" s="1"/>
  <c r="O1055" i="1" a="1"/>
  <c r="O1055" i="1" s="1"/>
  <c r="O1056" i="1" a="1"/>
  <c r="O1056" i="1" s="1"/>
  <c r="O1057" i="1" a="1"/>
  <c r="O1057" i="1" s="1"/>
  <c r="O1058" i="1" a="1"/>
  <c r="O1058" i="1" s="1"/>
  <c r="O1059" i="1" a="1"/>
  <c r="O1059" i="1" s="1"/>
  <c r="O1060" i="1" a="1"/>
  <c r="O1060" i="1" s="1"/>
  <c r="O1061" i="1" a="1"/>
  <c r="O1061" i="1" s="1"/>
  <c r="H1061" i="1" s="1"/>
  <c r="O1062" i="1" a="1"/>
  <c r="O1062" i="1" s="1"/>
  <c r="F1062" i="1" s="1"/>
  <c r="O1063" i="1" a="1"/>
  <c r="O1063" i="1" s="1"/>
  <c r="O1064" i="1" a="1"/>
  <c r="O1064" i="1" s="1"/>
  <c r="O1065" i="1" a="1"/>
  <c r="O1065" i="1" s="1"/>
  <c r="O1066" i="1" a="1"/>
  <c r="O1066" i="1" s="1"/>
  <c r="O1067" i="1" a="1"/>
  <c r="O1067" i="1" s="1"/>
  <c r="O1068" i="1" a="1"/>
  <c r="O1068" i="1" s="1"/>
  <c r="O1069" i="1" a="1"/>
  <c r="O1069" i="1" s="1"/>
  <c r="O1070" i="1" a="1"/>
  <c r="O1070" i="1"/>
  <c r="F1070" i="1" s="1"/>
  <c r="O1071" i="1" a="1"/>
  <c r="O1071" i="1" s="1"/>
  <c r="O1072" i="1" a="1"/>
  <c r="O1072" i="1" s="1"/>
  <c r="H1072" i="1" s="1"/>
  <c r="O1073" i="1" a="1"/>
  <c r="O1073" i="1" s="1"/>
  <c r="O1074" i="1" a="1"/>
  <c r="O1074" i="1" s="1"/>
  <c r="O1075" i="1" a="1"/>
  <c r="O1075" i="1" s="1"/>
  <c r="O1076" i="1" a="1"/>
  <c r="O1076" i="1" s="1"/>
  <c r="O1077" i="1" a="1"/>
  <c r="O1077" i="1" s="1"/>
  <c r="O1078" i="1" a="1"/>
  <c r="O1078" i="1" s="1"/>
  <c r="F1078" i="1" s="1"/>
  <c r="O1079" i="1" a="1"/>
  <c r="O1079" i="1" s="1"/>
  <c r="O1080" i="1" a="1"/>
  <c r="O1080" i="1" s="1"/>
  <c r="O1081" i="1" a="1"/>
  <c r="O1081" i="1" s="1"/>
  <c r="O1082" i="1" a="1"/>
  <c r="O1082" i="1" s="1"/>
  <c r="O1083" i="1" a="1"/>
  <c r="O1083" i="1" s="1"/>
  <c r="O1084" i="1" a="1"/>
  <c r="O1084" i="1" s="1"/>
  <c r="H1084" i="1" s="1"/>
  <c r="O1085" i="1" a="1"/>
  <c r="O1085" i="1" s="1"/>
  <c r="O1086" i="1" a="1"/>
  <c r="O1086" i="1" s="1"/>
  <c r="F1086" i="1" s="1"/>
  <c r="O1087" i="1" a="1"/>
  <c r="O1087" i="1" s="1"/>
  <c r="O1088" i="1" a="1"/>
  <c r="O1088" i="1" s="1"/>
  <c r="O1089" i="1" a="1"/>
  <c r="O1089" i="1" s="1"/>
  <c r="O1090" i="1" a="1"/>
  <c r="O1090" i="1" s="1"/>
  <c r="O1091" i="1" a="1"/>
  <c r="O1091" i="1" s="1"/>
  <c r="O1092" i="1" a="1"/>
  <c r="O1092" i="1" s="1"/>
  <c r="O1093" i="1" a="1"/>
  <c r="O1093" i="1" s="1"/>
  <c r="O1094" i="1" a="1"/>
  <c r="O1094" i="1" s="1"/>
  <c r="F1094" i="1" s="1"/>
  <c r="O1095" i="1" a="1"/>
  <c r="O1095" i="1" s="1"/>
  <c r="O1096" i="1" a="1"/>
  <c r="O1096" i="1" s="1"/>
  <c r="O1097" i="1" a="1"/>
  <c r="O1097" i="1" s="1"/>
  <c r="O1098" i="1" a="1"/>
  <c r="O1098" i="1" s="1"/>
  <c r="O1099" i="1" a="1"/>
  <c r="O1099" i="1" s="1"/>
  <c r="O1100" i="1" a="1"/>
  <c r="O1100" i="1" s="1"/>
  <c r="O1101" i="1" a="1"/>
  <c r="O1101" i="1" s="1"/>
  <c r="O1102" i="1" a="1"/>
  <c r="O1102" i="1" s="1"/>
  <c r="F1102" i="1" s="1"/>
  <c r="O1103" i="1" a="1"/>
  <c r="O1103" i="1" s="1"/>
  <c r="O1104" i="1" a="1"/>
  <c r="O1104" i="1" s="1"/>
  <c r="O1105" i="1" a="1"/>
  <c r="O1105" i="1" s="1"/>
  <c r="O1106" i="1" a="1"/>
  <c r="O1106" i="1" s="1"/>
  <c r="O1107" i="1" a="1"/>
  <c r="O1107" i="1" s="1"/>
  <c r="O1108" i="1" a="1"/>
  <c r="O1108" i="1" s="1"/>
  <c r="O1109" i="1" a="1"/>
  <c r="O1109" i="1" s="1"/>
  <c r="O1110" i="1" a="1"/>
  <c r="O1110" i="1" s="1"/>
  <c r="F1110" i="1" s="1"/>
  <c r="O1111" i="1" a="1"/>
  <c r="O1111" i="1" s="1"/>
  <c r="O1112" i="1" a="1"/>
  <c r="O1112" i="1" s="1"/>
  <c r="O1113" i="1" a="1"/>
  <c r="O1113" i="1" s="1"/>
  <c r="O1114" i="1" a="1"/>
  <c r="O1114" i="1" s="1"/>
  <c r="O1115" i="1" a="1"/>
  <c r="O1115" i="1" s="1"/>
  <c r="O1116" i="1" a="1"/>
  <c r="O1116" i="1" s="1"/>
  <c r="O1117" i="1" a="1"/>
  <c r="O1117" i="1" s="1"/>
  <c r="O1118" i="1" a="1"/>
  <c r="O1118" i="1" s="1"/>
  <c r="F1118" i="1" s="1"/>
  <c r="O1119" i="1" a="1"/>
  <c r="O1119" i="1" s="1"/>
  <c r="O1120" i="1" a="1"/>
  <c r="O1120" i="1" s="1"/>
  <c r="O1121" i="1" a="1"/>
  <c r="O1121" i="1" s="1"/>
  <c r="O1122" i="1" a="1"/>
  <c r="O1122" i="1" s="1"/>
  <c r="O1123" i="1" a="1"/>
  <c r="O1123" i="1" s="1"/>
  <c r="O1124" i="1" a="1"/>
  <c r="O1124" i="1" s="1"/>
  <c r="O1125" i="1" a="1"/>
  <c r="O1125" i="1" s="1"/>
  <c r="O1126" i="1" a="1"/>
  <c r="O1126" i="1" s="1"/>
  <c r="F1126" i="1" s="1"/>
  <c r="O1127" i="1" a="1"/>
  <c r="O1127" i="1" s="1"/>
  <c r="O1128" i="1" a="1"/>
  <c r="O1128" i="1" s="1"/>
  <c r="H1128" i="1" s="1"/>
  <c r="O1129" i="1" a="1"/>
  <c r="O1129" i="1" s="1"/>
  <c r="O1130" i="1" a="1"/>
  <c r="O1130" i="1" s="1"/>
  <c r="O1131" i="1" a="1"/>
  <c r="O1131" i="1" s="1"/>
  <c r="O1132" i="1" a="1"/>
  <c r="O1132" i="1" s="1"/>
  <c r="O1133" i="1" a="1"/>
  <c r="O1133" i="1" s="1"/>
  <c r="O1134" i="1" a="1"/>
  <c r="O1134" i="1" s="1"/>
  <c r="F1134" i="1" s="1"/>
  <c r="O1135" i="1" a="1"/>
  <c r="O1135" i="1" s="1"/>
  <c r="O1136" i="1" a="1"/>
  <c r="O1136" i="1" s="1"/>
  <c r="O1137" i="1" a="1"/>
  <c r="O1137" i="1" s="1"/>
  <c r="O1138" i="1" a="1"/>
  <c r="O1138" i="1" s="1"/>
  <c r="O1139" i="1" a="1"/>
  <c r="O1139" i="1" s="1"/>
  <c r="O1140" i="1" a="1"/>
  <c r="O1140" i="1" s="1"/>
  <c r="O1141" i="1" a="1"/>
  <c r="O1141" i="1" s="1"/>
  <c r="O1142" i="1" a="1"/>
  <c r="O1142" i="1" s="1"/>
  <c r="F1142" i="1" s="1"/>
  <c r="O1143" i="1" a="1"/>
  <c r="O1143" i="1" s="1"/>
  <c r="O1144" i="1" a="1"/>
  <c r="O1144" i="1" s="1"/>
  <c r="O1145" i="1" a="1"/>
  <c r="O1145" i="1" s="1"/>
  <c r="O1146" i="1" a="1"/>
  <c r="O1146" i="1" s="1"/>
  <c r="O1147" i="1" a="1"/>
  <c r="O1147" i="1" s="1"/>
  <c r="O1148" i="1" a="1"/>
  <c r="O1148" i="1" s="1"/>
  <c r="H1148" i="1" s="1"/>
  <c r="O1149" i="1" a="1"/>
  <c r="O1149" i="1" s="1"/>
  <c r="O1150" i="1" a="1"/>
  <c r="O1150" i="1" s="1"/>
  <c r="F1150" i="1" s="1"/>
  <c r="O1151" i="1" a="1"/>
  <c r="O1151" i="1" s="1"/>
  <c r="O1152" i="1" a="1"/>
  <c r="O1152" i="1" s="1"/>
  <c r="O1153" i="1" a="1"/>
  <c r="O1153" i="1" s="1"/>
  <c r="O1154" i="1" a="1"/>
  <c r="O1154" i="1" s="1"/>
  <c r="O1155" i="1" a="1"/>
  <c r="O1155" i="1" s="1"/>
  <c r="O1156" i="1" a="1"/>
  <c r="O1156" i="1" s="1"/>
  <c r="O1157" i="1" a="1"/>
  <c r="O1157" i="1" s="1"/>
  <c r="O1158" i="1" a="1"/>
  <c r="O1158" i="1" s="1"/>
  <c r="F1158" i="1" s="1"/>
  <c r="O1159" i="1" a="1"/>
  <c r="O1159" i="1" s="1"/>
  <c r="O1160" i="1" a="1"/>
  <c r="O1160" i="1" s="1"/>
  <c r="O1161" i="1" a="1"/>
  <c r="O1161" i="1" s="1"/>
  <c r="O1162" i="1" a="1"/>
  <c r="O1162" i="1" s="1"/>
  <c r="O1163" i="1" a="1"/>
  <c r="O1163" i="1" s="1"/>
  <c r="O1164" i="1" a="1"/>
  <c r="O1164" i="1" s="1"/>
  <c r="O1165" i="1" a="1"/>
  <c r="O1165" i="1" s="1"/>
  <c r="H1165" i="1" s="1"/>
  <c r="O1166" i="1" a="1"/>
  <c r="O1166" i="1" s="1"/>
  <c r="F1166" i="1" s="1"/>
  <c r="O1167" i="1" a="1"/>
  <c r="O1167" i="1" s="1"/>
  <c r="O1168" i="1" a="1"/>
  <c r="O1168" i="1" s="1"/>
  <c r="H1168" i="1" s="1"/>
  <c r="O1169" i="1" a="1"/>
  <c r="O1169" i="1" s="1"/>
  <c r="O1170" i="1" a="1"/>
  <c r="O1170" i="1" s="1"/>
  <c r="O1171" i="1" a="1"/>
  <c r="O1171" i="1" s="1"/>
  <c r="O1172" i="1" a="1"/>
  <c r="O1172" i="1" s="1"/>
  <c r="O1173" i="1" a="1"/>
  <c r="O1173" i="1" s="1"/>
  <c r="O1174" i="1" a="1"/>
  <c r="O1174" i="1" s="1"/>
  <c r="F1174" i="1" s="1"/>
  <c r="O1175" i="1" a="1"/>
  <c r="O1175" i="1" s="1"/>
  <c r="O1176" i="1" a="1"/>
  <c r="O1176" i="1" s="1"/>
  <c r="O1177" i="1" a="1"/>
  <c r="O1177" i="1" s="1"/>
  <c r="O1178" i="1" a="1"/>
  <c r="O1178" i="1" s="1"/>
  <c r="O1179" i="1" a="1"/>
  <c r="O1179" i="1" s="1"/>
  <c r="O1180" i="1" a="1"/>
  <c r="O1180" i="1" s="1"/>
  <c r="O1181" i="1" a="1"/>
  <c r="O1181" i="1" s="1"/>
  <c r="O1182" i="1" a="1"/>
  <c r="O1182" i="1" s="1"/>
  <c r="F1182" i="1" s="1"/>
  <c r="O1183" i="1" a="1"/>
  <c r="O1183" i="1" s="1"/>
  <c r="O1184" i="1" a="1"/>
  <c r="O1184" i="1" s="1"/>
  <c r="O1185" i="1" a="1"/>
  <c r="O1185" i="1" s="1"/>
  <c r="O1186" i="1" a="1"/>
  <c r="O1186" i="1" s="1"/>
  <c r="H1186" i="1" s="1"/>
  <c r="O1187" i="1" a="1"/>
  <c r="O1187" i="1" s="1"/>
  <c r="O1188" i="1" a="1"/>
  <c r="O1188" i="1" s="1"/>
  <c r="O1189" i="1" a="1"/>
  <c r="O1189" i="1" s="1"/>
  <c r="H1189" i="1" s="1"/>
  <c r="O1190" i="1" a="1"/>
  <c r="O1190" i="1" s="1"/>
  <c r="F1190" i="1" s="1"/>
  <c r="O1191" i="1" a="1"/>
  <c r="O1191" i="1" s="1"/>
  <c r="O1192" i="1" a="1"/>
  <c r="O1192" i="1" s="1"/>
  <c r="H1192" i="1" s="1"/>
  <c r="O1193" i="1" a="1"/>
  <c r="O1193" i="1" s="1"/>
  <c r="O1194" i="1" a="1"/>
  <c r="O1194" i="1" s="1"/>
  <c r="O1195" i="1" a="1"/>
  <c r="O1195" i="1" s="1"/>
  <c r="O1196" i="1" a="1"/>
  <c r="O1196" i="1" s="1"/>
  <c r="O1197" i="1" a="1"/>
  <c r="O1197" i="1" s="1"/>
  <c r="O1198" i="1" a="1"/>
  <c r="O1198" i="1" s="1"/>
  <c r="F1198" i="1" s="1"/>
  <c r="O1199" i="1" a="1"/>
  <c r="O1199" i="1" s="1"/>
  <c r="O1200" i="1" a="1"/>
  <c r="O1200" i="1" s="1"/>
  <c r="O1201" i="1" a="1"/>
  <c r="O1201" i="1" s="1"/>
  <c r="O1202" i="1" a="1"/>
  <c r="O1202" i="1" s="1"/>
  <c r="O1203" i="1" a="1"/>
  <c r="O1203" i="1" s="1"/>
  <c r="O1204" i="1" a="1"/>
  <c r="O1204" i="1" s="1"/>
  <c r="O1205" i="1" a="1"/>
  <c r="O1205" i="1" s="1"/>
  <c r="O1206" i="1" a="1"/>
  <c r="O1206" i="1" s="1"/>
  <c r="F1206" i="1" s="1"/>
  <c r="O1207" i="1" a="1"/>
  <c r="O1207" i="1" s="1"/>
  <c r="O1208" i="1" a="1"/>
  <c r="O1208" i="1"/>
  <c r="O1209" i="1" a="1"/>
  <c r="O1209" i="1" s="1"/>
  <c r="O1210" i="1" a="1"/>
  <c r="O1210" i="1" s="1"/>
  <c r="O1211" i="1" a="1"/>
  <c r="O1211" i="1" s="1"/>
  <c r="O1212" i="1" a="1"/>
  <c r="O1212" i="1" s="1"/>
  <c r="O1213" i="1" a="1"/>
  <c r="O1213" i="1" s="1"/>
  <c r="O1214" i="1" a="1"/>
  <c r="O1214" i="1" s="1"/>
  <c r="F1214" i="1" s="1"/>
  <c r="O1215" i="1" a="1"/>
  <c r="O1215" i="1" s="1"/>
  <c r="O1216" i="1" a="1"/>
  <c r="O1216" i="1" s="1"/>
  <c r="O1217" i="1" a="1"/>
  <c r="O1217" i="1" s="1"/>
  <c r="O1218" i="1" a="1"/>
  <c r="O1218" i="1" s="1"/>
  <c r="O1219" i="1" a="1"/>
  <c r="O1219" i="1" s="1"/>
  <c r="O1220" i="1" a="1"/>
  <c r="O1220" i="1" s="1"/>
  <c r="O1221" i="1" a="1"/>
  <c r="O1221" i="1" s="1"/>
  <c r="O1222" i="1" a="1"/>
  <c r="O1222" i="1" s="1"/>
  <c r="F1222" i="1" s="1"/>
  <c r="O1223" i="1" a="1"/>
  <c r="O1223" i="1" s="1"/>
  <c r="O1224" i="1" a="1"/>
  <c r="O1224" i="1" s="1"/>
  <c r="O1225" i="1" a="1"/>
  <c r="O1225" i="1" s="1"/>
  <c r="O1226" i="1" a="1"/>
  <c r="O1226" i="1" s="1"/>
  <c r="O1227" i="1" a="1"/>
  <c r="O1227" i="1" s="1"/>
  <c r="O1228" i="1" a="1"/>
  <c r="O1228" i="1" s="1"/>
  <c r="O1229" i="1" a="1"/>
  <c r="O1229" i="1" s="1"/>
  <c r="O1230" i="1" a="1"/>
  <c r="O1230" i="1" s="1"/>
  <c r="F1230" i="1" s="1"/>
  <c r="O1231" i="1" a="1"/>
  <c r="O1231" i="1" s="1"/>
  <c r="O1232" i="1" a="1"/>
  <c r="O1232" i="1" s="1"/>
  <c r="O1233" i="1" a="1"/>
  <c r="O1233" i="1" s="1"/>
  <c r="O1234" i="1" a="1"/>
  <c r="O1234" i="1" s="1"/>
  <c r="O1235" i="1" a="1"/>
  <c r="O1235" i="1" s="1"/>
  <c r="O1236" i="1" a="1"/>
  <c r="O1236" i="1" s="1"/>
  <c r="O1237" i="1" a="1"/>
  <c r="O1237" i="1" s="1"/>
  <c r="O1238" i="1" a="1"/>
  <c r="O1238" i="1" s="1"/>
  <c r="F1238" i="1" s="1"/>
  <c r="O1239" i="1" a="1"/>
  <c r="O1239" i="1"/>
  <c r="O1240" i="1" a="1"/>
  <c r="O1240" i="1" s="1"/>
  <c r="O1241" i="1" a="1"/>
  <c r="O1241" i="1" s="1"/>
  <c r="O1242" i="1" a="1"/>
  <c r="O1242" i="1" s="1"/>
  <c r="O1243" i="1" a="1"/>
  <c r="O1243" i="1" s="1"/>
  <c r="O1244" i="1" a="1"/>
  <c r="O1244" i="1" s="1"/>
  <c r="O1245" i="1" a="1"/>
  <c r="O1245" i="1" s="1"/>
  <c r="O1246" i="1" a="1"/>
  <c r="O1246" i="1" s="1"/>
  <c r="F1246" i="1" s="1"/>
  <c r="O1247" i="1" a="1"/>
  <c r="O1247" i="1" s="1"/>
  <c r="O1248" i="1" a="1"/>
  <c r="O1248" i="1" s="1"/>
  <c r="O1249" i="1" a="1"/>
  <c r="O1249" i="1" s="1"/>
  <c r="O1250" i="1" a="1"/>
  <c r="O1250" i="1" s="1"/>
  <c r="O1251" i="1" a="1"/>
  <c r="O1251" i="1" s="1"/>
  <c r="H1251" i="1" s="1"/>
  <c r="O1252" i="1" a="1"/>
  <c r="O1252" i="1" s="1"/>
  <c r="O1253" i="1" a="1"/>
  <c r="O1253" i="1" s="1"/>
  <c r="O1254" i="1" a="1"/>
  <c r="O1254" i="1" s="1"/>
  <c r="F1254" i="1" s="1"/>
  <c r="O1255" i="1" a="1"/>
  <c r="O1255" i="1" s="1"/>
  <c r="O1256" i="1" a="1"/>
  <c r="O1256" i="1" s="1"/>
  <c r="O1257" i="1" a="1"/>
  <c r="O1257" i="1" s="1"/>
  <c r="O1258" i="1" a="1"/>
  <c r="O1258" i="1" s="1"/>
  <c r="O1259" i="1" a="1"/>
  <c r="O1259" i="1" s="1"/>
  <c r="O1260" i="1" a="1"/>
  <c r="O1260" i="1" s="1"/>
  <c r="O1261" i="1" a="1"/>
  <c r="O1261" i="1" s="1"/>
  <c r="O1262" i="1" a="1"/>
  <c r="O1262" i="1" s="1"/>
  <c r="F1262" i="1" s="1"/>
  <c r="O1263" i="1" a="1"/>
  <c r="O1263" i="1" s="1"/>
  <c r="O1264" i="1" a="1"/>
  <c r="O1264" i="1" s="1"/>
  <c r="O1265" i="1" a="1"/>
  <c r="O1265" i="1" s="1"/>
  <c r="O1266" i="1" a="1"/>
  <c r="O1266" i="1" s="1"/>
  <c r="O1267" i="1" a="1"/>
  <c r="O1267" i="1" s="1"/>
  <c r="O1268" i="1" a="1"/>
  <c r="O1268" i="1" s="1"/>
  <c r="O1269" i="1" a="1"/>
  <c r="O1269" i="1" s="1"/>
  <c r="O1270" i="1" a="1"/>
  <c r="O1270" i="1" s="1"/>
  <c r="F1270" i="1" s="1"/>
  <c r="O1271" i="1" a="1"/>
  <c r="O1271" i="1" s="1"/>
  <c r="O1272" i="1" a="1"/>
  <c r="O1272" i="1" s="1"/>
  <c r="O1273" i="1" a="1"/>
  <c r="O1273" i="1" s="1"/>
  <c r="O1274" i="1" a="1"/>
  <c r="O1274" i="1" s="1"/>
  <c r="O1275" i="1" a="1"/>
  <c r="O1275" i="1" s="1"/>
  <c r="H1275" i="1" s="1"/>
  <c r="O1276" i="1" a="1"/>
  <c r="O1276" i="1" s="1"/>
  <c r="H1276" i="1" s="1"/>
  <c r="O1277" i="1" a="1"/>
  <c r="O1277" i="1" s="1"/>
  <c r="O1278" i="1" a="1"/>
  <c r="O1278" i="1" s="1"/>
  <c r="F1278" i="1" s="1"/>
  <c r="O1279" i="1" a="1"/>
  <c r="O1279" i="1" s="1"/>
  <c r="O1280" i="1" a="1"/>
  <c r="O1280" i="1" s="1"/>
  <c r="O1281" i="1" a="1"/>
  <c r="O1281" i="1" s="1"/>
  <c r="O1282" i="1" a="1"/>
  <c r="O1282" i="1" s="1"/>
  <c r="O1283" i="1" a="1"/>
  <c r="O1283" i="1" s="1"/>
  <c r="O1284" i="1" a="1"/>
  <c r="O1284" i="1" s="1"/>
  <c r="O1285" i="1" a="1"/>
  <c r="O1285" i="1" s="1"/>
  <c r="O1286" i="1" a="1"/>
  <c r="O1286" i="1" s="1"/>
  <c r="F1286" i="1" s="1"/>
  <c r="O1287" i="1" a="1"/>
  <c r="O1287" i="1" s="1"/>
  <c r="O1288" i="1" a="1"/>
  <c r="O1288" i="1" s="1"/>
  <c r="O1289" i="1" a="1"/>
  <c r="O1289" i="1" s="1"/>
  <c r="O1290" i="1" a="1"/>
  <c r="O1290" i="1" s="1"/>
  <c r="O1291" i="1" a="1"/>
  <c r="O1291" i="1" s="1"/>
  <c r="O1292" i="1" a="1"/>
  <c r="O1292" i="1" s="1"/>
  <c r="O1293" i="1" a="1"/>
  <c r="O1293" i="1" s="1"/>
  <c r="H1293" i="1" s="1"/>
  <c r="O1294" i="1" a="1"/>
  <c r="O1294" i="1" s="1"/>
  <c r="F1294" i="1" s="1"/>
  <c r="O1295" i="1" a="1"/>
  <c r="O1295" i="1" s="1"/>
  <c r="O1296" i="1" a="1"/>
  <c r="O1296" i="1" s="1"/>
  <c r="O1297" i="1" a="1"/>
  <c r="O1297" i="1" s="1"/>
  <c r="O1298" i="1" a="1"/>
  <c r="O1298" i="1" s="1"/>
  <c r="O1299" i="1" a="1"/>
  <c r="O1299" i="1" s="1"/>
  <c r="O1300" i="1" a="1"/>
  <c r="O1300" i="1" s="1"/>
  <c r="O1301" i="1" a="1"/>
  <c r="O1301" i="1" s="1"/>
  <c r="O1302" i="1" a="1"/>
  <c r="O1302" i="1" s="1"/>
  <c r="F1302" i="1" s="1"/>
  <c r="O1303" i="1" a="1"/>
  <c r="O1303" i="1" s="1"/>
  <c r="O1304" i="1" a="1"/>
  <c r="O1304" i="1" s="1"/>
  <c r="O1305" i="1" a="1"/>
  <c r="O1305" i="1" s="1"/>
  <c r="O1306" i="1" a="1"/>
  <c r="O1306" i="1" s="1"/>
  <c r="O1307" i="1" a="1"/>
  <c r="O1307" i="1"/>
  <c r="O1308" i="1" a="1"/>
  <c r="O1308" i="1" s="1"/>
  <c r="O1309" i="1" a="1"/>
  <c r="O1309" i="1" s="1"/>
  <c r="O1310" i="1" a="1"/>
  <c r="O1310" i="1" s="1"/>
  <c r="O1311" i="1" a="1"/>
  <c r="O1311" i="1" s="1"/>
  <c r="O1312" i="1" a="1"/>
  <c r="O1312" i="1" s="1"/>
  <c r="O1313" i="1" a="1"/>
  <c r="O1313" i="1" s="1"/>
  <c r="O1314" i="1" a="1"/>
  <c r="O1314" i="1" s="1"/>
  <c r="O1315" i="1" a="1"/>
  <c r="O1315" i="1" s="1"/>
  <c r="O1316" i="1" a="1"/>
  <c r="O1316" i="1" s="1"/>
  <c r="H1316" i="1" s="1"/>
  <c r="O1317" i="1" a="1"/>
  <c r="O1317" i="1" s="1"/>
  <c r="H1317" i="1" s="1"/>
  <c r="O1318" i="1" a="1"/>
  <c r="O1318" i="1" s="1"/>
  <c r="O1319" i="1" a="1"/>
  <c r="O1319" i="1" s="1"/>
  <c r="O1320" i="1" a="1"/>
  <c r="O1320" i="1" s="1"/>
  <c r="O1321" i="1" a="1"/>
  <c r="O1321" i="1" s="1"/>
  <c r="O1322" i="1" a="1"/>
  <c r="O1322" i="1" s="1"/>
  <c r="O1323" i="1" a="1"/>
  <c r="O1323" i="1" s="1"/>
  <c r="O1324" i="1" a="1"/>
  <c r="O1324" i="1" s="1"/>
  <c r="O1325" i="1" a="1"/>
  <c r="O1325" i="1" s="1"/>
  <c r="O1326" i="1" a="1"/>
  <c r="O1326" i="1" s="1"/>
  <c r="O1327" i="1" a="1"/>
  <c r="O1327" i="1" s="1"/>
  <c r="O1328" i="1" a="1"/>
  <c r="O1328" i="1" s="1"/>
  <c r="O1329" i="1" a="1"/>
  <c r="O1329" i="1" s="1"/>
  <c r="O1330" i="1" a="1"/>
  <c r="O1330" i="1" s="1"/>
  <c r="O1331" i="1" a="1"/>
  <c r="O1331" i="1" s="1"/>
  <c r="O1332" i="1" a="1"/>
  <c r="O1332" i="1" s="1"/>
  <c r="O1333" i="1" a="1"/>
  <c r="O1333" i="1" s="1"/>
  <c r="O1334" i="1" a="1"/>
  <c r="O1334" i="1" s="1"/>
  <c r="O1335" i="1" a="1"/>
  <c r="O1335" i="1" s="1"/>
  <c r="O1336" i="1" a="1"/>
  <c r="O1336" i="1" s="1"/>
  <c r="O1337" i="1" a="1"/>
  <c r="O1337" i="1" s="1"/>
  <c r="H1337" i="1" s="1"/>
  <c r="O1338" i="1" a="1"/>
  <c r="O1338" i="1" s="1"/>
  <c r="O1339" i="1" a="1"/>
  <c r="O1339" i="1" s="1"/>
  <c r="O1340" i="1" a="1"/>
  <c r="O1340" i="1" s="1"/>
  <c r="H1340" i="1" s="1"/>
  <c r="O1341" i="1" a="1"/>
  <c r="O1341" i="1" s="1"/>
  <c r="O1342" i="1" a="1"/>
  <c r="O1342" i="1" s="1"/>
  <c r="O1343" i="1" a="1"/>
  <c r="O1343" i="1" s="1"/>
  <c r="O1344" i="1" a="1"/>
  <c r="O1344" i="1" s="1"/>
  <c r="O1345" i="1" a="1"/>
  <c r="O1345" i="1" s="1"/>
  <c r="O1346" i="1" a="1"/>
  <c r="O1346" i="1" s="1"/>
  <c r="O1347" i="1" a="1"/>
  <c r="O1347" i="1" s="1"/>
  <c r="O1348" i="1" a="1"/>
  <c r="O1348" i="1" s="1"/>
  <c r="O1349" i="1" a="1"/>
  <c r="O1349" i="1" s="1"/>
  <c r="O1350" i="1" a="1"/>
  <c r="O1350" i="1" s="1"/>
  <c r="O1351" i="1" a="1"/>
  <c r="O1351" i="1" s="1"/>
  <c r="O1352" i="1" a="1"/>
  <c r="O1352" i="1" s="1"/>
  <c r="O1353" i="1" a="1"/>
  <c r="O1353" i="1" s="1"/>
  <c r="O1354" i="1" a="1"/>
  <c r="O1354" i="1" s="1"/>
  <c r="O1355" i="1" a="1"/>
  <c r="O1355" i="1" s="1"/>
  <c r="O1356" i="1" a="1"/>
  <c r="O1356" i="1" s="1"/>
  <c r="H1356" i="1" s="1"/>
  <c r="O1357" i="1" a="1"/>
  <c r="O1357" i="1" s="1"/>
  <c r="O1358" i="1" a="1"/>
  <c r="O1358" i="1" s="1"/>
  <c r="O1359" i="1" a="1"/>
  <c r="O1359" i="1" s="1"/>
  <c r="O1360" i="1" a="1"/>
  <c r="O1360" i="1" s="1"/>
  <c r="O1361" i="1" a="1"/>
  <c r="O1361" i="1" s="1"/>
  <c r="O1362" i="1" a="1"/>
  <c r="O1362" i="1" s="1"/>
  <c r="O1363" i="1" a="1"/>
  <c r="O1363" i="1" s="1"/>
  <c r="O1364" i="1" a="1"/>
  <c r="O1364" i="1" s="1"/>
  <c r="O1365" i="1" a="1"/>
  <c r="O1365" i="1" s="1"/>
  <c r="O1366" i="1" a="1"/>
  <c r="O1366" i="1" s="1"/>
  <c r="O1367" i="1" a="1"/>
  <c r="O1367" i="1" s="1"/>
  <c r="O1368" i="1" a="1"/>
  <c r="O1368" i="1" s="1"/>
  <c r="O1369" i="1" a="1"/>
  <c r="O1369" i="1" s="1"/>
  <c r="O1370" i="1" a="1"/>
  <c r="O1370" i="1" s="1"/>
  <c r="O1371" i="1" a="1"/>
  <c r="O1371" i="1" s="1"/>
  <c r="O1372" i="1" a="1"/>
  <c r="O1372" i="1" s="1"/>
  <c r="H1372" i="1" s="1"/>
  <c r="O1373" i="1" a="1"/>
  <c r="O1373" i="1" s="1"/>
  <c r="O1374" i="1" a="1"/>
  <c r="O1374" i="1" s="1"/>
  <c r="O1375" i="1" a="1"/>
  <c r="O1375" i="1" s="1"/>
  <c r="O1376" i="1" a="1"/>
  <c r="O1376" i="1" s="1"/>
  <c r="O1377" i="1" a="1"/>
  <c r="O1377" i="1" s="1"/>
  <c r="O1378" i="1" a="1"/>
  <c r="O1378" i="1" s="1"/>
  <c r="O1379" i="1" a="1"/>
  <c r="O1379" i="1" s="1"/>
  <c r="O1380" i="1" a="1"/>
  <c r="O1380" i="1" s="1"/>
  <c r="O1381" i="1" a="1"/>
  <c r="O1381" i="1" s="1"/>
  <c r="O1382" i="1" a="1"/>
  <c r="O1382" i="1" s="1"/>
  <c r="O1383" i="1" a="1"/>
  <c r="O1383" i="1" s="1"/>
  <c r="O1384" i="1" a="1"/>
  <c r="O1384" i="1" s="1"/>
  <c r="O1385" i="1" a="1"/>
  <c r="O1385" i="1" s="1"/>
  <c r="O1386" i="1" a="1"/>
  <c r="O1386" i="1" s="1"/>
  <c r="O1387" i="1" a="1"/>
  <c r="O1387" i="1" s="1"/>
  <c r="O1388" i="1" a="1"/>
  <c r="O1388" i="1" s="1"/>
  <c r="H1388" i="1" s="1"/>
  <c r="O1389" i="1" a="1"/>
  <c r="O1389" i="1" s="1"/>
  <c r="O1390" i="1" a="1"/>
  <c r="O1390" i="1" s="1"/>
  <c r="O1391" i="1" a="1"/>
  <c r="O1391" i="1" s="1"/>
  <c r="O1392" i="1" a="1"/>
  <c r="O1392" i="1" s="1"/>
  <c r="O1393" i="1" a="1"/>
  <c r="O1393" i="1" s="1"/>
  <c r="O1394" i="1" a="1"/>
  <c r="O1394" i="1" s="1"/>
  <c r="O1395" i="1" a="1"/>
  <c r="O1395" i="1" s="1"/>
  <c r="O1396" i="1" a="1"/>
  <c r="O1396" i="1" s="1"/>
  <c r="O1397" i="1" a="1"/>
  <c r="O1397" i="1" s="1"/>
  <c r="O1398" i="1" a="1"/>
  <c r="O1398" i="1" s="1"/>
  <c r="O1399" i="1" a="1"/>
  <c r="O1399" i="1" s="1"/>
  <c r="O1400" i="1" a="1"/>
  <c r="O1400" i="1" s="1"/>
  <c r="O1401" i="1" a="1"/>
  <c r="O1401" i="1" s="1"/>
  <c r="O1402" i="1" a="1"/>
  <c r="O1402" i="1" s="1"/>
  <c r="O1403" i="1" a="1"/>
  <c r="O1403" i="1" s="1"/>
  <c r="O1404" i="1" a="1"/>
  <c r="O1404" i="1" s="1"/>
  <c r="H1404" i="1" s="1"/>
  <c r="O1405" i="1" a="1"/>
  <c r="O1405" i="1" s="1"/>
  <c r="O1406" i="1" a="1"/>
  <c r="O1406" i="1" s="1"/>
  <c r="O1407" i="1" a="1"/>
  <c r="O1407" i="1" s="1"/>
  <c r="O1408" i="1" a="1"/>
  <c r="O1408" i="1" s="1"/>
  <c r="O1409" i="1" a="1"/>
  <c r="O1409" i="1" s="1"/>
  <c r="O1410" i="1" a="1"/>
  <c r="O1410" i="1" s="1"/>
  <c r="O1411" i="1" a="1"/>
  <c r="O1411" i="1" s="1"/>
  <c r="O1412" i="1" a="1"/>
  <c r="O1412" i="1" s="1"/>
  <c r="O1413" i="1" a="1"/>
  <c r="O1413" i="1" s="1"/>
  <c r="O1414" i="1" a="1"/>
  <c r="O1414" i="1" s="1"/>
  <c r="O1415" i="1" a="1"/>
  <c r="O1415" i="1" s="1"/>
  <c r="O1416" i="1" a="1"/>
  <c r="O1416" i="1" s="1"/>
  <c r="O1417" i="1" a="1"/>
  <c r="O1417" i="1" s="1"/>
  <c r="O1418" i="1" a="1"/>
  <c r="O1418" i="1" s="1"/>
  <c r="O1419" i="1" a="1"/>
  <c r="O1419" i="1" s="1"/>
  <c r="O1420" i="1" a="1"/>
  <c r="O1420" i="1" s="1"/>
  <c r="O1421" i="1" a="1"/>
  <c r="O1421" i="1" s="1"/>
  <c r="O1422" i="1" a="1"/>
  <c r="O1422" i="1" s="1"/>
  <c r="O1423" i="1" a="1"/>
  <c r="O1423" i="1" s="1"/>
  <c r="O1424" i="1" a="1"/>
  <c r="O1424" i="1" s="1"/>
  <c r="O1425" i="1" a="1"/>
  <c r="O1425" i="1" s="1"/>
  <c r="O1426" i="1" a="1"/>
  <c r="O1426" i="1" s="1"/>
  <c r="O1427" i="1" a="1"/>
  <c r="O1427" i="1" s="1"/>
  <c r="O1428" i="1" a="1"/>
  <c r="O1428" i="1" s="1"/>
  <c r="O1429" i="1" a="1"/>
  <c r="O1429" i="1" s="1"/>
  <c r="O1430" i="1" a="1"/>
  <c r="O1430" i="1" s="1"/>
  <c r="O1431" i="1" a="1"/>
  <c r="O1431" i="1" s="1"/>
  <c r="O1432" i="1" a="1"/>
  <c r="O1432" i="1" s="1"/>
  <c r="O1433" i="1" a="1"/>
  <c r="O1433" i="1" s="1"/>
  <c r="O1434" i="1" a="1"/>
  <c r="O1434" i="1" s="1"/>
  <c r="O1435" i="1" a="1"/>
  <c r="O1435" i="1" s="1"/>
  <c r="O1436" i="1" a="1"/>
  <c r="O1436" i="1" s="1"/>
  <c r="H1436" i="1" s="1"/>
  <c r="O1437" i="1" a="1"/>
  <c r="O1437" i="1" s="1"/>
  <c r="O1438" i="1" a="1"/>
  <c r="O1438" i="1" s="1"/>
  <c r="O1439" i="1" a="1"/>
  <c r="O1439" i="1" s="1"/>
  <c r="O1440" i="1" a="1"/>
  <c r="O1440" i="1" s="1"/>
  <c r="O1441" i="1" a="1"/>
  <c r="O1441" i="1" s="1"/>
  <c r="O1442" i="1" a="1"/>
  <c r="O1442" i="1" s="1"/>
  <c r="O1443" i="1" a="1"/>
  <c r="O1443" i="1" s="1"/>
  <c r="O1444" i="1" a="1"/>
  <c r="O1444" i="1" s="1"/>
  <c r="O1445" i="1" a="1"/>
  <c r="O1445" i="1" s="1"/>
  <c r="O1446" i="1" a="1"/>
  <c r="O1446" i="1" s="1"/>
  <c r="O1447" i="1" a="1"/>
  <c r="O1447" i="1" s="1"/>
  <c r="O1448" i="1" a="1"/>
  <c r="O1448" i="1" s="1"/>
  <c r="O1449" i="1" a="1"/>
  <c r="O1449" i="1" s="1"/>
  <c r="O1450" i="1" a="1"/>
  <c r="O1450" i="1" s="1"/>
  <c r="O1451" i="1" a="1"/>
  <c r="O1451" i="1" s="1"/>
  <c r="O1452" i="1" a="1"/>
  <c r="O1452" i="1" s="1"/>
  <c r="O1453" i="1" a="1"/>
  <c r="O1453" i="1" s="1"/>
  <c r="O1454" i="1" a="1"/>
  <c r="O1454" i="1" s="1"/>
  <c r="O1455" i="1" a="1"/>
  <c r="O1455" i="1" s="1"/>
  <c r="O1456" i="1" a="1"/>
  <c r="O1456" i="1" s="1"/>
  <c r="O1457" i="1" a="1"/>
  <c r="O1457" i="1" s="1"/>
  <c r="O1458" i="1" a="1"/>
  <c r="O1458" i="1" s="1"/>
  <c r="O1459" i="1" a="1"/>
  <c r="O1459" i="1" s="1"/>
  <c r="O1460" i="1" a="1"/>
  <c r="O1460" i="1" s="1"/>
  <c r="O1461" i="1" a="1"/>
  <c r="O1461" i="1" s="1"/>
  <c r="O1462" i="1" a="1"/>
  <c r="O1462" i="1" s="1"/>
  <c r="O1463" i="1" a="1"/>
  <c r="O1463" i="1" s="1"/>
  <c r="O1464" i="1" a="1"/>
  <c r="O1464" i="1" s="1"/>
  <c r="O1465" i="1" a="1"/>
  <c r="O1465" i="1" s="1"/>
  <c r="O1466" i="1" a="1"/>
  <c r="O1466" i="1" s="1"/>
  <c r="H1466" i="1" s="1"/>
  <c r="O1467" i="1" a="1"/>
  <c r="O1467" i="1" s="1"/>
  <c r="O1468" i="1" a="1"/>
  <c r="O1468" i="1" s="1"/>
  <c r="O1469" i="1" a="1"/>
  <c r="O1469" i="1" s="1"/>
  <c r="O1470" i="1" a="1"/>
  <c r="O1470" i="1" s="1"/>
  <c r="O1471" i="1" a="1"/>
  <c r="O1471" i="1" s="1"/>
  <c r="O1472" i="1" a="1"/>
  <c r="O1472" i="1" s="1"/>
  <c r="O1473" i="1" a="1"/>
  <c r="O1473" i="1" s="1"/>
  <c r="O1474" i="1" a="1"/>
  <c r="O1474" i="1" s="1"/>
  <c r="O1475" i="1" a="1"/>
  <c r="O1475" i="1" s="1"/>
  <c r="O1476" i="1" a="1"/>
  <c r="O1476" i="1" s="1"/>
  <c r="O1477" i="1" a="1"/>
  <c r="O1477" i="1" s="1"/>
  <c r="O1478" i="1" a="1"/>
  <c r="O1478" i="1" s="1"/>
  <c r="O1479" i="1" a="1"/>
  <c r="O1479" i="1" s="1"/>
  <c r="O1480" i="1" a="1"/>
  <c r="O1480" i="1" s="1"/>
  <c r="O1481" i="1" a="1"/>
  <c r="O1481" i="1" s="1"/>
  <c r="O1482" i="1" a="1"/>
  <c r="O1482" i="1" s="1"/>
  <c r="H1482" i="1" s="1"/>
  <c r="O1483" i="1" a="1"/>
  <c r="O1483" i="1" s="1"/>
  <c r="O1484" i="1" a="1"/>
  <c r="O1484" i="1" s="1"/>
  <c r="O1485" i="1" a="1"/>
  <c r="O1485" i="1" s="1"/>
  <c r="O1486" i="1" a="1"/>
  <c r="O1486" i="1" s="1"/>
  <c r="O1487" i="1" a="1"/>
  <c r="O1487" i="1" s="1"/>
  <c r="O1488" i="1" a="1"/>
  <c r="O1488" i="1" s="1"/>
  <c r="O1489" i="1" a="1"/>
  <c r="O1489" i="1" s="1"/>
  <c r="O1490" i="1" a="1"/>
  <c r="O1490" i="1" s="1"/>
  <c r="H1490" i="1" s="1"/>
  <c r="O1491" i="1" a="1"/>
  <c r="O1491" i="1" s="1"/>
  <c r="O1492" i="1" a="1"/>
  <c r="O1492" i="1" s="1"/>
  <c r="O1493" i="1" a="1"/>
  <c r="O1493" i="1" s="1"/>
  <c r="O1494" i="1" a="1"/>
  <c r="O1494" i="1" s="1"/>
  <c r="O1495" i="1" a="1"/>
  <c r="O1495" i="1" s="1"/>
  <c r="O1496" i="1" a="1"/>
  <c r="O1496" i="1" s="1"/>
  <c r="O1497" i="1" a="1"/>
  <c r="O1497" i="1" s="1"/>
  <c r="O1498" i="1" a="1"/>
  <c r="O1498" i="1"/>
  <c r="O1499" i="1" a="1"/>
  <c r="O1499" i="1" s="1"/>
  <c r="O1500" i="1" a="1"/>
  <c r="O1500" i="1" s="1"/>
  <c r="O1501" i="1" a="1"/>
  <c r="O1501" i="1" s="1"/>
  <c r="O1502" i="1" a="1"/>
  <c r="O1502" i="1" s="1"/>
  <c r="O1503" i="1" a="1"/>
  <c r="O1503" i="1" s="1"/>
  <c r="H1503" i="1" s="1"/>
  <c r="O1504" i="1" a="1"/>
  <c r="O1504" i="1" s="1"/>
  <c r="O1505" i="1" a="1"/>
  <c r="O1505" i="1" s="1"/>
  <c r="O1506" i="1" a="1"/>
  <c r="O1506" i="1" s="1"/>
  <c r="H1506" i="1" s="1"/>
  <c r="O1507" i="1" a="1"/>
  <c r="O1507" i="1" s="1"/>
  <c r="O1508" i="1" a="1"/>
  <c r="O1508" i="1" s="1"/>
  <c r="O1509" i="1" a="1"/>
  <c r="O1509" i="1" s="1"/>
  <c r="O1510" i="1" a="1"/>
  <c r="O1510" i="1" s="1"/>
  <c r="O1511" i="1" a="1"/>
  <c r="O1511" i="1" s="1"/>
  <c r="O1512" i="1" a="1"/>
  <c r="O1512" i="1" s="1"/>
  <c r="O1513" i="1" a="1"/>
  <c r="O1513" i="1" s="1"/>
  <c r="O1514" i="1" a="1"/>
  <c r="O1514" i="1" s="1"/>
  <c r="O1515" i="1" a="1"/>
  <c r="O1515" i="1" s="1"/>
  <c r="O1516" i="1" a="1"/>
  <c r="O1516" i="1" s="1"/>
  <c r="O1517" i="1" a="1"/>
  <c r="O1517" i="1" s="1"/>
  <c r="O1518" i="1" a="1"/>
  <c r="O1518" i="1" s="1"/>
  <c r="O1519" i="1" a="1"/>
  <c r="O1519" i="1" s="1"/>
  <c r="H1519" i="1" s="1"/>
  <c r="O1520" i="1" a="1"/>
  <c r="O1520" i="1" s="1"/>
  <c r="O1521" i="1" a="1"/>
  <c r="O1521" i="1" s="1"/>
  <c r="O1522" i="1" a="1"/>
  <c r="O1522" i="1" s="1"/>
  <c r="O1523" i="1" a="1"/>
  <c r="O1523" i="1" s="1"/>
  <c r="O1524" i="1" a="1"/>
  <c r="O1524" i="1" s="1"/>
  <c r="O1525" i="1" a="1"/>
  <c r="O1525" i="1" s="1"/>
  <c r="O1526" i="1" a="1"/>
  <c r="O1526" i="1" s="1"/>
  <c r="O1527" i="1" a="1"/>
  <c r="O1527" i="1" s="1"/>
  <c r="H1527" i="1" s="1"/>
  <c r="O1528" i="1" a="1"/>
  <c r="O1528" i="1" s="1"/>
  <c r="O1529" i="1" a="1"/>
  <c r="O1529" i="1"/>
  <c r="O1530" i="1" a="1"/>
  <c r="O1530" i="1" s="1"/>
  <c r="O1531" i="1" a="1"/>
  <c r="O1531" i="1" s="1"/>
  <c r="O1532" i="1" a="1"/>
  <c r="O1532" i="1" s="1"/>
  <c r="O1533" i="1" a="1"/>
  <c r="O1533" i="1" s="1"/>
  <c r="O1534" i="1" a="1"/>
  <c r="O1534" i="1" s="1"/>
  <c r="F1534" i="1" s="1"/>
  <c r="O1535" i="1" a="1"/>
  <c r="O1535" i="1" s="1"/>
  <c r="O1536" i="1" a="1"/>
  <c r="O1536" i="1" s="1"/>
  <c r="O1537" i="1" a="1"/>
  <c r="O1537" i="1" s="1"/>
  <c r="O1538" i="1" a="1"/>
  <c r="O1538" i="1" s="1"/>
  <c r="O1539" i="1" a="1"/>
  <c r="O1539" i="1" s="1"/>
  <c r="O1540" i="1" a="1"/>
  <c r="O1540" i="1" s="1"/>
  <c r="O1541" i="1" a="1"/>
  <c r="O1541" i="1" s="1"/>
  <c r="O1542" i="1" a="1"/>
  <c r="O1542" i="1" s="1"/>
  <c r="H1542" i="1" s="1"/>
  <c r="O1543" i="1" a="1"/>
  <c r="O1543" i="1" s="1"/>
  <c r="H1543" i="1" s="1"/>
  <c r="O1544" i="1" a="1"/>
  <c r="O1544" i="1" s="1"/>
  <c r="O1545" i="1" a="1"/>
  <c r="O1545" i="1" s="1"/>
  <c r="O1546" i="1" a="1"/>
  <c r="O1546" i="1" s="1"/>
  <c r="O1547" i="1" a="1"/>
  <c r="O1547" i="1" s="1"/>
  <c r="O1548" i="1" a="1"/>
  <c r="O1548" i="1" s="1"/>
  <c r="O1549" i="1" a="1"/>
  <c r="O1549" i="1" s="1"/>
  <c r="O1550" i="1" a="1"/>
  <c r="O1550" i="1" s="1"/>
  <c r="F1550" i="1" s="1"/>
  <c r="O1551" i="1" a="1"/>
  <c r="O1551" i="1" s="1"/>
  <c r="O1552" i="1" a="1"/>
  <c r="O1552" i="1" s="1"/>
  <c r="O1553" i="1" a="1"/>
  <c r="O1553" i="1" s="1"/>
  <c r="O1554" i="1" a="1"/>
  <c r="O1554" i="1" s="1"/>
  <c r="O1555" i="1" a="1"/>
  <c r="O1555" i="1" s="1"/>
  <c r="O1556" i="1" a="1"/>
  <c r="O1556" i="1" s="1"/>
  <c r="O1557" i="1" a="1"/>
  <c r="O1557" i="1" s="1"/>
  <c r="O1558" i="1" a="1"/>
  <c r="O1558" i="1" s="1"/>
  <c r="F1558" i="1" s="1"/>
  <c r="O1559" i="1" a="1"/>
  <c r="O1559" i="1" s="1"/>
  <c r="O1560" i="1" a="1"/>
  <c r="O1560" i="1" s="1"/>
  <c r="O1561" i="1" a="1"/>
  <c r="O1561" i="1" s="1"/>
  <c r="O1562" i="1" a="1"/>
  <c r="O1562" i="1" s="1"/>
  <c r="O1563" i="1" a="1"/>
  <c r="O1563" i="1" s="1"/>
  <c r="O1564" i="1" a="1"/>
  <c r="O1564" i="1" s="1"/>
  <c r="O1565" i="1" a="1"/>
  <c r="O1565" i="1" s="1"/>
  <c r="O1566" i="1" a="1"/>
  <c r="O1566" i="1" s="1"/>
  <c r="F1566" i="1" s="1"/>
  <c r="O1567" i="1" a="1"/>
  <c r="O1567" i="1" s="1"/>
  <c r="H1567" i="1" s="1"/>
  <c r="O1568" i="1" a="1"/>
  <c r="O1568" i="1" s="1"/>
  <c r="O1569" i="1" a="1"/>
  <c r="O1569" i="1" s="1"/>
  <c r="O1570" i="1" a="1"/>
  <c r="O1570" i="1" s="1"/>
  <c r="O1571" i="1" a="1"/>
  <c r="O1571" i="1" s="1"/>
  <c r="O1572" i="1" a="1"/>
  <c r="O1572" i="1" s="1"/>
  <c r="O1573" i="1" a="1"/>
  <c r="O1573" i="1" s="1"/>
  <c r="O1574" i="1" a="1"/>
  <c r="O1574" i="1" s="1"/>
  <c r="F1574" i="1" s="1"/>
  <c r="O1575" i="1" a="1"/>
  <c r="O1575" i="1" s="1"/>
  <c r="O1576" i="1" a="1"/>
  <c r="O1576" i="1" s="1"/>
  <c r="O1577" i="1" a="1"/>
  <c r="O1577" i="1" s="1"/>
  <c r="O1578" i="1" a="1"/>
  <c r="O1578" i="1" s="1"/>
  <c r="O1579" i="1" a="1"/>
  <c r="O1579" i="1" s="1"/>
  <c r="O1580" i="1" a="1"/>
  <c r="O1580" i="1" s="1"/>
  <c r="O1581" i="1" a="1"/>
  <c r="O1581" i="1" s="1"/>
  <c r="O1582" i="1" a="1"/>
  <c r="O1582" i="1" s="1"/>
  <c r="H1582" i="1" s="1"/>
  <c r="O1583" i="1" a="1"/>
  <c r="O1583" i="1" s="1"/>
  <c r="H1583" i="1" s="1"/>
  <c r="O1584" i="1" a="1"/>
  <c r="O1584" i="1" s="1"/>
  <c r="O1585" i="1" a="1"/>
  <c r="O1585" i="1" s="1"/>
  <c r="O1586" i="1" a="1"/>
  <c r="O1586" i="1" s="1"/>
  <c r="O1587" i="1" a="1"/>
  <c r="O1587" i="1" s="1"/>
  <c r="O1588" i="1" a="1"/>
  <c r="O1588" i="1" s="1"/>
  <c r="O1589" i="1" a="1"/>
  <c r="O1589" i="1" s="1"/>
  <c r="O1590" i="1" a="1"/>
  <c r="O1590" i="1" s="1"/>
  <c r="F1590" i="1" s="1"/>
  <c r="O1591" i="1" a="1"/>
  <c r="O1591" i="1" s="1"/>
  <c r="H1591" i="1" s="1"/>
  <c r="O1592" i="1" a="1"/>
  <c r="O1592" i="1" s="1"/>
  <c r="O1593" i="1" a="1"/>
  <c r="O1593" i="1" s="1"/>
  <c r="O1594" i="1" a="1"/>
  <c r="O1594" i="1" s="1"/>
  <c r="O1595" i="1" a="1"/>
  <c r="O1595" i="1" s="1"/>
  <c r="O1596" i="1" a="1"/>
  <c r="O1596" i="1" s="1"/>
  <c r="O1597" i="1" a="1"/>
  <c r="O1597" i="1" s="1"/>
  <c r="O1598" i="1" a="1"/>
  <c r="O1598" i="1" s="1"/>
  <c r="F1598" i="1" s="1"/>
  <c r="O1599" i="1" a="1"/>
  <c r="O1599" i="1" s="1"/>
  <c r="O1600" i="1" a="1"/>
  <c r="O1600" i="1" s="1"/>
  <c r="O1601" i="1" a="1"/>
  <c r="O1601" i="1" s="1"/>
  <c r="O1602" i="1" a="1"/>
  <c r="O1602" i="1" s="1"/>
  <c r="O1603" i="1" a="1"/>
  <c r="O1603" i="1" s="1"/>
  <c r="O1604" i="1" a="1"/>
  <c r="O1604" i="1" s="1"/>
  <c r="O1605" i="1" a="1"/>
  <c r="O1605" i="1" s="1"/>
  <c r="O1606" i="1" a="1"/>
  <c r="O1606" i="1" s="1"/>
  <c r="F1606" i="1" s="1"/>
  <c r="O1607" i="1" a="1"/>
  <c r="O1607" i="1" s="1"/>
  <c r="H1607" i="1" s="1"/>
  <c r="O1608" i="1" a="1"/>
  <c r="O1608" i="1" s="1"/>
  <c r="O1609" i="1" a="1"/>
  <c r="O1609" i="1" s="1"/>
  <c r="O1610" i="1" a="1"/>
  <c r="O1610" i="1" s="1"/>
  <c r="H1610" i="1" s="1"/>
  <c r="O1611" i="1" a="1"/>
  <c r="O1611" i="1" s="1"/>
  <c r="O1612" i="1" a="1"/>
  <c r="O1612" i="1" s="1"/>
  <c r="O1613" i="1" a="1"/>
  <c r="O1613" i="1" s="1"/>
  <c r="O1614" i="1" a="1"/>
  <c r="O1614" i="1" s="1"/>
  <c r="F1614" i="1" s="1"/>
  <c r="O1615" i="1" a="1"/>
  <c r="O1615" i="1" s="1"/>
  <c r="O1616" i="1" a="1"/>
  <c r="O1616" i="1" s="1"/>
  <c r="O1617" i="1" a="1"/>
  <c r="O1617" i="1" s="1"/>
  <c r="O1618" i="1" a="1"/>
  <c r="O1618" i="1" s="1"/>
  <c r="H1618" i="1" s="1"/>
  <c r="O1619" i="1" a="1"/>
  <c r="O1619" i="1" s="1"/>
  <c r="O1620" i="1" a="1"/>
  <c r="O1620" i="1" s="1"/>
  <c r="O1621" i="1" a="1"/>
  <c r="O1621" i="1" s="1"/>
  <c r="O1622" i="1" a="1"/>
  <c r="O1622" i="1" s="1"/>
  <c r="F1622" i="1" s="1"/>
  <c r="O1623" i="1" a="1"/>
  <c r="O1623" i="1" s="1"/>
  <c r="O1624" i="1" a="1"/>
  <c r="O1624" i="1" s="1"/>
  <c r="O1625" i="1" a="1"/>
  <c r="O1625" i="1" s="1"/>
  <c r="O1626" i="1" a="1"/>
  <c r="O1626" i="1" s="1"/>
  <c r="O1627" i="1" a="1"/>
  <c r="O1627" i="1" s="1"/>
  <c r="O1628" i="1" a="1"/>
  <c r="O1628" i="1" s="1"/>
  <c r="O1629" i="1" a="1"/>
  <c r="O1629" i="1" s="1"/>
  <c r="O1630" i="1" a="1"/>
  <c r="O1630" i="1" s="1"/>
  <c r="F1630" i="1" s="1"/>
  <c r="O1631" i="1" a="1"/>
  <c r="O1631" i="1" s="1"/>
  <c r="O1632" i="1" a="1"/>
  <c r="O1632" i="1" s="1"/>
  <c r="O1633" i="1" a="1"/>
  <c r="O1633" i="1" s="1"/>
  <c r="O1634" i="1" a="1"/>
  <c r="O1634" i="1"/>
  <c r="O1635" i="1" a="1"/>
  <c r="O1635" i="1" s="1"/>
  <c r="O1636" i="1" a="1"/>
  <c r="O1636" i="1" s="1"/>
  <c r="O1637" i="1" a="1"/>
  <c r="O1637" i="1" s="1"/>
  <c r="O1638" i="1" a="1"/>
  <c r="O1638" i="1" s="1"/>
  <c r="F1638" i="1" s="1"/>
  <c r="O1639" i="1" a="1"/>
  <c r="O1639" i="1" s="1"/>
  <c r="O1640" i="1" a="1"/>
  <c r="O1640" i="1" s="1"/>
  <c r="O1641" i="1" a="1"/>
  <c r="O1641" i="1" s="1"/>
  <c r="O1642" i="1" a="1"/>
  <c r="O1642" i="1" s="1"/>
  <c r="O1643" i="1" a="1"/>
  <c r="O1643" i="1" s="1"/>
  <c r="O1644" i="1" a="1"/>
  <c r="O1644" i="1" s="1"/>
  <c r="O1645" i="1" a="1"/>
  <c r="O1645" i="1" s="1"/>
  <c r="O1646" i="1" a="1"/>
  <c r="O1646" i="1" s="1"/>
  <c r="F1646" i="1" s="1"/>
  <c r="O1647" i="1" a="1"/>
  <c r="O1647" i="1" s="1"/>
  <c r="O1648" i="1" a="1"/>
  <c r="O1648" i="1" s="1"/>
  <c r="O1649" i="1" a="1"/>
  <c r="O1649" i="1" s="1"/>
  <c r="O1650" i="1" a="1"/>
  <c r="O1650" i="1" s="1"/>
  <c r="O1651" i="1" a="1"/>
  <c r="O1651" i="1" s="1"/>
  <c r="O1652" i="1" a="1"/>
  <c r="O1652" i="1" s="1"/>
  <c r="O1653" i="1" a="1"/>
  <c r="O1653" i="1" s="1"/>
  <c r="O1654" i="1" a="1"/>
  <c r="O1654" i="1" s="1"/>
  <c r="F1654" i="1" s="1"/>
  <c r="O1655" i="1" a="1"/>
  <c r="O1655" i="1" s="1"/>
  <c r="O1656" i="1" a="1"/>
  <c r="O1656" i="1" s="1"/>
  <c r="O1657" i="1" a="1"/>
  <c r="O1657" i="1" s="1"/>
  <c r="O1658" i="1" a="1"/>
  <c r="O1658" i="1" s="1"/>
  <c r="O1659" i="1" a="1"/>
  <c r="O1659" i="1" s="1"/>
  <c r="O1660" i="1" a="1"/>
  <c r="O1660" i="1" s="1"/>
  <c r="O1661" i="1" a="1"/>
  <c r="O1661" i="1" s="1"/>
  <c r="O1662" i="1" a="1"/>
  <c r="O1662" i="1" s="1"/>
  <c r="F1662" i="1" s="1"/>
  <c r="O1663" i="1" a="1"/>
  <c r="O1663" i="1" s="1"/>
  <c r="O1664" i="1" a="1"/>
  <c r="O1664" i="1" s="1"/>
  <c r="O1665" i="1" a="1"/>
  <c r="O1665" i="1" s="1"/>
  <c r="O1666" i="1" a="1"/>
  <c r="O1666" i="1" s="1"/>
  <c r="O1667" i="1" a="1"/>
  <c r="O1667" i="1" s="1"/>
  <c r="H1667" i="1" s="1"/>
  <c r="O1668" i="1" a="1"/>
  <c r="O1668" i="1" s="1"/>
  <c r="O1669" i="1" a="1"/>
  <c r="O1669" i="1" s="1"/>
  <c r="H1669" i="1" s="1"/>
  <c r="O1670" i="1" a="1"/>
  <c r="O1670" i="1" s="1"/>
  <c r="F1670" i="1" s="1"/>
  <c r="O1671" i="1" a="1"/>
  <c r="O1671" i="1" s="1"/>
  <c r="O1672" i="1" a="1"/>
  <c r="O1672" i="1" s="1"/>
  <c r="O1673" i="1" a="1"/>
  <c r="O1673" i="1" s="1"/>
  <c r="O1674" i="1" a="1"/>
  <c r="O1674" i="1" s="1"/>
  <c r="O1675" i="1" a="1"/>
  <c r="O1675" i="1" s="1"/>
  <c r="O1676" i="1" a="1"/>
  <c r="O1676" i="1" s="1"/>
  <c r="O1677" i="1" a="1"/>
  <c r="O1677" i="1" s="1"/>
  <c r="O1678" i="1" a="1"/>
  <c r="O1678" i="1" s="1"/>
  <c r="F1678" i="1" s="1"/>
  <c r="O1679" i="1" a="1"/>
  <c r="O1679" i="1" s="1"/>
  <c r="O1680" i="1" a="1"/>
  <c r="O1680" i="1" s="1"/>
  <c r="O1681" i="1" a="1"/>
  <c r="O1681" i="1" s="1"/>
  <c r="O1682" i="1" a="1"/>
  <c r="O1682" i="1" s="1"/>
  <c r="O1683" i="1" a="1"/>
  <c r="O1683" i="1" s="1"/>
  <c r="O1684" i="1" a="1"/>
  <c r="O1684" i="1" s="1"/>
  <c r="O1685" i="1" a="1"/>
  <c r="O1685" i="1" s="1"/>
  <c r="O1686" i="1" a="1"/>
  <c r="O1686" i="1" s="1"/>
  <c r="F1686" i="1" s="1"/>
  <c r="O1687" i="1" a="1"/>
  <c r="O1687" i="1" s="1"/>
  <c r="O1688" i="1" a="1"/>
  <c r="O1688" i="1" s="1"/>
  <c r="O1689" i="1" a="1"/>
  <c r="O1689" i="1" s="1"/>
  <c r="O1690" i="1" a="1"/>
  <c r="O1690" i="1" s="1"/>
  <c r="O1691" i="1" a="1"/>
  <c r="O1691" i="1" s="1"/>
  <c r="O1692" i="1" a="1"/>
  <c r="O1692" i="1" s="1"/>
  <c r="O1693" i="1" a="1"/>
  <c r="O1693" i="1" s="1"/>
  <c r="O1694" i="1" a="1"/>
  <c r="O1694" i="1" s="1"/>
  <c r="F1694" i="1" s="1"/>
  <c r="O1695" i="1" a="1"/>
  <c r="O1695" i="1" s="1"/>
  <c r="H1695" i="1" s="1"/>
  <c r="O1696" i="1" a="1"/>
  <c r="O1696" i="1" s="1"/>
  <c r="O1697" i="1" a="1"/>
  <c r="O1697" i="1" s="1"/>
  <c r="O1698" i="1" a="1"/>
  <c r="O1698" i="1" s="1"/>
  <c r="O1699" i="1" a="1"/>
  <c r="O1699" i="1" s="1"/>
  <c r="O1700" i="1" a="1"/>
  <c r="O1700" i="1" s="1"/>
  <c r="O1701" i="1" a="1"/>
  <c r="O1701" i="1" s="1"/>
  <c r="O1702" i="1" a="1"/>
  <c r="O1702" i="1" s="1"/>
  <c r="F1702" i="1" s="1"/>
  <c r="O1703" i="1" a="1"/>
  <c r="O1703" i="1" s="1"/>
  <c r="F1703" i="1" s="1"/>
  <c r="O1704" i="1" a="1"/>
  <c r="O1704" i="1" s="1"/>
  <c r="O1705" i="1" a="1"/>
  <c r="O1705" i="1" s="1"/>
  <c r="O1706" i="1" a="1"/>
  <c r="O1706" i="1" s="1"/>
  <c r="O1707" i="1" a="1"/>
  <c r="O1707" i="1" s="1"/>
  <c r="O1708" i="1" a="1"/>
  <c r="O1708" i="1" s="1"/>
  <c r="O1709" i="1" a="1"/>
  <c r="O1709" i="1" s="1"/>
  <c r="O1710" i="1" a="1"/>
  <c r="O1710" i="1" s="1"/>
  <c r="H1710" i="1" s="1"/>
  <c r="O1711" i="1" a="1"/>
  <c r="O1711" i="1" s="1"/>
  <c r="H1711" i="1" s="1"/>
  <c r="O1712" i="1" a="1"/>
  <c r="O1712" i="1" s="1"/>
  <c r="O1713" i="1" a="1"/>
  <c r="O1713" i="1" s="1"/>
  <c r="O1714" i="1" a="1"/>
  <c r="O1714" i="1" s="1"/>
  <c r="O1715" i="1" a="1"/>
  <c r="O1715" i="1" s="1"/>
  <c r="O1716" i="1" a="1"/>
  <c r="O1716" i="1" s="1"/>
  <c r="O1717" i="1" a="1"/>
  <c r="O1717" i="1" s="1"/>
  <c r="O1718" i="1" a="1"/>
  <c r="O1718" i="1" s="1"/>
  <c r="F1718" i="1" s="1"/>
  <c r="O1719" i="1" a="1"/>
  <c r="O1719" i="1" s="1"/>
  <c r="H1719" i="1" s="1"/>
  <c r="O1720" i="1" a="1"/>
  <c r="O1720" i="1" s="1"/>
  <c r="O1721" i="1" a="1"/>
  <c r="O1721" i="1" s="1"/>
  <c r="O1722" i="1" a="1"/>
  <c r="O1722" i="1"/>
  <c r="O1723" i="1" a="1"/>
  <c r="O1723" i="1" s="1"/>
  <c r="O1724" i="1" a="1"/>
  <c r="O1724" i="1" s="1"/>
  <c r="O1725" i="1" a="1"/>
  <c r="O1725" i="1" s="1"/>
  <c r="H1725" i="1" s="1"/>
  <c r="O1726" i="1" a="1"/>
  <c r="O1726" i="1" s="1"/>
  <c r="F1726" i="1" s="1"/>
  <c r="O1727" i="1" a="1"/>
  <c r="O1727" i="1" s="1"/>
  <c r="F1727" i="1" s="1"/>
  <c r="O1728" i="1" a="1"/>
  <c r="O1728" i="1" s="1"/>
  <c r="O1729" i="1" a="1"/>
  <c r="O1729" i="1" s="1"/>
  <c r="O1730" i="1" a="1"/>
  <c r="O1730" i="1" s="1"/>
  <c r="O1731" i="1" a="1"/>
  <c r="O1731" i="1" s="1"/>
  <c r="O1732" i="1" a="1"/>
  <c r="O1732" i="1" s="1"/>
  <c r="O1733" i="1" a="1"/>
  <c r="O1733" i="1" s="1"/>
  <c r="H1733" i="1" s="1"/>
  <c r="O1734" i="1" a="1"/>
  <c r="O1734" i="1" s="1"/>
  <c r="F1734" i="1" s="1"/>
  <c r="O1735" i="1" a="1"/>
  <c r="O1735" i="1" s="1"/>
  <c r="H1735" i="1" s="1"/>
  <c r="O1736" i="1" a="1"/>
  <c r="O1736" i="1" s="1"/>
  <c r="O1737" i="1" a="1"/>
  <c r="O1737" i="1" s="1"/>
  <c r="O1738" i="1" a="1"/>
  <c r="O1738" i="1" s="1"/>
  <c r="O1739" i="1" a="1"/>
  <c r="O1739" i="1" s="1"/>
  <c r="O1740" i="1" a="1"/>
  <c r="O1740" i="1" s="1"/>
  <c r="O1741" i="1" a="1"/>
  <c r="O1741" i="1" s="1"/>
  <c r="O1742" i="1" a="1"/>
  <c r="O1742" i="1" s="1"/>
  <c r="F1742" i="1" s="1"/>
  <c r="O1743" i="1" a="1"/>
  <c r="O1743" i="1" s="1"/>
  <c r="F1743" i="1" s="1"/>
  <c r="O1744" i="1" a="1"/>
  <c r="O1744" i="1" s="1"/>
  <c r="O1745" i="1" a="1"/>
  <c r="O1745" i="1"/>
  <c r="O1746" i="1" a="1"/>
  <c r="O1746" i="1" s="1"/>
  <c r="O1747" i="1" a="1"/>
  <c r="O1747" i="1" s="1"/>
  <c r="O1748" i="1" a="1"/>
  <c r="O1748" i="1" s="1"/>
  <c r="H1748" i="1" s="1"/>
  <c r="O1749" i="1" a="1"/>
  <c r="O1749" i="1" s="1"/>
  <c r="H1749" i="1" s="1"/>
  <c r="O1750" i="1" a="1"/>
  <c r="O1750" i="1" s="1"/>
  <c r="F1750" i="1" s="1"/>
  <c r="O1751" i="1" a="1"/>
  <c r="O1751" i="1" s="1"/>
  <c r="F1751" i="1" s="1"/>
  <c r="O1752" i="1" a="1"/>
  <c r="O1752" i="1" s="1"/>
  <c r="O1753" i="1" a="1"/>
  <c r="O1753" i="1" s="1"/>
  <c r="O1754" i="1" a="1"/>
  <c r="O1754" i="1" s="1"/>
  <c r="O1755" i="1" a="1"/>
  <c r="O1755" i="1" s="1"/>
  <c r="O1756" i="1" a="1"/>
  <c r="O1756" i="1" s="1"/>
  <c r="O1757" i="1" a="1"/>
  <c r="O1757" i="1" s="1"/>
  <c r="O1758" i="1" a="1"/>
  <c r="O1758" i="1" s="1"/>
  <c r="F1758" i="1" s="1"/>
  <c r="O1759" i="1" a="1"/>
  <c r="O1759" i="1" s="1"/>
  <c r="F1759" i="1" s="1"/>
  <c r="O1760" i="1" a="1"/>
  <c r="O1760" i="1" s="1"/>
  <c r="O1761" i="1" a="1"/>
  <c r="O1761" i="1" s="1"/>
  <c r="O1762" i="1" a="1"/>
  <c r="O1762" i="1" s="1"/>
  <c r="O1763" i="1" a="1"/>
  <c r="O1763" i="1" s="1"/>
  <c r="O1764" i="1" a="1"/>
  <c r="O1764" i="1" s="1"/>
  <c r="H1764" i="1" s="1"/>
  <c r="O1765" i="1" a="1"/>
  <c r="O1765" i="1" s="1"/>
  <c r="O1766" i="1" a="1"/>
  <c r="O1766" i="1" s="1"/>
  <c r="F1766" i="1" s="1"/>
  <c r="O1767" i="1" a="1"/>
  <c r="O1767" i="1" s="1"/>
  <c r="F1767" i="1" s="1"/>
  <c r="O1768" i="1" a="1"/>
  <c r="O1768" i="1" s="1"/>
  <c r="O1769" i="1" a="1"/>
  <c r="O1769" i="1" s="1"/>
  <c r="O1770" i="1" a="1"/>
  <c r="O1770" i="1" s="1"/>
  <c r="O1771" i="1" a="1"/>
  <c r="O1771" i="1" s="1"/>
  <c r="O1772" i="1" a="1"/>
  <c r="O1772" i="1" s="1"/>
  <c r="H1772" i="1" s="1"/>
  <c r="O1773" i="1" a="1"/>
  <c r="O1773" i="1" s="1"/>
  <c r="H1773" i="1" s="1"/>
  <c r="O1774" i="1" a="1"/>
  <c r="O1774" i="1" s="1"/>
  <c r="F1774" i="1" s="1"/>
  <c r="O1775" i="1" a="1"/>
  <c r="O1775" i="1" s="1"/>
  <c r="F1775" i="1" s="1"/>
  <c r="O1776" i="1" a="1"/>
  <c r="O1776" i="1" s="1"/>
  <c r="O1777" i="1" a="1"/>
  <c r="O1777" i="1" s="1"/>
  <c r="O1778" i="1" a="1"/>
  <c r="O1778" i="1" s="1"/>
  <c r="O1779" i="1" a="1"/>
  <c r="O1779" i="1" s="1"/>
  <c r="O1780" i="1" a="1"/>
  <c r="O1780" i="1" s="1"/>
  <c r="O1781" i="1" a="1"/>
  <c r="O1781" i="1" s="1"/>
  <c r="O1782" i="1" a="1"/>
  <c r="O1782" i="1" s="1"/>
  <c r="F1782" i="1" s="1"/>
  <c r="O1783" i="1" a="1"/>
  <c r="O1783" i="1" s="1"/>
  <c r="F1783" i="1" s="1"/>
  <c r="O1784" i="1" a="1"/>
  <c r="O1784" i="1" s="1"/>
  <c r="O1785" i="1" a="1"/>
  <c r="O1785" i="1" s="1"/>
  <c r="O1786" i="1" a="1"/>
  <c r="O1786" i="1" s="1"/>
  <c r="O1787" i="1" a="1"/>
  <c r="O1787" i="1" s="1"/>
  <c r="O1788" i="1" a="1"/>
  <c r="O1788" i="1" s="1"/>
  <c r="H1788" i="1" s="1"/>
  <c r="O1789" i="1" a="1"/>
  <c r="O1789" i="1" s="1"/>
  <c r="H1789" i="1" s="1"/>
  <c r="O1790" i="1" a="1"/>
  <c r="O1790" i="1" s="1"/>
  <c r="F1790" i="1" s="1"/>
  <c r="O1791" i="1" a="1"/>
  <c r="O1791" i="1" s="1"/>
  <c r="O1792" i="1" a="1"/>
  <c r="O1792" i="1" s="1"/>
  <c r="O1793" i="1" a="1"/>
  <c r="O1793" i="1" s="1"/>
  <c r="O1794" i="1" a="1"/>
  <c r="O1794" i="1" s="1"/>
  <c r="O1795" i="1" a="1"/>
  <c r="O1795" i="1" s="1"/>
  <c r="O1796" i="1" a="1"/>
  <c r="O1796" i="1" s="1"/>
  <c r="O1797" i="1" a="1"/>
  <c r="O1797" i="1" s="1"/>
  <c r="H1797" i="1" s="1"/>
  <c r="O1798" i="1" a="1"/>
  <c r="O1798" i="1" s="1"/>
  <c r="F1798" i="1" s="1"/>
  <c r="O1799" i="1" a="1"/>
  <c r="O1799" i="1" s="1"/>
  <c r="O1800" i="1" a="1"/>
  <c r="O1800" i="1" s="1"/>
  <c r="O1801" i="1" a="1"/>
  <c r="O1801" i="1" s="1"/>
  <c r="O1802" i="1" a="1"/>
  <c r="O1802" i="1" s="1"/>
  <c r="H1802" i="1" s="1"/>
  <c r="O1803" i="1" a="1"/>
  <c r="O1803" i="1" s="1"/>
  <c r="O1804" i="1" a="1"/>
  <c r="O1804" i="1" s="1"/>
  <c r="O1805" i="1" a="1"/>
  <c r="O1805" i="1" s="1"/>
  <c r="O1806" i="1" a="1"/>
  <c r="O1806" i="1" s="1"/>
  <c r="O1807" i="1" a="1"/>
  <c r="O1807" i="1" s="1"/>
  <c r="O1808" i="1" a="1"/>
  <c r="O1808" i="1" s="1"/>
  <c r="O1809" i="1" a="1"/>
  <c r="O1809" i="1" s="1"/>
  <c r="O1810" i="1" a="1"/>
  <c r="O1810" i="1" s="1"/>
  <c r="H1810" i="1" s="1"/>
  <c r="O1811" i="1" a="1"/>
  <c r="O1811" i="1" s="1"/>
  <c r="O1812" i="1" a="1"/>
  <c r="O1812" i="1" s="1"/>
  <c r="O1813" i="1" a="1"/>
  <c r="O1813" i="1" s="1"/>
  <c r="O1814" i="1" a="1"/>
  <c r="O1814" i="1" s="1"/>
  <c r="O1815" i="1" a="1"/>
  <c r="O1815" i="1" s="1"/>
  <c r="O1816" i="1" a="1"/>
  <c r="O1816" i="1" s="1"/>
  <c r="O1817" i="1" a="1"/>
  <c r="O1817" i="1" s="1"/>
  <c r="O1818" i="1" a="1"/>
  <c r="O1818" i="1" s="1"/>
  <c r="O1819" i="1" a="1"/>
  <c r="O1819" i="1" s="1"/>
  <c r="O1820" i="1" a="1"/>
  <c r="O1820" i="1" s="1"/>
  <c r="O1821" i="1" a="1"/>
  <c r="O1821" i="1" s="1"/>
  <c r="O1822" i="1" a="1"/>
  <c r="O1822" i="1" s="1"/>
  <c r="O1823" i="1" a="1"/>
  <c r="O1823" i="1" s="1"/>
  <c r="O1824" i="1" a="1"/>
  <c r="O1824" i="1" s="1"/>
  <c r="O1825" i="1" a="1"/>
  <c r="O1825" i="1" s="1"/>
  <c r="O1826" i="1" a="1"/>
  <c r="O1826" i="1"/>
  <c r="O1827" i="1" a="1"/>
  <c r="O1827" i="1" s="1"/>
  <c r="O1828" i="1" a="1"/>
  <c r="O1828" i="1" s="1"/>
  <c r="O1829" i="1" a="1"/>
  <c r="O1829" i="1" s="1"/>
  <c r="O1830" i="1" a="1"/>
  <c r="O1830" i="1" s="1"/>
  <c r="O1831" i="1" a="1"/>
  <c r="O1831" i="1" s="1"/>
  <c r="F1831" i="1" s="1"/>
  <c r="O1832" i="1" a="1"/>
  <c r="O1832" i="1" s="1"/>
  <c r="O1833" i="1" a="1"/>
  <c r="O1833" i="1" s="1"/>
  <c r="O1834" i="1" a="1"/>
  <c r="O1834" i="1" s="1"/>
  <c r="O1835" i="1" a="1"/>
  <c r="O1835" i="1" s="1"/>
  <c r="O1836" i="1" a="1"/>
  <c r="O1836" i="1" s="1"/>
  <c r="O1837" i="1" a="1"/>
  <c r="O1837" i="1" s="1"/>
  <c r="O1838" i="1" a="1"/>
  <c r="O1838" i="1" s="1"/>
  <c r="O1839" i="1" a="1"/>
  <c r="O1839" i="1" s="1"/>
  <c r="H1839" i="1" s="1"/>
  <c r="O1840" i="1" a="1"/>
  <c r="O1840" i="1" s="1"/>
  <c r="O1841" i="1" a="1"/>
  <c r="O1841" i="1" s="1"/>
  <c r="O1842" i="1" a="1"/>
  <c r="O1842" i="1" s="1"/>
  <c r="O1843" i="1" a="1"/>
  <c r="O1843" i="1" s="1"/>
  <c r="O1844" i="1" a="1"/>
  <c r="O1844" i="1" s="1"/>
  <c r="O1845" i="1" a="1"/>
  <c r="O1845" i="1" s="1"/>
  <c r="O1846" i="1" a="1"/>
  <c r="O1846" i="1" s="1"/>
  <c r="O1847" i="1" a="1"/>
  <c r="O1847" i="1" s="1"/>
  <c r="F1847" i="1" s="1"/>
  <c r="O1848" i="1" a="1"/>
  <c r="O1848" i="1" s="1"/>
  <c r="O1849" i="1" a="1"/>
  <c r="O1849" i="1" s="1"/>
  <c r="O1850" i="1" a="1"/>
  <c r="O1850" i="1" s="1"/>
  <c r="O1851" i="1" a="1"/>
  <c r="O1851" i="1" s="1"/>
  <c r="O1852" i="1" a="1"/>
  <c r="O1852" i="1" s="1"/>
  <c r="O1853" i="1" a="1"/>
  <c r="O1853" i="1" s="1"/>
  <c r="O1854" i="1" a="1"/>
  <c r="O1854" i="1" s="1"/>
  <c r="O1855" i="1" a="1"/>
  <c r="O1855" i="1" s="1"/>
  <c r="F1855" i="1" s="1"/>
  <c r="O1856" i="1" a="1"/>
  <c r="O1856" i="1" s="1"/>
  <c r="O1857" i="1" a="1"/>
  <c r="O1857" i="1" s="1"/>
  <c r="O1858" i="1" a="1"/>
  <c r="O1858" i="1" s="1"/>
  <c r="O1859" i="1" a="1"/>
  <c r="O1859" i="1" s="1"/>
  <c r="O1860" i="1" a="1"/>
  <c r="O1860" i="1" s="1"/>
  <c r="O1861" i="1" a="1"/>
  <c r="O1861" i="1" s="1"/>
  <c r="O1862" i="1" a="1"/>
  <c r="O1862" i="1" s="1"/>
  <c r="O1863" i="1" a="1"/>
  <c r="O1863" i="1" s="1"/>
  <c r="H1863" i="1" s="1"/>
  <c r="O1864" i="1" a="1"/>
  <c r="O1864" i="1" s="1"/>
  <c r="O1865" i="1" a="1"/>
  <c r="O1865" i="1" s="1"/>
  <c r="O1866" i="1" a="1"/>
  <c r="O1866" i="1" s="1"/>
  <c r="H1866" i="1" s="1"/>
  <c r="O1867" i="1" a="1"/>
  <c r="O1867" i="1" s="1"/>
  <c r="O1868" i="1" a="1"/>
  <c r="O1868" i="1" s="1"/>
  <c r="O1869" i="1" a="1"/>
  <c r="O1869" i="1" s="1"/>
  <c r="O1870" i="1" a="1"/>
  <c r="O1870" i="1" s="1"/>
  <c r="O1871" i="1" a="1"/>
  <c r="O1871" i="1" s="1"/>
  <c r="F1871" i="1" s="1"/>
  <c r="O1872" i="1" a="1"/>
  <c r="O1872" i="1" s="1"/>
  <c r="O1873" i="1" a="1"/>
  <c r="O1873" i="1" s="1"/>
  <c r="O1874" i="1" a="1"/>
  <c r="O1874" i="1" s="1"/>
  <c r="H1874" i="1" s="1"/>
  <c r="O1875" i="1" a="1"/>
  <c r="O1875" i="1" s="1"/>
  <c r="O1876" i="1" a="1"/>
  <c r="O1876" i="1" s="1"/>
  <c r="O1877" i="1" a="1"/>
  <c r="O1877" i="1" s="1"/>
  <c r="O1878" i="1" a="1"/>
  <c r="O1878" i="1" s="1"/>
  <c r="O1879" i="1" a="1"/>
  <c r="O1879" i="1" s="1"/>
  <c r="F1879" i="1" s="1"/>
  <c r="O1880" i="1" a="1"/>
  <c r="O1880" i="1" s="1"/>
  <c r="O1881" i="1" a="1"/>
  <c r="O1881" i="1" s="1"/>
  <c r="O1882" i="1" a="1"/>
  <c r="O1882" i="1" s="1"/>
  <c r="O1883" i="1" a="1"/>
  <c r="O1883" i="1" s="1"/>
  <c r="O1884" i="1" a="1"/>
  <c r="O1884" i="1" s="1"/>
  <c r="O1885" i="1" a="1"/>
  <c r="O1885" i="1" s="1"/>
  <c r="O1886" i="1" a="1"/>
  <c r="O1886" i="1" s="1"/>
  <c r="O1887" i="1" a="1"/>
  <c r="O1887" i="1" s="1"/>
  <c r="F1887" i="1" s="1"/>
  <c r="O1888" i="1" a="1"/>
  <c r="O1888" i="1" s="1"/>
  <c r="O1889" i="1" a="1"/>
  <c r="O1889" i="1" s="1"/>
  <c r="O1890" i="1" a="1"/>
  <c r="O1890" i="1" s="1"/>
  <c r="H1890" i="1" s="1"/>
  <c r="O1891" i="1" a="1"/>
  <c r="O1891" i="1" s="1"/>
  <c r="O1892" i="1" a="1"/>
  <c r="O1892" i="1" s="1"/>
  <c r="O1893" i="1" a="1"/>
  <c r="O1893" i="1" s="1"/>
  <c r="O1894" i="1" a="1"/>
  <c r="O1894" i="1" s="1"/>
  <c r="O1895" i="1" a="1"/>
  <c r="O1895" i="1" s="1"/>
  <c r="F1895" i="1" s="1"/>
  <c r="O1896" i="1" a="1"/>
  <c r="O1896" i="1" s="1"/>
  <c r="O1897" i="1" a="1"/>
  <c r="O1897" i="1" s="1"/>
  <c r="O1898" i="1" a="1"/>
  <c r="O1898" i="1" s="1"/>
  <c r="O1899" i="1" a="1"/>
  <c r="O1899" i="1" s="1"/>
  <c r="O1900" i="1" a="1"/>
  <c r="O1900" i="1" s="1"/>
  <c r="O1901" i="1" a="1"/>
  <c r="O1901" i="1" s="1"/>
  <c r="O1902" i="1" a="1"/>
  <c r="O1902" i="1" s="1"/>
  <c r="O1903" i="1" a="1"/>
  <c r="O1903" i="1" s="1"/>
  <c r="F1903" i="1" s="1"/>
  <c r="O1904" i="1" a="1"/>
  <c r="O1904" i="1" s="1"/>
  <c r="O1905" i="1" a="1"/>
  <c r="O1905" i="1" s="1"/>
  <c r="O1906" i="1" a="1"/>
  <c r="O1906" i="1" s="1"/>
  <c r="O1907" i="1" a="1"/>
  <c r="O1907" i="1" s="1"/>
  <c r="O1908" i="1" a="1"/>
  <c r="O1908" i="1" s="1"/>
  <c r="O1909" i="1" a="1"/>
  <c r="O1909" i="1" s="1"/>
  <c r="O1910" i="1" a="1"/>
  <c r="O1910" i="1" s="1"/>
  <c r="O1911" i="1" a="1"/>
  <c r="O1911" i="1" s="1"/>
  <c r="F1911" i="1" s="1"/>
  <c r="O1912" i="1" a="1"/>
  <c r="O1912" i="1" s="1"/>
  <c r="O1913" i="1" a="1"/>
  <c r="O1913" i="1" s="1"/>
  <c r="O1914" i="1" a="1"/>
  <c r="O1914" i="1" s="1"/>
  <c r="H1914" i="1" s="1"/>
  <c r="O1915" i="1" a="1"/>
  <c r="O1915" i="1" s="1"/>
  <c r="O1916" i="1" a="1"/>
  <c r="O1916" i="1" s="1"/>
  <c r="O1917" i="1" a="1"/>
  <c r="O1917" i="1" s="1"/>
  <c r="O1918" i="1" a="1"/>
  <c r="O1918" i="1" s="1"/>
  <c r="O1919" i="1" a="1"/>
  <c r="O1919" i="1" s="1"/>
  <c r="F1919" i="1" s="1"/>
  <c r="O1920" i="1" a="1"/>
  <c r="O1920" i="1" s="1"/>
  <c r="O1921" i="1" a="1"/>
  <c r="O1921" i="1" s="1"/>
  <c r="O1922" i="1" a="1"/>
  <c r="O1922" i="1" s="1"/>
  <c r="O1923" i="1" a="1"/>
  <c r="O1923" i="1" s="1"/>
  <c r="O1924" i="1" a="1"/>
  <c r="O1924" i="1" s="1"/>
  <c r="O1925" i="1" a="1"/>
  <c r="O1925" i="1" s="1"/>
  <c r="O1926" i="1" a="1"/>
  <c r="O1926" i="1" s="1"/>
  <c r="F1926" i="1" s="1"/>
  <c r="O1927" i="1" a="1"/>
  <c r="O1927" i="1" s="1"/>
  <c r="H1927" i="1" s="1"/>
  <c r="O1928" i="1" a="1"/>
  <c r="O1928" i="1" s="1"/>
  <c r="O1929" i="1" a="1"/>
  <c r="O1929" i="1" s="1"/>
  <c r="O1930" i="1" a="1"/>
  <c r="O1930" i="1" s="1"/>
  <c r="O1931" i="1" a="1"/>
  <c r="O1931" i="1" s="1"/>
  <c r="O1932" i="1" a="1"/>
  <c r="O1932" i="1" s="1"/>
  <c r="O1933" i="1" a="1"/>
  <c r="O1933" i="1" s="1"/>
  <c r="O1934" i="1" a="1"/>
  <c r="O1934" i="1" s="1"/>
  <c r="F1934" i="1" s="1"/>
  <c r="O1935" i="1" a="1"/>
  <c r="O1935" i="1" s="1"/>
  <c r="F1935" i="1" s="1"/>
  <c r="O1936" i="1" a="1"/>
  <c r="O1936" i="1" s="1"/>
  <c r="O1937" i="1" a="1"/>
  <c r="O1937" i="1" s="1"/>
  <c r="O1938" i="1" a="1"/>
  <c r="O1938" i="1" s="1"/>
  <c r="O1939" i="1" a="1"/>
  <c r="O1939" i="1" s="1"/>
  <c r="O1940" i="1" a="1"/>
  <c r="O1940" i="1" s="1"/>
  <c r="O1941" i="1" a="1"/>
  <c r="O1941" i="1" s="1"/>
  <c r="H1941" i="1" s="1"/>
  <c r="O1942" i="1" a="1"/>
  <c r="O1942" i="1" s="1"/>
  <c r="F1942" i="1" s="1"/>
  <c r="O1943" i="1" a="1"/>
  <c r="O1943" i="1" s="1"/>
  <c r="F1943" i="1" s="1"/>
  <c r="O1944" i="1" a="1"/>
  <c r="O1944" i="1" s="1"/>
  <c r="O1945" i="1" a="1"/>
  <c r="O1945" i="1" s="1"/>
  <c r="O1946" i="1" a="1"/>
  <c r="O1946" i="1" s="1"/>
  <c r="O1947" i="1" a="1"/>
  <c r="O1947" i="1" s="1"/>
  <c r="O1948" i="1" a="1"/>
  <c r="O1948" i="1" s="1"/>
  <c r="O1949" i="1" a="1"/>
  <c r="O1949" i="1" s="1"/>
  <c r="O1950" i="1" a="1"/>
  <c r="O1950" i="1" s="1"/>
  <c r="F1950" i="1" s="1"/>
  <c r="O1951" i="1" a="1"/>
  <c r="O1951" i="1" s="1"/>
  <c r="F1951" i="1" s="1"/>
  <c r="O1952" i="1" a="1"/>
  <c r="O1952" i="1" s="1"/>
  <c r="O1953" i="1" a="1"/>
  <c r="O1953" i="1" s="1"/>
  <c r="O1954" i="1" a="1"/>
  <c r="O1954" i="1" s="1"/>
  <c r="O1955" i="1" a="1"/>
  <c r="O1955" i="1" s="1"/>
  <c r="O1956" i="1" a="1"/>
  <c r="O1956" i="1" s="1"/>
  <c r="H1956" i="1" s="1"/>
  <c r="O1957" i="1" a="1"/>
  <c r="O1957" i="1" s="1"/>
  <c r="O1958" i="1" a="1"/>
  <c r="O1958" i="1" s="1"/>
  <c r="F1958" i="1" s="1"/>
  <c r="O1959" i="1" a="1"/>
  <c r="O1959" i="1" s="1"/>
  <c r="F1959" i="1" s="1"/>
  <c r="O1960" i="1" a="1"/>
  <c r="O1960" i="1" s="1"/>
  <c r="O1961" i="1" a="1"/>
  <c r="O1961" i="1" s="1"/>
  <c r="O1962" i="1" a="1"/>
  <c r="O1962" i="1" s="1"/>
  <c r="O1963" i="1" a="1"/>
  <c r="O1963" i="1" s="1"/>
  <c r="O1964" i="1" a="1"/>
  <c r="O1964" i="1" s="1"/>
  <c r="H1964" i="1" s="1"/>
  <c r="O1965" i="1" a="1"/>
  <c r="O1965" i="1" s="1"/>
  <c r="O1966" i="1" a="1"/>
  <c r="O1966" i="1" s="1"/>
  <c r="H1966" i="1" s="1"/>
  <c r="O1967" i="1" a="1"/>
  <c r="O1967" i="1" s="1"/>
  <c r="H1967" i="1" s="1"/>
  <c r="O1968" i="1" a="1"/>
  <c r="O1968" i="1" s="1"/>
  <c r="O1969" i="1" a="1"/>
  <c r="O1969" i="1" s="1"/>
  <c r="O1970" i="1" a="1"/>
  <c r="O1970" i="1" s="1"/>
  <c r="H1970" i="1" s="1"/>
  <c r="O1971" i="1" a="1"/>
  <c r="O1971" i="1" s="1"/>
  <c r="O1972" i="1" a="1"/>
  <c r="O1972" i="1" s="1"/>
  <c r="O1973" i="1" a="1"/>
  <c r="O1973" i="1" s="1"/>
  <c r="O1974" i="1" a="1"/>
  <c r="O1974" i="1" s="1"/>
  <c r="F1974" i="1" s="1"/>
  <c r="O1975" i="1" a="1"/>
  <c r="O1975" i="1" s="1"/>
  <c r="F1975" i="1" s="1"/>
  <c r="O1976" i="1" a="1"/>
  <c r="O1976" i="1" s="1"/>
  <c r="O1977" i="1" a="1"/>
  <c r="O1977" i="1" s="1"/>
  <c r="O1978" i="1" a="1"/>
  <c r="O1978" i="1" s="1"/>
  <c r="O1979" i="1" a="1"/>
  <c r="O1979" i="1" s="1"/>
  <c r="O1980" i="1" a="1"/>
  <c r="O1980" i="1" s="1"/>
  <c r="H1980" i="1" s="1"/>
  <c r="O1981" i="1" a="1"/>
  <c r="O1981" i="1" s="1"/>
  <c r="O1982" i="1" a="1"/>
  <c r="O1982" i="1" s="1"/>
  <c r="F1982" i="1" s="1"/>
  <c r="O1983" i="1" a="1"/>
  <c r="O1983" i="1" s="1"/>
  <c r="F1983" i="1" s="1"/>
  <c r="O1984" i="1" a="1"/>
  <c r="O1984" i="1" s="1"/>
  <c r="O1985" i="1" a="1"/>
  <c r="O1985" i="1" s="1"/>
  <c r="O1986" i="1" a="1"/>
  <c r="O1986" i="1" s="1"/>
  <c r="O1987" i="1" a="1"/>
  <c r="O1987" i="1" s="1"/>
  <c r="O1988" i="1" a="1"/>
  <c r="O1988" i="1" s="1"/>
  <c r="O1989" i="1" a="1"/>
  <c r="O1989" i="1" s="1"/>
  <c r="O1990" i="1" a="1"/>
  <c r="O1990" i="1" s="1"/>
  <c r="F1990" i="1" s="1"/>
  <c r="O1991" i="1" a="1"/>
  <c r="O1991" i="1" s="1"/>
  <c r="H1991" i="1" s="1"/>
  <c r="O1992" i="1" a="1"/>
  <c r="O1992" i="1" s="1"/>
  <c r="O1993" i="1" a="1"/>
  <c r="O1993" i="1" s="1"/>
  <c r="O1994" i="1" a="1"/>
  <c r="O1994" i="1" s="1"/>
  <c r="O1995" i="1" a="1"/>
  <c r="O1995" i="1" s="1"/>
  <c r="O1996" i="1" a="1"/>
  <c r="O1996" i="1" s="1"/>
  <c r="O1997" i="1" a="1"/>
  <c r="O1997" i="1" s="1"/>
  <c r="O1998" i="1" a="1"/>
  <c r="O1998" i="1" s="1"/>
  <c r="F1998" i="1" s="1"/>
  <c r="O1999" i="1" a="1"/>
  <c r="O1999" i="1" s="1"/>
  <c r="F1999" i="1" s="1"/>
  <c r="O2000" i="1" a="1"/>
  <c r="O2000" i="1" s="1"/>
  <c r="O2001" i="1" a="1"/>
  <c r="O2001" i="1" s="1"/>
  <c r="D20" i="4"/>
  <c r="E20" i="4" s="1"/>
  <c r="D22" i="4"/>
  <c r="E22" i="4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M2" i="1"/>
  <c r="M3" i="1"/>
  <c r="P3" i="1" s="1"/>
  <c r="M4" i="1"/>
  <c r="M5" i="1"/>
  <c r="M6" i="1"/>
  <c r="M7" i="1"/>
  <c r="P7" i="1" s="1"/>
  <c r="M8" i="1"/>
  <c r="M9" i="1"/>
  <c r="M10" i="1"/>
  <c r="M11" i="1"/>
  <c r="P11" i="1" s="1"/>
  <c r="M12" i="1"/>
  <c r="M13" i="1"/>
  <c r="M14" i="1"/>
  <c r="M15" i="1"/>
  <c r="P15" i="1" s="1"/>
  <c r="M16" i="1"/>
  <c r="M17" i="1"/>
  <c r="M18" i="1"/>
  <c r="M19" i="1"/>
  <c r="P19" i="1" s="1"/>
  <c r="M20" i="1"/>
  <c r="M21" i="1"/>
  <c r="M22" i="1"/>
  <c r="M23" i="1"/>
  <c r="P23" i="1" s="1"/>
  <c r="M24" i="1"/>
  <c r="M25" i="1"/>
  <c r="M26" i="1"/>
  <c r="M27" i="1"/>
  <c r="P27" i="1" s="1"/>
  <c r="M28" i="1"/>
  <c r="M29" i="1"/>
  <c r="M30" i="1"/>
  <c r="M31" i="1"/>
  <c r="P31" i="1" s="1"/>
  <c r="M32" i="1"/>
  <c r="M33" i="1"/>
  <c r="M34" i="1"/>
  <c r="M35" i="1"/>
  <c r="P35" i="1" s="1"/>
  <c r="M36" i="1"/>
  <c r="M37" i="1"/>
  <c r="M38" i="1"/>
  <c r="M39" i="1"/>
  <c r="P39" i="1" s="1"/>
  <c r="M40" i="1"/>
  <c r="M41" i="1"/>
  <c r="M42" i="1"/>
  <c r="M43" i="1"/>
  <c r="P43" i="1" s="1"/>
  <c r="M44" i="1"/>
  <c r="M45" i="1"/>
  <c r="M46" i="1"/>
  <c r="P46" i="1" s="1"/>
  <c r="M47" i="1"/>
  <c r="P47" i="1" s="1"/>
  <c r="M48" i="1"/>
  <c r="M49" i="1"/>
  <c r="M50" i="1"/>
  <c r="M51" i="1"/>
  <c r="M52" i="1"/>
  <c r="P52" i="1" s="1"/>
  <c r="M53" i="1"/>
  <c r="M54" i="1"/>
  <c r="P54" i="1" s="1"/>
  <c r="M55" i="1"/>
  <c r="P55" i="1" s="1"/>
  <c r="M56" i="1"/>
  <c r="M57" i="1"/>
  <c r="M58" i="1"/>
  <c r="M59" i="1"/>
  <c r="M60" i="1"/>
  <c r="M61" i="1"/>
  <c r="M62" i="1"/>
  <c r="P62" i="1" s="1"/>
  <c r="M63" i="1"/>
  <c r="P63" i="1" s="1"/>
  <c r="M64" i="1"/>
  <c r="M65" i="1"/>
  <c r="M66" i="1"/>
  <c r="M67" i="1"/>
  <c r="P67" i="1" s="1"/>
  <c r="M68" i="1"/>
  <c r="M69" i="1"/>
  <c r="M70" i="1"/>
  <c r="P70" i="1" s="1"/>
  <c r="M71" i="1"/>
  <c r="P71" i="1" s="1"/>
  <c r="M72" i="1"/>
  <c r="M73" i="1"/>
  <c r="M74" i="1"/>
  <c r="M75" i="1"/>
  <c r="M76" i="1"/>
  <c r="M77" i="1"/>
  <c r="M78" i="1"/>
  <c r="P78" i="1" s="1"/>
  <c r="M79" i="1"/>
  <c r="P79" i="1" s="1"/>
  <c r="M80" i="1"/>
  <c r="M81" i="1"/>
  <c r="M82" i="1"/>
  <c r="M83" i="1"/>
  <c r="P83" i="1" s="1"/>
  <c r="M84" i="1"/>
  <c r="P84" i="1" s="1"/>
  <c r="M85" i="1"/>
  <c r="M86" i="1"/>
  <c r="P86" i="1" s="1"/>
  <c r="M87" i="1"/>
  <c r="P87" i="1" s="1"/>
  <c r="M88" i="1"/>
  <c r="M89" i="1"/>
  <c r="M90" i="1"/>
  <c r="M91" i="1"/>
  <c r="P91" i="1" s="1"/>
  <c r="M92" i="1"/>
  <c r="P92" i="1" s="1"/>
  <c r="M93" i="1"/>
  <c r="M94" i="1"/>
  <c r="P94" i="1" s="1"/>
  <c r="M95" i="1"/>
  <c r="P95" i="1" s="1"/>
  <c r="M96" i="1"/>
  <c r="M97" i="1"/>
  <c r="M98" i="1"/>
  <c r="M99" i="1"/>
  <c r="P99" i="1" s="1"/>
  <c r="M100" i="1"/>
  <c r="P100" i="1" s="1"/>
  <c r="M101" i="1"/>
  <c r="M102" i="1"/>
  <c r="P102" i="1" s="1"/>
  <c r="M103" i="1"/>
  <c r="P103" i="1" s="1"/>
  <c r="M104" i="1"/>
  <c r="M105" i="1"/>
  <c r="M106" i="1"/>
  <c r="M107" i="1"/>
  <c r="P107" i="1" s="1"/>
  <c r="M108" i="1"/>
  <c r="M109" i="1"/>
  <c r="M110" i="1"/>
  <c r="P110" i="1" s="1"/>
  <c r="M111" i="1"/>
  <c r="P111" i="1" s="1"/>
  <c r="M112" i="1"/>
  <c r="M113" i="1"/>
  <c r="M114" i="1"/>
  <c r="M115" i="1"/>
  <c r="P115" i="1" s="1"/>
  <c r="M116" i="1"/>
  <c r="M117" i="1"/>
  <c r="M118" i="1"/>
  <c r="P118" i="1" s="1"/>
  <c r="M119" i="1"/>
  <c r="M120" i="1"/>
  <c r="M121" i="1"/>
  <c r="M122" i="1"/>
  <c r="M123" i="1"/>
  <c r="P123" i="1" s="1"/>
  <c r="M124" i="1"/>
  <c r="M125" i="1"/>
  <c r="M126" i="1"/>
  <c r="P126" i="1" s="1"/>
  <c r="M127" i="1"/>
  <c r="M128" i="1"/>
  <c r="M129" i="1"/>
  <c r="M130" i="1"/>
  <c r="M131" i="1"/>
  <c r="P131" i="1" s="1"/>
  <c r="M132" i="1"/>
  <c r="M133" i="1"/>
  <c r="M134" i="1"/>
  <c r="M135" i="1"/>
  <c r="M136" i="1"/>
  <c r="M137" i="1"/>
  <c r="M138" i="1"/>
  <c r="M139" i="1"/>
  <c r="P139" i="1" s="1"/>
  <c r="M140" i="1"/>
  <c r="M141" i="1"/>
  <c r="M142" i="1"/>
  <c r="M143" i="1"/>
  <c r="P143" i="1" s="1"/>
  <c r="M144" i="1"/>
  <c r="M145" i="1"/>
  <c r="M146" i="1"/>
  <c r="M147" i="1"/>
  <c r="P147" i="1" s="1"/>
  <c r="M148" i="1"/>
  <c r="M149" i="1"/>
  <c r="M150" i="1"/>
  <c r="M151" i="1"/>
  <c r="P151" i="1" s="1"/>
  <c r="M152" i="1"/>
  <c r="M153" i="1"/>
  <c r="M154" i="1"/>
  <c r="M155" i="1"/>
  <c r="P155" i="1" s="1"/>
  <c r="M156" i="1"/>
  <c r="M157" i="1"/>
  <c r="M158" i="1"/>
  <c r="P158" i="1" s="1"/>
  <c r="M159" i="1"/>
  <c r="P159" i="1" s="1"/>
  <c r="M160" i="1"/>
  <c r="M161" i="1"/>
  <c r="M162" i="1"/>
  <c r="M163" i="1"/>
  <c r="P163" i="1" s="1"/>
  <c r="M164" i="1"/>
  <c r="M165" i="1"/>
  <c r="M166" i="1"/>
  <c r="P166" i="1" s="1"/>
  <c r="M167" i="1"/>
  <c r="P167" i="1" s="1"/>
  <c r="M168" i="1"/>
  <c r="M169" i="1"/>
  <c r="M170" i="1"/>
  <c r="M171" i="1"/>
  <c r="M172" i="1"/>
  <c r="M173" i="1"/>
  <c r="M174" i="1"/>
  <c r="P174" i="1" s="1"/>
  <c r="M175" i="1"/>
  <c r="P175" i="1" s="1"/>
  <c r="M176" i="1"/>
  <c r="M177" i="1"/>
  <c r="M178" i="1"/>
  <c r="M179" i="1"/>
  <c r="M180" i="1"/>
  <c r="M181" i="1"/>
  <c r="M182" i="1"/>
  <c r="P182" i="1" s="1"/>
  <c r="M183" i="1"/>
  <c r="P183" i="1" s="1"/>
  <c r="M184" i="1"/>
  <c r="M185" i="1"/>
  <c r="M186" i="1"/>
  <c r="M187" i="1"/>
  <c r="M188" i="1"/>
  <c r="M189" i="1"/>
  <c r="M190" i="1"/>
  <c r="P190" i="1" s="1"/>
  <c r="M191" i="1"/>
  <c r="M192" i="1"/>
  <c r="M193" i="1"/>
  <c r="M194" i="1"/>
  <c r="M195" i="1"/>
  <c r="P195" i="1" s="1"/>
  <c r="M196" i="1"/>
  <c r="M197" i="1"/>
  <c r="M198" i="1"/>
  <c r="P198" i="1" s="1"/>
  <c r="M199" i="1"/>
  <c r="P199" i="1" s="1"/>
  <c r="M200" i="1"/>
  <c r="M201" i="1"/>
  <c r="M202" i="1"/>
  <c r="M203" i="1"/>
  <c r="M204" i="1"/>
  <c r="M205" i="1"/>
  <c r="M206" i="1"/>
  <c r="M207" i="1"/>
  <c r="P207" i="1" s="1"/>
  <c r="M208" i="1"/>
  <c r="M209" i="1"/>
  <c r="M210" i="1"/>
  <c r="M211" i="1"/>
  <c r="M212" i="1"/>
  <c r="M213" i="1"/>
  <c r="M214" i="1"/>
  <c r="P214" i="1" s="1"/>
  <c r="M215" i="1"/>
  <c r="P215" i="1" s="1"/>
  <c r="M216" i="1"/>
  <c r="M217" i="1"/>
  <c r="M218" i="1"/>
  <c r="M219" i="1"/>
  <c r="M220" i="1"/>
  <c r="M221" i="1"/>
  <c r="M222" i="1"/>
  <c r="P222" i="1" s="1"/>
  <c r="M223" i="1"/>
  <c r="P223" i="1" s="1"/>
  <c r="M224" i="1"/>
  <c r="M225" i="1"/>
  <c r="M226" i="1"/>
  <c r="M227" i="1"/>
  <c r="M228" i="1"/>
  <c r="P228" i="1" s="1"/>
  <c r="M229" i="1"/>
  <c r="M230" i="1"/>
  <c r="P230" i="1" s="1"/>
  <c r="M231" i="1"/>
  <c r="M232" i="1"/>
  <c r="M233" i="1"/>
  <c r="M234" i="1"/>
  <c r="M235" i="1"/>
  <c r="M236" i="1"/>
  <c r="P236" i="1" s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P254" i="1" s="1"/>
  <c r="M255" i="1"/>
  <c r="P255" i="1" s="1"/>
  <c r="M256" i="1"/>
  <c r="M257" i="1"/>
  <c r="M258" i="1"/>
  <c r="M259" i="1"/>
  <c r="M260" i="1"/>
  <c r="M261" i="1"/>
  <c r="M262" i="1"/>
  <c r="P262" i="1" s="1"/>
  <c r="M263" i="1"/>
  <c r="P263" i="1" s="1"/>
  <c r="M264" i="1"/>
  <c r="M265" i="1"/>
  <c r="M266" i="1"/>
  <c r="M267" i="1"/>
  <c r="M268" i="1"/>
  <c r="M269" i="1"/>
  <c r="M270" i="1"/>
  <c r="P270" i="1" s="1"/>
  <c r="M271" i="1"/>
  <c r="P271" i="1" s="1"/>
  <c r="M272" i="1"/>
  <c r="M273" i="1"/>
  <c r="M274" i="1"/>
  <c r="M275" i="1"/>
  <c r="M276" i="1"/>
  <c r="M277" i="1"/>
  <c r="M278" i="1"/>
  <c r="P278" i="1" s="1"/>
  <c r="M279" i="1"/>
  <c r="P279" i="1" s="1"/>
  <c r="M280" i="1"/>
  <c r="M281" i="1"/>
  <c r="M282" i="1"/>
  <c r="M283" i="1"/>
  <c r="M284" i="1"/>
  <c r="P284" i="1" s="1"/>
  <c r="M285" i="1"/>
  <c r="M286" i="1"/>
  <c r="M287" i="1"/>
  <c r="M288" i="1"/>
  <c r="M289" i="1"/>
  <c r="M290" i="1"/>
  <c r="M291" i="1"/>
  <c r="M292" i="1"/>
  <c r="M293" i="1"/>
  <c r="M294" i="1"/>
  <c r="P294" i="1" s="1"/>
  <c r="M295" i="1"/>
  <c r="P295" i="1" s="1"/>
  <c r="M296" i="1"/>
  <c r="M297" i="1"/>
  <c r="M298" i="1"/>
  <c r="M299" i="1"/>
  <c r="P299" i="1" s="1"/>
  <c r="M300" i="1"/>
  <c r="M301" i="1"/>
  <c r="M302" i="1"/>
  <c r="M303" i="1"/>
  <c r="M304" i="1"/>
  <c r="M305" i="1"/>
  <c r="M306" i="1"/>
  <c r="M307" i="1"/>
  <c r="P307" i="1" s="1"/>
  <c r="M308" i="1"/>
  <c r="M309" i="1"/>
  <c r="M310" i="1"/>
  <c r="M311" i="1"/>
  <c r="M312" i="1"/>
  <c r="M313" i="1"/>
  <c r="M314" i="1"/>
  <c r="M315" i="1"/>
  <c r="P315" i="1" s="1"/>
  <c r="M316" i="1"/>
  <c r="M317" i="1"/>
  <c r="M318" i="1"/>
  <c r="M319" i="1"/>
  <c r="M320" i="1"/>
  <c r="M321" i="1"/>
  <c r="M322" i="1"/>
  <c r="M323" i="1"/>
  <c r="P323" i="1" s="1"/>
  <c r="M324" i="1"/>
  <c r="M325" i="1"/>
  <c r="M326" i="1"/>
  <c r="M327" i="1"/>
  <c r="M328" i="1"/>
  <c r="M329" i="1"/>
  <c r="M330" i="1"/>
  <c r="M331" i="1"/>
  <c r="M332" i="1"/>
  <c r="P332" i="1" s="1"/>
  <c r="M333" i="1"/>
  <c r="M334" i="1"/>
  <c r="M335" i="1"/>
  <c r="M336" i="1"/>
  <c r="M337" i="1"/>
  <c r="M338" i="1"/>
  <c r="M339" i="1"/>
  <c r="P339" i="1" s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P356" i="1" s="1"/>
  <c r="M357" i="1"/>
  <c r="M358" i="1"/>
  <c r="M359" i="1"/>
  <c r="M360" i="1"/>
  <c r="M361" i="1"/>
  <c r="M362" i="1"/>
  <c r="M363" i="1"/>
  <c r="M364" i="1"/>
  <c r="M365" i="1"/>
  <c r="P365" i="1" s="1"/>
  <c r="M366" i="1"/>
  <c r="M367" i="1"/>
  <c r="M368" i="1"/>
  <c r="M369" i="1"/>
  <c r="M370" i="1"/>
  <c r="P370" i="1" s="1"/>
  <c r="M371" i="1"/>
  <c r="M372" i="1"/>
  <c r="M373" i="1"/>
  <c r="M374" i="1"/>
  <c r="M375" i="1"/>
  <c r="M376" i="1"/>
  <c r="M377" i="1"/>
  <c r="M378" i="1"/>
  <c r="P378" i="1" s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P397" i="1" s="1"/>
  <c r="M398" i="1"/>
  <c r="M399" i="1"/>
  <c r="M400" i="1"/>
  <c r="M401" i="1"/>
  <c r="M402" i="1"/>
  <c r="M403" i="1"/>
  <c r="M404" i="1"/>
  <c r="P404" i="1" s="1"/>
  <c r="M405" i="1"/>
  <c r="P405" i="1" s="1"/>
  <c r="M406" i="1"/>
  <c r="M407" i="1"/>
  <c r="M408" i="1"/>
  <c r="M409" i="1"/>
  <c r="M410" i="1"/>
  <c r="M411" i="1"/>
  <c r="M412" i="1"/>
  <c r="P412" i="1" s="1"/>
  <c r="M413" i="1"/>
  <c r="M414" i="1"/>
  <c r="M415" i="1"/>
  <c r="M416" i="1"/>
  <c r="M417" i="1"/>
  <c r="M418" i="1"/>
  <c r="M419" i="1"/>
  <c r="M420" i="1"/>
  <c r="M421" i="1"/>
  <c r="P421" i="1" s="1"/>
  <c r="M422" i="1"/>
  <c r="M423" i="1"/>
  <c r="M424" i="1"/>
  <c r="M425" i="1"/>
  <c r="M426" i="1"/>
  <c r="M427" i="1"/>
  <c r="P427" i="1" s="1"/>
  <c r="M428" i="1"/>
  <c r="P428" i="1" s="1"/>
  <c r="M429" i="1"/>
  <c r="P429" i="1" s="1"/>
  <c r="M430" i="1"/>
  <c r="M431" i="1"/>
  <c r="M432" i="1"/>
  <c r="M433" i="1"/>
  <c r="M434" i="1"/>
  <c r="M435" i="1"/>
  <c r="M436" i="1"/>
  <c r="P436" i="1" s="1"/>
  <c r="M437" i="1"/>
  <c r="P437" i="1" s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P451" i="1" s="1"/>
  <c r="M452" i="1"/>
  <c r="P452" i="1" s="1"/>
  <c r="M453" i="1"/>
  <c r="M454" i="1"/>
  <c r="M455" i="1"/>
  <c r="M456" i="1"/>
  <c r="P456" i="1" s="1"/>
  <c r="M457" i="1"/>
  <c r="P457" i="1" s="1"/>
  <c r="M458" i="1"/>
  <c r="P458" i="1" s="1"/>
  <c r="M459" i="1"/>
  <c r="P459" i="1" s="1"/>
  <c r="M460" i="1"/>
  <c r="M461" i="1"/>
  <c r="M462" i="1"/>
  <c r="M463" i="1"/>
  <c r="M464" i="1"/>
  <c r="M465" i="1"/>
  <c r="P465" i="1" s="1"/>
  <c r="M466" i="1"/>
  <c r="P466" i="1" s="1"/>
  <c r="M467" i="1"/>
  <c r="M468" i="1"/>
  <c r="M469" i="1"/>
  <c r="M470" i="1"/>
  <c r="M471" i="1"/>
  <c r="M472" i="1"/>
  <c r="P472" i="1" s="1"/>
  <c r="M473" i="1"/>
  <c r="P473" i="1" s="1"/>
  <c r="M474" i="1"/>
  <c r="M475" i="1"/>
  <c r="M476" i="1"/>
  <c r="M477" i="1"/>
  <c r="M478" i="1"/>
  <c r="M479" i="1"/>
  <c r="M480" i="1"/>
  <c r="M481" i="1"/>
  <c r="P481" i="1" s="1"/>
  <c r="M482" i="1"/>
  <c r="M483" i="1"/>
  <c r="M484" i="1"/>
  <c r="M485" i="1"/>
  <c r="M486" i="1"/>
  <c r="M487" i="1"/>
  <c r="P487" i="1" s="1"/>
  <c r="M488" i="1"/>
  <c r="P488" i="1" s="1"/>
  <c r="M489" i="1"/>
  <c r="P489" i="1" s="1"/>
  <c r="M490" i="1"/>
  <c r="M491" i="1"/>
  <c r="M492" i="1"/>
  <c r="M493" i="1"/>
  <c r="M494" i="1"/>
  <c r="M495" i="1"/>
  <c r="M496" i="1"/>
  <c r="P496" i="1" s="1"/>
  <c r="M497" i="1"/>
  <c r="M498" i="1"/>
  <c r="M499" i="1"/>
  <c r="M500" i="1"/>
  <c r="M501" i="1"/>
  <c r="M502" i="1"/>
  <c r="M503" i="1"/>
  <c r="P503" i="1" s="1"/>
  <c r="M504" i="1"/>
  <c r="M505" i="1"/>
  <c r="M506" i="1"/>
  <c r="M507" i="1"/>
  <c r="M508" i="1"/>
  <c r="M509" i="1"/>
  <c r="M510" i="1"/>
  <c r="M511" i="1"/>
  <c r="M512" i="1"/>
  <c r="M513" i="1"/>
  <c r="P513" i="1" s="1"/>
  <c r="M514" i="1"/>
  <c r="M515" i="1"/>
  <c r="M516" i="1"/>
  <c r="M517" i="1"/>
  <c r="M518" i="1"/>
  <c r="M519" i="1"/>
  <c r="M520" i="1"/>
  <c r="P520" i="1" s="1"/>
  <c r="M521" i="1"/>
  <c r="P521" i="1" s="1"/>
  <c r="M522" i="1"/>
  <c r="M523" i="1"/>
  <c r="M524" i="1"/>
  <c r="M525" i="1"/>
  <c r="P525" i="1" s="1"/>
  <c r="M526" i="1"/>
  <c r="M527" i="1"/>
  <c r="M528" i="1"/>
  <c r="M529" i="1"/>
  <c r="M530" i="1"/>
  <c r="M531" i="1"/>
  <c r="M532" i="1"/>
  <c r="M533" i="1"/>
  <c r="P533" i="1" s="1"/>
  <c r="M534" i="1"/>
  <c r="P534" i="1" s="1"/>
  <c r="M535" i="1"/>
  <c r="P535" i="1" s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P549" i="1" s="1"/>
  <c r="M550" i="1"/>
  <c r="M551" i="1"/>
  <c r="P551" i="1" s="1"/>
  <c r="M552" i="1"/>
  <c r="M553" i="1"/>
  <c r="M554" i="1"/>
  <c r="M555" i="1"/>
  <c r="M556" i="1"/>
  <c r="M557" i="1"/>
  <c r="P557" i="1" s="1"/>
  <c r="M558" i="1"/>
  <c r="P558" i="1" s="1"/>
  <c r="M559" i="1"/>
  <c r="P559" i="1" s="1"/>
  <c r="M560" i="1"/>
  <c r="M561" i="1"/>
  <c r="M562" i="1"/>
  <c r="M563" i="1"/>
  <c r="M564" i="1"/>
  <c r="P564" i="1" s="1"/>
  <c r="M565" i="1"/>
  <c r="P565" i="1" s="1"/>
  <c r="M566" i="1"/>
  <c r="P566" i="1" s="1"/>
  <c r="M567" i="1"/>
  <c r="P567" i="1" s="1"/>
  <c r="M568" i="1"/>
  <c r="M569" i="1"/>
  <c r="M570" i="1"/>
  <c r="M571" i="1"/>
  <c r="M572" i="1"/>
  <c r="P572" i="1" s="1"/>
  <c r="M573" i="1"/>
  <c r="P573" i="1" s="1"/>
  <c r="M574" i="1"/>
  <c r="P574" i="1" s="1"/>
  <c r="M575" i="1"/>
  <c r="P575" i="1" s="1"/>
  <c r="M576" i="1"/>
  <c r="M577" i="1"/>
  <c r="M578" i="1"/>
  <c r="M579" i="1"/>
  <c r="M580" i="1"/>
  <c r="P580" i="1" s="1"/>
  <c r="M581" i="1"/>
  <c r="P581" i="1" s="1"/>
  <c r="M582" i="1"/>
  <c r="M583" i="1"/>
  <c r="M584" i="1"/>
  <c r="M585" i="1"/>
  <c r="M586" i="1"/>
  <c r="M587" i="1"/>
  <c r="M588" i="1"/>
  <c r="P588" i="1" s="1"/>
  <c r="M589" i="1"/>
  <c r="P589" i="1" s="1"/>
  <c r="M590" i="1"/>
  <c r="P590" i="1" s="1"/>
  <c r="M591" i="1"/>
  <c r="M592" i="1"/>
  <c r="M593" i="1"/>
  <c r="M594" i="1"/>
  <c r="M595" i="1"/>
  <c r="M596" i="1"/>
  <c r="M597" i="1"/>
  <c r="P597" i="1" s="1"/>
  <c r="M598" i="1"/>
  <c r="M599" i="1"/>
  <c r="M600" i="1"/>
  <c r="M601" i="1"/>
  <c r="M602" i="1"/>
  <c r="M603" i="1"/>
  <c r="M604" i="1"/>
  <c r="P604" i="1" s="1"/>
  <c r="M605" i="1"/>
  <c r="P605" i="1" s="1"/>
  <c r="M606" i="1"/>
  <c r="P606" i="1" s="1"/>
  <c r="M607" i="1"/>
  <c r="M608" i="1"/>
  <c r="M609" i="1"/>
  <c r="M610" i="1"/>
  <c r="M611" i="1"/>
  <c r="M612" i="1"/>
  <c r="M613" i="1"/>
  <c r="P613" i="1" s="1"/>
  <c r="M614" i="1"/>
  <c r="M615" i="1"/>
  <c r="P615" i="1" s="1"/>
  <c r="M616" i="1"/>
  <c r="M617" i="1"/>
  <c r="M618" i="1"/>
  <c r="M619" i="1"/>
  <c r="M620" i="1"/>
  <c r="P620" i="1" s="1"/>
  <c r="M621" i="1"/>
  <c r="P621" i="1" s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P637" i="1" s="1"/>
  <c r="M638" i="1"/>
  <c r="M639" i="1"/>
  <c r="M640" i="1"/>
  <c r="M641" i="1"/>
  <c r="M642" i="1"/>
  <c r="M643" i="1"/>
  <c r="P643" i="1" s="1"/>
  <c r="M644" i="1"/>
  <c r="M645" i="1"/>
  <c r="P645" i="1" s="1"/>
  <c r="M646" i="1"/>
  <c r="M647" i="1"/>
  <c r="P647" i="1" s="1"/>
  <c r="M648" i="1"/>
  <c r="M649" i="1"/>
  <c r="M650" i="1"/>
  <c r="M651" i="1"/>
  <c r="P651" i="1" s="1"/>
  <c r="M652" i="1"/>
  <c r="M653" i="1"/>
  <c r="P653" i="1" s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P669" i="1" s="1"/>
  <c r="M670" i="1"/>
  <c r="M671" i="1"/>
  <c r="P671" i="1" s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P707" i="1" s="1"/>
  <c r="M708" i="1"/>
  <c r="M709" i="1"/>
  <c r="P709" i="1" s="1"/>
  <c r="M710" i="1"/>
  <c r="M711" i="1"/>
  <c r="M712" i="1"/>
  <c r="M713" i="1"/>
  <c r="M714" i="1"/>
  <c r="M715" i="1"/>
  <c r="P715" i="1" s="1"/>
  <c r="M716" i="1"/>
  <c r="M717" i="1"/>
  <c r="P717" i="1" s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P730" i="1" s="1"/>
  <c r="M731" i="1"/>
  <c r="M732" i="1"/>
  <c r="M733" i="1"/>
  <c r="M734" i="1"/>
  <c r="M735" i="1"/>
  <c r="P735" i="1" s="1"/>
  <c r="M736" i="1"/>
  <c r="M737" i="1"/>
  <c r="M738" i="1"/>
  <c r="P738" i="1" s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P751" i="1" s="1"/>
  <c r="M752" i="1"/>
  <c r="M753" i="1"/>
  <c r="M754" i="1"/>
  <c r="M755" i="1"/>
  <c r="M756" i="1"/>
  <c r="M757" i="1"/>
  <c r="M758" i="1"/>
  <c r="P758" i="1" s="1"/>
  <c r="M759" i="1"/>
  <c r="P759" i="1" s="1"/>
  <c r="M760" i="1"/>
  <c r="M761" i="1"/>
  <c r="M762" i="1"/>
  <c r="M763" i="1"/>
  <c r="M764" i="1"/>
  <c r="M765" i="1"/>
  <c r="M766" i="1"/>
  <c r="P766" i="1" s="1"/>
  <c r="M767" i="1"/>
  <c r="P767" i="1" s="1"/>
  <c r="M768" i="1"/>
  <c r="M769" i="1"/>
  <c r="M770" i="1"/>
  <c r="M771" i="1"/>
  <c r="M772" i="1"/>
  <c r="M773" i="1"/>
  <c r="M774" i="1"/>
  <c r="M775" i="1"/>
  <c r="P775" i="1" s="1"/>
  <c r="M776" i="1"/>
  <c r="M777" i="1"/>
  <c r="M778" i="1"/>
  <c r="M779" i="1"/>
  <c r="M780" i="1"/>
  <c r="M781" i="1"/>
  <c r="M782" i="1"/>
  <c r="P782" i="1" s="1"/>
  <c r="M783" i="1"/>
  <c r="P783" i="1" s="1"/>
  <c r="M784" i="1"/>
  <c r="M785" i="1"/>
  <c r="M786" i="1"/>
  <c r="M787" i="1"/>
  <c r="M788" i="1"/>
  <c r="M789" i="1"/>
  <c r="M790" i="1"/>
  <c r="P790" i="1" s="1"/>
  <c r="M791" i="1"/>
  <c r="P791" i="1" s="1"/>
  <c r="M792" i="1"/>
  <c r="M793" i="1"/>
  <c r="M794" i="1"/>
  <c r="P794" i="1" s="1"/>
  <c r="M795" i="1"/>
  <c r="M796" i="1"/>
  <c r="M797" i="1"/>
  <c r="M798" i="1"/>
  <c r="P798" i="1" s="1"/>
  <c r="M799" i="1"/>
  <c r="M800" i="1"/>
  <c r="M801" i="1"/>
  <c r="M802" i="1"/>
  <c r="P802" i="1" s="1"/>
  <c r="M803" i="1"/>
  <c r="M804" i="1"/>
  <c r="M805" i="1"/>
  <c r="M806" i="1"/>
  <c r="M807" i="1"/>
  <c r="P807" i="1" s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P848" i="1" s="1"/>
  <c r="M849" i="1"/>
  <c r="M850" i="1"/>
  <c r="M851" i="1"/>
  <c r="P851" i="1" s="1"/>
  <c r="M852" i="1"/>
  <c r="P852" i="1" s="1"/>
  <c r="M853" i="1"/>
  <c r="M854" i="1"/>
  <c r="M855" i="1"/>
  <c r="M856" i="1"/>
  <c r="M857" i="1"/>
  <c r="M858" i="1"/>
  <c r="P858" i="1" s="1"/>
  <c r="M859" i="1"/>
  <c r="P859" i="1" s="1"/>
  <c r="M860" i="1"/>
  <c r="M861" i="1"/>
  <c r="M862" i="1"/>
  <c r="M863" i="1"/>
  <c r="M864" i="1"/>
  <c r="M865" i="1"/>
  <c r="M866" i="1"/>
  <c r="P866" i="1" s="1"/>
  <c r="M867" i="1"/>
  <c r="P867" i="1" s="1"/>
  <c r="M868" i="1"/>
  <c r="P868" i="1" s="1"/>
  <c r="M869" i="1"/>
  <c r="M870" i="1"/>
  <c r="M871" i="1"/>
  <c r="M872" i="1"/>
  <c r="M873" i="1"/>
  <c r="M874" i="1"/>
  <c r="P874" i="1" s="1"/>
  <c r="M875" i="1"/>
  <c r="P875" i="1" s="1"/>
  <c r="M876" i="1"/>
  <c r="M877" i="1"/>
  <c r="M878" i="1"/>
  <c r="M879" i="1"/>
  <c r="M880" i="1"/>
  <c r="M881" i="1"/>
  <c r="M882" i="1"/>
  <c r="P882" i="1" s="1"/>
  <c r="M883" i="1"/>
  <c r="P883" i="1" s="1"/>
  <c r="M884" i="1"/>
  <c r="P884" i="1" s="1"/>
  <c r="M885" i="1"/>
  <c r="M886" i="1"/>
  <c r="M887" i="1"/>
  <c r="M888" i="1"/>
  <c r="M889" i="1"/>
  <c r="M890" i="1"/>
  <c r="P890" i="1" s="1"/>
  <c r="M891" i="1"/>
  <c r="M892" i="1"/>
  <c r="M893" i="1"/>
  <c r="M894" i="1"/>
  <c r="M895" i="1"/>
  <c r="M896" i="1"/>
  <c r="P896" i="1" s="1"/>
  <c r="M897" i="1"/>
  <c r="P897" i="1" s="1"/>
  <c r="M898" i="1"/>
  <c r="P898" i="1" s="1"/>
  <c r="M899" i="1"/>
  <c r="P899" i="1" s="1"/>
  <c r="M900" i="1"/>
  <c r="M901" i="1"/>
  <c r="M902" i="1"/>
  <c r="M903" i="1"/>
  <c r="M904" i="1"/>
  <c r="P904" i="1" s="1"/>
  <c r="M905" i="1"/>
  <c r="P905" i="1" s="1"/>
  <c r="M906" i="1"/>
  <c r="P906" i="1" s="1"/>
  <c r="M907" i="1"/>
  <c r="P907" i="1" s="1"/>
  <c r="M908" i="1"/>
  <c r="M909" i="1"/>
  <c r="M910" i="1"/>
  <c r="M911" i="1"/>
  <c r="M912" i="1"/>
  <c r="P912" i="1" s="1"/>
  <c r="M913" i="1"/>
  <c r="P913" i="1" s="1"/>
  <c r="M914" i="1"/>
  <c r="P914" i="1" s="1"/>
  <c r="M915" i="1"/>
  <c r="P915" i="1" s="1"/>
  <c r="M916" i="1"/>
  <c r="M917" i="1"/>
  <c r="M918" i="1"/>
  <c r="M919" i="1"/>
  <c r="M920" i="1"/>
  <c r="P920" i="1" s="1"/>
  <c r="M921" i="1"/>
  <c r="P921" i="1" s="1"/>
  <c r="M922" i="1"/>
  <c r="P922" i="1" s="1"/>
  <c r="M923" i="1"/>
  <c r="M924" i="1"/>
  <c r="M925" i="1"/>
  <c r="M926" i="1"/>
  <c r="M927" i="1"/>
  <c r="M928" i="1"/>
  <c r="P928" i="1" s="1"/>
  <c r="M929" i="1"/>
  <c r="P929" i="1" s="1"/>
  <c r="M930" i="1"/>
  <c r="P930" i="1" s="1"/>
  <c r="M931" i="1"/>
  <c r="P931" i="1" s="1"/>
  <c r="M932" i="1"/>
  <c r="M933" i="1"/>
  <c r="M934" i="1"/>
  <c r="M935" i="1"/>
  <c r="M936" i="1"/>
  <c r="P936" i="1" s="1"/>
  <c r="M937" i="1"/>
  <c r="P937" i="1" s="1"/>
  <c r="M938" i="1"/>
  <c r="M939" i="1"/>
  <c r="P939" i="1" s="1"/>
  <c r="M940" i="1"/>
  <c r="M941" i="1"/>
  <c r="M942" i="1"/>
  <c r="M943" i="1"/>
  <c r="M944" i="1"/>
  <c r="P944" i="1" s="1"/>
  <c r="M945" i="1"/>
  <c r="P945" i="1" s="1"/>
  <c r="M946" i="1"/>
  <c r="P946" i="1" s="1"/>
  <c r="M947" i="1"/>
  <c r="M948" i="1"/>
  <c r="M949" i="1"/>
  <c r="M950" i="1"/>
  <c r="M951" i="1"/>
  <c r="M952" i="1"/>
  <c r="P952" i="1" s="1"/>
  <c r="M953" i="1"/>
  <c r="P953" i="1" s="1"/>
  <c r="M954" i="1"/>
  <c r="P954" i="1" s="1"/>
  <c r="M955" i="1"/>
  <c r="M956" i="1"/>
  <c r="M957" i="1"/>
  <c r="M958" i="1"/>
  <c r="M959" i="1"/>
  <c r="M960" i="1"/>
  <c r="P960" i="1" s="1"/>
  <c r="M961" i="1"/>
  <c r="P961" i="1" s="1"/>
  <c r="M962" i="1"/>
  <c r="P962" i="1" s="1"/>
  <c r="M963" i="1"/>
  <c r="P963" i="1" s="1"/>
  <c r="M964" i="1"/>
  <c r="M965" i="1"/>
  <c r="M966" i="1"/>
  <c r="M967" i="1"/>
  <c r="M968" i="1"/>
  <c r="P968" i="1" s="1"/>
  <c r="M969" i="1"/>
  <c r="P969" i="1" s="1"/>
  <c r="M970" i="1"/>
  <c r="M971" i="1"/>
  <c r="P971" i="1" s="1"/>
  <c r="M972" i="1"/>
  <c r="M973" i="1"/>
  <c r="M974" i="1"/>
  <c r="M975" i="1"/>
  <c r="M976" i="1"/>
  <c r="P976" i="1" s="1"/>
  <c r="M977" i="1"/>
  <c r="P977" i="1" s="1"/>
  <c r="M978" i="1"/>
  <c r="M979" i="1"/>
  <c r="P979" i="1" s="1"/>
  <c r="M980" i="1"/>
  <c r="M981" i="1"/>
  <c r="M982" i="1"/>
  <c r="M983" i="1"/>
  <c r="M984" i="1"/>
  <c r="P984" i="1" s="1"/>
  <c r="M985" i="1"/>
  <c r="P985" i="1" s="1"/>
  <c r="M986" i="1"/>
  <c r="M987" i="1"/>
  <c r="P987" i="1" s="1"/>
  <c r="M988" i="1"/>
  <c r="M989" i="1"/>
  <c r="M990" i="1"/>
  <c r="M991" i="1"/>
  <c r="M992" i="1"/>
  <c r="P992" i="1" s="1"/>
  <c r="M993" i="1"/>
  <c r="P993" i="1" s="1"/>
  <c r="M994" i="1"/>
  <c r="P994" i="1" s="1"/>
  <c r="M995" i="1"/>
  <c r="P995" i="1" s="1"/>
  <c r="M996" i="1"/>
  <c r="M997" i="1"/>
  <c r="M998" i="1"/>
  <c r="M999" i="1"/>
  <c r="M1000" i="1"/>
  <c r="P1000" i="1" s="1"/>
  <c r="M1001" i="1"/>
  <c r="P1001" i="1" s="1"/>
  <c r="M1002" i="1"/>
  <c r="M1003" i="1"/>
  <c r="M1004" i="1"/>
  <c r="M1005" i="1"/>
  <c r="M1006" i="1"/>
  <c r="M1007" i="1"/>
  <c r="M1008" i="1"/>
  <c r="P1008" i="1" s="1"/>
  <c r="M1009" i="1"/>
  <c r="P1009" i="1" s="1"/>
  <c r="M1010" i="1"/>
  <c r="P1010" i="1" s="1"/>
  <c r="M1011" i="1"/>
  <c r="M1012" i="1"/>
  <c r="M1013" i="1"/>
  <c r="M1014" i="1"/>
  <c r="M1015" i="1"/>
  <c r="P1015" i="1" s="1"/>
  <c r="M1016" i="1"/>
  <c r="P1016" i="1" s="1"/>
  <c r="M1017" i="1"/>
  <c r="P1017" i="1" s="1"/>
  <c r="M1018" i="1"/>
  <c r="M1019" i="1"/>
  <c r="M1020" i="1"/>
  <c r="M1021" i="1"/>
  <c r="M1022" i="1"/>
  <c r="P1022" i="1" s="1"/>
  <c r="M1023" i="1"/>
  <c r="P1023" i="1" s="1"/>
  <c r="M1024" i="1"/>
  <c r="P1024" i="1" s="1"/>
  <c r="M1025" i="1"/>
  <c r="P1025" i="1" s="1"/>
  <c r="M1026" i="1"/>
  <c r="M1027" i="1"/>
  <c r="M1028" i="1"/>
  <c r="M1029" i="1"/>
  <c r="M1030" i="1"/>
  <c r="P1030" i="1" s="1"/>
  <c r="M1031" i="1"/>
  <c r="P1031" i="1" s="1"/>
  <c r="M1032" i="1"/>
  <c r="P1032" i="1" s="1"/>
  <c r="M1033" i="1"/>
  <c r="P1033" i="1" s="1"/>
  <c r="M1034" i="1"/>
  <c r="M1035" i="1"/>
  <c r="M1036" i="1"/>
  <c r="M1037" i="1"/>
  <c r="M1038" i="1"/>
  <c r="P1038" i="1" s="1"/>
  <c r="M1039" i="1"/>
  <c r="P1039" i="1" s="1"/>
  <c r="M1040" i="1"/>
  <c r="P1040" i="1" s="1"/>
  <c r="M1041" i="1"/>
  <c r="P1041" i="1" s="1"/>
  <c r="M1042" i="1"/>
  <c r="M1043" i="1"/>
  <c r="M1044" i="1"/>
  <c r="M1045" i="1"/>
  <c r="M1046" i="1"/>
  <c r="P1046" i="1" s="1"/>
  <c r="M1047" i="1"/>
  <c r="P1047" i="1" s="1"/>
  <c r="M1048" i="1"/>
  <c r="M1049" i="1"/>
  <c r="M1050" i="1"/>
  <c r="M1051" i="1"/>
  <c r="M1052" i="1"/>
  <c r="P1052" i="1" s="1"/>
  <c r="M1053" i="1"/>
  <c r="P1053" i="1" s="1"/>
  <c r="M1054" i="1"/>
  <c r="P1054" i="1" s="1"/>
  <c r="M1055" i="1"/>
  <c r="P1055" i="1" s="1"/>
  <c r="M1056" i="1"/>
  <c r="M1057" i="1"/>
  <c r="P1057" i="1" s="1"/>
  <c r="M1058" i="1"/>
  <c r="M1059" i="1"/>
  <c r="M1060" i="1"/>
  <c r="P1060" i="1" s="1"/>
  <c r="M1061" i="1"/>
  <c r="P1061" i="1" s="1"/>
  <c r="M1062" i="1"/>
  <c r="P1062" i="1" s="1"/>
  <c r="M1063" i="1"/>
  <c r="P1063" i="1" s="1"/>
  <c r="M1064" i="1"/>
  <c r="M1065" i="1"/>
  <c r="P1065" i="1" s="1"/>
  <c r="M1066" i="1"/>
  <c r="M1067" i="1"/>
  <c r="M1068" i="1"/>
  <c r="P1068" i="1" s="1"/>
  <c r="M1069" i="1"/>
  <c r="P1069" i="1" s="1"/>
  <c r="M1070" i="1"/>
  <c r="M1071" i="1"/>
  <c r="M1072" i="1"/>
  <c r="P1072" i="1" s="1"/>
  <c r="M1073" i="1"/>
  <c r="M1074" i="1"/>
  <c r="M1075" i="1"/>
  <c r="M1076" i="1"/>
  <c r="P1076" i="1" s="1"/>
  <c r="M1077" i="1"/>
  <c r="M1078" i="1"/>
  <c r="P1078" i="1" s="1"/>
  <c r="M1079" i="1"/>
  <c r="P1079" i="1" s="1"/>
  <c r="M1080" i="1"/>
  <c r="M1081" i="1"/>
  <c r="M1082" i="1"/>
  <c r="M1083" i="1"/>
  <c r="M1084" i="1"/>
  <c r="M1085" i="1"/>
  <c r="M1086" i="1"/>
  <c r="P1086" i="1" s="1"/>
  <c r="M1087" i="1"/>
  <c r="M1088" i="1"/>
  <c r="M1089" i="1"/>
  <c r="M1090" i="1"/>
  <c r="M1091" i="1"/>
  <c r="M1092" i="1"/>
  <c r="M1093" i="1"/>
  <c r="P1093" i="1" s="1"/>
  <c r="M1094" i="1"/>
  <c r="M1095" i="1"/>
  <c r="M1096" i="1"/>
  <c r="M1097" i="1"/>
  <c r="M1098" i="1"/>
  <c r="M1099" i="1"/>
  <c r="M1100" i="1"/>
  <c r="P1100" i="1" s="1"/>
  <c r="M1101" i="1"/>
  <c r="P1101" i="1" s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P1117" i="1" s="1"/>
  <c r="M1118" i="1"/>
  <c r="P1118" i="1" s="1"/>
  <c r="M1119" i="1"/>
  <c r="P1119" i="1" s="1"/>
  <c r="M1120" i="1"/>
  <c r="P1120" i="1" s="1"/>
  <c r="M1121" i="1"/>
  <c r="M1122" i="1"/>
  <c r="M1123" i="1"/>
  <c r="M1124" i="1"/>
  <c r="M1125" i="1"/>
  <c r="P1125" i="1" s="1"/>
  <c r="M1126" i="1"/>
  <c r="P1126" i="1" s="1"/>
  <c r="M1127" i="1"/>
  <c r="P1127" i="1" s="1"/>
  <c r="M1128" i="1"/>
  <c r="P1128" i="1" s="1"/>
  <c r="M1129" i="1"/>
  <c r="M1130" i="1"/>
  <c r="M1131" i="1"/>
  <c r="M1132" i="1"/>
  <c r="P1132" i="1" s="1"/>
  <c r="M1133" i="1"/>
  <c r="P1133" i="1" s="1"/>
  <c r="M1134" i="1"/>
  <c r="P1134" i="1" s="1"/>
  <c r="M1135" i="1"/>
  <c r="P1135" i="1" s="1"/>
  <c r="M1136" i="1"/>
  <c r="P1136" i="1" s="1"/>
  <c r="M1137" i="1"/>
  <c r="M1138" i="1"/>
  <c r="M1139" i="1"/>
  <c r="M1140" i="1"/>
  <c r="P1140" i="1" s="1"/>
  <c r="M1141" i="1"/>
  <c r="P1141" i="1" s="1"/>
  <c r="M1142" i="1"/>
  <c r="P1142" i="1" s="1"/>
  <c r="M1143" i="1"/>
  <c r="P1143" i="1" s="1"/>
  <c r="M1144" i="1"/>
  <c r="P1144" i="1" s="1"/>
  <c r="M1145" i="1"/>
  <c r="M1146" i="1"/>
  <c r="M1147" i="1"/>
  <c r="M1148" i="1"/>
  <c r="P1148" i="1" s="1"/>
  <c r="M1149" i="1"/>
  <c r="P1149" i="1" s="1"/>
  <c r="M1150" i="1"/>
  <c r="P1150" i="1" s="1"/>
  <c r="M1151" i="1"/>
  <c r="P1151" i="1" s="1"/>
  <c r="M1152" i="1"/>
  <c r="P1152" i="1" s="1"/>
  <c r="M1153" i="1"/>
  <c r="M1154" i="1"/>
  <c r="M1155" i="1"/>
  <c r="M1156" i="1"/>
  <c r="M1157" i="1"/>
  <c r="P1157" i="1" s="1"/>
  <c r="M1158" i="1"/>
  <c r="P1158" i="1" s="1"/>
  <c r="M1159" i="1"/>
  <c r="P1159" i="1" s="1"/>
  <c r="M1160" i="1"/>
  <c r="P1160" i="1" s="1"/>
  <c r="M1161" i="1"/>
  <c r="M1162" i="1"/>
  <c r="M1163" i="1"/>
  <c r="M1164" i="1"/>
  <c r="P1164" i="1" s="1"/>
  <c r="M1165" i="1"/>
  <c r="P1165" i="1" s="1"/>
  <c r="M1166" i="1"/>
  <c r="M1167" i="1"/>
  <c r="P1167" i="1" s="1"/>
  <c r="M1168" i="1"/>
  <c r="P1168" i="1" s="1"/>
  <c r="M1169" i="1"/>
  <c r="M1170" i="1"/>
  <c r="M1171" i="1"/>
  <c r="M1172" i="1"/>
  <c r="P1172" i="1" s="1"/>
  <c r="M1173" i="1"/>
  <c r="P1173" i="1" s="1"/>
  <c r="M1174" i="1"/>
  <c r="M1175" i="1"/>
  <c r="M1176" i="1"/>
  <c r="P1176" i="1" s="1"/>
  <c r="M1177" i="1"/>
  <c r="M1178" i="1"/>
  <c r="M1179" i="1"/>
  <c r="M1180" i="1"/>
  <c r="M1181" i="1"/>
  <c r="P1181" i="1" s="1"/>
  <c r="M1182" i="1"/>
  <c r="P1182" i="1" s="1"/>
  <c r="M1183" i="1"/>
  <c r="P1183" i="1" s="1"/>
  <c r="M1184" i="1"/>
  <c r="P1184" i="1" s="1"/>
  <c r="M1185" i="1"/>
  <c r="M1186" i="1"/>
  <c r="M1187" i="1"/>
  <c r="M1188" i="1"/>
  <c r="M1189" i="1"/>
  <c r="P1189" i="1" s="1"/>
  <c r="M1190" i="1"/>
  <c r="M1191" i="1"/>
  <c r="P1191" i="1" s="1"/>
  <c r="M1192" i="1"/>
  <c r="P1192" i="1" s="1"/>
  <c r="M1193" i="1"/>
  <c r="M1194" i="1"/>
  <c r="M1195" i="1"/>
  <c r="M1196" i="1"/>
  <c r="P1196" i="1" s="1"/>
  <c r="M1197" i="1"/>
  <c r="P1197" i="1" s="1"/>
  <c r="M1198" i="1"/>
  <c r="M1199" i="1"/>
  <c r="P1199" i="1" s="1"/>
  <c r="M1200" i="1"/>
  <c r="P1200" i="1" s="1"/>
  <c r="M1201" i="1"/>
  <c r="M1202" i="1"/>
  <c r="M1203" i="1"/>
  <c r="M1204" i="1"/>
  <c r="P1204" i="1" s="1"/>
  <c r="M1205" i="1"/>
  <c r="P1205" i="1" s="1"/>
  <c r="M1206" i="1"/>
  <c r="P1206" i="1" s="1"/>
  <c r="M1207" i="1"/>
  <c r="P1207" i="1" s="1"/>
  <c r="M1208" i="1"/>
  <c r="M1209" i="1"/>
  <c r="M1210" i="1"/>
  <c r="M1211" i="1"/>
  <c r="P1211" i="1" s="1"/>
  <c r="M1212" i="1"/>
  <c r="P1212" i="1" s="1"/>
  <c r="M1213" i="1"/>
  <c r="P1213" i="1" s="1"/>
  <c r="M1214" i="1"/>
  <c r="M1215" i="1"/>
  <c r="P1215" i="1" s="1"/>
  <c r="M1216" i="1"/>
  <c r="M1217" i="1"/>
  <c r="M1218" i="1"/>
  <c r="M1219" i="1"/>
  <c r="P1219" i="1" s="1"/>
  <c r="M1220" i="1"/>
  <c r="P1220" i="1" s="1"/>
  <c r="M1221" i="1"/>
  <c r="P1221" i="1" s="1"/>
  <c r="M1222" i="1"/>
  <c r="M1223" i="1"/>
  <c r="P1223" i="1" s="1"/>
  <c r="M1224" i="1"/>
  <c r="M1225" i="1"/>
  <c r="M1226" i="1"/>
  <c r="M1227" i="1"/>
  <c r="P1227" i="1" s="1"/>
  <c r="M1228" i="1"/>
  <c r="P1228" i="1" s="1"/>
  <c r="M1229" i="1"/>
  <c r="P1229" i="1" s="1"/>
  <c r="M1230" i="1"/>
  <c r="M1231" i="1"/>
  <c r="P1231" i="1" s="1"/>
  <c r="M1232" i="1"/>
  <c r="M1233" i="1"/>
  <c r="M1234" i="1"/>
  <c r="M1235" i="1"/>
  <c r="P1235" i="1" s="1"/>
  <c r="M1236" i="1"/>
  <c r="P1236" i="1" s="1"/>
  <c r="M1237" i="1"/>
  <c r="P1237" i="1" s="1"/>
  <c r="M1238" i="1"/>
  <c r="M1239" i="1"/>
  <c r="M1240" i="1"/>
  <c r="M1241" i="1"/>
  <c r="M1242" i="1"/>
  <c r="M1243" i="1"/>
  <c r="P1243" i="1" s="1"/>
  <c r="M1244" i="1"/>
  <c r="M1245" i="1"/>
  <c r="M1246" i="1"/>
  <c r="M1247" i="1"/>
  <c r="P1247" i="1" s="1"/>
  <c r="M1248" i="1"/>
  <c r="M1249" i="1"/>
  <c r="M1250" i="1"/>
  <c r="P1250" i="1" s="1"/>
  <c r="M1251" i="1"/>
  <c r="P1251" i="1" s="1"/>
  <c r="M1252" i="1"/>
  <c r="M1253" i="1"/>
  <c r="M1254" i="1"/>
  <c r="M1255" i="1"/>
  <c r="P1255" i="1" s="1"/>
  <c r="M1256" i="1"/>
  <c r="M1257" i="1"/>
  <c r="M1258" i="1"/>
  <c r="P1258" i="1" s="1"/>
  <c r="M1259" i="1"/>
  <c r="M1260" i="1"/>
  <c r="M1261" i="1"/>
  <c r="M1262" i="1"/>
  <c r="P1262" i="1" s="1"/>
  <c r="M1263" i="1"/>
  <c r="M1264" i="1"/>
  <c r="M1265" i="1"/>
  <c r="M1266" i="1"/>
  <c r="M1267" i="1"/>
  <c r="P1267" i="1" s="1"/>
  <c r="M1268" i="1"/>
  <c r="M1269" i="1"/>
  <c r="M1270" i="1"/>
  <c r="P1270" i="1" s="1"/>
  <c r="M1271" i="1"/>
  <c r="M1272" i="1"/>
  <c r="M1273" i="1"/>
  <c r="M1274" i="1"/>
  <c r="P1274" i="1" s="1"/>
  <c r="M1275" i="1"/>
  <c r="P1275" i="1" s="1"/>
  <c r="M1276" i="1"/>
  <c r="M1277" i="1"/>
  <c r="M1278" i="1"/>
  <c r="P1278" i="1" s="1"/>
  <c r="M1279" i="1"/>
  <c r="M1280" i="1"/>
  <c r="M1281" i="1"/>
  <c r="M1282" i="1"/>
  <c r="P1282" i="1" s="1"/>
  <c r="M1283" i="1"/>
  <c r="P1283" i="1" s="1"/>
  <c r="M1284" i="1"/>
  <c r="M1285" i="1"/>
  <c r="M1286" i="1"/>
  <c r="M1287" i="1"/>
  <c r="M1288" i="1"/>
  <c r="M1289" i="1"/>
  <c r="M1290" i="1"/>
  <c r="P1290" i="1" s="1"/>
  <c r="M1291" i="1"/>
  <c r="P1291" i="1" s="1"/>
  <c r="M1292" i="1"/>
  <c r="M1293" i="1"/>
  <c r="M1294" i="1"/>
  <c r="M1295" i="1"/>
  <c r="M1296" i="1"/>
  <c r="M1297" i="1"/>
  <c r="M1298" i="1"/>
  <c r="P1298" i="1" s="1"/>
  <c r="M1299" i="1"/>
  <c r="P1299" i="1" s="1"/>
  <c r="M1300" i="1"/>
  <c r="M1301" i="1"/>
  <c r="M1302" i="1"/>
  <c r="M1303" i="1"/>
  <c r="M1304" i="1"/>
  <c r="M1305" i="1"/>
  <c r="M1306" i="1"/>
  <c r="P1306" i="1" s="1"/>
  <c r="M1307" i="1"/>
  <c r="M1308" i="1"/>
  <c r="M1309" i="1"/>
  <c r="M1310" i="1"/>
  <c r="M1311" i="1"/>
  <c r="M1312" i="1"/>
  <c r="M1313" i="1"/>
  <c r="P1313" i="1" s="1"/>
  <c r="M1314" i="1"/>
  <c r="P1314" i="1" s="1"/>
  <c r="M1315" i="1"/>
  <c r="M1316" i="1"/>
  <c r="M1317" i="1"/>
  <c r="P1317" i="1" s="1"/>
  <c r="M1318" i="1"/>
  <c r="M1319" i="1"/>
  <c r="M1320" i="1"/>
  <c r="M1321" i="1"/>
  <c r="P1321" i="1" s="1"/>
  <c r="M1322" i="1"/>
  <c r="M1323" i="1"/>
  <c r="M1324" i="1"/>
  <c r="M1325" i="1"/>
  <c r="P1325" i="1" s="1"/>
  <c r="M1326" i="1"/>
  <c r="M1327" i="1"/>
  <c r="M1328" i="1"/>
  <c r="M1329" i="1"/>
  <c r="P1329" i="1" s="1"/>
  <c r="M1330" i="1"/>
  <c r="M1331" i="1"/>
  <c r="M1332" i="1"/>
  <c r="M1333" i="1"/>
  <c r="P1333" i="1" s="1"/>
  <c r="M1334" i="1"/>
  <c r="M1335" i="1"/>
  <c r="M1336" i="1"/>
  <c r="M1337" i="1"/>
  <c r="P1337" i="1" s="1"/>
  <c r="M1338" i="1"/>
  <c r="M1339" i="1"/>
  <c r="M1340" i="1"/>
  <c r="M1341" i="1"/>
  <c r="P1341" i="1" s="1"/>
  <c r="M1342" i="1"/>
  <c r="M1343" i="1"/>
  <c r="M1344" i="1"/>
  <c r="M1345" i="1"/>
  <c r="P1345" i="1" s="1"/>
  <c r="M1346" i="1"/>
  <c r="M1347" i="1"/>
  <c r="M1348" i="1"/>
  <c r="M1349" i="1"/>
  <c r="P1349" i="1" s="1"/>
  <c r="M1350" i="1"/>
  <c r="M1351" i="1"/>
  <c r="M1352" i="1"/>
  <c r="M1353" i="1"/>
  <c r="P1353" i="1" s="1"/>
  <c r="M1354" i="1"/>
  <c r="M1355" i="1"/>
  <c r="M1356" i="1"/>
  <c r="P1356" i="1" s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P1369" i="1" s="1"/>
  <c r="M1370" i="1"/>
  <c r="M1371" i="1"/>
  <c r="M1372" i="1"/>
  <c r="P1372" i="1" s="1"/>
  <c r="M1373" i="1"/>
  <c r="M1374" i="1"/>
  <c r="M1375" i="1"/>
  <c r="M1376" i="1"/>
  <c r="M1377" i="1"/>
  <c r="M1378" i="1"/>
  <c r="M1379" i="1"/>
  <c r="M1380" i="1"/>
  <c r="P1380" i="1" s="1"/>
  <c r="M1381" i="1"/>
  <c r="M1382" i="1"/>
  <c r="M1383" i="1"/>
  <c r="M1384" i="1"/>
  <c r="M1385" i="1"/>
  <c r="M1386" i="1"/>
  <c r="M1387" i="1"/>
  <c r="M1388" i="1"/>
  <c r="P1388" i="1" s="1"/>
  <c r="M1389" i="1"/>
  <c r="M1390" i="1"/>
  <c r="M1391" i="1"/>
  <c r="M1392" i="1"/>
  <c r="M1393" i="1"/>
  <c r="M1394" i="1"/>
  <c r="M1395" i="1"/>
  <c r="M1396" i="1"/>
  <c r="P1396" i="1" s="1"/>
  <c r="M1397" i="1"/>
  <c r="M1398" i="1"/>
  <c r="M1399" i="1"/>
  <c r="M1400" i="1"/>
  <c r="P1400" i="1" s="1"/>
  <c r="M1401" i="1"/>
  <c r="P1401" i="1" s="1"/>
  <c r="M1402" i="1"/>
  <c r="M1403" i="1"/>
  <c r="M1404" i="1"/>
  <c r="M1405" i="1"/>
  <c r="M1406" i="1"/>
  <c r="M1407" i="1"/>
  <c r="M1408" i="1"/>
  <c r="P1408" i="1" s="1"/>
  <c r="M1409" i="1"/>
  <c r="P1409" i="1" s="1"/>
  <c r="M1410" i="1"/>
  <c r="M1411" i="1"/>
  <c r="M1412" i="1"/>
  <c r="M1413" i="1"/>
  <c r="M1414" i="1"/>
  <c r="M1415" i="1"/>
  <c r="M1416" i="1"/>
  <c r="P1416" i="1" s="1"/>
  <c r="M1417" i="1"/>
  <c r="P1417" i="1" s="1"/>
  <c r="M1418" i="1"/>
  <c r="M1419" i="1"/>
  <c r="M1420" i="1"/>
  <c r="P1420" i="1" s="1"/>
  <c r="M1421" i="1"/>
  <c r="M1422" i="1"/>
  <c r="M1423" i="1"/>
  <c r="M1424" i="1"/>
  <c r="P1424" i="1" s="1"/>
  <c r="M1425" i="1"/>
  <c r="P1425" i="1" s="1"/>
  <c r="M1426" i="1"/>
  <c r="P1426" i="1" s="1"/>
  <c r="M1427" i="1"/>
  <c r="M1428" i="1"/>
  <c r="M1429" i="1"/>
  <c r="M1430" i="1"/>
  <c r="M1431" i="1"/>
  <c r="M1432" i="1"/>
  <c r="P1432" i="1" s="1"/>
  <c r="M1433" i="1"/>
  <c r="P1433" i="1" s="1"/>
  <c r="M1434" i="1"/>
  <c r="P1434" i="1" s="1"/>
  <c r="M1435" i="1"/>
  <c r="M1436" i="1"/>
  <c r="M1437" i="1"/>
  <c r="M1438" i="1"/>
  <c r="M1439" i="1"/>
  <c r="M1440" i="1"/>
  <c r="P1440" i="1" s="1"/>
  <c r="M1441" i="1"/>
  <c r="P1441" i="1" s="1"/>
  <c r="M1442" i="1"/>
  <c r="M1443" i="1"/>
  <c r="M1444" i="1"/>
  <c r="M1445" i="1"/>
  <c r="M1446" i="1"/>
  <c r="M1447" i="1"/>
  <c r="M1448" i="1"/>
  <c r="P1448" i="1" s="1"/>
  <c r="M1449" i="1"/>
  <c r="P1449" i="1" s="1"/>
  <c r="M1450" i="1"/>
  <c r="M1451" i="1"/>
  <c r="M1452" i="1"/>
  <c r="M1453" i="1"/>
  <c r="M1454" i="1"/>
  <c r="M1455" i="1"/>
  <c r="M1456" i="1"/>
  <c r="P1456" i="1" s="1"/>
  <c r="M1457" i="1"/>
  <c r="P1457" i="1" s="1"/>
  <c r="M1458" i="1"/>
  <c r="M1459" i="1"/>
  <c r="M1460" i="1"/>
  <c r="M1461" i="1"/>
  <c r="M1462" i="1"/>
  <c r="M1463" i="1"/>
  <c r="M1464" i="1"/>
  <c r="P1464" i="1" s="1"/>
  <c r="M1465" i="1"/>
  <c r="P1465" i="1" s="1"/>
  <c r="M1466" i="1"/>
  <c r="P1466" i="1" s="1"/>
  <c r="M1467" i="1"/>
  <c r="M1468" i="1"/>
  <c r="M1469" i="1"/>
  <c r="M1470" i="1"/>
  <c r="M1471" i="1"/>
  <c r="M1472" i="1"/>
  <c r="P1472" i="1" s="1"/>
  <c r="M1473" i="1"/>
  <c r="P1473" i="1" s="1"/>
  <c r="M1474" i="1"/>
  <c r="P1474" i="1" s="1"/>
  <c r="M1475" i="1"/>
  <c r="M1476" i="1"/>
  <c r="M1477" i="1"/>
  <c r="M1478" i="1"/>
  <c r="M1479" i="1"/>
  <c r="M1480" i="1"/>
  <c r="P1480" i="1" s="1"/>
  <c r="M1481" i="1"/>
  <c r="P1481" i="1" s="1"/>
  <c r="M1482" i="1"/>
  <c r="P1482" i="1" s="1"/>
  <c r="M1483" i="1"/>
  <c r="M1484" i="1"/>
  <c r="M1485" i="1"/>
  <c r="M1486" i="1"/>
  <c r="M1487" i="1"/>
  <c r="M1488" i="1"/>
  <c r="P1488" i="1" s="1"/>
  <c r="M1489" i="1"/>
  <c r="P1489" i="1" s="1"/>
  <c r="M1490" i="1"/>
  <c r="M1491" i="1"/>
  <c r="M1492" i="1"/>
  <c r="M1493" i="1"/>
  <c r="M1494" i="1"/>
  <c r="M1495" i="1"/>
  <c r="M1496" i="1"/>
  <c r="P1496" i="1" s="1"/>
  <c r="M1497" i="1"/>
  <c r="P1497" i="1" s="1"/>
  <c r="M1498" i="1"/>
  <c r="M1499" i="1"/>
  <c r="M1500" i="1"/>
  <c r="P1500" i="1" s="1"/>
  <c r="M1501" i="1"/>
  <c r="M1502" i="1"/>
  <c r="M1503" i="1"/>
  <c r="P1503" i="1" s="1"/>
  <c r="M1504" i="1"/>
  <c r="P1504" i="1" s="1"/>
  <c r="M1505" i="1"/>
  <c r="P1505" i="1" s="1"/>
  <c r="M1506" i="1"/>
  <c r="M1507" i="1"/>
  <c r="M1508" i="1"/>
  <c r="M1509" i="1"/>
  <c r="M1510" i="1"/>
  <c r="M1511" i="1"/>
  <c r="P1511" i="1" s="1"/>
  <c r="M1512" i="1"/>
  <c r="P1512" i="1" s="1"/>
  <c r="M1513" i="1"/>
  <c r="P1513" i="1" s="1"/>
  <c r="M1514" i="1"/>
  <c r="M1515" i="1"/>
  <c r="M1516" i="1"/>
  <c r="M1517" i="1"/>
  <c r="M1518" i="1"/>
  <c r="M1519" i="1"/>
  <c r="P1519" i="1" s="1"/>
  <c r="M1520" i="1"/>
  <c r="P1520" i="1" s="1"/>
  <c r="M1521" i="1"/>
  <c r="P1521" i="1" s="1"/>
  <c r="M1522" i="1"/>
  <c r="M1523" i="1"/>
  <c r="M1524" i="1"/>
  <c r="M1525" i="1"/>
  <c r="M1526" i="1"/>
  <c r="M1527" i="1"/>
  <c r="P1527" i="1" s="1"/>
  <c r="M1528" i="1"/>
  <c r="P1528" i="1" s="1"/>
  <c r="M1529" i="1"/>
  <c r="M1530" i="1"/>
  <c r="M1531" i="1"/>
  <c r="M1532" i="1"/>
  <c r="M1533" i="1"/>
  <c r="M1534" i="1"/>
  <c r="P1534" i="1" s="1"/>
  <c r="M1535" i="1"/>
  <c r="P1535" i="1" s="1"/>
  <c r="M1536" i="1"/>
  <c r="P1536" i="1" s="1"/>
  <c r="M1537" i="1"/>
  <c r="M1538" i="1"/>
  <c r="M1539" i="1"/>
  <c r="M1540" i="1"/>
  <c r="M1541" i="1"/>
  <c r="M1542" i="1"/>
  <c r="P1542" i="1" s="1"/>
  <c r="M1543" i="1"/>
  <c r="M1544" i="1"/>
  <c r="P1544" i="1" s="1"/>
  <c r="M1545" i="1"/>
  <c r="M1546" i="1"/>
  <c r="M1547" i="1"/>
  <c r="M1548" i="1"/>
  <c r="M1549" i="1"/>
  <c r="M1550" i="1"/>
  <c r="M1551" i="1"/>
  <c r="M1552" i="1"/>
  <c r="P1552" i="1" s="1"/>
  <c r="M1553" i="1"/>
  <c r="M1554" i="1"/>
  <c r="M1555" i="1"/>
  <c r="M1556" i="1"/>
  <c r="M1557" i="1"/>
  <c r="M1558" i="1"/>
  <c r="P1558" i="1" s="1"/>
  <c r="M1559" i="1"/>
  <c r="M1560" i="1"/>
  <c r="P1560" i="1" s="1"/>
  <c r="M1561" i="1"/>
  <c r="M1562" i="1"/>
  <c r="M1563" i="1"/>
  <c r="M1564" i="1"/>
  <c r="M1565" i="1"/>
  <c r="M1566" i="1"/>
  <c r="P1566" i="1" s="1"/>
  <c r="M1567" i="1"/>
  <c r="M1568" i="1"/>
  <c r="P1568" i="1" s="1"/>
  <c r="M1569" i="1"/>
  <c r="M1570" i="1"/>
  <c r="M1571" i="1"/>
  <c r="M1572" i="1"/>
  <c r="M1573" i="1"/>
  <c r="M1574" i="1"/>
  <c r="P1574" i="1" s="1"/>
  <c r="M1575" i="1"/>
  <c r="M1576" i="1"/>
  <c r="P1576" i="1" s="1"/>
  <c r="M1577" i="1"/>
  <c r="M1578" i="1"/>
  <c r="M1579" i="1"/>
  <c r="M1580" i="1"/>
  <c r="M1581" i="1"/>
  <c r="M1582" i="1"/>
  <c r="P1582" i="1" s="1"/>
  <c r="M1583" i="1"/>
  <c r="M1584" i="1"/>
  <c r="P1584" i="1" s="1"/>
  <c r="M1585" i="1"/>
  <c r="M1586" i="1"/>
  <c r="M1587" i="1"/>
  <c r="M1588" i="1"/>
  <c r="M1589" i="1"/>
  <c r="M1590" i="1"/>
  <c r="P1590" i="1" s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P1614" i="1" s="1"/>
  <c r="M1615" i="1"/>
  <c r="P1615" i="1" s="1"/>
  <c r="M1616" i="1"/>
  <c r="M1617" i="1"/>
  <c r="M1618" i="1"/>
  <c r="M1619" i="1"/>
  <c r="M1620" i="1"/>
  <c r="M1621" i="1"/>
  <c r="M1622" i="1"/>
  <c r="M1623" i="1"/>
  <c r="P1623" i="1" s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P1639" i="1" s="1"/>
  <c r="M1640" i="1"/>
  <c r="M1641" i="1"/>
  <c r="P1641" i="1" s="1"/>
  <c r="M1642" i="1"/>
  <c r="M1643" i="1"/>
  <c r="M1644" i="1"/>
  <c r="M1645" i="1"/>
  <c r="M1646" i="1"/>
  <c r="M1647" i="1"/>
  <c r="M1648" i="1"/>
  <c r="M1649" i="1"/>
  <c r="P1649" i="1" s="1"/>
  <c r="M1650" i="1"/>
  <c r="M1651" i="1"/>
  <c r="M1652" i="1"/>
  <c r="M1653" i="1"/>
  <c r="M1654" i="1"/>
  <c r="M1655" i="1"/>
  <c r="P1655" i="1" s="1"/>
  <c r="M1656" i="1"/>
  <c r="M1657" i="1"/>
  <c r="P1657" i="1" s="1"/>
  <c r="M1658" i="1"/>
  <c r="M1659" i="1"/>
  <c r="M1660" i="1"/>
  <c r="M1661" i="1"/>
  <c r="M1662" i="1"/>
  <c r="M1663" i="1"/>
  <c r="P1663" i="1" s="1"/>
  <c r="M1664" i="1"/>
  <c r="M1665" i="1"/>
  <c r="P1665" i="1" s="1"/>
  <c r="M1666" i="1"/>
  <c r="M1667" i="1"/>
  <c r="M1668" i="1"/>
  <c r="M1669" i="1"/>
  <c r="M1670" i="1"/>
  <c r="M1671" i="1"/>
  <c r="M1672" i="1"/>
  <c r="M1673" i="1"/>
  <c r="P1673" i="1" s="1"/>
  <c r="M1674" i="1"/>
  <c r="M1675" i="1"/>
  <c r="M1676" i="1"/>
  <c r="M1677" i="1"/>
  <c r="M1678" i="1"/>
  <c r="P1678" i="1" s="1"/>
  <c r="M1679" i="1"/>
  <c r="P1679" i="1" s="1"/>
  <c r="M1680" i="1"/>
  <c r="M1681" i="1"/>
  <c r="P1681" i="1" s="1"/>
  <c r="M1682" i="1"/>
  <c r="M1683" i="1"/>
  <c r="M1684" i="1"/>
  <c r="M1685" i="1"/>
  <c r="M1686" i="1"/>
  <c r="P1686" i="1" s="1"/>
  <c r="M1687" i="1"/>
  <c r="M1688" i="1"/>
  <c r="M1689" i="1"/>
  <c r="M1690" i="1"/>
  <c r="M1691" i="1"/>
  <c r="M1692" i="1"/>
  <c r="M1693" i="1"/>
  <c r="M1694" i="1"/>
  <c r="M1695" i="1"/>
  <c r="M1696" i="1"/>
  <c r="M1697" i="1"/>
  <c r="P1697" i="1" s="1"/>
  <c r="M1698" i="1"/>
  <c r="M1699" i="1"/>
  <c r="M1700" i="1"/>
  <c r="M1701" i="1"/>
  <c r="P1701" i="1" s="1"/>
  <c r="M1702" i="1"/>
  <c r="P1702" i="1" s="1"/>
  <c r="M1703" i="1"/>
  <c r="M1704" i="1"/>
  <c r="M1705" i="1"/>
  <c r="P1705" i="1" s="1"/>
  <c r="M1706" i="1"/>
  <c r="M1707" i="1"/>
  <c r="M1708" i="1"/>
  <c r="M1709" i="1"/>
  <c r="P1709" i="1" s="1"/>
  <c r="M1710" i="1"/>
  <c r="P1710" i="1" s="1"/>
  <c r="M1711" i="1"/>
  <c r="M1712" i="1"/>
  <c r="M1713" i="1"/>
  <c r="P1713" i="1" s="1"/>
  <c r="M1714" i="1"/>
  <c r="M1715" i="1"/>
  <c r="M1716" i="1"/>
  <c r="M1717" i="1"/>
  <c r="P1717" i="1" s="1"/>
  <c r="M1718" i="1"/>
  <c r="P1718" i="1" s="1"/>
  <c r="M1719" i="1"/>
  <c r="M1720" i="1"/>
  <c r="M1721" i="1"/>
  <c r="P1721" i="1" s="1"/>
  <c r="M1722" i="1"/>
  <c r="M1723" i="1"/>
  <c r="M1724" i="1"/>
  <c r="P1724" i="1" s="1"/>
  <c r="M1725" i="1"/>
  <c r="P1725" i="1" s="1"/>
  <c r="M1726" i="1"/>
  <c r="M1727" i="1"/>
  <c r="P1727" i="1" s="1"/>
  <c r="M1728" i="1"/>
  <c r="P1728" i="1" s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P1741" i="1" s="1"/>
  <c r="M1742" i="1"/>
  <c r="M1743" i="1"/>
  <c r="P1743" i="1" s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P1755" i="1" s="1"/>
  <c r="M1756" i="1"/>
  <c r="P1756" i="1" s="1"/>
  <c r="M1757" i="1"/>
  <c r="P1757" i="1" s="1"/>
  <c r="M1758" i="1"/>
  <c r="M1759" i="1"/>
  <c r="M1760" i="1"/>
  <c r="M1761" i="1"/>
  <c r="M1762" i="1"/>
  <c r="M1763" i="1"/>
  <c r="P1763" i="1" s="1"/>
  <c r="M1764" i="1"/>
  <c r="P1764" i="1" s="1"/>
  <c r="M1765" i="1"/>
  <c r="P1765" i="1" s="1"/>
  <c r="M1766" i="1"/>
  <c r="M1767" i="1"/>
  <c r="M1768" i="1"/>
  <c r="M1769" i="1"/>
  <c r="M1770" i="1"/>
  <c r="M1771" i="1"/>
  <c r="P1771" i="1" s="1"/>
  <c r="M1772" i="1"/>
  <c r="P1772" i="1" s="1"/>
  <c r="M1773" i="1"/>
  <c r="P1773" i="1" s="1"/>
  <c r="M1774" i="1"/>
  <c r="M1775" i="1"/>
  <c r="M1776" i="1"/>
  <c r="M1777" i="1"/>
  <c r="M1778" i="1"/>
  <c r="M1779" i="1"/>
  <c r="P1779" i="1" s="1"/>
  <c r="M1780" i="1"/>
  <c r="P1780" i="1" s="1"/>
  <c r="M1781" i="1"/>
  <c r="M1782" i="1"/>
  <c r="M1783" i="1"/>
  <c r="M1784" i="1"/>
  <c r="M1785" i="1"/>
  <c r="M1786" i="1"/>
  <c r="M1787" i="1"/>
  <c r="P1787" i="1" s="1"/>
  <c r="M1788" i="1"/>
  <c r="P1788" i="1" s="1"/>
  <c r="M1789" i="1"/>
  <c r="P1789" i="1" s="1"/>
  <c r="M1790" i="1"/>
  <c r="M1791" i="1"/>
  <c r="P1791" i="1" s="1"/>
  <c r="M1792" i="1"/>
  <c r="M1793" i="1"/>
  <c r="M1794" i="1"/>
  <c r="M1795" i="1"/>
  <c r="P1795" i="1" s="1"/>
  <c r="M1796" i="1"/>
  <c r="P1796" i="1" s="1"/>
  <c r="M1797" i="1"/>
  <c r="P1797" i="1" s="1"/>
  <c r="M1798" i="1"/>
  <c r="M1799" i="1"/>
  <c r="P1799" i="1" s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P1811" i="1" s="1"/>
  <c r="M1812" i="1"/>
  <c r="M1813" i="1"/>
  <c r="M1814" i="1"/>
  <c r="M1815" i="1"/>
  <c r="M1816" i="1"/>
  <c r="M1817" i="1"/>
  <c r="P1817" i="1" s="1"/>
  <c r="M1818" i="1"/>
  <c r="M1819" i="1"/>
  <c r="M1820" i="1"/>
  <c r="M1821" i="1"/>
  <c r="M1822" i="1"/>
  <c r="M1823" i="1"/>
  <c r="M1824" i="1"/>
  <c r="M1825" i="1"/>
  <c r="P1825" i="1" s="1"/>
  <c r="M1826" i="1"/>
  <c r="M1827" i="1"/>
  <c r="M1828" i="1"/>
  <c r="M1829" i="1"/>
  <c r="M1830" i="1"/>
  <c r="M1831" i="1"/>
  <c r="M1832" i="1"/>
  <c r="P1832" i="1" s="1"/>
  <c r="M1833" i="1"/>
  <c r="P1833" i="1" s="1"/>
  <c r="M1834" i="1"/>
  <c r="M1835" i="1"/>
  <c r="M1836" i="1"/>
  <c r="M1837" i="1"/>
  <c r="M1838" i="1"/>
  <c r="M1839" i="1"/>
  <c r="M1840" i="1"/>
  <c r="P1840" i="1" s="1"/>
  <c r="M1841" i="1"/>
  <c r="P1841" i="1" s="1"/>
  <c r="M1842" i="1"/>
  <c r="M1843" i="1"/>
  <c r="M1844" i="1"/>
  <c r="M1845" i="1"/>
  <c r="M1846" i="1"/>
  <c r="M1847" i="1"/>
  <c r="M1848" i="1"/>
  <c r="P1848" i="1" s="1"/>
  <c r="M1849" i="1"/>
  <c r="P1849" i="1" s="1"/>
  <c r="M1850" i="1"/>
  <c r="M1851" i="1"/>
  <c r="M1852" i="1"/>
  <c r="M1853" i="1"/>
  <c r="M1854" i="1"/>
  <c r="M1855" i="1"/>
  <c r="M1856" i="1"/>
  <c r="P1856" i="1" s="1"/>
  <c r="M1857" i="1"/>
  <c r="P1857" i="1" s="1"/>
  <c r="M1858" i="1"/>
  <c r="M1859" i="1"/>
  <c r="M1860" i="1"/>
  <c r="M1861" i="1"/>
  <c r="M1862" i="1"/>
  <c r="M1863" i="1"/>
  <c r="M1864" i="1"/>
  <c r="P1864" i="1" s="1"/>
  <c r="M1865" i="1"/>
  <c r="P1865" i="1" s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P1880" i="1" s="1"/>
  <c r="M1881" i="1"/>
  <c r="P1881" i="1" s="1"/>
  <c r="M1882" i="1"/>
  <c r="M1883" i="1"/>
  <c r="M1884" i="1"/>
  <c r="M1885" i="1"/>
  <c r="M1886" i="1"/>
  <c r="M1887" i="1"/>
  <c r="M1888" i="1"/>
  <c r="P1888" i="1" s="1"/>
  <c r="M1889" i="1"/>
  <c r="P1889" i="1" s="1"/>
  <c r="M1890" i="1"/>
  <c r="M1891" i="1"/>
  <c r="M1892" i="1"/>
  <c r="M1893" i="1"/>
  <c r="M1894" i="1"/>
  <c r="M1895" i="1"/>
  <c r="M1896" i="1"/>
  <c r="P1896" i="1" s="1"/>
  <c r="M1897" i="1"/>
  <c r="P1897" i="1" s="1"/>
  <c r="M1898" i="1"/>
  <c r="M1899" i="1"/>
  <c r="M1900" i="1"/>
  <c r="M1901" i="1"/>
  <c r="M1902" i="1"/>
  <c r="M1903" i="1"/>
  <c r="M1904" i="1"/>
  <c r="P1904" i="1" s="1"/>
  <c r="M1905" i="1"/>
  <c r="P1905" i="1" s="1"/>
  <c r="M1906" i="1"/>
  <c r="M1907" i="1"/>
  <c r="M1908" i="1"/>
  <c r="M1909" i="1"/>
  <c r="M1910" i="1"/>
  <c r="M1911" i="1"/>
  <c r="M1912" i="1"/>
  <c r="P1912" i="1" s="1"/>
  <c r="M1913" i="1"/>
  <c r="P1913" i="1" s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P1943" i="1" s="1"/>
  <c r="M1944" i="1"/>
  <c r="M1945" i="1"/>
  <c r="M1946" i="1"/>
  <c r="M1947" i="1"/>
  <c r="M1948" i="1"/>
  <c r="M1949" i="1"/>
  <c r="M1950" i="1"/>
  <c r="M1951" i="1"/>
  <c r="P1951" i="1" s="1"/>
  <c r="M1952" i="1"/>
  <c r="M1953" i="1"/>
  <c r="M1954" i="1"/>
  <c r="M1955" i="1"/>
  <c r="M1956" i="1"/>
  <c r="M1957" i="1"/>
  <c r="M1958" i="1"/>
  <c r="P1958" i="1" s="1"/>
  <c r="M1959" i="1"/>
  <c r="P1959" i="1" s="1"/>
  <c r="M1960" i="1"/>
  <c r="M1961" i="1"/>
  <c r="M1962" i="1"/>
  <c r="M1963" i="1"/>
  <c r="M1964" i="1"/>
  <c r="M1965" i="1"/>
  <c r="M1966" i="1"/>
  <c r="P1966" i="1" s="1"/>
  <c r="M1967" i="1"/>
  <c r="P1967" i="1" s="1"/>
  <c r="M1968" i="1"/>
  <c r="M1969" i="1"/>
  <c r="M1970" i="1"/>
  <c r="M1971" i="1"/>
  <c r="M1972" i="1"/>
  <c r="M1973" i="1"/>
  <c r="M1974" i="1"/>
  <c r="P1974" i="1" s="1"/>
  <c r="M1975" i="1"/>
  <c r="P1975" i="1" s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P1990" i="1" s="1"/>
  <c r="M1991" i="1"/>
  <c r="P1991" i="1" s="1"/>
  <c r="M1992" i="1"/>
  <c r="M1993" i="1"/>
  <c r="M1994" i="1"/>
  <c r="M1995" i="1"/>
  <c r="M1996" i="1"/>
  <c r="M1997" i="1"/>
  <c r="M1998" i="1"/>
  <c r="P1998" i="1" s="1"/>
  <c r="M1999" i="1"/>
  <c r="P1999" i="1" s="1"/>
  <c r="M2000" i="1"/>
  <c r="M2001" i="1"/>
  <c r="P1803" i="1" l="1"/>
  <c r="P891" i="1"/>
  <c r="P1794" i="1"/>
  <c r="P1002" i="1"/>
  <c r="P785" i="1"/>
  <c r="P769" i="1"/>
  <c r="P737" i="1"/>
  <c r="P697" i="1"/>
  <c r="P673" i="1"/>
  <c r="P1824" i="1"/>
  <c r="P1816" i="1"/>
  <c r="P1720" i="1"/>
  <c r="P1712" i="1"/>
  <c r="P1704" i="1"/>
  <c r="P1696" i="1"/>
  <c r="P1680" i="1"/>
  <c r="P1672" i="1"/>
  <c r="P1232" i="1"/>
  <c r="P1224" i="1"/>
  <c r="P1216" i="1"/>
  <c r="P1208" i="1"/>
  <c r="P816" i="1"/>
  <c r="P808" i="1"/>
  <c r="P800" i="1"/>
  <c r="P784" i="1"/>
  <c r="P776" i="1"/>
  <c r="P768" i="1"/>
  <c r="P760" i="1"/>
  <c r="P752" i="1"/>
  <c r="P744" i="1"/>
  <c r="P736" i="1"/>
  <c r="P728" i="1"/>
  <c r="P712" i="1"/>
  <c r="P704" i="1"/>
  <c r="P696" i="1"/>
  <c r="P680" i="1"/>
  <c r="P672" i="1"/>
  <c r="P648" i="1"/>
  <c r="P640" i="1"/>
  <c r="P632" i="1"/>
  <c r="P568" i="1"/>
  <c r="P552" i="1"/>
  <c r="P528" i="1"/>
  <c r="P104" i="1"/>
  <c r="P96" i="1"/>
  <c r="P88" i="1"/>
  <c r="P80" i="1"/>
  <c r="P72" i="1"/>
  <c r="P64" i="1"/>
  <c r="P56" i="1"/>
  <c r="P48" i="1"/>
  <c r="P40" i="1"/>
  <c r="P32" i="1"/>
  <c r="P24" i="1"/>
  <c r="P16" i="1"/>
  <c r="P8" i="1"/>
  <c r="P1802" i="1"/>
  <c r="P722" i="1"/>
  <c r="P1809" i="1"/>
  <c r="P801" i="1"/>
  <c r="P777" i="1"/>
  <c r="P753" i="1"/>
  <c r="P745" i="1"/>
  <c r="P689" i="1"/>
  <c r="P1911" i="1"/>
  <c r="P1895" i="1"/>
  <c r="P1879" i="1"/>
  <c r="P1847" i="1"/>
  <c r="P1831" i="1"/>
  <c r="P839" i="1"/>
  <c r="P1950" i="1"/>
  <c r="P1798" i="1"/>
  <c r="P1782" i="1"/>
  <c r="P1774" i="1"/>
  <c r="P1766" i="1"/>
  <c r="P1758" i="1"/>
  <c r="P1750" i="1"/>
  <c r="P1342" i="1"/>
  <c r="P1334" i="1"/>
  <c r="P1326" i="1"/>
  <c r="P1318" i="1"/>
  <c r="P1310" i="1"/>
  <c r="P1238" i="1"/>
  <c r="P1230" i="1"/>
  <c r="P1222" i="1"/>
  <c r="P1214" i="1"/>
  <c r="P846" i="1"/>
  <c r="P710" i="1"/>
  <c r="P670" i="1"/>
  <c r="P654" i="1"/>
  <c r="P630" i="1"/>
  <c r="P614" i="1"/>
  <c r="P502" i="1"/>
  <c r="P494" i="1"/>
  <c r="P406" i="1"/>
  <c r="P398" i="1"/>
  <c r="P390" i="1"/>
  <c r="P382" i="1"/>
  <c r="P366" i="1"/>
  <c r="P350" i="1"/>
  <c r="P342" i="1"/>
  <c r="P793" i="1"/>
  <c r="P761" i="1"/>
  <c r="P729" i="1"/>
  <c r="P681" i="1"/>
  <c r="P1903" i="1"/>
  <c r="P1887" i="1"/>
  <c r="P1855" i="1"/>
  <c r="P1839" i="1"/>
  <c r="P847" i="1"/>
  <c r="P815" i="1"/>
  <c r="P1997" i="1"/>
  <c r="P1981" i="1"/>
  <c r="P1973" i="1"/>
  <c r="P1965" i="1"/>
  <c r="P1957" i="1"/>
  <c r="P1293" i="1"/>
  <c r="P1285" i="1"/>
  <c r="P1277" i="1"/>
  <c r="P1269" i="1"/>
  <c r="P885" i="1"/>
  <c r="P877" i="1"/>
  <c r="P869" i="1"/>
  <c r="P861" i="1"/>
  <c r="P853" i="1"/>
  <c r="P845" i="1"/>
  <c r="P333" i="1"/>
  <c r="P325" i="1"/>
  <c r="P317" i="1"/>
  <c r="P309" i="1"/>
  <c r="P301" i="1"/>
  <c r="P293" i="1"/>
  <c r="P285" i="1"/>
  <c r="P277" i="1"/>
  <c r="P269" i="1"/>
  <c r="P261" i="1"/>
  <c r="P253" i="1"/>
  <c r="P245" i="1"/>
  <c r="P237" i="1"/>
  <c r="P229" i="1"/>
  <c r="P205" i="1"/>
  <c r="P197" i="1"/>
  <c r="P189" i="1"/>
  <c r="P181" i="1"/>
  <c r="P173" i="1"/>
  <c r="P165" i="1"/>
  <c r="P149" i="1"/>
  <c r="P141" i="1"/>
  <c r="P133" i="1"/>
  <c r="P125" i="1"/>
  <c r="P117" i="1"/>
  <c r="P109" i="1"/>
  <c r="P101" i="1"/>
  <c r="P93" i="1"/>
  <c r="P85" i="1"/>
  <c r="P77" i="1"/>
  <c r="P69" i="1"/>
  <c r="P61" i="1"/>
  <c r="P45" i="1"/>
  <c r="P37" i="1"/>
  <c r="P29" i="1"/>
  <c r="P13" i="1"/>
  <c r="P5" i="1"/>
  <c r="F209" i="1"/>
  <c r="H209" i="1"/>
  <c r="F1933" i="1"/>
  <c r="H1933" i="1"/>
  <c r="F1886" i="1"/>
  <c r="H1886" i="1"/>
  <c r="F1815" i="1"/>
  <c r="H1815" i="1"/>
  <c r="F1769" i="1"/>
  <c r="H1769" i="1"/>
  <c r="F1707" i="1"/>
  <c r="H1707" i="1"/>
  <c r="F1651" i="1"/>
  <c r="H1651" i="1"/>
  <c r="H1596" i="1"/>
  <c r="F1596" i="1"/>
  <c r="F1548" i="1"/>
  <c r="H1548" i="1"/>
  <c r="F1501" i="1"/>
  <c r="H1501" i="1"/>
  <c r="F1446" i="1"/>
  <c r="H1446" i="1"/>
  <c r="F1398" i="1"/>
  <c r="H1398" i="1"/>
  <c r="H1359" i="1"/>
  <c r="F1359" i="1"/>
  <c r="F1304" i="1"/>
  <c r="H1304" i="1"/>
  <c r="H1256" i="1"/>
  <c r="F1256" i="1"/>
  <c r="H1209" i="1"/>
  <c r="F1209" i="1"/>
  <c r="F1154" i="1"/>
  <c r="H1154" i="1"/>
  <c r="H1106" i="1"/>
  <c r="F1106" i="1"/>
  <c r="F1044" i="1"/>
  <c r="H1044" i="1"/>
  <c r="H641" i="1"/>
  <c r="F641" i="1"/>
  <c r="F594" i="1"/>
  <c r="H594" i="1"/>
  <c r="F547" i="1"/>
  <c r="H547" i="1"/>
  <c r="F493" i="1"/>
  <c r="H493" i="1"/>
  <c r="F439" i="1"/>
  <c r="H439" i="1"/>
  <c r="F391" i="1"/>
  <c r="H391" i="1"/>
  <c r="F343" i="1"/>
  <c r="H343" i="1"/>
  <c r="F288" i="1"/>
  <c r="H288" i="1"/>
  <c r="F232" i="1"/>
  <c r="H232" i="1"/>
  <c r="F185" i="1"/>
  <c r="H185" i="1"/>
  <c r="F137" i="1"/>
  <c r="H137" i="1"/>
  <c r="F97" i="1"/>
  <c r="H97" i="1"/>
  <c r="F81" i="1"/>
  <c r="H81" i="1"/>
  <c r="F73" i="1"/>
  <c r="H73" i="1"/>
  <c r="F65" i="1"/>
  <c r="H65" i="1"/>
  <c r="F57" i="1"/>
  <c r="H57" i="1"/>
  <c r="F9" i="1"/>
  <c r="H9" i="1"/>
  <c r="F1995" i="1"/>
  <c r="H1995" i="1"/>
  <c r="F1987" i="1"/>
  <c r="H1987" i="1"/>
  <c r="F1979" i="1"/>
  <c r="H1979" i="1"/>
  <c r="F1971" i="1"/>
  <c r="H1971" i="1"/>
  <c r="F1963" i="1"/>
  <c r="H1963" i="1"/>
  <c r="F1955" i="1"/>
  <c r="H1955" i="1"/>
  <c r="F1948" i="1"/>
  <c r="H1948" i="1"/>
  <c r="H1940" i="1"/>
  <c r="F1940" i="1"/>
  <c r="F1932" i="1"/>
  <c r="H1932" i="1"/>
  <c r="F1924" i="1"/>
  <c r="H1924" i="1"/>
  <c r="H1917" i="1"/>
  <c r="F1917" i="1"/>
  <c r="F1909" i="1"/>
  <c r="H1909" i="1"/>
  <c r="H1901" i="1"/>
  <c r="F1901" i="1"/>
  <c r="F1893" i="1"/>
  <c r="H1893" i="1"/>
  <c r="F1885" i="1"/>
  <c r="H1885" i="1"/>
  <c r="H1877" i="1"/>
  <c r="F1877" i="1"/>
  <c r="F1869" i="1"/>
  <c r="H1869" i="1"/>
  <c r="H1861" i="1"/>
  <c r="F1861" i="1"/>
  <c r="F1853" i="1"/>
  <c r="H1853" i="1"/>
  <c r="F1845" i="1"/>
  <c r="H1845" i="1"/>
  <c r="F1837" i="1"/>
  <c r="H1837" i="1"/>
  <c r="F1829" i="1"/>
  <c r="H1829" i="1"/>
  <c r="F1822" i="1"/>
  <c r="H1822" i="1"/>
  <c r="F1814" i="1"/>
  <c r="H1814" i="1"/>
  <c r="F1807" i="1"/>
  <c r="H1807" i="1"/>
  <c r="F1800" i="1"/>
  <c r="H1800" i="1"/>
  <c r="F1792" i="1"/>
  <c r="H1792" i="1"/>
  <c r="F1784" i="1"/>
  <c r="H1784" i="1"/>
  <c r="F1776" i="1"/>
  <c r="H1776" i="1"/>
  <c r="F1768" i="1"/>
  <c r="H1768" i="1"/>
  <c r="F1760" i="1"/>
  <c r="H1760" i="1"/>
  <c r="F1752" i="1"/>
  <c r="H1752" i="1"/>
  <c r="F1737" i="1"/>
  <c r="H1737" i="1"/>
  <c r="F1729" i="1"/>
  <c r="H1729" i="1"/>
  <c r="F1714" i="1"/>
  <c r="H1714" i="1"/>
  <c r="F1706" i="1"/>
  <c r="H1706" i="1"/>
  <c r="F1698" i="1"/>
  <c r="H1698" i="1"/>
  <c r="F1690" i="1"/>
  <c r="H1690" i="1"/>
  <c r="H1682" i="1"/>
  <c r="F1682" i="1"/>
  <c r="H1674" i="1"/>
  <c r="F1674" i="1"/>
  <c r="F1666" i="1"/>
  <c r="H1666" i="1"/>
  <c r="H1658" i="1"/>
  <c r="F1658" i="1"/>
  <c r="F1650" i="1"/>
  <c r="H1650" i="1"/>
  <c r="F1642" i="1"/>
  <c r="H1642" i="1"/>
  <c r="H1634" i="1"/>
  <c r="F1634" i="1"/>
  <c r="F1627" i="1"/>
  <c r="H1627" i="1"/>
  <c r="F1619" i="1"/>
  <c r="H1619" i="1"/>
  <c r="F1611" i="1"/>
  <c r="H1611" i="1"/>
  <c r="F1603" i="1"/>
  <c r="H1603" i="1"/>
  <c r="F1595" i="1"/>
  <c r="H1595" i="1"/>
  <c r="F1587" i="1"/>
  <c r="H1587" i="1"/>
  <c r="F1579" i="1"/>
  <c r="H1579" i="1"/>
  <c r="F1571" i="1"/>
  <c r="H1571" i="1"/>
  <c r="F1563" i="1"/>
  <c r="H1563" i="1"/>
  <c r="F1555" i="1"/>
  <c r="H1555" i="1"/>
  <c r="F1547" i="1"/>
  <c r="H1547" i="1"/>
  <c r="F1539" i="1"/>
  <c r="H1539" i="1"/>
  <c r="F1531" i="1"/>
  <c r="H1531" i="1"/>
  <c r="F1524" i="1"/>
  <c r="H1524" i="1"/>
  <c r="H1516" i="1"/>
  <c r="F1516" i="1"/>
  <c r="H1508" i="1"/>
  <c r="F1508" i="1"/>
  <c r="F1500" i="1"/>
  <c r="H1500" i="1"/>
  <c r="F1493" i="1"/>
  <c r="H1493" i="1"/>
  <c r="F1485" i="1"/>
  <c r="H1485" i="1"/>
  <c r="F1477" i="1"/>
  <c r="H1477" i="1"/>
  <c r="F1469" i="1"/>
  <c r="H1469" i="1"/>
  <c r="F1461" i="1"/>
  <c r="H1461" i="1"/>
  <c r="F1453" i="1"/>
  <c r="H1453" i="1"/>
  <c r="F1445" i="1"/>
  <c r="H1445" i="1"/>
  <c r="F1437" i="1"/>
  <c r="H1437" i="1"/>
  <c r="F1429" i="1"/>
  <c r="H1429" i="1"/>
  <c r="F1421" i="1"/>
  <c r="H1421" i="1"/>
  <c r="F1413" i="1"/>
  <c r="H1413" i="1"/>
  <c r="F1405" i="1"/>
  <c r="H1405" i="1"/>
  <c r="F1397" i="1"/>
  <c r="H1397" i="1"/>
  <c r="F1389" i="1"/>
  <c r="H1389" i="1"/>
  <c r="F1381" i="1"/>
  <c r="H1381" i="1"/>
  <c r="F1373" i="1"/>
  <c r="H1373" i="1"/>
  <c r="F1365" i="1"/>
  <c r="H1365" i="1"/>
  <c r="F1358" i="1"/>
  <c r="H1358" i="1"/>
  <c r="F1350" i="1"/>
  <c r="H1350" i="1"/>
  <c r="F1342" i="1"/>
  <c r="H1342" i="1"/>
  <c r="F1334" i="1"/>
  <c r="H1334" i="1"/>
  <c r="F1326" i="1"/>
  <c r="H1326" i="1"/>
  <c r="F1318" i="1"/>
  <c r="H1318" i="1"/>
  <c r="F1310" i="1"/>
  <c r="H1310" i="1"/>
  <c r="F1303" i="1"/>
  <c r="H1303" i="1"/>
  <c r="F1295" i="1"/>
  <c r="H1295" i="1"/>
  <c r="F1287" i="1"/>
  <c r="H1287" i="1"/>
  <c r="F1279" i="1"/>
  <c r="H1279" i="1"/>
  <c r="F1271" i="1"/>
  <c r="H1271" i="1"/>
  <c r="F1263" i="1"/>
  <c r="H1263" i="1"/>
  <c r="F1255" i="1"/>
  <c r="H1255" i="1"/>
  <c r="F1247" i="1"/>
  <c r="H1247" i="1"/>
  <c r="F1239" i="1"/>
  <c r="H1239" i="1"/>
  <c r="H1232" i="1"/>
  <c r="F1232" i="1"/>
  <c r="F1224" i="1"/>
  <c r="H1224" i="1"/>
  <c r="F1216" i="1"/>
  <c r="H1216" i="1"/>
  <c r="F1208" i="1"/>
  <c r="H1208" i="1"/>
  <c r="F1201" i="1"/>
  <c r="H1201" i="1"/>
  <c r="F1193" i="1"/>
  <c r="H1193" i="1"/>
  <c r="F1185" i="1"/>
  <c r="H1185" i="1"/>
  <c r="F1177" i="1"/>
  <c r="H1177" i="1"/>
  <c r="H1169" i="1"/>
  <c r="F1169" i="1"/>
  <c r="F1161" i="1"/>
  <c r="H1161" i="1"/>
  <c r="F1153" i="1"/>
  <c r="H1153" i="1"/>
  <c r="H1145" i="1"/>
  <c r="F1145" i="1"/>
  <c r="F1137" i="1"/>
  <c r="H1137" i="1"/>
  <c r="F1129" i="1"/>
  <c r="H1129" i="1"/>
  <c r="F1121" i="1"/>
  <c r="H1121" i="1"/>
  <c r="F1113" i="1"/>
  <c r="H1113" i="1"/>
  <c r="H1105" i="1"/>
  <c r="F1105" i="1"/>
  <c r="F1097" i="1"/>
  <c r="H1097" i="1"/>
  <c r="F1089" i="1"/>
  <c r="H1089" i="1"/>
  <c r="F1081" i="1"/>
  <c r="H1081" i="1"/>
  <c r="F1073" i="1"/>
  <c r="H1073" i="1"/>
  <c r="F1066" i="1"/>
  <c r="H1066" i="1"/>
  <c r="F1058" i="1"/>
  <c r="H1058" i="1"/>
  <c r="H1050" i="1"/>
  <c r="F1050" i="1"/>
  <c r="F1043" i="1"/>
  <c r="H1043" i="1"/>
  <c r="F1019" i="1"/>
  <c r="H1019" i="1"/>
  <c r="F799" i="1"/>
  <c r="H799" i="1"/>
  <c r="F791" i="1"/>
  <c r="H791" i="1"/>
  <c r="F783" i="1"/>
  <c r="H783" i="1"/>
  <c r="F775" i="1"/>
  <c r="H775" i="1"/>
  <c r="F767" i="1"/>
  <c r="H767" i="1"/>
  <c r="F759" i="1"/>
  <c r="H759" i="1"/>
  <c r="F751" i="1"/>
  <c r="H751" i="1"/>
  <c r="F743" i="1"/>
  <c r="H743" i="1"/>
  <c r="F735" i="1"/>
  <c r="H735" i="1"/>
  <c r="F727" i="1"/>
  <c r="H727" i="1"/>
  <c r="F720" i="1"/>
  <c r="H720" i="1"/>
  <c r="F712" i="1"/>
  <c r="H712" i="1"/>
  <c r="F672" i="1"/>
  <c r="H672" i="1"/>
  <c r="H664" i="1"/>
  <c r="F664" i="1"/>
  <c r="F656" i="1"/>
  <c r="H656" i="1"/>
  <c r="F648" i="1"/>
  <c r="H648" i="1"/>
  <c r="H640" i="1"/>
  <c r="F640" i="1"/>
  <c r="F632" i="1"/>
  <c r="H632" i="1"/>
  <c r="H1786" i="1"/>
  <c r="F1786" i="1"/>
  <c r="F1918" i="1"/>
  <c r="H1918" i="1"/>
  <c r="F1870" i="1"/>
  <c r="H1870" i="1"/>
  <c r="F1830" i="1"/>
  <c r="H1830" i="1"/>
  <c r="F1777" i="1"/>
  <c r="H1777" i="1"/>
  <c r="F1715" i="1"/>
  <c r="H1715" i="1"/>
  <c r="F1675" i="1"/>
  <c r="H1675" i="1"/>
  <c r="F1628" i="1"/>
  <c r="H1628" i="1"/>
  <c r="F1572" i="1"/>
  <c r="H1572" i="1"/>
  <c r="H1532" i="1"/>
  <c r="F1532" i="1"/>
  <c r="F1486" i="1"/>
  <c r="H1486" i="1"/>
  <c r="F1438" i="1"/>
  <c r="H1438" i="1"/>
  <c r="F1382" i="1"/>
  <c r="H1382" i="1"/>
  <c r="F1327" i="1"/>
  <c r="H1327" i="1"/>
  <c r="F1272" i="1"/>
  <c r="H1272" i="1"/>
  <c r="F1225" i="1"/>
  <c r="H1225" i="1"/>
  <c r="F1178" i="1"/>
  <c r="H1178" i="1"/>
  <c r="F1130" i="1"/>
  <c r="H1130" i="1"/>
  <c r="F1074" i="1"/>
  <c r="H1074" i="1"/>
  <c r="F1051" i="1"/>
  <c r="H1051" i="1"/>
  <c r="F633" i="1"/>
  <c r="H633" i="1"/>
  <c r="F602" i="1"/>
  <c r="H602" i="1"/>
  <c r="F555" i="1"/>
  <c r="H555" i="1"/>
  <c r="F501" i="1"/>
  <c r="H501" i="1"/>
  <c r="F462" i="1"/>
  <c r="H462" i="1"/>
  <c r="F407" i="1"/>
  <c r="H407" i="1"/>
  <c r="F359" i="1"/>
  <c r="H359" i="1"/>
  <c r="F296" i="1"/>
  <c r="H296" i="1"/>
  <c r="F248" i="1"/>
  <c r="H248" i="1"/>
  <c r="F153" i="1"/>
  <c r="H153" i="1"/>
  <c r="F105" i="1"/>
  <c r="H105" i="1"/>
  <c r="F49" i="1"/>
  <c r="H49" i="1"/>
  <c r="P1256" i="1"/>
  <c r="H1994" i="1"/>
  <c r="F1994" i="1"/>
  <c r="F1986" i="1"/>
  <c r="H1986" i="1"/>
  <c r="H1978" i="1"/>
  <c r="F1978" i="1"/>
  <c r="F1962" i="1"/>
  <c r="H1962" i="1"/>
  <c r="H1954" i="1"/>
  <c r="F1954" i="1"/>
  <c r="F1947" i="1"/>
  <c r="H1947" i="1"/>
  <c r="F1939" i="1"/>
  <c r="H1939" i="1"/>
  <c r="F1931" i="1"/>
  <c r="H1931" i="1"/>
  <c r="F1923" i="1"/>
  <c r="H1923" i="1"/>
  <c r="F1916" i="1"/>
  <c r="H1916" i="1"/>
  <c r="F1908" i="1"/>
  <c r="H1908" i="1"/>
  <c r="H1900" i="1"/>
  <c r="F1900" i="1"/>
  <c r="F1892" i="1"/>
  <c r="H1892" i="1"/>
  <c r="F1884" i="1"/>
  <c r="H1884" i="1"/>
  <c r="F1876" i="1"/>
  <c r="H1876" i="1"/>
  <c r="F1868" i="1"/>
  <c r="H1868" i="1"/>
  <c r="F1860" i="1"/>
  <c r="H1860" i="1"/>
  <c r="F1852" i="1"/>
  <c r="H1852" i="1"/>
  <c r="F1844" i="1"/>
  <c r="H1844" i="1"/>
  <c r="F1836" i="1"/>
  <c r="H1836" i="1"/>
  <c r="F1828" i="1"/>
  <c r="H1828" i="1"/>
  <c r="F1821" i="1"/>
  <c r="H1821" i="1"/>
  <c r="F1813" i="1"/>
  <c r="H1813" i="1"/>
  <c r="F1806" i="1"/>
  <c r="H1806" i="1"/>
  <c r="F1799" i="1"/>
  <c r="H1799" i="1"/>
  <c r="F1791" i="1"/>
  <c r="H1791" i="1"/>
  <c r="F1042" i="1"/>
  <c r="H1042" i="1"/>
  <c r="H836" i="1"/>
  <c r="F836" i="1"/>
  <c r="F829" i="1"/>
  <c r="H829" i="1"/>
  <c r="F821" i="1"/>
  <c r="H821" i="1"/>
  <c r="H813" i="1"/>
  <c r="F813" i="1"/>
  <c r="F806" i="1"/>
  <c r="H806" i="1"/>
  <c r="F798" i="1"/>
  <c r="H798" i="1"/>
  <c r="F790" i="1"/>
  <c r="H790" i="1"/>
  <c r="F782" i="1"/>
  <c r="H782" i="1"/>
  <c r="F774" i="1"/>
  <c r="H774" i="1"/>
  <c r="F766" i="1"/>
  <c r="H766" i="1"/>
  <c r="F758" i="1"/>
  <c r="H758" i="1"/>
  <c r="F750" i="1"/>
  <c r="H750" i="1"/>
  <c r="F742" i="1"/>
  <c r="H742" i="1"/>
  <c r="F734" i="1"/>
  <c r="H734" i="1"/>
  <c r="F726" i="1"/>
  <c r="H726" i="1"/>
  <c r="F719" i="1"/>
  <c r="H719" i="1"/>
  <c r="F711" i="1"/>
  <c r="H711" i="1"/>
  <c r="F703" i="1"/>
  <c r="H703" i="1"/>
  <c r="F695" i="1"/>
  <c r="H695" i="1"/>
  <c r="F687" i="1"/>
  <c r="H687" i="1"/>
  <c r="F679" i="1"/>
  <c r="H679" i="1"/>
  <c r="H671" i="1"/>
  <c r="F671" i="1"/>
  <c r="F631" i="1"/>
  <c r="H631" i="1"/>
  <c r="H1925" i="1"/>
  <c r="F1925" i="1"/>
  <c r="F1878" i="1"/>
  <c r="H1878" i="1"/>
  <c r="F1823" i="1"/>
  <c r="H1823" i="1"/>
  <c r="F1785" i="1"/>
  <c r="H1785" i="1"/>
  <c r="F1730" i="1"/>
  <c r="H1730" i="1"/>
  <c r="F1722" i="1"/>
  <c r="H1722" i="1"/>
  <c r="F1612" i="1"/>
  <c r="H1612" i="1"/>
  <c r="F1556" i="1"/>
  <c r="H1556" i="1"/>
  <c r="F1509" i="1"/>
  <c r="H1509" i="1"/>
  <c r="H1454" i="1"/>
  <c r="F1454" i="1"/>
  <c r="F1406" i="1"/>
  <c r="H1406" i="1"/>
  <c r="F1351" i="1"/>
  <c r="H1351" i="1"/>
  <c r="H1296" i="1"/>
  <c r="F1296" i="1"/>
  <c r="F1248" i="1"/>
  <c r="H1248" i="1"/>
  <c r="F1202" i="1"/>
  <c r="H1202" i="1"/>
  <c r="H1146" i="1"/>
  <c r="F1146" i="1"/>
  <c r="F1098" i="1"/>
  <c r="H1098" i="1"/>
  <c r="H1028" i="1"/>
  <c r="F1028" i="1"/>
  <c r="F649" i="1"/>
  <c r="H649" i="1"/>
  <c r="F587" i="1"/>
  <c r="H587" i="1"/>
  <c r="F539" i="1"/>
  <c r="H539" i="1"/>
  <c r="F477" i="1"/>
  <c r="H477" i="1"/>
  <c r="F431" i="1"/>
  <c r="H431" i="1"/>
  <c r="F383" i="1"/>
  <c r="H383" i="1"/>
  <c r="F328" i="1"/>
  <c r="H328" i="1"/>
  <c r="F280" i="1"/>
  <c r="H280" i="1"/>
  <c r="F240" i="1"/>
  <c r="H240" i="1"/>
  <c r="F193" i="1"/>
  <c r="H193" i="1"/>
  <c r="H145" i="1"/>
  <c r="F145" i="1"/>
  <c r="F89" i="1"/>
  <c r="H89" i="1"/>
  <c r="F41" i="1"/>
  <c r="H41" i="1"/>
  <c r="P1272" i="1"/>
  <c r="P1815" i="1"/>
  <c r="P1447" i="1"/>
  <c r="P1383" i="1"/>
  <c r="P1351" i="1"/>
  <c r="P1327" i="1"/>
  <c r="P391" i="1"/>
  <c r="F2001" i="1"/>
  <c r="H2001" i="1"/>
  <c r="F1993" i="1"/>
  <c r="H1993" i="1"/>
  <c r="F1985" i="1"/>
  <c r="H1985" i="1"/>
  <c r="F1977" i="1"/>
  <c r="H1977" i="1"/>
  <c r="F1969" i="1"/>
  <c r="H1969" i="1"/>
  <c r="F1961" i="1"/>
  <c r="H1961" i="1"/>
  <c r="F1946" i="1"/>
  <c r="H1946" i="1"/>
  <c r="F1938" i="1"/>
  <c r="H1938" i="1"/>
  <c r="F843" i="1"/>
  <c r="H843" i="1"/>
  <c r="F835" i="1"/>
  <c r="H835" i="1"/>
  <c r="F828" i="1"/>
  <c r="H828" i="1"/>
  <c r="F820" i="1"/>
  <c r="H820" i="1"/>
  <c r="H812" i="1"/>
  <c r="F812" i="1"/>
  <c r="F805" i="1"/>
  <c r="H805" i="1"/>
  <c r="H797" i="1"/>
  <c r="F797" i="1"/>
  <c r="H789" i="1"/>
  <c r="F789" i="1"/>
  <c r="H781" i="1"/>
  <c r="F781" i="1"/>
  <c r="H773" i="1"/>
  <c r="F773" i="1"/>
  <c r="F765" i="1"/>
  <c r="H765" i="1"/>
  <c r="F757" i="1"/>
  <c r="H757" i="1"/>
  <c r="H749" i="1"/>
  <c r="F749" i="1"/>
  <c r="F741" i="1"/>
  <c r="H741" i="1"/>
  <c r="H733" i="1"/>
  <c r="F733" i="1"/>
  <c r="H725" i="1"/>
  <c r="F725" i="1"/>
  <c r="F718" i="1"/>
  <c r="H718" i="1"/>
  <c r="F710" i="1"/>
  <c r="H710" i="1"/>
  <c r="F702" i="1"/>
  <c r="H702" i="1"/>
  <c r="F694" i="1"/>
  <c r="H694" i="1"/>
  <c r="F686" i="1"/>
  <c r="H686" i="1"/>
  <c r="F678" i="1"/>
  <c r="H678" i="1"/>
  <c r="F1894" i="1"/>
  <c r="H1894" i="1"/>
  <c r="F1846" i="1"/>
  <c r="H1846" i="1"/>
  <c r="F1801" i="1"/>
  <c r="H1801" i="1"/>
  <c r="F1738" i="1"/>
  <c r="H1738" i="1"/>
  <c r="F1683" i="1"/>
  <c r="H1683" i="1"/>
  <c r="F1635" i="1"/>
  <c r="H1635" i="1"/>
  <c r="F1588" i="1"/>
  <c r="H1588" i="1"/>
  <c r="F1525" i="1"/>
  <c r="H1525" i="1"/>
  <c r="F1478" i="1"/>
  <c r="H1478" i="1"/>
  <c r="F1414" i="1"/>
  <c r="H1414" i="1"/>
  <c r="F1366" i="1"/>
  <c r="H1366" i="1"/>
  <c r="F1319" i="1"/>
  <c r="H1319" i="1"/>
  <c r="F1264" i="1"/>
  <c r="H1264" i="1"/>
  <c r="F1217" i="1"/>
  <c r="H1217" i="1"/>
  <c r="H1170" i="1"/>
  <c r="F1170" i="1"/>
  <c r="F1114" i="1"/>
  <c r="H1114" i="1"/>
  <c r="F1067" i="1"/>
  <c r="H1067" i="1"/>
  <c r="H1020" i="1"/>
  <c r="F1020" i="1"/>
  <c r="F854" i="1"/>
  <c r="H854" i="1"/>
  <c r="H625" i="1"/>
  <c r="F625" i="1"/>
  <c r="F571" i="1"/>
  <c r="H571" i="1"/>
  <c r="F516" i="1"/>
  <c r="H516" i="1"/>
  <c r="F470" i="1"/>
  <c r="H470" i="1"/>
  <c r="F423" i="1"/>
  <c r="H423" i="1"/>
  <c r="F367" i="1"/>
  <c r="H367" i="1"/>
  <c r="F320" i="1"/>
  <c r="H320" i="1"/>
  <c r="F272" i="1"/>
  <c r="H272" i="1"/>
  <c r="F216" i="1"/>
  <c r="H216" i="1"/>
  <c r="F169" i="1"/>
  <c r="H169" i="1"/>
  <c r="F121" i="1"/>
  <c r="H121" i="1"/>
  <c r="F25" i="1"/>
  <c r="H25" i="1"/>
  <c r="P1455" i="1"/>
  <c r="P1399" i="1"/>
  <c r="P1375" i="1"/>
  <c r="P1335" i="1"/>
  <c r="P1311" i="1"/>
  <c r="P399" i="1"/>
  <c r="P1902" i="1"/>
  <c r="P1886" i="1"/>
  <c r="P1846" i="1"/>
  <c r="P1830" i="1"/>
  <c r="P1806" i="1"/>
  <c r="P1518" i="1"/>
  <c r="P1486" i="1"/>
  <c r="P1462" i="1"/>
  <c r="P1446" i="1"/>
  <c r="P1430" i="1"/>
  <c r="P1406" i="1"/>
  <c r="P1390" i="1"/>
  <c r="P1374" i="1"/>
  <c r="P974" i="1"/>
  <c r="P950" i="1"/>
  <c r="P926" i="1"/>
  <c r="P910" i="1"/>
  <c r="P894" i="1"/>
  <c r="P806" i="1"/>
  <c r="F2000" i="1"/>
  <c r="H2000" i="1"/>
  <c r="F1937" i="1"/>
  <c r="H1937" i="1"/>
  <c r="F850" i="1"/>
  <c r="H850" i="1"/>
  <c r="H842" i="1"/>
  <c r="F842" i="1"/>
  <c r="H834" i="1"/>
  <c r="F834" i="1"/>
  <c r="H827" i="1"/>
  <c r="F827" i="1"/>
  <c r="F819" i="1"/>
  <c r="H819" i="1"/>
  <c r="H811" i="1"/>
  <c r="F811" i="1"/>
  <c r="F804" i="1"/>
  <c r="H804" i="1"/>
  <c r="F1778" i="1"/>
  <c r="H1778" i="1"/>
  <c r="F1910" i="1"/>
  <c r="H1910" i="1"/>
  <c r="F1862" i="1"/>
  <c r="H1862" i="1"/>
  <c r="H1838" i="1"/>
  <c r="F1838" i="1"/>
  <c r="F1793" i="1"/>
  <c r="H1793" i="1"/>
  <c r="F1753" i="1"/>
  <c r="H1753" i="1"/>
  <c r="F1745" i="1"/>
  <c r="H1745" i="1"/>
  <c r="F1699" i="1"/>
  <c r="H1699" i="1"/>
  <c r="F1659" i="1"/>
  <c r="H1659" i="1"/>
  <c r="H1620" i="1"/>
  <c r="F1620" i="1"/>
  <c r="F1580" i="1"/>
  <c r="H1580" i="1"/>
  <c r="F1540" i="1"/>
  <c r="H1540" i="1"/>
  <c r="F1494" i="1"/>
  <c r="H1494" i="1"/>
  <c r="F1462" i="1"/>
  <c r="H1462" i="1"/>
  <c r="F1430" i="1"/>
  <c r="H1430" i="1"/>
  <c r="H1390" i="1"/>
  <c r="F1390" i="1"/>
  <c r="F1343" i="1"/>
  <c r="H1343" i="1"/>
  <c r="F1311" i="1"/>
  <c r="H1311" i="1"/>
  <c r="F1280" i="1"/>
  <c r="H1280" i="1"/>
  <c r="F1240" i="1"/>
  <c r="H1240" i="1"/>
  <c r="F1194" i="1"/>
  <c r="H1194" i="1"/>
  <c r="F1162" i="1"/>
  <c r="H1162" i="1"/>
  <c r="F1122" i="1"/>
  <c r="H1122" i="1"/>
  <c r="H1082" i="1"/>
  <c r="F1082" i="1"/>
  <c r="F1036" i="1"/>
  <c r="H1036" i="1"/>
  <c r="F665" i="1"/>
  <c r="H665" i="1"/>
  <c r="F617" i="1"/>
  <c r="H617" i="1"/>
  <c r="F579" i="1"/>
  <c r="H579" i="1"/>
  <c r="F531" i="1"/>
  <c r="H531" i="1"/>
  <c r="F523" i="1"/>
  <c r="H523" i="1"/>
  <c r="F485" i="1"/>
  <c r="H485" i="1"/>
  <c r="F454" i="1"/>
  <c r="H454" i="1"/>
  <c r="F415" i="1"/>
  <c r="H415" i="1"/>
  <c r="F375" i="1"/>
  <c r="H375" i="1"/>
  <c r="F336" i="1"/>
  <c r="H336" i="1"/>
  <c r="F304" i="1"/>
  <c r="H304" i="1"/>
  <c r="F264" i="1"/>
  <c r="H264" i="1"/>
  <c r="F224" i="1"/>
  <c r="H224" i="1"/>
  <c r="H177" i="1"/>
  <c r="F177" i="1"/>
  <c r="H129" i="1"/>
  <c r="F129" i="1"/>
  <c r="F17" i="1"/>
  <c r="H17" i="1"/>
  <c r="P1808" i="1"/>
  <c r="P1296" i="1"/>
  <c r="P1264" i="1"/>
  <c r="P1823" i="1"/>
  <c r="P1463" i="1"/>
  <c r="P1423" i="1"/>
  <c r="P1407" i="1"/>
  <c r="P1391" i="1"/>
  <c r="P1367" i="1"/>
  <c r="P1343" i="1"/>
  <c r="P1319" i="1"/>
  <c r="P383" i="1"/>
  <c r="P343" i="1"/>
  <c r="P1918" i="1"/>
  <c r="P1910" i="1"/>
  <c r="P1894" i="1"/>
  <c r="P1854" i="1"/>
  <c r="P1838" i="1"/>
  <c r="P1510" i="1"/>
  <c r="P1494" i="1"/>
  <c r="P1478" i="1"/>
  <c r="P1454" i="1"/>
  <c r="P1438" i="1"/>
  <c r="P1422" i="1"/>
  <c r="P1398" i="1"/>
  <c r="P1382" i="1"/>
  <c r="P1366" i="1"/>
  <c r="P982" i="1"/>
  <c r="P966" i="1"/>
  <c r="P958" i="1"/>
  <c r="P934" i="1"/>
  <c r="P918" i="1"/>
  <c r="P902" i="1"/>
  <c r="P854" i="1"/>
  <c r="P1917" i="1"/>
  <c r="P1901" i="1"/>
  <c r="F1015" i="1"/>
  <c r="H1015" i="1"/>
  <c r="F1007" i="1"/>
  <c r="H1007" i="1"/>
  <c r="F1000" i="1"/>
  <c r="H1000" i="1"/>
  <c r="H992" i="1"/>
  <c r="F992" i="1"/>
  <c r="F984" i="1"/>
  <c r="H984" i="1"/>
  <c r="F976" i="1"/>
  <c r="H976" i="1"/>
  <c r="H968" i="1"/>
  <c r="F968" i="1"/>
  <c r="F960" i="1"/>
  <c r="H960" i="1"/>
  <c r="F952" i="1"/>
  <c r="H952" i="1"/>
  <c r="H944" i="1"/>
  <c r="F944" i="1"/>
  <c r="F936" i="1"/>
  <c r="H936" i="1"/>
  <c r="F928" i="1"/>
  <c r="H928" i="1"/>
  <c r="F920" i="1"/>
  <c r="H920" i="1"/>
  <c r="F912" i="1"/>
  <c r="H912" i="1"/>
  <c r="F904" i="1"/>
  <c r="H904" i="1"/>
  <c r="F896" i="1"/>
  <c r="H896" i="1"/>
  <c r="F889" i="1"/>
  <c r="H889" i="1"/>
  <c r="F881" i="1"/>
  <c r="H881" i="1"/>
  <c r="F873" i="1"/>
  <c r="H873" i="1"/>
  <c r="F865" i="1"/>
  <c r="H865" i="1"/>
  <c r="F857" i="1"/>
  <c r="H857" i="1"/>
  <c r="F849" i="1"/>
  <c r="H849" i="1"/>
  <c r="F841" i="1"/>
  <c r="H841" i="1"/>
  <c r="F803" i="1"/>
  <c r="H803" i="1"/>
  <c r="F1902" i="1"/>
  <c r="H1902" i="1"/>
  <c r="F1854" i="1"/>
  <c r="H1854" i="1"/>
  <c r="F1808" i="1"/>
  <c r="H1808" i="1"/>
  <c r="F1761" i="1"/>
  <c r="H1761" i="1"/>
  <c r="F1691" i="1"/>
  <c r="H1691" i="1"/>
  <c r="F1643" i="1"/>
  <c r="H1643" i="1"/>
  <c r="F1604" i="1"/>
  <c r="H1604" i="1"/>
  <c r="F1564" i="1"/>
  <c r="H1564" i="1"/>
  <c r="F1517" i="1"/>
  <c r="H1517" i="1"/>
  <c r="F1470" i="1"/>
  <c r="H1470" i="1"/>
  <c r="H1422" i="1"/>
  <c r="F1422" i="1"/>
  <c r="F1374" i="1"/>
  <c r="H1374" i="1"/>
  <c r="F1335" i="1"/>
  <c r="H1335" i="1"/>
  <c r="F1288" i="1"/>
  <c r="H1288" i="1"/>
  <c r="H1233" i="1"/>
  <c r="F1233" i="1"/>
  <c r="F1138" i="1"/>
  <c r="H1138" i="1"/>
  <c r="F1090" i="1"/>
  <c r="H1090" i="1"/>
  <c r="H1059" i="1"/>
  <c r="F1059" i="1"/>
  <c r="H657" i="1"/>
  <c r="F657" i="1"/>
  <c r="F610" i="1"/>
  <c r="H610" i="1"/>
  <c r="F563" i="1"/>
  <c r="H563" i="1"/>
  <c r="F509" i="1"/>
  <c r="H509" i="1"/>
  <c r="F446" i="1"/>
  <c r="H446" i="1"/>
  <c r="F399" i="1"/>
  <c r="H399" i="1"/>
  <c r="F351" i="1"/>
  <c r="H351" i="1"/>
  <c r="F312" i="1"/>
  <c r="H312" i="1"/>
  <c r="F256" i="1"/>
  <c r="H256" i="1"/>
  <c r="F201" i="1"/>
  <c r="H201" i="1"/>
  <c r="F161" i="1"/>
  <c r="H161" i="1"/>
  <c r="H113" i="1"/>
  <c r="F113" i="1"/>
  <c r="F33" i="1"/>
  <c r="H33" i="1"/>
  <c r="P1248" i="1"/>
  <c r="P1924" i="1"/>
  <c r="P1620" i="1"/>
  <c r="P1612" i="1"/>
  <c r="P1596" i="1"/>
  <c r="P1556" i="1"/>
  <c r="P1548" i="1"/>
  <c r="P1540" i="1"/>
  <c r="P1532" i="1"/>
  <c r="P1044" i="1"/>
  <c r="F1038" i="1"/>
  <c r="H1038" i="1"/>
  <c r="F1030" i="1"/>
  <c r="H1030" i="1"/>
  <c r="F1022" i="1"/>
  <c r="H1022" i="1"/>
  <c r="F1014" i="1"/>
  <c r="H1014" i="1"/>
  <c r="F1006" i="1"/>
  <c r="H1006" i="1"/>
  <c r="F999" i="1"/>
  <c r="H999" i="1"/>
  <c r="F991" i="1"/>
  <c r="H991" i="1"/>
  <c r="F983" i="1"/>
  <c r="H983" i="1"/>
  <c r="F975" i="1"/>
  <c r="H975" i="1"/>
  <c r="F967" i="1"/>
  <c r="H967" i="1"/>
  <c r="F959" i="1"/>
  <c r="H959" i="1"/>
  <c r="F951" i="1"/>
  <c r="H951" i="1"/>
  <c r="F943" i="1"/>
  <c r="H943" i="1"/>
  <c r="F935" i="1"/>
  <c r="H935" i="1"/>
  <c r="F927" i="1"/>
  <c r="H927" i="1"/>
  <c r="F919" i="1"/>
  <c r="H919" i="1"/>
  <c r="F911" i="1"/>
  <c r="H911" i="1"/>
  <c r="F903" i="1"/>
  <c r="H903" i="1"/>
  <c r="F895" i="1"/>
  <c r="H895" i="1"/>
  <c r="F888" i="1"/>
  <c r="H888" i="1"/>
  <c r="F880" i="1"/>
  <c r="H880" i="1"/>
  <c r="F872" i="1"/>
  <c r="H872" i="1"/>
  <c r="F864" i="1"/>
  <c r="H864" i="1"/>
  <c r="F856" i="1"/>
  <c r="H856" i="1"/>
  <c r="F848" i="1"/>
  <c r="H848" i="1"/>
  <c r="F1770" i="1"/>
  <c r="H1770" i="1"/>
  <c r="H1762" i="1"/>
  <c r="F1762" i="1"/>
  <c r="F1754" i="1"/>
  <c r="H1754" i="1"/>
  <c r="H1746" i="1"/>
  <c r="F1746" i="1"/>
  <c r="F1739" i="1"/>
  <c r="H1739" i="1"/>
  <c r="F1731" i="1"/>
  <c r="H1731" i="1"/>
  <c r="F1723" i="1"/>
  <c r="H1723" i="1"/>
  <c r="F1716" i="1"/>
  <c r="H1716" i="1"/>
  <c r="F1708" i="1"/>
  <c r="H1708" i="1"/>
  <c r="F1700" i="1"/>
  <c r="H1700" i="1"/>
  <c r="F1692" i="1"/>
  <c r="H1692" i="1"/>
  <c r="F1684" i="1"/>
  <c r="H1684" i="1"/>
  <c r="F1676" i="1"/>
  <c r="H1676" i="1"/>
  <c r="F1668" i="1"/>
  <c r="H1668" i="1"/>
  <c r="H1660" i="1"/>
  <c r="F1660" i="1"/>
  <c r="F1652" i="1"/>
  <c r="H1652" i="1"/>
  <c r="H1644" i="1"/>
  <c r="F1644" i="1"/>
  <c r="H1636" i="1"/>
  <c r="F1636" i="1"/>
  <c r="F1629" i="1"/>
  <c r="H1629" i="1"/>
  <c r="H1621" i="1"/>
  <c r="F1621" i="1"/>
  <c r="F1613" i="1"/>
  <c r="H1613" i="1"/>
  <c r="H1605" i="1"/>
  <c r="F1605" i="1"/>
  <c r="H1597" i="1"/>
  <c r="F1597" i="1"/>
  <c r="F1589" i="1"/>
  <c r="H1589" i="1"/>
  <c r="H1581" i="1"/>
  <c r="F1581" i="1"/>
  <c r="F1573" i="1"/>
  <c r="H1573" i="1"/>
  <c r="F1565" i="1"/>
  <c r="H1565" i="1"/>
  <c r="H1557" i="1"/>
  <c r="F1557" i="1"/>
  <c r="F1549" i="1"/>
  <c r="H1549" i="1"/>
  <c r="H1541" i="1"/>
  <c r="F1541" i="1"/>
  <c r="H1533" i="1"/>
  <c r="F1533" i="1"/>
  <c r="F1526" i="1"/>
  <c r="H1526" i="1"/>
  <c r="H1518" i="1"/>
  <c r="F1518" i="1"/>
  <c r="F1510" i="1"/>
  <c r="H1510" i="1"/>
  <c r="F1502" i="1"/>
  <c r="H1502" i="1"/>
  <c r="F1495" i="1"/>
  <c r="H1495" i="1"/>
  <c r="F1487" i="1"/>
  <c r="H1487" i="1"/>
  <c r="H1479" i="1"/>
  <c r="F1479" i="1"/>
  <c r="F1471" i="1"/>
  <c r="H1471" i="1"/>
  <c r="H1463" i="1"/>
  <c r="F1463" i="1"/>
  <c r="H1455" i="1"/>
  <c r="F1455" i="1"/>
  <c r="F1447" i="1"/>
  <c r="H1447" i="1"/>
  <c r="H1439" i="1"/>
  <c r="F1439" i="1"/>
  <c r="F1431" i="1"/>
  <c r="H1431" i="1"/>
  <c r="H1423" i="1"/>
  <c r="F1423" i="1"/>
  <c r="F1415" i="1"/>
  <c r="H1415" i="1"/>
  <c r="F1407" i="1"/>
  <c r="H1407" i="1"/>
  <c r="F1399" i="1"/>
  <c r="H1399" i="1"/>
  <c r="H1391" i="1"/>
  <c r="F1391" i="1"/>
  <c r="F1383" i="1"/>
  <c r="H1383" i="1"/>
  <c r="F1375" i="1"/>
  <c r="H1375" i="1"/>
  <c r="F1367" i="1"/>
  <c r="H1367" i="1"/>
  <c r="F1360" i="1"/>
  <c r="H1360" i="1"/>
  <c r="F1352" i="1"/>
  <c r="H1352" i="1"/>
  <c r="F1344" i="1"/>
  <c r="H1344" i="1"/>
  <c r="F1336" i="1"/>
  <c r="H1336" i="1"/>
  <c r="F1328" i="1"/>
  <c r="H1328" i="1"/>
  <c r="H1320" i="1"/>
  <c r="F1320" i="1"/>
  <c r="F1312" i="1"/>
  <c r="H1312" i="1"/>
  <c r="F1305" i="1"/>
  <c r="H1305" i="1"/>
  <c r="F1297" i="1"/>
  <c r="H1297" i="1"/>
  <c r="F1289" i="1"/>
  <c r="H1289" i="1"/>
  <c r="F1281" i="1"/>
  <c r="H1281" i="1"/>
  <c r="F1273" i="1"/>
  <c r="H1273" i="1"/>
  <c r="F1265" i="1"/>
  <c r="H1265" i="1"/>
  <c r="F1257" i="1"/>
  <c r="H1257" i="1"/>
  <c r="F1249" i="1"/>
  <c r="H1249" i="1"/>
  <c r="F1241" i="1"/>
  <c r="H1241" i="1"/>
  <c r="H1234" i="1"/>
  <c r="F1234" i="1"/>
  <c r="F1226" i="1"/>
  <c r="H1226" i="1"/>
  <c r="F1218" i="1"/>
  <c r="H1218" i="1"/>
  <c r="H1210" i="1"/>
  <c r="F1210" i="1"/>
  <c r="F1203" i="1"/>
  <c r="H1203" i="1"/>
  <c r="F1195" i="1"/>
  <c r="H1195" i="1"/>
  <c r="H1187" i="1"/>
  <c r="F1187" i="1"/>
  <c r="F1179" i="1"/>
  <c r="H1179" i="1"/>
  <c r="F1171" i="1"/>
  <c r="H1171" i="1"/>
  <c r="F1163" i="1"/>
  <c r="H1163" i="1"/>
  <c r="F1155" i="1"/>
  <c r="H1155" i="1"/>
  <c r="H1147" i="1"/>
  <c r="F1147" i="1"/>
  <c r="F1139" i="1"/>
  <c r="H1139" i="1"/>
  <c r="F1131" i="1"/>
  <c r="H1131" i="1"/>
  <c r="H1123" i="1"/>
  <c r="F1123" i="1"/>
  <c r="F1115" i="1"/>
  <c r="H1115" i="1"/>
  <c r="F1107" i="1"/>
  <c r="H1107" i="1"/>
  <c r="F1099" i="1"/>
  <c r="H1099" i="1"/>
  <c r="F1091" i="1"/>
  <c r="H1091" i="1"/>
  <c r="F1083" i="1"/>
  <c r="H1083" i="1"/>
  <c r="F1075" i="1"/>
  <c r="H1075" i="1"/>
  <c r="F1068" i="1"/>
  <c r="H1068" i="1"/>
  <c r="H1060" i="1"/>
  <c r="F1060" i="1"/>
  <c r="F1052" i="1"/>
  <c r="H1052" i="1"/>
  <c r="F1045" i="1"/>
  <c r="H1045" i="1"/>
  <c r="H1037" i="1"/>
  <c r="F1037" i="1"/>
  <c r="F1029" i="1"/>
  <c r="H1029" i="1"/>
  <c r="F1021" i="1"/>
  <c r="H1021" i="1"/>
  <c r="F1013" i="1"/>
  <c r="H1013" i="1"/>
  <c r="H1005" i="1"/>
  <c r="F1005" i="1"/>
  <c r="F998" i="1"/>
  <c r="H998" i="1"/>
  <c r="F990" i="1"/>
  <c r="H990" i="1"/>
  <c r="F982" i="1"/>
  <c r="H982" i="1"/>
  <c r="F974" i="1"/>
  <c r="H974" i="1"/>
  <c r="F966" i="1"/>
  <c r="H966" i="1"/>
  <c r="F958" i="1"/>
  <c r="H958" i="1"/>
  <c r="F950" i="1"/>
  <c r="H950" i="1"/>
  <c r="F942" i="1"/>
  <c r="H942" i="1"/>
  <c r="F934" i="1"/>
  <c r="H934" i="1"/>
  <c r="F926" i="1"/>
  <c r="H926" i="1"/>
  <c r="F918" i="1"/>
  <c r="H918" i="1"/>
  <c r="F910" i="1"/>
  <c r="H910" i="1"/>
  <c r="F902" i="1"/>
  <c r="H902" i="1"/>
  <c r="F894" i="1"/>
  <c r="H894" i="1"/>
  <c r="F887" i="1"/>
  <c r="H887" i="1"/>
  <c r="F879" i="1"/>
  <c r="H879" i="1"/>
  <c r="F871" i="1"/>
  <c r="H871" i="1"/>
  <c r="F863" i="1"/>
  <c r="H863" i="1"/>
  <c r="F855" i="1"/>
  <c r="H855" i="1"/>
  <c r="F847" i="1"/>
  <c r="H847" i="1"/>
  <c r="F666" i="1"/>
  <c r="H666" i="1"/>
  <c r="F626" i="1"/>
  <c r="H626" i="1"/>
  <c r="F618" i="1"/>
  <c r="H618" i="1"/>
  <c r="F611" i="1"/>
  <c r="H611" i="1"/>
  <c r="F603" i="1"/>
  <c r="H603" i="1"/>
  <c r="F595" i="1"/>
  <c r="H595" i="1"/>
  <c r="F588" i="1"/>
  <c r="H588" i="1"/>
  <c r="F580" i="1"/>
  <c r="H580" i="1"/>
  <c r="F572" i="1"/>
  <c r="H572" i="1"/>
  <c r="F564" i="1"/>
  <c r="H564" i="1"/>
  <c r="F556" i="1"/>
  <c r="H556" i="1"/>
  <c r="F548" i="1"/>
  <c r="H548" i="1"/>
  <c r="F540" i="1"/>
  <c r="H540" i="1"/>
  <c r="F532" i="1"/>
  <c r="H532" i="1"/>
  <c r="F524" i="1"/>
  <c r="H524" i="1"/>
  <c r="F517" i="1"/>
  <c r="H517" i="1"/>
  <c r="F510" i="1"/>
  <c r="H510" i="1"/>
  <c r="F502" i="1"/>
  <c r="H502" i="1"/>
  <c r="F494" i="1"/>
  <c r="H494" i="1"/>
  <c r="F486" i="1"/>
  <c r="H486" i="1"/>
  <c r="F478" i="1"/>
  <c r="H478" i="1"/>
  <c r="F471" i="1"/>
  <c r="H471" i="1"/>
  <c r="F463" i="1"/>
  <c r="H463" i="1"/>
  <c r="F455" i="1"/>
  <c r="H455" i="1"/>
  <c r="F447" i="1"/>
  <c r="H447" i="1"/>
  <c r="F440" i="1"/>
  <c r="H440" i="1"/>
  <c r="F432" i="1"/>
  <c r="H432" i="1"/>
  <c r="F424" i="1"/>
  <c r="H424" i="1"/>
  <c r="F416" i="1"/>
  <c r="H416" i="1"/>
  <c r="F408" i="1"/>
  <c r="H408" i="1"/>
  <c r="F400" i="1"/>
  <c r="H400" i="1"/>
  <c r="F392" i="1"/>
  <c r="H392" i="1"/>
  <c r="F384" i="1"/>
  <c r="H384" i="1"/>
  <c r="F376" i="1"/>
  <c r="H376" i="1"/>
  <c r="F368" i="1"/>
  <c r="H368" i="1"/>
  <c r="F360" i="1"/>
  <c r="H360" i="1"/>
  <c r="F352" i="1"/>
  <c r="H352" i="1"/>
  <c r="F344" i="1"/>
  <c r="H344" i="1"/>
  <c r="F337" i="1"/>
  <c r="H337" i="1"/>
  <c r="F329" i="1"/>
  <c r="H329" i="1"/>
  <c r="F321" i="1"/>
  <c r="H321" i="1"/>
  <c r="F313" i="1"/>
  <c r="H313" i="1"/>
  <c r="F305" i="1"/>
  <c r="H305" i="1"/>
  <c r="F297" i="1"/>
  <c r="H297" i="1"/>
  <c r="F289" i="1"/>
  <c r="H289" i="1"/>
  <c r="F281" i="1"/>
  <c r="H281" i="1"/>
  <c r="H273" i="1"/>
  <c r="F273" i="1"/>
  <c r="F265" i="1"/>
  <c r="H265" i="1"/>
  <c r="F257" i="1"/>
  <c r="H257" i="1"/>
  <c r="F249" i="1"/>
  <c r="H249" i="1"/>
  <c r="F241" i="1"/>
  <c r="H241" i="1"/>
  <c r="F233" i="1"/>
  <c r="H233" i="1"/>
  <c r="H225" i="1"/>
  <c r="F225" i="1"/>
  <c r="F217" i="1"/>
  <c r="H217" i="1"/>
  <c r="F202" i="1"/>
  <c r="H202" i="1"/>
  <c r="F194" i="1"/>
  <c r="H194" i="1"/>
  <c r="F186" i="1"/>
  <c r="H186" i="1"/>
  <c r="F178" i="1"/>
  <c r="H178" i="1"/>
  <c r="F170" i="1"/>
  <c r="H170" i="1"/>
  <c r="F162" i="1"/>
  <c r="H162" i="1"/>
  <c r="F154" i="1"/>
  <c r="H154" i="1"/>
  <c r="F146" i="1"/>
  <c r="H146" i="1"/>
  <c r="F138" i="1"/>
  <c r="H138" i="1"/>
  <c r="F130" i="1"/>
  <c r="H130" i="1"/>
  <c r="F122" i="1"/>
  <c r="H122" i="1"/>
  <c r="F114" i="1"/>
  <c r="H114" i="1"/>
  <c r="F106" i="1"/>
  <c r="H106" i="1"/>
  <c r="F98" i="1"/>
  <c r="H98" i="1"/>
  <c r="F90" i="1"/>
  <c r="H90" i="1"/>
  <c r="F82" i="1"/>
  <c r="H82" i="1"/>
  <c r="F74" i="1"/>
  <c r="H74" i="1"/>
  <c r="F66" i="1"/>
  <c r="H66" i="1"/>
  <c r="F58" i="1"/>
  <c r="H58" i="1"/>
  <c r="F50" i="1"/>
  <c r="H50" i="1"/>
  <c r="F42" i="1"/>
  <c r="H42" i="1"/>
  <c r="F34" i="1"/>
  <c r="H34" i="1"/>
  <c r="F26" i="1"/>
  <c r="H26" i="1"/>
  <c r="F18" i="1"/>
  <c r="H18" i="1"/>
  <c r="F10" i="1"/>
  <c r="H10" i="1"/>
  <c r="F2" i="1"/>
  <c r="H2" i="1"/>
  <c r="F704" i="1"/>
  <c r="H704" i="1"/>
  <c r="F680" i="1"/>
  <c r="H680" i="1"/>
  <c r="F658" i="1"/>
  <c r="H658" i="1"/>
  <c r="F650" i="1"/>
  <c r="H650" i="1"/>
  <c r="F642" i="1"/>
  <c r="H642" i="1"/>
  <c r="F634" i="1"/>
  <c r="H634" i="1"/>
  <c r="F627" i="1"/>
  <c r="H627" i="1"/>
  <c r="F619" i="1"/>
  <c r="H619" i="1"/>
  <c r="F612" i="1"/>
  <c r="H612" i="1"/>
  <c r="F604" i="1"/>
  <c r="H604" i="1"/>
  <c r="F596" i="1"/>
  <c r="H596" i="1"/>
  <c r="F589" i="1"/>
  <c r="H589" i="1"/>
  <c r="F581" i="1"/>
  <c r="H581" i="1"/>
  <c r="F573" i="1"/>
  <c r="H573" i="1"/>
  <c r="F565" i="1"/>
  <c r="H565" i="1"/>
  <c r="F557" i="1"/>
  <c r="H557" i="1"/>
  <c r="F549" i="1"/>
  <c r="H549" i="1"/>
  <c r="F533" i="1"/>
  <c r="H533" i="1"/>
  <c r="F525" i="1"/>
  <c r="H525" i="1"/>
  <c r="F518" i="1"/>
  <c r="H518" i="1"/>
  <c r="F503" i="1"/>
  <c r="H503" i="1"/>
  <c r="F495" i="1"/>
  <c r="H495" i="1"/>
  <c r="F487" i="1"/>
  <c r="H487" i="1"/>
  <c r="F479" i="1"/>
  <c r="H479" i="1"/>
  <c r="F472" i="1"/>
  <c r="H472" i="1"/>
  <c r="F456" i="1"/>
  <c r="H456" i="1"/>
  <c r="F448" i="1"/>
  <c r="H448" i="1"/>
  <c r="F441" i="1"/>
  <c r="H441" i="1"/>
  <c r="F433" i="1"/>
  <c r="H433" i="1"/>
  <c r="F425" i="1"/>
  <c r="H425" i="1"/>
  <c r="F417" i="1"/>
  <c r="H417" i="1"/>
  <c r="F409" i="1"/>
  <c r="H409" i="1"/>
  <c r="F401" i="1"/>
  <c r="H401" i="1"/>
  <c r="F393" i="1"/>
  <c r="H393" i="1"/>
  <c r="F385" i="1"/>
  <c r="H385" i="1"/>
  <c r="F377" i="1"/>
  <c r="H377" i="1"/>
  <c r="F369" i="1"/>
  <c r="H369" i="1"/>
  <c r="F361" i="1"/>
  <c r="H361" i="1"/>
  <c r="F345" i="1"/>
  <c r="H345" i="1"/>
  <c r="F338" i="1"/>
  <c r="H338" i="1"/>
  <c r="F330" i="1"/>
  <c r="H330" i="1"/>
  <c r="F322" i="1"/>
  <c r="H322" i="1"/>
  <c r="F314" i="1"/>
  <c r="H314" i="1"/>
  <c r="F306" i="1"/>
  <c r="H306" i="1"/>
  <c r="F298" i="1"/>
  <c r="H298" i="1"/>
  <c r="F290" i="1"/>
  <c r="H290" i="1"/>
  <c r="F282" i="1"/>
  <c r="H282" i="1"/>
  <c r="F274" i="1"/>
  <c r="H274" i="1"/>
  <c r="F266" i="1"/>
  <c r="H266" i="1"/>
  <c r="F258" i="1"/>
  <c r="H258" i="1"/>
  <c r="F250" i="1"/>
  <c r="H250" i="1"/>
  <c r="F242" i="1"/>
  <c r="H242" i="1"/>
  <c r="F234" i="1"/>
  <c r="H234" i="1"/>
  <c r="F226" i="1"/>
  <c r="H226" i="1"/>
  <c r="F218" i="1"/>
  <c r="H218" i="1"/>
  <c r="F210" i="1"/>
  <c r="H210" i="1"/>
  <c r="F203" i="1"/>
  <c r="H203" i="1"/>
  <c r="F195" i="1"/>
  <c r="H195" i="1"/>
  <c r="F187" i="1"/>
  <c r="H187" i="1"/>
  <c r="F179" i="1"/>
  <c r="H179" i="1"/>
  <c r="F171" i="1"/>
  <c r="H171" i="1"/>
  <c r="F163" i="1"/>
  <c r="H163" i="1"/>
  <c r="F155" i="1"/>
  <c r="H155" i="1"/>
  <c r="F147" i="1"/>
  <c r="H147" i="1"/>
  <c r="F139" i="1"/>
  <c r="H139" i="1"/>
  <c r="F131" i="1"/>
  <c r="H131" i="1"/>
  <c r="F123" i="1"/>
  <c r="H123" i="1"/>
  <c r="F115" i="1"/>
  <c r="H115" i="1"/>
  <c r="F107" i="1"/>
  <c r="H107" i="1"/>
  <c r="F99" i="1"/>
  <c r="H99" i="1"/>
  <c r="F91" i="1"/>
  <c r="H91" i="1"/>
  <c r="F83" i="1"/>
  <c r="H83" i="1"/>
  <c r="F75" i="1"/>
  <c r="H75" i="1"/>
  <c r="F67" i="1"/>
  <c r="H67" i="1"/>
  <c r="F59" i="1"/>
  <c r="H59" i="1"/>
  <c r="F51" i="1"/>
  <c r="H51" i="1"/>
  <c r="F43" i="1"/>
  <c r="H43" i="1"/>
  <c r="F35" i="1"/>
  <c r="H35" i="1"/>
  <c r="F27" i="1"/>
  <c r="H27" i="1"/>
  <c r="F19" i="1"/>
  <c r="H19" i="1"/>
  <c r="F11" i="1"/>
  <c r="H11" i="1"/>
  <c r="F3" i="1"/>
  <c r="H3" i="1"/>
  <c r="F1967" i="1"/>
  <c r="F1866" i="1"/>
  <c r="F1810" i="1"/>
  <c r="F1764" i="1"/>
  <c r="F1725" i="1"/>
  <c r="F1356" i="1"/>
  <c r="F1276" i="1"/>
  <c r="F1148" i="1"/>
  <c r="F1084" i="1"/>
  <c r="F1040" i="1"/>
  <c r="F994" i="1"/>
  <c r="F914" i="1"/>
  <c r="F837" i="1"/>
  <c r="F696" i="1"/>
  <c r="F621" i="1"/>
  <c r="F512" i="1"/>
  <c r="F413" i="1"/>
  <c r="F159" i="1"/>
  <c r="H1990" i="1"/>
  <c r="H1958" i="1"/>
  <c r="H1926" i="1"/>
  <c r="H1798" i="1"/>
  <c r="H1766" i="1"/>
  <c r="H1734" i="1"/>
  <c r="H1702" i="1"/>
  <c r="H1638" i="1"/>
  <c r="H1574" i="1"/>
  <c r="H1254" i="1"/>
  <c r="H1190" i="1"/>
  <c r="H1126" i="1"/>
  <c r="H1062" i="1"/>
  <c r="H870" i="1"/>
  <c r="F1966" i="1"/>
  <c r="F1927" i="1"/>
  <c r="F1863" i="1"/>
  <c r="F1802" i="1"/>
  <c r="F1719" i="1"/>
  <c r="F1669" i="1"/>
  <c r="F1591" i="1"/>
  <c r="F1543" i="1"/>
  <c r="F1466" i="1"/>
  <c r="F1404" i="1"/>
  <c r="F1340" i="1"/>
  <c r="F1275" i="1"/>
  <c r="F1192" i="1"/>
  <c r="F892" i="1"/>
  <c r="F688" i="1"/>
  <c r="F568" i="1"/>
  <c r="F511" i="1"/>
  <c r="F381" i="1"/>
  <c r="F104" i="1"/>
  <c r="H1983" i="1"/>
  <c r="H1951" i="1"/>
  <c r="H1919" i="1"/>
  <c r="H1887" i="1"/>
  <c r="H1855" i="1"/>
  <c r="H1759" i="1"/>
  <c r="H1727" i="1"/>
  <c r="H1694" i="1"/>
  <c r="H1630" i="1"/>
  <c r="H1566" i="1"/>
  <c r="H1246" i="1"/>
  <c r="H1182" i="1"/>
  <c r="H1118" i="1"/>
  <c r="H1054" i="1"/>
  <c r="H862" i="1"/>
  <c r="F1964" i="1"/>
  <c r="F1890" i="1"/>
  <c r="F1797" i="1"/>
  <c r="F1749" i="1"/>
  <c r="F1711" i="1"/>
  <c r="F1618" i="1"/>
  <c r="F1583" i="1"/>
  <c r="F1542" i="1"/>
  <c r="F1337" i="1"/>
  <c r="F1189" i="1"/>
  <c r="F1072" i="1"/>
  <c r="F970" i="1"/>
  <c r="F891" i="1"/>
  <c r="F722" i="1"/>
  <c r="F561" i="1"/>
  <c r="F497" i="1"/>
  <c r="F365" i="1"/>
  <c r="F96" i="1"/>
  <c r="H1982" i="1"/>
  <c r="H1950" i="1"/>
  <c r="H1790" i="1"/>
  <c r="H1758" i="1"/>
  <c r="H1726" i="1"/>
  <c r="H1686" i="1"/>
  <c r="H1622" i="1"/>
  <c r="H1558" i="1"/>
  <c r="H1302" i="1"/>
  <c r="H1238" i="1"/>
  <c r="H1174" i="1"/>
  <c r="H1110" i="1"/>
  <c r="H1046" i="1"/>
  <c r="P1893" i="1"/>
  <c r="P1869" i="1"/>
  <c r="P1861" i="1"/>
  <c r="P1629" i="1"/>
  <c r="P1621" i="1"/>
  <c r="P1613" i="1"/>
  <c r="P1597" i="1"/>
  <c r="P1581" i="1"/>
  <c r="P1573" i="1"/>
  <c r="P1565" i="1"/>
  <c r="P1541" i="1"/>
  <c r="P1533" i="1"/>
  <c r="P1501" i="1"/>
  <c r="P1485" i="1"/>
  <c r="P1477" i="1"/>
  <c r="P1469" i="1"/>
  <c r="P1453" i="1"/>
  <c r="P1413" i="1"/>
  <c r="P1405" i="1"/>
  <c r="P1389" i="1"/>
  <c r="P1381" i="1"/>
  <c r="P1373" i="1"/>
  <c r="P1365" i="1"/>
  <c r="P1045" i="1"/>
  <c r="P1037" i="1"/>
  <c r="P1029" i="1"/>
  <c r="P1021" i="1"/>
  <c r="P829" i="1"/>
  <c r="P821" i="1"/>
  <c r="P813" i="1"/>
  <c r="P805" i="1"/>
  <c r="P789" i="1"/>
  <c r="P781" i="1"/>
  <c r="P773" i="1"/>
  <c r="P765" i="1"/>
  <c r="P757" i="1"/>
  <c r="P749" i="1"/>
  <c r="P741" i="1"/>
  <c r="P725" i="1"/>
  <c r="P517" i="1"/>
  <c r="F1992" i="1"/>
  <c r="H1992" i="1"/>
  <c r="F1984" i="1"/>
  <c r="H1984" i="1"/>
  <c r="F1976" i="1"/>
  <c r="H1976" i="1"/>
  <c r="F1968" i="1"/>
  <c r="H1968" i="1"/>
  <c r="F1960" i="1"/>
  <c r="H1960" i="1"/>
  <c r="F1953" i="1"/>
  <c r="H1953" i="1"/>
  <c r="F1945" i="1"/>
  <c r="H1945" i="1"/>
  <c r="F1930" i="1"/>
  <c r="H1930" i="1"/>
  <c r="F1922" i="1"/>
  <c r="H1922" i="1"/>
  <c r="F1915" i="1"/>
  <c r="H1915" i="1"/>
  <c r="F1907" i="1"/>
  <c r="H1907" i="1"/>
  <c r="F1899" i="1"/>
  <c r="H1899" i="1"/>
  <c r="F1891" i="1"/>
  <c r="H1891" i="1"/>
  <c r="F1883" i="1"/>
  <c r="H1883" i="1"/>
  <c r="F1875" i="1"/>
  <c r="H1875" i="1"/>
  <c r="F1867" i="1"/>
  <c r="H1867" i="1"/>
  <c r="F1859" i="1"/>
  <c r="H1859" i="1"/>
  <c r="F1851" i="1"/>
  <c r="H1851" i="1"/>
  <c r="F1843" i="1"/>
  <c r="H1843" i="1"/>
  <c r="F1835" i="1"/>
  <c r="H1835" i="1"/>
  <c r="F1827" i="1"/>
  <c r="H1827" i="1"/>
  <c r="F1820" i="1"/>
  <c r="H1820" i="1"/>
  <c r="F1805" i="1"/>
  <c r="H1805" i="1"/>
  <c r="F1744" i="1"/>
  <c r="H1744" i="1"/>
  <c r="F1736" i="1"/>
  <c r="H1736" i="1"/>
  <c r="F1728" i="1"/>
  <c r="H1728" i="1"/>
  <c r="F1721" i="1"/>
  <c r="H1721" i="1"/>
  <c r="F1713" i="1"/>
  <c r="H1713" i="1"/>
  <c r="F1705" i="1"/>
  <c r="H1705" i="1"/>
  <c r="F1697" i="1"/>
  <c r="H1697" i="1"/>
  <c r="F1689" i="1"/>
  <c r="H1689" i="1"/>
  <c r="F1681" i="1"/>
  <c r="H1681" i="1"/>
  <c r="F1673" i="1"/>
  <c r="H1673" i="1"/>
  <c r="F1665" i="1"/>
  <c r="H1665" i="1"/>
  <c r="F1657" i="1"/>
  <c r="H1657" i="1"/>
  <c r="F1649" i="1"/>
  <c r="H1649" i="1"/>
  <c r="F1641" i="1"/>
  <c r="H1641" i="1"/>
  <c r="F1626" i="1"/>
  <c r="H1626" i="1"/>
  <c r="F1602" i="1"/>
  <c r="H1602" i="1"/>
  <c r="F1594" i="1"/>
  <c r="H1594" i="1"/>
  <c r="F1586" i="1"/>
  <c r="H1586" i="1"/>
  <c r="F1578" i="1"/>
  <c r="H1578" i="1"/>
  <c r="F1570" i="1"/>
  <c r="H1570" i="1"/>
  <c r="F1562" i="1"/>
  <c r="H1562" i="1"/>
  <c r="F1554" i="1"/>
  <c r="H1554" i="1"/>
  <c r="F1546" i="1"/>
  <c r="H1546" i="1"/>
  <c r="F1538" i="1"/>
  <c r="H1538" i="1"/>
  <c r="F1530" i="1"/>
  <c r="H1530" i="1"/>
  <c r="F1523" i="1"/>
  <c r="H1523" i="1"/>
  <c r="F1515" i="1"/>
  <c r="H1515" i="1"/>
  <c r="F1507" i="1"/>
  <c r="H1507" i="1"/>
  <c r="F1499" i="1"/>
  <c r="H1499" i="1"/>
  <c r="F1492" i="1"/>
  <c r="H1492" i="1"/>
  <c r="F1484" i="1"/>
  <c r="H1484" i="1"/>
  <c r="F1476" i="1"/>
  <c r="H1476" i="1"/>
  <c r="F1468" i="1"/>
  <c r="H1468" i="1"/>
  <c r="F1460" i="1"/>
  <c r="H1460" i="1"/>
  <c r="F1452" i="1"/>
  <c r="H1452" i="1"/>
  <c r="F1444" i="1"/>
  <c r="H1444" i="1"/>
  <c r="F1428" i="1"/>
  <c r="H1428" i="1"/>
  <c r="F1420" i="1"/>
  <c r="H1420" i="1"/>
  <c r="F1412" i="1"/>
  <c r="H1412" i="1"/>
  <c r="F1396" i="1"/>
  <c r="H1396" i="1"/>
  <c r="F1380" i="1"/>
  <c r="H1380" i="1"/>
  <c r="F1364" i="1"/>
  <c r="H1364" i="1"/>
  <c r="F1357" i="1"/>
  <c r="H1357" i="1"/>
  <c r="F1349" i="1"/>
  <c r="H1349" i="1"/>
  <c r="F1341" i="1"/>
  <c r="H1341" i="1"/>
  <c r="F1333" i="1"/>
  <c r="H1333" i="1"/>
  <c r="F1325" i="1"/>
  <c r="H1325" i="1"/>
  <c r="F1309" i="1"/>
  <c r="H1309" i="1"/>
  <c r="F1231" i="1"/>
  <c r="H1231" i="1"/>
  <c r="F1223" i="1"/>
  <c r="H1223" i="1"/>
  <c r="F1215" i="1"/>
  <c r="H1215" i="1"/>
  <c r="F1200" i="1"/>
  <c r="H1200" i="1"/>
  <c r="F1184" i="1"/>
  <c r="H1184" i="1"/>
  <c r="F1176" i="1"/>
  <c r="H1176" i="1"/>
  <c r="F1160" i="1"/>
  <c r="H1160" i="1"/>
  <c r="F1152" i="1"/>
  <c r="H1152" i="1"/>
  <c r="F1144" i="1"/>
  <c r="H1144" i="1"/>
  <c r="F1136" i="1"/>
  <c r="H1136" i="1"/>
  <c r="F1120" i="1"/>
  <c r="H1120" i="1"/>
  <c r="F1112" i="1"/>
  <c r="H1112" i="1"/>
  <c r="F1104" i="1"/>
  <c r="H1104" i="1"/>
  <c r="F1096" i="1"/>
  <c r="H1096" i="1"/>
  <c r="F1088" i="1"/>
  <c r="H1088" i="1"/>
  <c r="F1080" i="1"/>
  <c r="H1080" i="1"/>
  <c r="F1065" i="1"/>
  <c r="H1065" i="1"/>
  <c r="F1057" i="1"/>
  <c r="H1057" i="1"/>
  <c r="F1049" i="1"/>
  <c r="H1049" i="1"/>
  <c r="F1035" i="1"/>
  <c r="H1035" i="1"/>
  <c r="F1027" i="1"/>
  <c r="H1027" i="1"/>
  <c r="F1012" i="1"/>
  <c r="H1012" i="1"/>
  <c r="F1004" i="1"/>
  <c r="H1004" i="1"/>
  <c r="F997" i="1"/>
  <c r="H997" i="1"/>
  <c r="F989" i="1"/>
  <c r="H989" i="1"/>
  <c r="F981" i="1"/>
  <c r="H981" i="1"/>
  <c r="F973" i="1"/>
  <c r="H973" i="1"/>
  <c r="F965" i="1"/>
  <c r="H965" i="1"/>
  <c r="F957" i="1"/>
  <c r="H957" i="1"/>
  <c r="F949" i="1"/>
  <c r="H949" i="1"/>
  <c r="F941" i="1"/>
  <c r="H941" i="1"/>
  <c r="F933" i="1"/>
  <c r="H933" i="1"/>
  <c r="F925" i="1"/>
  <c r="H925" i="1"/>
  <c r="F917" i="1"/>
  <c r="H917" i="1"/>
  <c r="F909" i="1"/>
  <c r="H909" i="1"/>
  <c r="F901" i="1"/>
  <c r="H901" i="1"/>
  <c r="F893" i="1"/>
  <c r="H893" i="1"/>
  <c r="F840" i="1"/>
  <c r="H840" i="1"/>
  <c r="F833" i="1"/>
  <c r="H833" i="1"/>
  <c r="F826" i="1"/>
  <c r="H826" i="1"/>
  <c r="F818" i="1"/>
  <c r="H818" i="1"/>
  <c r="F810" i="1"/>
  <c r="H810" i="1"/>
  <c r="F796" i="1"/>
  <c r="H796" i="1"/>
  <c r="F788" i="1"/>
  <c r="H788" i="1"/>
  <c r="F780" i="1"/>
  <c r="H780" i="1"/>
  <c r="F772" i="1"/>
  <c r="H772" i="1"/>
  <c r="F764" i="1"/>
  <c r="H764" i="1"/>
  <c r="F756" i="1"/>
  <c r="H756" i="1"/>
  <c r="F748" i="1"/>
  <c r="H748" i="1"/>
  <c r="F740" i="1"/>
  <c r="H740" i="1"/>
  <c r="F732" i="1"/>
  <c r="H732" i="1"/>
  <c r="F724" i="1"/>
  <c r="H724" i="1"/>
  <c r="F701" i="1"/>
  <c r="H701" i="1"/>
  <c r="F693" i="1"/>
  <c r="H693" i="1"/>
  <c r="F685" i="1"/>
  <c r="H685" i="1"/>
  <c r="F677" i="1"/>
  <c r="H677" i="1"/>
  <c r="F670" i="1"/>
  <c r="H670" i="1"/>
  <c r="F663" i="1"/>
  <c r="H663" i="1"/>
  <c r="F655" i="1"/>
  <c r="H655" i="1"/>
  <c r="F647" i="1"/>
  <c r="H647" i="1"/>
  <c r="F639" i="1"/>
  <c r="H639" i="1"/>
  <c r="F624" i="1"/>
  <c r="H624" i="1"/>
  <c r="F616" i="1"/>
  <c r="H616" i="1"/>
  <c r="F609" i="1"/>
  <c r="H609" i="1"/>
  <c r="F601" i="1"/>
  <c r="H601" i="1"/>
  <c r="F593" i="1"/>
  <c r="H593" i="1"/>
  <c r="F586" i="1"/>
  <c r="H586" i="1"/>
  <c r="F578" i="1"/>
  <c r="H578" i="1"/>
  <c r="F570" i="1"/>
  <c r="H570" i="1"/>
  <c r="F562" i="1"/>
  <c r="H562" i="1"/>
  <c r="F554" i="1"/>
  <c r="H554" i="1"/>
  <c r="F546" i="1"/>
  <c r="H546" i="1"/>
  <c r="F538" i="1"/>
  <c r="H538" i="1"/>
  <c r="F530" i="1"/>
  <c r="H530" i="1"/>
  <c r="F515" i="1"/>
  <c r="H515" i="1"/>
  <c r="F508" i="1"/>
  <c r="H508" i="1"/>
  <c r="F500" i="1"/>
  <c r="H500" i="1"/>
  <c r="F492" i="1"/>
  <c r="H492" i="1"/>
  <c r="F484" i="1"/>
  <c r="H484" i="1"/>
  <c r="F476" i="1"/>
  <c r="H476" i="1"/>
  <c r="F469" i="1"/>
  <c r="H469" i="1"/>
  <c r="F453" i="1"/>
  <c r="H453" i="1"/>
  <c r="F445" i="1"/>
  <c r="H445" i="1"/>
  <c r="F438" i="1"/>
  <c r="H438" i="1"/>
  <c r="F430" i="1"/>
  <c r="H430" i="1"/>
  <c r="F422" i="1"/>
  <c r="H422" i="1"/>
  <c r="F414" i="1"/>
  <c r="H414" i="1"/>
  <c r="F406" i="1"/>
  <c r="H406" i="1"/>
  <c r="F398" i="1"/>
  <c r="H398" i="1"/>
  <c r="F390" i="1"/>
  <c r="H390" i="1"/>
  <c r="F382" i="1"/>
  <c r="H382" i="1"/>
  <c r="F374" i="1"/>
  <c r="H374" i="1"/>
  <c r="F366" i="1"/>
  <c r="H366" i="1"/>
  <c r="F358" i="1"/>
  <c r="H358" i="1"/>
  <c r="F350" i="1"/>
  <c r="H350" i="1"/>
  <c r="F342" i="1"/>
  <c r="H342" i="1"/>
  <c r="F327" i="1"/>
  <c r="H327" i="1"/>
  <c r="F319" i="1"/>
  <c r="H319" i="1"/>
  <c r="F311" i="1"/>
  <c r="H311" i="1"/>
  <c r="H303" i="1"/>
  <c r="F303" i="1"/>
  <c r="F295" i="1"/>
  <c r="H295" i="1"/>
  <c r="H287" i="1"/>
  <c r="F287" i="1"/>
  <c r="F279" i="1"/>
  <c r="H279" i="1"/>
  <c r="F263" i="1"/>
  <c r="H263" i="1"/>
  <c r="F247" i="1"/>
  <c r="H247" i="1"/>
  <c r="F239" i="1"/>
  <c r="H239" i="1"/>
  <c r="F231" i="1"/>
  <c r="H231" i="1"/>
  <c r="F223" i="1"/>
  <c r="H223" i="1"/>
  <c r="F215" i="1"/>
  <c r="H215" i="1"/>
  <c r="F208" i="1"/>
  <c r="H208" i="1"/>
  <c r="F200" i="1"/>
  <c r="H200" i="1"/>
  <c r="F192" i="1"/>
  <c r="H192" i="1"/>
  <c r="F184" i="1"/>
  <c r="H184" i="1"/>
  <c r="F176" i="1"/>
  <c r="H176" i="1"/>
  <c r="F168" i="1"/>
  <c r="H168" i="1"/>
  <c r="F160" i="1"/>
  <c r="H160" i="1"/>
  <c r="F152" i="1"/>
  <c r="H152" i="1"/>
  <c r="F144" i="1"/>
  <c r="H144" i="1"/>
  <c r="F136" i="1"/>
  <c r="H136" i="1"/>
  <c r="F128" i="1"/>
  <c r="H128" i="1"/>
  <c r="F120" i="1"/>
  <c r="H120" i="1"/>
  <c r="F112" i="1"/>
  <c r="H112" i="1"/>
  <c r="F88" i="1"/>
  <c r="H88" i="1"/>
  <c r="H80" i="1"/>
  <c r="F80" i="1"/>
  <c r="H72" i="1"/>
  <c r="F72" i="1"/>
  <c r="H64" i="1"/>
  <c r="F64" i="1"/>
  <c r="H56" i="1"/>
  <c r="F56" i="1"/>
  <c r="H40" i="1"/>
  <c r="F40" i="1"/>
  <c r="F32" i="1"/>
  <c r="H32" i="1"/>
  <c r="H24" i="1"/>
  <c r="F24" i="1"/>
  <c r="F16" i="1"/>
  <c r="H16" i="1"/>
  <c r="F8" i="1"/>
  <c r="H8" i="1"/>
  <c r="F1956" i="1"/>
  <c r="F1789" i="1"/>
  <c r="F1748" i="1"/>
  <c r="F1710" i="1"/>
  <c r="F1610" i="1"/>
  <c r="F1582" i="1"/>
  <c r="F1506" i="1"/>
  <c r="F1251" i="1"/>
  <c r="F1061" i="1"/>
  <c r="F890" i="1"/>
  <c r="F717" i="1"/>
  <c r="F560" i="1"/>
  <c r="F488" i="1"/>
  <c r="F353" i="1"/>
  <c r="F48" i="1"/>
  <c r="H1975" i="1"/>
  <c r="H1943" i="1"/>
  <c r="H1911" i="1"/>
  <c r="H1879" i="1"/>
  <c r="H1847" i="1"/>
  <c r="H1783" i="1"/>
  <c r="H1751" i="1"/>
  <c r="H1678" i="1"/>
  <c r="H1614" i="1"/>
  <c r="H1550" i="1"/>
  <c r="H1294" i="1"/>
  <c r="H1230" i="1"/>
  <c r="H1166" i="1"/>
  <c r="H1102" i="1"/>
  <c r="H846" i="1"/>
  <c r="F1944" i="1"/>
  <c r="H1944" i="1"/>
  <c r="F1898" i="1"/>
  <c r="H1898" i="1"/>
  <c r="F1858" i="1"/>
  <c r="H1858" i="1"/>
  <c r="F1842" i="1"/>
  <c r="H1842" i="1"/>
  <c r="F1819" i="1"/>
  <c r="H1819" i="1"/>
  <c r="F1720" i="1"/>
  <c r="H1720" i="1"/>
  <c r="F1696" i="1"/>
  <c r="H1696" i="1"/>
  <c r="F1680" i="1"/>
  <c r="H1680" i="1"/>
  <c r="F1664" i="1"/>
  <c r="H1664" i="1"/>
  <c r="F1640" i="1"/>
  <c r="H1640" i="1"/>
  <c r="F1625" i="1"/>
  <c r="H1625" i="1"/>
  <c r="F1609" i="1"/>
  <c r="H1609" i="1"/>
  <c r="F1593" i="1"/>
  <c r="H1593" i="1"/>
  <c r="F1577" i="1"/>
  <c r="H1577" i="1"/>
  <c r="F1561" i="1"/>
  <c r="H1561" i="1"/>
  <c r="F1545" i="1"/>
  <c r="H1545" i="1"/>
  <c r="F1522" i="1"/>
  <c r="H1522" i="1"/>
  <c r="F1514" i="1"/>
  <c r="H1514" i="1"/>
  <c r="F1491" i="1"/>
  <c r="H1491" i="1"/>
  <c r="F1483" i="1"/>
  <c r="H1483" i="1"/>
  <c r="F1467" i="1"/>
  <c r="H1467" i="1"/>
  <c r="F1459" i="1"/>
  <c r="H1459" i="1"/>
  <c r="F1443" i="1"/>
  <c r="H1443" i="1"/>
  <c r="F1435" i="1"/>
  <c r="H1435" i="1"/>
  <c r="F1419" i="1"/>
  <c r="H1419" i="1"/>
  <c r="F1403" i="1"/>
  <c r="H1403" i="1"/>
  <c r="F1395" i="1"/>
  <c r="H1395" i="1"/>
  <c r="F1379" i="1"/>
  <c r="H1379" i="1"/>
  <c r="F1371" i="1"/>
  <c r="H1371" i="1"/>
  <c r="F1332" i="1"/>
  <c r="H1332" i="1"/>
  <c r="F1308" i="1"/>
  <c r="H1308" i="1"/>
  <c r="F1277" i="1"/>
  <c r="H1277" i="1"/>
  <c r="F1261" i="1"/>
  <c r="H1261" i="1"/>
  <c r="F1253" i="1"/>
  <c r="H1253" i="1"/>
  <c r="F1199" i="1"/>
  <c r="H1199" i="1"/>
  <c r="F1191" i="1"/>
  <c r="H1191" i="1"/>
  <c r="F1175" i="1"/>
  <c r="H1175" i="1"/>
  <c r="F1167" i="1"/>
  <c r="H1167" i="1"/>
  <c r="F1151" i="1"/>
  <c r="H1151" i="1"/>
  <c r="F1135" i="1"/>
  <c r="H1135" i="1"/>
  <c r="F1127" i="1"/>
  <c r="H1127" i="1"/>
  <c r="F1111" i="1"/>
  <c r="H1111" i="1"/>
  <c r="F1095" i="1"/>
  <c r="H1095" i="1"/>
  <c r="F1079" i="1"/>
  <c r="H1079" i="1"/>
  <c r="F1064" i="1"/>
  <c r="H1064" i="1"/>
  <c r="F1026" i="1"/>
  <c r="H1026" i="1"/>
  <c r="F1011" i="1"/>
  <c r="H1011" i="1"/>
  <c r="F996" i="1"/>
  <c r="H996" i="1"/>
  <c r="F980" i="1"/>
  <c r="H980" i="1"/>
  <c r="F948" i="1"/>
  <c r="H948" i="1"/>
  <c r="F932" i="1"/>
  <c r="H932" i="1"/>
  <c r="F916" i="1"/>
  <c r="H916" i="1"/>
  <c r="F869" i="1"/>
  <c r="H869" i="1"/>
  <c r="F832" i="1"/>
  <c r="H832" i="1"/>
  <c r="F817" i="1"/>
  <c r="H817" i="1"/>
  <c r="F795" i="1"/>
  <c r="H795" i="1"/>
  <c r="F779" i="1"/>
  <c r="H779" i="1"/>
  <c r="F755" i="1"/>
  <c r="H755" i="1"/>
  <c r="F731" i="1"/>
  <c r="H731" i="1"/>
  <c r="F708" i="1"/>
  <c r="H708" i="1"/>
  <c r="F684" i="1"/>
  <c r="H684" i="1"/>
  <c r="F669" i="1"/>
  <c r="H669" i="1"/>
  <c r="F646" i="1"/>
  <c r="H646" i="1"/>
  <c r="F623" i="1"/>
  <c r="H623" i="1"/>
  <c r="F600" i="1"/>
  <c r="H600" i="1"/>
  <c r="F577" i="1"/>
  <c r="H577" i="1"/>
  <c r="F537" i="1"/>
  <c r="H537" i="1"/>
  <c r="F522" i="1"/>
  <c r="H522" i="1"/>
  <c r="F514" i="1"/>
  <c r="H514" i="1"/>
  <c r="F507" i="1"/>
  <c r="H507" i="1"/>
  <c r="F499" i="1"/>
  <c r="H499" i="1"/>
  <c r="F491" i="1"/>
  <c r="H491" i="1"/>
  <c r="F483" i="1"/>
  <c r="H483" i="1"/>
  <c r="F475" i="1"/>
  <c r="H475" i="1"/>
  <c r="F468" i="1"/>
  <c r="H468" i="1"/>
  <c r="F460" i="1"/>
  <c r="H460" i="1"/>
  <c r="F452" i="1"/>
  <c r="H452" i="1"/>
  <c r="F444" i="1"/>
  <c r="H444" i="1"/>
  <c r="F437" i="1"/>
  <c r="H437" i="1"/>
  <c r="F405" i="1"/>
  <c r="H405" i="1"/>
  <c r="F397" i="1"/>
  <c r="H397" i="1"/>
  <c r="F389" i="1"/>
  <c r="H389" i="1"/>
  <c r="F373" i="1"/>
  <c r="H373" i="1"/>
  <c r="F357" i="1"/>
  <c r="H357" i="1"/>
  <c r="F349" i="1"/>
  <c r="H349" i="1"/>
  <c r="F341" i="1"/>
  <c r="H341" i="1"/>
  <c r="F334" i="1"/>
  <c r="H334" i="1"/>
  <c r="F326" i="1"/>
  <c r="H326" i="1"/>
  <c r="F318" i="1"/>
  <c r="H318" i="1"/>
  <c r="F310" i="1"/>
  <c r="H310" i="1"/>
  <c r="F302" i="1"/>
  <c r="H302" i="1"/>
  <c r="F294" i="1"/>
  <c r="H294" i="1"/>
  <c r="F286" i="1"/>
  <c r="H286" i="1"/>
  <c r="F278" i="1"/>
  <c r="H278" i="1"/>
  <c r="F270" i="1"/>
  <c r="H270" i="1"/>
  <c r="F262" i="1"/>
  <c r="H262" i="1"/>
  <c r="F254" i="1"/>
  <c r="H254" i="1"/>
  <c r="F246" i="1"/>
  <c r="H246" i="1"/>
  <c r="F238" i="1"/>
  <c r="H238" i="1"/>
  <c r="F230" i="1"/>
  <c r="H230" i="1"/>
  <c r="F222" i="1"/>
  <c r="H222" i="1"/>
  <c r="F214" i="1"/>
  <c r="H214" i="1"/>
  <c r="H207" i="1"/>
  <c r="F207" i="1"/>
  <c r="F199" i="1"/>
  <c r="H199" i="1"/>
  <c r="F191" i="1"/>
  <c r="H191" i="1"/>
  <c r="F183" i="1"/>
  <c r="H183" i="1"/>
  <c r="F167" i="1"/>
  <c r="H167" i="1"/>
  <c r="F151" i="1"/>
  <c r="H151" i="1"/>
  <c r="H143" i="1"/>
  <c r="F143" i="1"/>
  <c r="F135" i="1"/>
  <c r="H135" i="1"/>
  <c r="H127" i="1"/>
  <c r="F127" i="1"/>
  <c r="F119" i="1"/>
  <c r="H119" i="1"/>
  <c r="F111" i="1"/>
  <c r="H111" i="1"/>
  <c r="F103" i="1"/>
  <c r="H103" i="1"/>
  <c r="F95" i="1"/>
  <c r="H95" i="1"/>
  <c r="F87" i="1"/>
  <c r="H87" i="1"/>
  <c r="H79" i="1"/>
  <c r="F79" i="1"/>
  <c r="F71" i="1"/>
  <c r="H71" i="1"/>
  <c r="F63" i="1"/>
  <c r="H63" i="1"/>
  <c r="F55" i="1"/>
  <c r="H55" i="1"/>
  <c r="F39" i="1"/>
  <c r="H39" i="1"/>
  <c r="H31" i="1"/>
  <c r="F31" i="1"/>
  <c r="F23" i="1"/>
  <c r="H23" i="1"/>
  <c r="H15" i="1"/>
  <c r="F15" i="1"/>
  <c r="F7" i="1"/>
  <c r="H7" i="1"/>
  <c r="F1991" i="1"/>
  <c r="F1788" i="1"/>
  <c r="F1695" i="1"/>
  <c r="F1607" i="1"/>
  <c r="F1503" i="1"/>
  <c r="F1388" i="1"/>
  <c r="F1317" i="1"/>
  <c r="F1128" i="1"/>
  <c r="F1018" i="1"/>
  <c r="F964" i="1"/>
  <c r="F867" i="1"/>
  <c r="F824" i="1"/>
  <c r="F714" i="1"/>
  <c r="F559" i="1"/>
  <c r="F481" i="1"/>
  <c r="F335" i="1"/>
  <c r="F47" i="1"/>
  <c r="H1974" i="1"/>
  <c r="H1942" i="1"/>
  <c r="H1782" i="1"/>
  <c r="H1750" i="1"/>
  <c r="H1718" i="1"/>
  <c r="H1670" i="1"/>
  <c r="H1606" i="1"/>
  <c r="H1286" i="1"/>
  <c r="H1222" i="1"/>
  <c r="H1158" i="1"/>
  <c r="H1094" i="1"/>
  <c r="H838" i="1"/>
  <c r="F1997" i="1"/>
  <c r="H1997" i="1"/>
  <c r="F1936" i="1"/>
  <c r="H1936" i="1"/>
  <c r="F1928" i="1"/>
  <c r="H1928" i="1"/>
  <c r="F1920" i="1"/>
  <c r="H1920" i="1"/>
  <c r="F1913" i="1"/>
  <c r="H1913" i="1"/>
  <c r="F1905" i="1"/>
  <c r="H1905" i="1"/>
  <c r="F1897" i="1"/>
  <c r="H1897" i="1"/>
  <c r="F1889" i="1"/>
  <c r="H1889" i="1"/>
  <c r="F1881" i="1"/>
  <c r="H1881" i="1"/>
  <c r="F1873" i="1"/>
  <c r="H1873" i="1"/>
  <c r="F1865" i="1"/>
  <c r="H1865" i="1"/>
  <c r="F1857" i="1"/>
  <c r="H1857" i="1"/>
  <c r="F1849" i="1"/>
  <c r="H1849" i="1"/>
  <c r="F1841" i="1"/>
  <c r="H1841" i="1"/>
  <c r="F1833" i="1"/>
  <c r="H1833" i="1"/>
  <c r="F1818" i="1"/>
  <c r="H1818" i="1"/>
  <c r="F1811" i="1"/>
  <c r="H1811" i="1"/>
  <c r="F1803" i="1"/>
  <c r="H1803" i="1"/>
  <c r="F1796" i="1"/>
  <c r="H1796" i="1"/>
  <c r="F1781" i="1"/>
  <c r="H1781" i="1"/>
  <c r="F1765" i="1"/>
  <c r="H1765" i="1"/>
  <c r="F1757" i="1"/>
  <c r="H1757" i="1"/>
  <c r="F1687" i="1"/>
  <c r="H1687" i="1"/>
  <c r="F1679" i="1"/>
  <c r="H1679" i="1"/>
  <c r="F1671" i="1"/>
  <c r="H1671" i="1"/>
  <c r="F1663" i="1"/>
  <c r="H1663" i="1"/>
  <c r="F1655" i="1"/>
  <c r="H1655" i="1"/>
  <c r="F1647" i="1"/>
  <c r="H1647" i="1"/>
  <c r="F1639" i="1"/>
  <c r="H1639" i="1"/>
  <c r="F1632" i="1"/>
  <c r="H1632" i="1"/>
  <c r="F1624" i="1"/>
  <c r="H1624" i="1"/>
  <c r="F1616" i="1"/>
  <c r="H1616" i="1"/>
  <c r="F1608" i="1"/>
  <c r="H1608" i="1"/>
  <c r="F1600" i="1"/>
  <c r="H1600" i="1"/>
  <c r="F1592" i="1"/>
  <c r="H1592" i="1"/>
  <c r="F1584" i="1"/>
  <c r="H1584" i="1"/>
  <c r="F1576" i="1"/>
  <c r="H1576" i="1"/>
  <c r="F1568" i="1"/>
  <c r="H1568" i="1"/>
  <c r="F1560" i="1"/>
  <c r="H1560" i="1"/>
  <c r="F1552" i="1"/>
  <c r="H1552" i="1"/>
  <c r="F1544" i="1"/>
  <c r="H1544" i="1"/>
  <c r="F1536" i="1"/>
  <c r="H1536" i="1"/>
  <c r="F1521" i="1"/>
  <c r="H1521" i="1"/>
  <c r="F1513" i="1"/>
  <c r="H1513" i="1"/>
  <c r="F1505" i="1"/>
  <c r="H1505" i="1"/>
  <c r="F1474" i="1"/>
  <c r="H1474" i="1"/>
  <c r="F1458" i="1"/>
  <c r="H1458" i="1"/>
  <c r="F1450" i="1"/>
  <c r="H1450" i="1"/>
  <c r="F1442" i="1"/>
  <c r="H1442" i="1"/>
  <c r="F1434" i="1"/>
  <c r="H1434" i="1"/>
  <c r="F1426" i="1"/>
  <c r="H1426" i="1"/>
  <c r="F1418" i="1"/>
  <c r="H1418" i="1"/>
  <c r="F1410" i="1"/>
  <c r="H1410" i="1"/>
  <c r="F1402" i="1"/>
  <c r="H1402" i="1"/>
  <c r="F1394" i="1"/>
  <c r="H1394" i="1"/>
  <c r="F1386" i="1"/>
  <c r="H1386" i="1"/>
  <c r="F1378" i="1"/>
  <c r="H1378" i="1"/>
  <c r="F1370" i="1"/>
  <c r="H1370" i="1"/>
  <c r="F1362" i="1"/>
  <c r="H1362" i="1"/>
  <c r="F1355" i="1"/>
  <c r="H1355" i="1"/>
  <c r="F1347" i="1"/>
  <c r="H1347" i="1"/>
  <c r="F1339" i="1"/>
  <c r="H1339" i="1"/>
  <c r="F1331" i="1"/>
  <c r="H1331" i="1"/>
  <c r="F1323" i="1"/>
  <c r="H1323" i="1"/>
  <c r="F1315" i="1"/>
  <c r="H1315" i="1"/>
  <c r="F1307" i="1"/>
  <c r="H1307" i="1"/>
  <c r="F1300" i="1"/>
  <c r="H1300" i="1"/>
  <c r="F1292" i="1"/>
  <c r="H1292" i="1"/>
  <c r="F1284" i="1"/>
  <c r="H1284" i="1"/>
  <c r="F1268" i="1"/>
  <c r="H1268" i="1"/>
  <c r="F1260" i="1"/>
  <c r="H1260" i="1"/>
  <c r="F1252" i="1"/>
  <c r="H1252" i="1"/>
  <c r="F1244" i="1"/>
  <c r="H1244" i="1"/>
  <c r="F1237" i="1"/>
  <c r="H1237" i="1"/>
  <c r="F1229" i="1"/>
  <c r="H1229" i="1"/>
  <c r="F1221" i="1"/>
  <c r="H1221" i="1"/>
  <c r="F1213" i="1"/>
  <c r="H1213" i="1"/>
  <c r="F1063" i="1"/>
  <c r="H1063" i="1"/>
  <c r="F1055" i="1"/>
  <c r="H1055" i="1"/>
  <c r="F1033" i="1"/>
  <c r="H1033" i="1"/>
  <c r="F1025" i="1"/>
  <c r="H1025" i="1"/>
  <c r="F1010" i="1"/>
  <c r="H1010" i="1"/>
  <c r="F1002" i="1"/>
  <c r="H1002" i="1"/>
  <c r="F987" i="1"/>
  <c r="H987" i="1"/>
  <c r="F979" i="1"/>
  <c r="H979" i="1"/>
  <c r="F971" i="1"/>
  <c r="H971" i="1"/>
  <c r="F963" i="1"/>
  <c r="H963" i="1"/>
  <c r="F955" i="1"/>
  <c r="H955" i="1"/>
  <c r="F947" i="1"/>
  <c r="H947" i="1"/>
  <c r="F931" i="1"/>
  <c r="H931" i="1"/>
  <c r="F923" i="1"/>
  <c r="H923" i="1"/>
  <c r="F907" i="1"/>
  <c r="H907" i="1"/>
  <c r="F899" i="1"/>
  <c r="H899" i="1"/>
  <c r="F884" i="1"/>
  <c r="H884" i="1"/>
  <c r="F876" i="1"/>
  <c r="H876" i="1"/>
  <c r="F868" i="1"/>
  <c r="H868" i="1"/>
  <c r="F860" i="1"/>
  <c r="H860" i="1"/>
  <c r="F853" i="1"/>
  <c r="H853" i="1"/>
  <c r="F831" i="1"/>
  <c r="H831" i="1"/>
  <c r="F808" i="1"/>
  <c r="H808" i="1"/>
  <c r="F802" i="1"/>
  <c r="H802" i="1"/>
  <c r="F794" i="1"/>
  <c r="H794" i="1"/>
  <c r="F786" i="1"/>
  <c r="H786" i="1"/>
  <c r="F778" i="1"/>
  <c r="H778" i="1"/>
  <c r="F770" i="1"/>
  <c r="H770" i="1"/>
  <c r="F762" i="1"/>
  <c r="H762" i="1"/>
  <c r="F754" i="1"/>
  <c r="H754" i="1"/>
  <c r="F746" i="1"/>
  <c r="H746" i="1"/>
  <c r="F730" i="1"/>
  <c r="H730" i="1"/>
  <c r="F715" i="1"/>
  <c r="H715" i="1"/>
  <c r="F707" i="1"/>
  <c r="H707" i="1"/>
  <c r="F691" i="1"/>
  <c r="H691" i="1"/>
  <c r="F683" i="1"/>
  <c r="H683" i="1"/>
  <c r="F675" i="1"/>
  <c r="H675" i="1"/>
  <c r="F668" i="1"/>
  <c r="H668" i="1"/>
  <c r="F661" i="1"/>
  <c r="H661" i="1"/>
  <c r="F653" i="1"/>
  <c r="H653" i="1"/>
  <c r="F645" i="1"/>
  <c r="H645" i="1"/>
  <c r="F637" i="1"/>
  <c r="H637" i="1"/>
  <c r="F630" i="1"/>
  <c r="H630" i="1"/>
  <c r="F622" i="1"/>
  <c r="H622" i="1"/>
  <c r="F614" i="1"/>
  <c r="H614" i="1"/>
  <c r="F607" i="1"/>
  <c r="H607" i="1"/>
  <c r="F599" i="1"/>
  <c r="H599" i="1"/>
  <c r="F591" i="1"/>
  <c r="H591" i="1"/>
  <c r="F584" i="1"/>
  <c r="H584" i="1"/>
  <c r="F576" i="1"/>
  <c r="H576" i="1"/>
  <c r="F552" i="1"/>
  <c r="H552" i="1"/>
  <c r="F544" i="1"/>
  <c r="H544" i="1"/>
  <c r="F536" i="1"/>
  <c r="H536" i="1"/>
  <c r="F528" i="1"/>
  <c r="H528" i="1"/>
  <c r="F521" i="1"/>
  <c r="H521" i="1"/>
  <c r="F506" i="1"/>
  <c r="H506" i="1"/>
  <c r="F498" i="1"/>
  <c r="H498" i="1"/>
  <c r="F490" i="1"/>
  <c r="H490" i="1"/>
  <c r="F482" i="1"/>
  <c r="H482" i="1"/>
  <c r="F474" i="1"/>
  <c r="H474" i="1"/>
  <c r="F467" i="1"/>
  <c r="H467" i="1"/>
  <c r="F459" i="1"/>
  <c r="H459" i="1"/>
  <c r="F451" i="1"/>
  <c r="H451" i="1"/>
  <c r="F443" i="1"/>
  <c r="H443" i="1"/>
  <c r="F436" i="1"/>
  <c r="H436" i="1"/>
  <c r="F428" i="1"/>
  <c r="H428" i="1"/>
  <c r="F420" i="1"/>
  <c r="H420" i="1"/>
  <c r="F412" i="1"/>
  <c r="H412" i="1"/>
  <c r="F404" i="1"/>
  <c r="H404" i="1"/>
  <c r="F396" i="1"/>
  <c r="H396" i="1"/>
  <c r="F388" i="1"/>
  <c r="H388" i="1"/>
  <c r="F380" i="1"/>
  <c r="H380" i="1"/>
  <c r="F372" i="1"/>
  <c r="H372" i="1"/>
  <c r="F364" i="1"/>
  <c r="H364" i="1"/>
  <c r="F356" i="1"/>
  <c r="H356" i="1"/>
  <c r="F348" i="1"/>
  <c r="H348" i="1"/>
  <c r="H333" i="1"/>
  <c r="F333" i="1"/>
  <c r="F325" i="1"/>
  <c r="H325" i="1"/>
  <c r="F317" i="1"/>
  <c r="H317" i="1"/>
  <c r="F309" i="1"/>
  <c r="H309" i="1"/>
  <c r="F301" i="1"/>
  <c r="H301" i="1"/>
  <c r="F293" i="1"/>
  <c r="H293" i="1"/>
  <c r="H285" i="1"/>
  <c r="F285" i="1"/>
  <c r="F277" i="1"/>
  <c r="H277" i="1"/>
  <c r="F269" i="1"/>
  <c r="H269" i="1"/>
  <c r="F261" i="1"/>
  <c r="H261" i="1"/>
  <c r="H253" i="1"/>
  <c r="F253" i="1"/>
  <c r="F245" i="1"/>
  <c r="H245" i="1"/>
  <c r="H237" i="1"/>
  <c r="F237" i="1"/>
  <c r="F229" i="1"/>
  <c r="H229" i="1"/>
  <c r="H221" i="1"/>
  <c r="F221" i="1"/>
  <c r="F213" i="1"/>
  <c r="H213" i="1"/>
  <c r="F206" i="1"/>
  <c r="H206" i="1"/>
  <c r="F198" i="1"/>
  <c r="H198" i="1"/>
  <c r="F190" i="1"/>
  <c r="H190" i="1"/>
  <c r="F182" i="1"/>
  <c r="H182" i="1"/>
  <c r="F174" i="1"/>
  <c r="H174" i="1"/>
  <c r="F166" i="1"/>
  <c r="H166" i="1"/>
  <c r="F158" i="1"/>
  <c r="H158" i="1"/>
  <c r="F150" i="1"/>
  <c r="H150" i="1"/>
  <c r="F142" i="1"/>
  <c r="H142" i="1"/>
  <c r="F134" i="1"/>
  <c r="H134" i="1"/>
  <c r="F126" i="1"/>
  <c r="H126" i="1"/>
  <c r="F118" i="1"/>
  <c r="H118" i="1"/>
  <c r="F110" i="1"/>
  <c r="H110" i="1"/>
  <c r="F102" i="1"/>
  <c r="H102" i="1"/>
  <c r="F94" i="1"/>
  <c r="H94" i="1"/>
  <c r="F86" i="1"/>
  <c r="H86" i="1"/>
  <c r="F78" i="1"/>
  <c r="H78" i="1"/>
  <c r="F70" i="1"/>
  <c r="H70" i="1"/>
  <c r="F62" i="1"/>
  <c r="H62" i="1"/>
  <c r="F54" i="1"/>
  <c r="H54" i="1"/>
  <c r="F46" i="1"/>
  <c r="H46" i="1"/>
  <c r="F38" i="1"/>
  <c r="H38" i="1"/>
  <c r="F30" i="1"/>
  <c r="H30" i="1"/>
  <c r="F22" i="1"/>
  <c r="H22" i="1"/>
  <c r="F14" i="1"/>
  <c r="H14" i="1"/>
  <c r="F6" i="1"/>
  <c r="H6" i="1"/>
  <c r="F1980" i="1"/>
  <c r="F1839" i="1"/>
  <c r="F1735" i="1"/>
  <c r="F1567" i="1"/>
  <c r="F1372" i="1"/>
  <c r="F1316" i="1"/>
  <c r="F1016" i="1"/>
  <c r="F866" i="1"/>
  <c r="F816" i="1"/>
  <c r="F709" i="1"/>
  <c r="F543" i="1"/>
  <c r="F480" i="1"/>
  <c r="F271" i="1"/>
  <c r="H1999" i="1"/>
  <c r="H1935" i="1"/>
  <c r="H1903" i="1"/>
  <c r="H1871" i="1"/>
  <c r="H1775" i="1"/>
  <c r="H1743" i="1"/>
  <c r="H1662" i="1"/>
  <c r="H1598" i="1"/>
  <c r="H1534" i="1"/>
  <c r="H1278" i="1"/>
  <c r="H1214" i="1"/>
  <c r="H1150" i="1"/>
  <c r="H1086" i="1"/>
  <c r="H830" i="1"/>
  <c r="F1952" i="1"/>
  <c r="H1952" i="1"/>
  <c r="F1929" i="1"/>
  <c r="H1929" i="1"/>
  <c r="F1906" i="1"/>
  <c r="H1906" i="1"/>
  <c r="F1882" i="1"/>
  <c r="H1882" i="1"/>
  <c r="F1850" i="1"/>
  <c r="H1850" i="1"/>
  <c r="F1812" i="1"/>
  <c r="H1812" i="1"/>
  <c r="F1712" i="1"/>
  <c r="H1712" i="1"/>
  <c r="F1688" i="1"/>
  <c r="H1688" i="1"/>
  <c r="F1656" i="1"/>
  <c r="H1656" i="1"/>
  <c r="F1633" i="1"/>
  <c r="H1633" i="1"/>
  <c r="F1601" i="1"/>
  <c r="H1601" i="1"/>
  <c r="F1553" i="1"/>
  <c r="H1553" i="1"/>
  <c r="F900" i="1"/>
  <c r="H900" i="1"/>
  <c r="F877" i="1"/>
  <c r="H877" i="1"/>
  <c r="F771" i="1"/>
  <c r="H771" i="1"/>
  <c r="F747" i="1"/>
  <c r="H747" i="1"/>
  <c r="F723" i="1"/>
  <c r="H723" i="1"/>
  <c r="F692" i="1"/>
  <c r="H692" i="1"/>
  <c r="F662" i="1"/>
  <c r="H662" i="1"/>
  <c r="F638" i="1"/>
  <c r="H638" i="1"/>
  <c r="F615" i="1"/>
  <c r="H615" i="1"/>
  <c r="F592" i="1"/>
  <c r="H592" i="1"/>
  <c r="F545" i="1"/>
  <c r="H545" i="1"/>
  <c r="F429" i="1"/>
  <c r="H429" i="1"/>
  <c r="P1939" i="1"/>
  <c r="P1603" i="1"/>
  <c r="P1475" i="1"/>
  <c r="P1459" i="1"/>
  <c r="P1443" i="1"/>
  <c r="P1419" i="1"/>
  <c r="P1187" i="1"/>
  <c r="P1147" i="1"/>
  <c r="P1107" i="1"/>
  <c r="P1091" i="1"/>
  <c r="P1059" i="1"/>
  <c r="P627" i="1"/>
  <c r="P611" i="1"/>
  <c r="P1098" i="1"/>
  <c r="P850" i="1"/>
  <c r="P650" i="1"/>
  <c r="P162" i="1"/>
  <c r="P146" i="1"/>
  <c r="P130" i="1"/>
  <c r="P58" i="1"/>
  <c r="P34" i="1"/>
  <c r="P2" i="1"/>
  <c r="F1996" i="1"/>
  <c r="H1996" i="1"/>
  <c r="F1989" i="1"/>
  <c r="H1989" i="1"/>
  <c r="F1981" i="1"/>
  <c r="H1981" i="1"/>
  <c r="F1973" i="1"/>
  <c r="H1973" i="1"/>
  <c r="F1965" i="1"/>
  <c r="H1965" i="1"/>
  <c r="F1957" i="1"/>
  <c r="H1957" i="1"/>
  <c r="F1912" i="1"/>
  <c r="H1912" i="1"/>
  <c r="F1904" i="1"/>
  <c r="H1904" i="1"/>
  <c r="F1896" i="1"/>
  <c r="H1896" i="1"/>
  <c r="F1888" i="1"/>
  <c r="H1888" i="1"/>
  <c r="F1880" i="1"/>
  <c r="H1880" i="1"/>
  <c r="F1872" i="1"/>
  <c r="H1872" i="1"/>
  <c r="F1864" i="1"/>
  <c r="H1864" i="1"/>
  <c r="F1856" i="1"/>
  <c r="H1856" i="1"/>
  <c r="F1848" i="1"/>
  <c r="H1848" i="1"/>
  <c r="F1840" i="1"/>
  <c r="H1840" i="1"/>
  <c r="F1832" i="1"/>
  <c r="H1832" i="1"/>
  <c r="F1825" i="1"/>
  <c r="H1825" i="1"/>
  <c r="F1817" i="1"/>
  <c r="H1817" i="1"/>
  <c r="F1795" i="1"/>
  <c r="H1795" i="1"/>
  <c r="F1787" i="1"/>
  <c r="H1787" i="1"/>
  <c r="F1780" i="1"/>
  <c r="H1780" i="1"/>
  <c r="F1756" i="1"/>
  <c r="H1756" i="1"/>
  <c r="F1741" i="1"/>
  <c r="H1741" i="1"/>
  <c r="F1631" i="1"/>
  <c r="H1631" i="1"/>
  <c r="F1623" i="1"/>
  <c r="H1623" i="1"/>
  <c r="F1615" i="1"/>
  <c r="H1615" i="1"/>
  <c r="F1599" i="1"/>
  <c r="H1599" i="1"/>
  <c r="F1575" i="1"/>
  <c r="H1575" i="1"/>
  <c r="F1559" i="1"/>
  <c r="H1559" i="1"/>
  <c r="F1551" i="1"/>
  <c r="H1551" i="1"/>
  <c r="F1535" i="1"/>
  <c r="H1535" i="1"/>
  <c r="F1528" i="1"/>
  <c r="H1528" i="1"/>
  <c r="F1520" i="1"/>
  <c r="H1520" i="1"/>
  <c r="F1512" i="1"/>
  <c r="H1512" i="1"/>
  <c r="F1504" i="1"/>
  <c r="H1504" i="1"/>
  <c r="F1497" i="1"/>
  <c r="H1497" i="1"/>
  <c r="F1489" i="1"/>
  <c r="H1489" i="1"/>
  <c r="F1481" i="1"/>
  <c r="H1481" i="1"/>
  <c r="F1473" i="1"/>
  <c r="H1473" i="1"/>
  <c r="F1465" i="1"/>
  <c r="H1465" i="1"/>
  <c r="F1457" i="1"/>
  <c r="H1457" i="1"/>
  <c r="F1449" i="1"/>
  <c r="H1449" i="1"/>
  <c r="F1441" i="1"/>
  <c r="H1441" i="1"/>
  <c r="F1433" i="1"/>
  <c r="H1433" i="1"/>
  <c r="F1425" i="1"/>
  <c r="H1425" i="1"/>
  <c r="F1417" i="1"/>
  <c r="H1417" i="1"/>
  <c r="F1409" i="1"/>
  <c r="H1409" i="1"/>
  <c r="F1401" i="1"/>
  <c r="H1401" i="1"/>
  <c r="F1393" i="1"/>
  <c r="H1393" i="1"/>
  <c r="F1385" i="1"/>
  <c r="H1385" i="1"/>
  <c r="F1377" i="1"/>
  <c r="H1377" i="1"/>
  <c r="F1369" i="1"/>
  <c r="H1369" i="1"/>
  <c r="F1361" i="1"/>
  <c r="H1361" i="1"/>
  <c r="F1354" i="1"/>
  <c r="H1354" i="1"/>
  <c r="F1346" i="1"/>
  <c r="H1346" i="1"/>
  <c r="F1338" i="1"/>
  <c r="H1338" i="1"/>
  <c r="F1330" i="1"/>
  <c r="H1330" i="1"/>
  <c r="F1322" i="1"/>
  <c r="H1322" i="1"/>
  <c r="F1314" i="1"/>
  <c r="H1314" i="1"/>
  <c r="F1299" i="1"/>
  <c r="H1299" i="1"/>
  <c r="F1291" i="1"/>
  <c r="H1291" i="1"/>
  <c r="F1283" i="1"/>
  <c r="H1283" i="1"/>
  <c r="F1267" i="1"/>
  <c r="H1267" i="1"/>
  <c r="F1259" i="1"/>
  <c r="H1259" i="1"/>
  <c r="F1243" i="1"/>
  <c r="H1243" i="1"/>
  <c r="F1236" i="1"/>
  <c r="H1236" i="1"/>
  <c r="F1228" i="1"/>
  <c r="H1228" i="1"/>
  <c r="F1220" i="1"/>
  <c r="H1220" i="1"/>
  <c r="F1212" i="1"/>
  <c r="H1212" i="1"/>
  <c r="F1205" i="1"/>
  <c r="H1205" i="1"/>
  <c r="F1197" i="1"/>
  <c r="H1197" i="1"/>
  <c r="F1181" i="1"/>
  <c r="H1181" i="1"/>
  <c r="F1173" i="1"/>
  <c r="H1173" i="1"/>
  <c r="F1157" i="1"/>
  <c r="H1157" i="1"/>
  <c r="F1149" i="1"/>
  <c r="H1149" i="1"/>
  <c r="F1141" i="1"/>
  <c r="H1141" i="1"/>
  <c r="F1133" i="1"/>
  <c r="H1133" i="1"/>
  <c r="F1125" i="1"/>
  <c r="H1125" i="1"/>
  <c r="F1117" i="1"/>
  <c r="H1117" i="1"/>
  <c r="F1109" i="1"/>
  <c r="H1109" i="1"/>
  <c r="F1101" i="1"/>
  <c r="H1101" i="1"/>
  <c r="F1093" i="1"/>
  <c r="H1093" i="1"/>
  <c r="F1085" i="1"/>
  <c r="H1085" i="1"/>
  <c r="F1077" i="1"/>
  <c r="H1077" i="1"/>
  <c r="F1047" i="1"/>
  <c r="H1047" i="1"/>
  <c r="F1032" i="1"/>
  <c r="H1032" i="1"/>
  <c r="F1024" i="1"/>
  <c r="H1024" i="1"/>
  <c r="F1017" i="1"/>
  <c r="H1017" i="1"/>
  <c r="F1009" i="1"/>
  <c r="H1009" i="1"/>
  <c r="F986" i="1"/>
  <c r="H986" i="1"/>
  <c r="F978" i="1"/>
  <c r="H978" i="1"/>
  <c r="F962" i="1"/>
  <c r="H962" i="1"/>
  <c r="F954" i="1"/>
  <c r="H954" i="1"/>
  <c r="F946" i="1"/>
  <c r="H946" i="1"/>
  <c r="F938" i="1"/>
  <c r="H938" i="1"/>
  <c r="F930" i="1"/>
  <c r="H930" i="1"/>
  <c r="F922" i="1"/>
  <c r="H922" i="1"/>
  <c r="F906" i="1"/>
  <c r="H906" i="1"/>
  <c r="F898" i="1"/>
  <c r="H898" i="1"/>
  <c r="F883" i="1"/>
  <c r="H883" i="1"/>
  <c r="F875" i="1"/>
  <c r="H875" i="1"/>
  <c r="F859" i="1"/>
  <c r="H859" i="1"/>
  <c r="F852" i="1"/>
  <c r="H852" i="1"/>
  <c r="F845" i="1"/>
  <c r="H845" i="1"/>
  <c r="F823" i="1"/>
  <c r="H823" i="1"/>
  <c r="F815" i="1"/>
  <c r="H815" i="1"/>
  <c r="F801" i="1"/>
  <c r="H801" i="1"/>
  <c r="F793" i="1"/>
  <c r="H793" i="1"/>
  <c r="F785" i="1"/>
  <c r="H785" i="1"/>
  <c r="F777" i="1"/>
  <c r="H777" i="1"/>
  <c r="F769" i="1"/>
  <c r="H769" i="1"/>
  <c r="F761" i="1"/>
  <c r="H761" i="1"/>
  <c r="F753" i="1"/>
  <c r="H753" i="1"/>
  <c r="F745" i="1"/>
  <c r="H745" i="1"/>
  <c r="F737" i="1"/>
  <c r="H737" i="1"/>
  <c r="F729" i="1"/>
  <c r="H729" i="1"/>
  <c r="F706" i="1"/>
  <c r="H706" i="1"/>
  <c r="F690" i="1"/>
  <c r="H690" i="1"/>
  <c r="F682" i="1"/>
  <c r="H682" i="1"/>
  <c r="F674" i="1"/>
  <c r="H674" i="1"/>
  <c r="F667" i="1"/>
  <c r="H667" i="1"/>
  <c r="F660" i="1"/>
  <c r="H660" i="1"/>
  <c r="F652" i="1"/>
  <c r="H652" i="1"/>
  <c r="F644" i="1"/>
  <c r="H644" i="1"/>
  <c r="F636" i="1"/>
  <c r="H636" i="1"/>
  <c r="F629" i="1"/>
  <c r="H629" i="1"/>
  <c r="F606" i="1"/>
  <c r="H606" i="1"/>
  <c r="F598" i="1"/>
  <c r="H598" i="1"/>
  <c r="F583" i="1"/>
  <c r="H583" i="1"/>
  <c r="F575" i="1"/>
  <c r="H575" i="1"/>
  <c r="F567" i="1"/>
  <c r="H567" i="1"/>
  <c r="F551" i="1"/>
  <c r="H551" i="1"/>
  <c r="F535" i="1"/>
  <c r="H535" i="1"/>
  <c r="F527" i="1"/>
  <c r="H527" i="1"/>
  <c r="F520" i="1"/>
  <c r="H520" i="1"/>
  <c r="F505" i="1"/>
  <c r="H505" i="1"/>
  <c r="F489" i="1"/>
  <c r="H489" i="1"/>
  <c r="F466" i="1"/>
  <c r="H466" i="1"/>
  <c r="F458" i="1"/>
  <c r="H458" i="1"/>
  <c r="F450" i="1"/>
  <c r="H450" i="1"/>
  <c r="F435" i="1"/>
  <c r="H435" i="1"/>
  <c r="F427" i="1"/>
  <c r="H427" i="1"/>
  <c r="F419" i="1"/>
  <c r="H419" i="1"/>
  <c r="F411" i="1"/>
  <c r="H411" i="1"/>
  <c r="F403" i="1"/>
  <c r="H403" i="1"/>
  <c r="F395" i="1"/>
  <c r="H395" i="1"/>
  <c r="F387" i="1"/>
  <c r="H387" i="1"/>
  <c r="F379" i="1"/>
  <c r="H379" i="1"/>
  <c r="F371" i="1"/>
  <c r="H371" i="1"/>
  <c r="F363" i="1"/>
  <c r="H363" i="1"/>
  <c r="F355" i="1"/>
  <c r="H355" i="1"/>
  <c r="F347" i="1"/>
  <c r="H347" i="1"/>
  <c r="F340" i="1"/>
  <c r="H340" i="1"/>
  <c r="F332" i="1"/>
  <c r="H332" i="1"/>
  <c r="F324" i="1"/>
  <c r="H324" i="1"/>
  <c r="F316" i="1"/>
  <c r="H316" i="1"/>
  <c r="F308" i="1"/>
  <c r="H308" i="1"/>
  <c r="F300" i="1"/>
  <c r="H300" i="1"/>
  <c r="F292" i="1"/>
  <c r="H292" i="1"/>
  <c r="F284" i="1"/>
  <c r="H284" i="1"/>
  <c r="F276" i="1"/>
  <c r="H276" i="1"/>
  <c r="F268" i="1"/>
  <c r="H268" i="1"/>
  <c r="F260" i="1"/>
  <c r="H260" i="1"/>
  <c r="F252" i="1"/>
  <c r="H252" i="1"/>
  <c r="F244" i="1"/>
  <c r="H244" i="1"/>
  <c r="F236" i="1"/>
  <c r="H236" i="1"/>
  <c r="F228" i="1"/>
  <c r="H228" i="1"/>
  <c r="F220" i="1"/>
  <c r="H220" i="1"/>
  <c r="F212" i="1"/>
  <c r="H212" i="1"/>
  <c r="F205" i="1"/>
  <c r="H205" i="1"/>
  <c r="F197" i="1"/>
  <c r="H197" i="1"/>
  <c r="F189" i="1"/>
  <c r="H189" i="1"/>
  <c r="F181" i="1"/>
  <c r="H181" i="1"/>
  <c r="F173" i="1"/>
  <c r="H173" i="1"/>
  <c r="F165" i="1"/>
  <c r="H165" i="1"/>
  <c r="F157" i="1"/>
  <c r="H157" i="1"/>
  <c r="F149" i="1"/>
  <c r="H149" i="1"/>
  <c r="F141" i="1"/>
  <c r="H141" i="1"/>
  <c r="F133" i="1"/>
  <c r="H133" i="1"/>
  <c r="H125" i="1"/>
  <c r="F125" i="1"/>
  <c r="F117" i="1"/>
  <c r="H117" i="1"/>
  <c r="F109" i="1"/>
  <c r="H109" i="1"/>
  <c r="F101" i="1"/>
  <c r="H101" i="1"/>
  <c r="F93" i="1"/>
  <c r="H93" i="1"/>
  <c r="F85" i="1"/>
  <c r="H85" i="1"/>
  <c r="H77" i="1"/>
  <c r="F77" i="1"/>
  <c r="F69" i="1"/>
  <c r="H69" i="1"/>
  <c r="F61" i="1"/>
  <c r="H61" i="1"/>
  <c r="F53" i="1"/>
  <c r="H53" i="1"/>
  <c r="F45" i="1"/>
  <c r="H45" i="1"/>
  <c r="F37" i="1"/>
  <c r="H37" i="1"/>
  <c r="F29" i="1"/>
  <c r="H29" i="1"/>
  <c r="F21" i="1"/>
  <c r="H21" i="1"/>
  <c r="F13" i="1"/>
  <c r="H13" i="1"/>
  <c r="F5" i="1"/>
  <c r="H5" i="1"/>
  <c r="F1773" i="1"/>
  <c r="F1527" i="1"/>
  <c r="F1490" i="1"/>
  <c r="F1436" i="1"/>
  <c r="F1168" i="1"/>
  <c r="F939" i="1"/>
  <c r="F861" i="1"/>
  <c r="F739" i="1"/>
  <c r="F699" i="1"/>
  <c r="F541" i="1"/>
  <c r="F464" i="1"/>
  <c r="F255" i="1"/>
  <c r="H1998" i="1"/>
  <c r="H1934" i="1"/>
  <c r="H1774" i="1"/>
  <c r="H1742" i="1"/>
  <c r="H1654" i="1"/>
  <c r="H1590" i="1"/>
  <c r="H1270" i="1"/>
  <c r="H1206" i="1"/>
  <c r="H1142" i="1"/>
  <c r="H1078" i="1"/>
  <c r="H886" i="1"/>
  <c r="H822" i="1"/>
  <c r="F1921" i="1"/>
  <c r="H1921" i="1"/>
  <c r="F1834" i="1"/>
  <c r="H1834" i="1"/>
  <c r="F1826" i="1"/>
  <c r="H1826" i="1"/>
  <c r="F1804" i="1"/>
  <c r="H1804" i="1"/>
  <c r="F1704" i="1"/>
  <c r="H1704" i="1"/>
  <c r="F1672" i="1"/>
  <c r="H1672" i="1"/>
  <c r="F1648" i="1"/>
  <c r="H1648" i="1"/>
  <c r="F1617" i="1"/>
  <c r="H1617" i="1"/>
  <c r="F1585" i="1"/>
  <c r="H1585" i="1"/>
  <c r="F1569" i="1"/>
  <c r="H1569" i="1"/>
  <c r="F1537" i="1"/>
  <c r="H1537" i="1"/>
  <c r="F1529" i="1"/>
  <c r="H1529" i="1"/>
  <c r="F1498" i="1"/>
  <c r="H1498" i="1"/>
  <c r="F1475" i="1"/>
  <c r="H1475" i="1"/>
  <c r="F1451" i="1"/>
  <c r="H1451" i="1"/>
  <c r="F1427" i="1"/>
  <c r="H1427" i="1"/>
  <c r="F1411" i="1"/>
  <c r="H1411" i="1"/>
  <c r="F1387" i="1"/>
  <c r="H1387" i="1"/>
  <c r="F1363" i="1"/>
  <c r="H1363" i="1"/>
  <c r="F1348" i="1"/>
  <c r="H1348" i="1"/>
  <c r="F1324" i="1"/>
  <c r="H1324" i="1"/>
  <c r="F1301" i="1"/>
  <c r="H1301" i="1"/>
  <c r="F1285" i="1"/>
  <c r="H1285" i="1"/>
  <c r="F1269" i="1"/>
  <c r="H1269" i="1"/>
  <c r="F1245" i="1"/>
  <c r="H1245" i="1"/>
  <c r="F1207" i="1"/>
  <c r="H1207" i="1"/>
  <c r="F1183" i="1"/>
  <c r="H1183" i="1"/>
  <c r="F1159" i="1"/>
  <c r="H1159" i="1"/>
  <c r="F1143" i="1"/>
  <c r="H1143" i="1"/>
  <c r="F1119" i="1"/>
  <c r="H1119" i="1"/>
  <c r="F1103" i="1"/>
  <c r="H1103" i="1"/>
  <c r="F1087" i="1"/>
  <c r="H1087" i="1"/>
  <c r="F1071" i="1"/>
  <c r="H1071" i="1"/>
  <c r="F1056" i="1"/>
  <c r="H1056" i="1"/>
  <c r="F1048" i="1"/>
  <c r="H1048" i="1"/>
  <c r="F1034" i="1"/>
  <c r="H1034" i="1"/>
  <c r="F1003" i="1"/>
  <c r="H1003" i="1"/>
  <c r="F988" i="1"/>
  <c r="H988" i="1"/>
  <c r="F972" i="1"/>
  <c r="H972" i="1"/>
  <c r="F956" i="1"/>
  <c r="H956" i="1"/>
  <c r="F940" i="1"/>
  <c r="H940" i="1"/>
  <c r="F924" i="1"/>
  <c r="H924" i="1"/>
  <c r="F908" i="1"/>
  <c r="H908" i="1"/>
  <c r="F885" i="1"/>
  <c r="H885" i="1"/>
  <c r="F839" i="1"/>
  <c r="H839" i="1"/>
  <c r="F825" i="1"/>
  <c r="H825" i="1"/>
  <c r="F809" i="1"/>
  <c r="H809" i="1"/>
  <c r="F787" i="1"/>
  <c r="H787" i="1"/>
  <c r="F763" i="1"/>
  <c r="H763" i="1"/>
  <c r="F716" i="1"/>
  <c r="H716" i="1"/>
  <c r="F700" i="1"/>
  <c r="H700" i="1"/>
  <c r="F676" i="1"/>
  <c r="H676" i="1"/>
  <c r="F654" i="1"/>
  <c r="H654" i="1"/>
  <c r="F608" i="1"/>
  <c r="H608" i="1"/>
  <c r="F585" i="1"/>
  <c r="H585" i="1"/>
  <c r="F569" i="1"/>
  <c r="H569" i="1"/>
  <c r="F553" i="1"/>
  <c r="H553" i="1"/>
  <c r="F529" i="1"/>
  <c r="H529" i="1"/>
  <c r="F421" i="1"/>
  <c r="H421" i="1"/>
  <c r="P1683" i="1"/>
  <c r="P1611" i="1"/>
  <c r="P1595" i="1"/>
  <c r="P1555" i="1"/>
  <c r="P1467" i="1"/>
  <c r="P1451" i="1"/>
  <c r="P1435" i="1"/>
  <c r="P1427" i="1"/>
  <c r="P1363" i="1"/>
  <c r="P1195" i="1"/>
  <c r="P1179" i="1"/>
  <c r="P1155" i="1"/>
  <c r="P1123" i="1"/>
  <c r="P1099" i="1"/>
  <c r="P1067" i="1"/>
  <c r="P1051" i="1"/>
  <c r="P619" i="1"/>
  <c r="P595" i="1"/>
  <c r="P194" i="1"/>
  <c r="P170" i="1"/>
  <c r="P154" i="1"/>
  <c r="P138" i="1"/>
  <c r="P122" i="1"/>
  <c r="P50" i="1"/>
  <c r="P42" i="1"/>
  <c r="P26" i="1"/>
  <c r="P18" i="1"/>
  <c r="P10" i="1"/>
  <c r="P1969" i="1"/>
  <c r="P1961" i="1"/>
  <c r="P1929" i="1"/>
  <c r="P1921" i="1"/>
  <c r="P1801" i="1"/>
  <c r="P1793" i="1"/>
  <c r="P1633" i="1"/>
  <c r="P1545" i="1"/>
  <c r="P1537" i="1"/>
  <c r="P1529" i="1"/>
  <c r="P1305" i="1"/>
  <c r="P1297" i="1"/>
  <c r="P1289" i="1"/>
  <c r="P1281" i="1"/>
  <c r="P1273" i="1"/>
  <c r="P1265" i="1"/>
  <c r="P1257" i="1"/>
  <c r="P1249" i="1"/>
  <c r="P1241" i="1"/>
  <c r="P1233" i="1"/>
  <c r="P1225" i="1"/>
  <c r="P1217" i="1"/>
  <c r="P1209" i="1"/>
  <c r="P1177" i="1"/>
  <c r="P1169" i="1"/>
  <c r="P1161" i="1"/>
  <c r="P1153" i="1"/>
  <c r="P1145" i="1"/>
  <c r="P1137" i="1"/>
  <c r="P1129" i="1"/>
  <c r="P1121" i="1"/>
  <c r="P1113" i="1"/>
  <c r="P1105" i="1"/>
  <c r="P1097" i="1"/>
  <c r="P1089" i="1"/>
  <c r="P889" i="1"/>
  <c r="P881" i="1"/>
  <c r="P873" i="1"/>
  <c r="P865" i="1"/>
  <c r="P857" i="1"/>
  <c r="P849" i="1"/>
  <c r="P841" i="1"/>
  <c r="P665" i="1"/>
  <c r="P657" i="1"/>
  <c r="P649" i="1"/>
  <c r="P641" i="1"/>
  <c r="P633" i="1"/>
  <c r="P441" i="1"/>
  <c r="P417" i="1"/>
  <c r="P393" i="1"/>
  <c r="P385" i="1"/>
  <c r="P329" i="1"/>
  <c r="P321" i="1"/>
  <c r="P313" i="1"/>
  <c r="P305" i="1"/>
  <c r="P281" i="1"/>
  <c r="P273" i="1"/>
  <c r="P265" i="1"/>
  <c r="P257" i="1"/>
  <c r="P249" i="1"/>
  <c r="P201" i="1"/>
  <c r="P193" i="1"/>
  <c r="P185" i="1"/>
  <c r="P177" i="1"/>
  <c r="P169" i="1"/>
  <c r="P161" i="1"/>
  <c r="P153" i="1"/>
  <c r="P145" i="1"/>
  <c r="P137" i="1"/>
  <c r="F1988" i="1"/>
  <c r="H1988" i="1"/>
  <c r="F1972" i="1"/>
  <c r="H1972" i="1"/>
  <c r="F1949" i="1"/>
  <c r="H1949" i="1"/>
  <c r="F1824" i="1"/>
  <c r="H1824" i="1"/>
  <c r="F1816" i="1"/>
  <c r="H1816" i="1"/>
  <c r="F1809" i="1"/>
  <c r="H1809" i="1"/>
  <c r="F1794" i="1"/>
  <c r="H1794" i="1"/>
  <c r="F1779" i="1"/>
  <c r="H1779" i="1"/>
  <c r="F1771" i="1"/>
  <c r="H1771" i="1"/>
  <c r="F1763" i="1"/>
  <c r="H1763" i="1"/>
  <c r="F1755" i="1"/>
  <c r="H1755" i="1"/>
  <c r="F1747" i="1"/>
  <c r="H1747" i="1"/>
  <c r="F1740" i="1"/>
  <c r="H1740" i="1"/>
  <c r="F1732" i="1"/>
  <c r="H1732" i="1"/>
  <c r="F1724" i="1"/>
  <c r="H1724" i="1"/>
  <c r="F1717" i="1"/>
  <c r="H1717" i="1"/>
  <c r="F1709" i="1"/>
  <c r="H1709" i="1"/>
  <c r="F1701" i="1"/>
  <c r="H1701" i="1"/>
  <c r="F1693" i="1"/>
  <c r="H1693" i="1"/>
  <c r="F1685" i="1"/>
  <c r="H1685" i="1"/>
  <c r="F1677" i="1"/>
  <c r="H1677" i="1"/>
  <c r="F1661" i="1"/>
  <c r="H1661" i="1"/>
  <c r="F1653" i="1"/>
  <c r="H1653" i="1"/>
  <c r="F1645" i="1"/>
  <c r="H1645" i="1"/>
  <c r="F1637" i="1"/>
  <c r="H1637" i="1"/>
  <c r="F1511" i="1"/>
  <c r="H1511" i="1"/>
  <c r="F1496" i="1"/>
  <c r="H1496" i="1"/>
  <c r="F1488" i="1"/>
  <c r="H1488" i="1"/>
  <c r="F1480" i="1"/>
  <c r="H1480" i="1"/>
  <c r="F1472" i="1"/>
  <c r="H1472" i="1"/>
  <c r="F1464" i="1"/>
  <c r="H1464" i="1"/>
  <c r="F1456" i="1"/>
  <c r="H1456" i="1"/>
  <c r="F1448" i="1"/>
  <c r="H1448" i="1"/>
  <c r="F1440" i="1"/>
  <c r="H1440" i="1"/>
  <c r="F1432" i="1"/>
  <c r="H1432" i="1"/>
  <c r="F1424" i="1"/>
  <c r="H1424" i="1"/>
  <c r="F1416" i="1"/>
  <c r="H1416" i="1"/>
  <c r="F1408" i="1"/>
  <c r="H1408" i="1"/>
  <c r="F1400" i="1"/>
  <c r="H1400" i="1"/>
  <c r="F1392" i="1"/>
  <c r="H1392" i="1"/>
  <c r="F1384" i="1"/>
  <c r="H1384" i="1"/>
  <c r="F1376" i="1"/>
  <c r="H1376" i="1"/>
  <c r="F1368" i="1"/>
  <c r="H1368" i="1"/>
  <c r="F1353" i="1"/>
  <c r="H1353" i="1"/>
  <c r="F1345" i="1"/>
  <c r="H1345" i="1"/>
  <c r="F1329" i="1"/>
  <c r="H1329" i="1"/>
  <c r="F1321" i="1"/>
  <c r="H1321" i="1"/>
  <c r="F1313" i="1"/>
  <c r="H1313" i="1"/>
  <c r="F1306" i="1"/>
  <c r="H1306" i="1"/>
  <c r="F1298" i="1"/>
  <c r="H1298" i="1"/>
  <c r="F1290" i="1"/>
  <c r="H1290" i="1"/>
  <c r="F1282" i="1"/>
  <c r="H1282" i="1"/>
  <c r="F1274" i="1"/>
  <c r="H1274" i="1"/>
  <c r="F1266" i="1"/>
  <c r="H1266" i="1"/>
  <c r="F1258" i="1"/>
  <c r="H1258" i="1"/>
  <c r="F1250" i="1"/>
  <c r="H1250" i="1"/>
  <c r="F1242" i="1"/>
  <c r="H1242" i="1"/>
  <c r="F1235" i="1"/>
  <c r="H1235" i="1"/>
  <c r="F1227" i="1"/>
  <c r="H1227" i="1"/>
  <c r="F1219" i="1"/>
  <c r="H1219" i="1"/>
  <c r="F1211" i="1"/>
  <c r="H1211" i="1"/>
  <c r="F1204" i="1"/>
  <c r="H1204" i="1"/>
  <c r="F1196" i="1"/>
  <c r="H1196" i="1"/>
  <c r="F1188" i="1"/>
  <c r="H1188" i="1"/>
  <c r="F1180" i="1"/>
  <c r="H1180" i="1"/>
  <c r="F1172" i="1"/>
  <c r="H1172" i="1"/>
  <c r="F1164" i="1"/>
  <c r="H1164" i="1"/>
  <c r="F1156" i="1"/>
  <c r="H1156" i="1"/>
  <c r="F1140" i="1"/>
  <c r="H1140" i="1"/>
  <c r="F1132" i="1"/>
  <c r="H1132" i="1"/>
  <c r="F1124" i="1"/>
  <c r="H1124" i="1"/>
  <c r="F1116" i="1"/>
  <c r="H1116" i="1"/>
  <c r="F1108" i="1"/>
  <c r="H1108" i="1"/>
  <c r="F1100" i="1"/>
  <c r="H1100" i="1"/>
  <c r="F1092" i="1"/>
  <c r="H1092" i="1"/>
  <c r="F1076" i="1"/>
  <c r="H1076" i="1"/>
  <c r="F1069" i="1"/>
  <c r="H1069" i="1"/>
  <c r="F1053" i="1"/>
  <c r="H1053" i="1"/>
  <c r="F1039" i="1"/>
  <c r="H1039" i="1"/>
  <c r="F1031" i="1"/>
  <c r="H1031" i="1"/>
  <c r="F1023" i="1"/>
  <c r="H1023" i="1"/>
  <c r="F1008" i="1"/>
  <c r="H1008" i="1"/>
  <c r="F1001" i="1"/>
  <c r="H1001" i="1"/>
  <c r="F993" i="1"/>
  <c r="H993" i="1"/>
  <c r="F985" i="1"/>
  <c r="H985" i="1"/>
  <c r="F977" i="1"/>
  <c r="H977" i="1"/>
  <c r="F969" i="1"/>
  <c r="H969" i="1"/>
  <c r="F961" i="1"/>
  <c r="H961" i="1"/>
  <c r="F953" i="1"/>
  <c r="H953" i="1"/>
  <c r="F945" i="1"/>
  <c r="H945" i="1"/>
  <c r="F937" i="1"/>
  <c r="H937" i="1"/>
  <c r="F929" i="1"/>
  <c r="H929" i="1"/>
  <c r="F921" i="1"/>
  <c r="H921" i="1"/>
  <c r="F913" i="1"/>
  <c r="H913" i="1"/>
  <c r="F905" i="1"/>
  <c r="H905" i="1"/>
  <c r="F897" i="1"/>
  <c r="H897" i="1"/>
  <c r="F882" i="1"/>
  <c r="H882" i="1"/>
  <c r="F874" i="1"/>
  <c r="H874" i="1"/>
  <c r="F858" i="1"/>
  <c r="H858" i="1"/>
  <c r="F851" i="1"/>
  <c r="H851" i="1"/>
  <c r="F844" i="1"/>
  <c r="H844" i="1"/>
  <c r="F807" i="1"/>
  <c r="H807" i="1"/>
  <c r="F800" i="1"/>
  <c r="H800" i="1"/>
  <c r="F792" i="1"/>
  <c r="H792" i="1"/>
  <c r="F784" i="1"/>
  <c r="H784" i="1"/>
  <c r="F776" i="1"/>
  <c r="H776" i="1"/>
  <c r="F768" i="1"/>
  <c r="H768" i="1"/>
  <c r="F760" i="1"/>
  <c r="H760" i="1"/>
  <c r="F752" i="1"/>
  <c r="H752" i="1"/>
  <c r="F744" i="1"/>
  <c r="H744" i="1"/>
  <c r="F736" i="1"/>
  <c r="H736" i="1"/>
  <c r="F728" i="1"/>
  <c r="H728" i="1"/>
  <c r="F721" i="1"/>
  <c r="H721" i="1"/>
  <c r="F713" i="1"/>
  <c r="H713" i="1"/>
  <c r="F705" i="1"/>
  <c r="H705" i="1"/>
  <c r="F697" i="1"/>
  <c r="H697" i="1"/>
  <c r="F689" i="1"/>
  <c r="H689" i="1"/>
  <c r="F681" i="1"/>
  <c r="H681" i="1"/>
  <c r="F673" i="1"/>
  <c r="H673" i="1"/>
  <c r="F659" i="1"/>
  <c r="H659" i="1"/>
  <c r="F651" i="1"/>
  <c r="H651" i="1"/>
  <c r="F643" i="1"/>
  <c r="H643" i="1"/>
  <c r="F635" i="1"/>
  <c r="H635" i="1"/>
  <c r="F628" i="1"/>
  <c r="H628" i="1"/>
  <c r="F620" i="1"/>
  <c r="H620" i="1"/>
  <c r="F613" i="1"/>
  <c r="H613" i="1"/>
  <c r="F605" i="1"/>
  <c r="H605" i="1"/>
  <c r="F597" i="1"/>
  <c r="H597" i="1"/>
  <c r="F590" i="1"/>
  <c r="H590" i="1"/>
  <c r="F582" i="1"/>
  <c r="H582" i="1"/>
  <c r="F574" i="1"/>
  <c r="H574" i="1"/>
  <c r="F566" i="1"/>
  <c r="H566" i="1"/>
  <c r="F558" i="1"/>
  <c r="H558" i="1"/>
  <c r="F550" i="1"/>
  <c r="H550" i="1"/>
  <c r="F542" i="1"/>
  <c r="H542" i="1"/>
  <c r="F534" i="1"/>
  <c r="H534" i="1"/>
  <c r="F526" i="1"/>
  <c r="H526" i="1"/>
  <c r="F519" i="1"/>
  <c r="H519" i="1"/>
  <c r="F504" i="1"/>
  <c r="H504" i="1"/>
  <c r="F496" i="1"/>
  <c r="H496" i="1"/>
  <c r="F473" i="1"/>
  <c r="H473" i="1"/>
  <c r="F465" i="1"/>
  <c r="H465" i="1"/>
  <c r="F457" i="1"/>
  <c r="H457" i="1"/>
  <c r="F449" i="1"/>
  <c r="H449" i="1"/>
  <c r="F442" i="1"/>
  <c r="H442" i="1"/>
  <c r="F434" i="1"/>
  <c r="H434" i="1"/>
  <c r="F426" i="1"/>
  <c r="H426" i="1"/>
  <c r="F418" i="1"/>
  <c r="H418" i="1"/>
  <c r="F410" i="1"/>
  <c r="H410" i="1"/>
  <c r="F402" i="1"/>
  <c r="H402" i="1"/>
  <c r="F394" i="1"/>
  <c r="H394" i="1"/>
  <c r="F386" i="1"/>
  <c r="H386" i="1"/>
  <c r="F378" i="1"/>
  <c r="H378" i="1"/>
  <c r="F370" i="1"/>
  <c r="H370" i="1"/>
  <c r="F362" i="1"/>
  <c r="H362" i="1"/>
  <c r="F354" i="1"/>
  <c r="H354" i="1"/>
  <c r="F346" i="1"/>
  <c r="H346" i="1"/>
  <c r="F339" i="1"/>
  <c r="H339" i="1"/>
  <c r="F331" i="1"/>
  <c r="H331" i="1"/>
  <c r="F323" i="1"/>
  <c r="H323" i="1"/>
  <c r="F315" i="1"/>
  <c r="H315" i="1"/>
  <c r="F307" i="1"/>
  <c r="H307" i="1"/>
  <c r="F299" i="1"/>
  <c r="H299" i="1"/>
  <c r="F291" i="1"/>
  <c r="H291" i="1"/>
  <c r="F283" i="1"/>
  <c r="H283" i="1"/>
  <c r="F275" i="1"/>
  <c r="H275" i="1"/>
  <c r="F267" i="1"/>
  <c r="H267" i="1"/>
  <c r="F259" i="1"/>
  <c r="H259" i="1"/>
  <c r="F251" i="1"/>
  <c r="H251" i="1"/>
  <c r="F243" i="1"/>
  <c r="H243" i="1"/>
  <c r="F235" i="1"/>
  <c r="H235" i="1"/>
  <c r="F227" i="1"/>
  <c r="H227" i="1"/>
  <c r="F219" i="1"/>
  <c r="H219" i="1"/>
  <c r="F211" i="1"/>
  <c r="H211" i="1"/>
  <c r="F204" i="1"/>
  <c r="H204" i="1"/>
  <c r="F196" i="1"/>
  <c r="H196" i="1"/>
  <c r="F188" i="1"/>
  <c r="H188" i="1"/>
  <c r="F180" i="1"/>
  <c r="H180" i="1"/>
  <c r="F172" i="1"/>
  <c r="H172" i="1"/>
  <c r="F164" i="1"/>
  <c r="H164" i="1"/>
  <c r="F156" i="1"/>
  <c r="H156" i="1"/>
  <c r="F148" i="1"/>
  <c r="H148" i="1"/>
  <c r="F140" i="1"/>
  <c r="H140" i="1"/>
  <c r="F132" i="1"/>
  <c r="H132" i="1"/>
  <c r="F124" i="1"/>
  <c r="H124" i="1"/>
  <c r="F116" i="1"/>
  <c r="H116" i="1"/>
  <c r="F108" i="1"/>
  <c r="H108" i="1"/>
  <c r="F100" i="1"/>
  <c r="H100" i="1"/>
  <c r="F92" i="1"/>
  <c r="H92" i="1"/>
  <c r="F84" i="1"/>
  <c r="H84" i="1"/>
  <c r="F76" i="1"/>
  <c r="H76" i="1"/>
  <c r="F68" i="1"/>
  <c r="H68" i="1"/>
  <c r="F60" i="1"/>
  <c r="H60" i="1"/>
  <c r="F52" i="1"/>
  <c r="H52" i="1"/>
  <c r="F44" i="1"/>
  <c r="H44" i="1"/>
  <c r="F36" i="1"/>
  <c r="H36" i="1"/>
  <c r="F28" i="1"/>
  <c r="H28" i="1"/>
  <c r="F20" i="1"/>
  <c r="H20" i="1"/>
  <c r="F12" i="1"/>
  <c r="H12" i="1"/>
  <c r="F4" i="1"/>
  <c r="H4" i="1"/>
  <c r="F1941" i="1"/>
  <c r="F1874" i="1"/>
  <c r="F1772" i="1"/>
  <c r="F1733" i="1"/>
  <c r="F1519" i="1"/>
  <c r="F1482" i="1"/>
  <c r="F1293" i="1"/>
  <c r="F1165" i="1"/>
  <c r="F1041" i="1"/>
  <c r="F995" i="1"/>
  <c r="F915" i="1"/>
  <c r="F738" i="1"/>
  <c r="F698" i="1"/>
  <c r="F513" i="1"/>
  <c r="F461" i="1"/>
  <c r="F175" i="1"/>
  <c r="H1959" i="1"/>
  <c r="H1895" i="1"/>
  <c r="H1831" i="1"/>
  <c r="H1767" i="1"/>
  <c r="H1703" i="1"/>
  <c r="H1646" i="1"/>
  <c r="H1262" i="1"/>
  <c r="H1198" i="1"/>
  <c r="H1134" i="1"/>
  <c r="H1070" i="1"/>
  <c r="H878" i="1"/>
  <c r="H814" i="1"/>
  <c r="P1670" i="1"/>
  <c r="P702" i="1"/>
  <c r="P965" i="1"/>
  <c r="P901" i="1"/>
  <c r="P677" i="1"/>
  <c r="P501" i="1"/>
  <c r="P1900" i="1"/>
  <c r="P1868" i="1"/>
  <c r="P1300" i="1"/>
  <c r="P1899" i="1"/>
  <c r="P1699" i="1"/>
  <c r="P523" i="1"/>
  <c r="P1938" i="1"/>
  <c r="P1706" i="1"/>
  <c r="P522" i="1"/>
  <c r="P989" i="1"/>
  <c r="P1837" i="1"/>
  <c r="P1677" i="1"/>
  <c r="P973" i="1"/>
  <c r="P925" i="1"/>
  <c r="P701" i="1"/>
  <c r="P509" i="1"/>
  <c r="P1916" i="1"/>
  <c r="P1852" i="1"/>
  <c r="P1684" i="1"/>
  <c r="P1284" i="1"/>
  <c r="P1004" i="1"/>
  <c r="P996" i="1"/>
  <c r="P988" i="1"/>
  <c r="P980" i="1"/>
  <c r="P972" i="1"/>
  <c r="P940" i="1"/>
  <c r="P932" i="1"/>
  <c r="P924" i="1"/>
  <c r="P916" i="1"/>
  <c r="P908" i="1"/>
  <c r="P716" i="1"/>
  <c r="P708" i="1"/>
  <c r="P692" i="1"/>
  <c r="P684" i="1"/>
  <c r="P516" i="1"/>
  <c r="P508" i="1"/>
  <c r="P1914" i="1"/>
  <c r="P1850" i="1"/>
  <c r="F1914" i="1"/>
  <c r="P1671" i="1"/>
  <c r="P1654" i="1"/>
  <c r="P1829" i="1"/>
  <c r="P1669" i="1"/>
  <c r="P957" i="1"/>
  <c r="P917" i="1"/>
  <c r="P685" i="1"/>
  <c r="P477" i="1"/>
  <c r="P1876" i="1"/>
  <c r="P1931" i="1"/>
  <c r="P1867" i="1"/>
  <c r="P1003" i="1"/>
  <c r="P747" i="1"/>
  <c r="P515" i="1"/>
  <c r="P1822" i="1"/>
  <c r="P1685" i="1"/>
  <c r="P1637" i="1"/>
  <c r="P981" i="1"/>
  <c r="P933" i="1"/>
  <c r="P893" i="1"/>
  <c r="P1892" i="1"/>
  <c r="P1860" i="1"/>
  <c r="P1700" i="1"/>
  <c r="P1292" i="1"/>
  <c r="P1915" i="1"/>
  <c r="P1891" i="1"/>
  <c r="P1851" i="1"/>
  <c r="P1723" i="1"/>
  <c r="P1691" i="1"/>
  <c r="P507" i="1"/>
  <c r="P1714" i="1"/>
  <c r="P1066" i="1"/>
  <c r="P514" i="1"/>
  <c r="P1814" i="1"/>
  <c r="P1638" i="1"/>
  <c r="P446" i="1"/>
  <c r="P1853" i="1"/>
  <c r="P1645" i="1"/>
  <c r="P997" i="1"/>
  <c r="P949" i="1"/>
  <c r="P909" i="1"/>
  <c r="P1836" i="1"/>
  <c r="P1676" i="1"/>
  <c r="P1276" i="1"/>
  <c r="P1875" i="1"/>
  <c r="P1835" i="1"/>
  <c r="P1011" i="1"/>
  <c r="P723" i="1"/>
  <c r="P1922" i="1"/>
  <c r="P1058" i="1"/>
  <c r="P546" i="1"/>
  <c r="P1953" i="1"/>
  <c r="P1945" i="1"/>
  <c r="P1937" i="1"/>
  <c r="P1753" i="1"/>
  <c r="P1745" i="1"/>
  <c r="P1737" i="1"/>
  <c r="P1729" i="1"/>
  <c r="P1625" i="1"/>
  <c r="P1585" i="1"/>
  <c r="P1577" i="1"/>
  <c r="P1569" i="1"/>
  <c r="P1561" i="1"/>
  <c r="P1081" i="1"/>
  <c r="P1073" i="1"/>
  <c r="P833" i="1"/>
  <c r="P825" i="1"/>
  <c r="P817" i="1"/>
  <c r="P809" i="1"/>
  <c r="P609" i="1"/>
  <c r="P601" i="1"/>
  <c r="P593" i="1"/>
  <c r="P553" i="1"/>
  <c r="P545" i="1"/>
  <c r="P97" i="1"/>
  <c r="P89" i="1"/>
  <c r="P81" i="1"/>
  <c r="P73" i="1"/>
  <c r="P57" i="1"/>
  <c r="P25" i="1"/>
  <c r="P65" i="1"/>
  <c r="P49" i="1"/>
  <c r="P41" i="1"/>
  <c r="P33" i="1"/>
  <c r="P9" i="1"/>
  <c r="P1992" i="1"/>
  <c r="P1984" i="1"/>
  <c r="P1976" i="1"/>
  <c r="P1968" i="1"/>
  <c r="P1960" i="1"/>
  <c r="P1952" i="1"/>
  <c r="P1944" i="1"/>
  <c r="P1936" i="1"/>
  <c r="P1928" i="1"/>
  <c r="P1920" i="1"/>
  <c r="P1800" i="1"/>
  <c r="P1792" i="1"/>
  <c r="P1784" i="1"/>
  <c r="P1776" i="1"/>
  <c r="P1768" i="1"/>
  <c r="P1760" i="1"/>
  <c r="P1752" i="1"/>
  <c r="P1744" i="1"/>
  <c r="P1736" i="1"/>
  <c r="P1664" i="1"/>
  <c r="P1656" i="1"/>
  <c r="P1648" i="1"/>
  <c r="P1640" i="1"/>
  <c r="P1624" i="1"/>
  <c r="P1616" i="1"/>
  <c r="P1608" i="1"/>
  <c r="P1600" i="1"/>
  <c r="P1592" i="1"/>
  <c r="P1392" i="1"/>
  <c r="P1384" i="1"/>
  <c r="P1376" i="1"/>
  <c r="P1368" i="1"/>
  <c r="P1360" i="1"/>
  <c r="P1344" i="1"/>
  <c r="P1336" i="1"/>
  <c r="P1328" i="1"/>
  <c r="P1320" i="1"/>
  <c r="P1312" i="1"/>
  <c r="P1112" i="1"/>
  <c r="P1104" i="1"/>
  <c r="P1088" i="1"/>
  <c r="P1064" i="1"/>
  <c r="P1056" i="1"/>
  <c r="P1048" i="1"/>
  <c r="P888" i="1"/>
  <c r="P880" i="1"/>
  <c r="P872" i="1"/>
  <c r="P856" i="1"/>
  <c r="P840" i="1"/>
  <c r="P832" i="1"/>
  <c r="P624" i="1"/>
  <c r="P608" i="1"/>
  <c r="P600" i="1"/>
  <c r="P432" i="1"/>
  <c r="P424" i="1"/>
  <c r="P400" i="1"/>
  <c r="P392" i="1"/>
  <c r="P384" i="1"/>
  <c r="P376" i="1"/>
  <c r="P352" i="1"/>
  <c r="P344" i="1"/>
  <c r="P328" i="1"/>
  <c r="P320" i="1"/>
  <c r="P272" i="1"/>
  <c r="P264" i="1"/>
  <c r="P256" i="1"/>
  <c r="P248" i="1"/>
  <c r="P224" i="1"/>
  <c r="P208" i="1"/>
  <c r="P200" i="1"/>
  <c r="P192" i="1"/>
  <c r="P184" i="1"/>
  <c r="P176" i="1"/>
  <c r="P168" i="1"/>
  <c r="P160" i="1"/>
  <c r="P152" i="1"/>
  <c r="P144" i="1"/>
  <c r="P1667" i="1"/>
  <c r="F1667" i="1"/>
  <c r="P1186" i="1"/>
  <c r="F1186" i="1"/>
  <c r="P1970" i="1"/>
  <c r="P1954" i="1"/>
  <c r="F1970" i="1"/>
  <c r="P1622" i="1"/>
  <c r="P357" i="1"/>
  <c r="P1790" i="1"/>
  <c r="P526" i="1"/>
  <c r="P1980" i="1"/>
  <c r="P1628" i="1"/>
  <c r="P1484" i="1"/>
  <c r="P1995" i="1"/>
  <c r="P1923" i="1"/>
  <c r="P1819" i="1"/>
  <c r="P1643" i="1"/>
  <c r="P1635" i="1"/>
  <c r="P1547" i="1"/>
  <c r="P1515" i="1"/>
  <c r="P1499" i="1"/>
  <c r="P1387" i="1"/>
  <c r="P835" i="1"/>
  <c r="P827" i="1"/>
  <c r="P819" i="1"/>
  <c r="P811" i="1"/>
  <c r="P1470" i="1"/>
  <c r="P1988" i="1"/>
  <c r="P1812" i="1"/>
  <c r="P1492" i="1"/>
  <c r="P1476" i="1"/>
  <c r="P1036" i="1"/>
  <c r="P1651" i="1"/>
  <c r="P1627" i="1"/>
  <c r="P1523" i="1"/>
  <c r="P1507" i="1"/>
  <c r="P1491" i="1"/>
  <c r="P1395" i="1"/>
  <c r="P1379" i="1"/>
  <c r="P425" i="1"/>
  <c r="P1553" i="1"/>
  <c r="P464" i="1"/>
  <c r="P367" i="1"/>
  <c r="P2000" i="1"/>
  <c r="P1688" i="1"/>
  <c r="P1783" i="1"/>
  <c r="P1775" i="1"/>
  <c r="P1767" i="1"/>
  <c r="P1759" i="1"/>
  <c r="P1751" i="1"/>
  <c r="P1719" i="1"/>
  <c r="P1711" i="1"/>
  <c r="P1703" i="1"/>
  <c r="P1695" i="1"/>
  <c r="P1687" i="1"/>
  <c r="P1591" i="1"/>
  <c r="P1583" i="1"/>
  <c r="P1575" i="1"/>
  <c r="P1567" i="1"/>
  <c r="P1559" i="1"/>
  <c r="P1487" i="1"/>
  <c r="P1479" i="1"/>
  <c r="P1471" i="1"/>
  <c r="P1303" i="1"/>
  <c r="P1271" i="1"/>
  <c r="P1175" i="1"/>
  <c r="P1111" i="1"/>
  <c r="P1087" i="1"/>
  <c r="P999" i="1"/>
  <c r="P991" i="1"/>
  <c r="P983" i="1"/>
  <c r="P975" i="1"/>
  <c r="P967" i="1"/>
  <c r="P959" i="1"/>
  <c r="P951" i="1"/>
  <c r="P943" i="1"/>
  <c r="P927" i="1"/>
  <c r="P919" i="1"/>
  <c r="P911" i="1"/>
  <c r="P903" i="1"/>
  <c r="P895" i="1"/>
  <c r="P887" i="1"/>
  <c r="P855" i="1"/>
  <c r="P711" i="1"/>
  <c r="P703" i="1"/>
  <c r="P607" i="1"/>
  <c r="P599" i="1"/>
  <c r="P519" i="1"/>
  <c r="P471" i="1"/>
  <c r="P447" i="1"/>
  <c r="P787" i="1"/>
  <c r="P771" i="1"/>
  <c r="P699" i="1"/>
  <c r="P683" i="1"/>
  <c r="P659" i="1"/>
  <c r="P579" i="1"/>
  <c r="P547" i="1"/>
  <c r="P483" i="1"/>
  <c r="P403" i="1"/>
  <c r="P379" i="1"/>
  <c r="P235" i="1"/>
  <c r="P219" i="1"/>
  <c r="P203" i="1"/>
  <c r="P1994" i="1"/>
  <c r="P1930" i="1"/>
  <c r="P1890" i="1"/>
  <c r="P1874" i="1"/>
  <c r="P1866" i="1"/>
  <c r="P1858" i="1"/>
  <c r="P1818" i="1"/>
  <c r="P1810" i="1"/>
  <c r="P1786" i="1"/>
  <c r="P1738" i="1"/>
  <c r="P1730" i="1"/>
  <c r="P1682" i="1"/>
  <c r="P1674" i="1"/>
  <c r="P1650" i="1"/>
  <c r="P1642" i="1"/>
  <c r="P1634" i="1"/>
  <c r="P1626" i="1"/>
  <c r="P1554" i="1"/>
  <c r="P1546" i="1"/>
  <c r="P1538" i="1"/>
  <c r="P1522" i="1"/>
  <c r="P1514" i="1"/>
  <c r="P1506" i="1"/>
  <c r="P1498" i="1"/>
  <c r="P1490" i="1"/>
  <c r="P1362" i="1"/>
  <c r="P1242" i="1"/>
  <c r="P1226" i="1"/>
  <c r="P1218" i="1"/>
  <c r="P1210" i="1"/>
  <c r="P1170" i="1"/>
  <c r="P1154" i="1"/>
  <c r="P1122" i="1"/>
  <c r="P1114" i="1"/>
  <c r="P1018" i="1"/>
  <c r="P834" i="1"/>
  <c r="P826" i="1"/>
  <c r="P690" i="1"/>
  <c r="P682" i="1"/>
  <c r="P594" i="1"/>
  <c r="P586" i="1"/>
  <c r="P554" i="1"/>
  <c r="P490" i="1"/>
  <c r="P482" i="1"/>
  <c r="P434" i="1"/>
  <c r="P418" i="1"/>
  <c r="P410" i="1"/>
  <c r="P386" i="1"/>
  <c r="P338" i="1"/>
  <c r="P330" i="1"/>
  <c r="P322" i="1"/>
  <c r="P314" i="1"/>
  <c r="P306" i="1"/>
  <c r="P298" i="1"/>
  <c r="P266" i="1"/>
  <c r="P258" i="1"/>
  <c r="P250" i="1"/>
  <c r="P242" i="1"/>
  <c r="P234" i="1"/>
  <c r="P226" i="1"/>
  <c r="P302" i="1"/>
  <c r="P892" i="1"/>
  <c r="P828" i="1"/>
  <c r="P820" i="1"/>
  <c r="P804" i="1"/>
  <c r="P796" i="1"/>
  <c r="P788" i="1"/>
  <c r="P780" i="1"/>
  <c r="P772" i="1"/>
  <c r="P764" i="1"/>
  <c r="P748" i="1"/>
  <c r="P740" i="1"/>
  <c r="P660" i="1"/>
  <c r="P652" i="1"/>
  <c r="P644" i="1"/>
  <c r="P636" i="1"/>
  <c r="P540" i="1"/>
  <c r="P532" i="1"/>
  <c r="P484" i="1"/>
  <c r="P476" i="1"/>
  <c r="P340" i="1"/>
  <c r="P196" i="1"/>
  <c r="P188" i="1"/>
  <c r="P140" i="1"/>
  <c r="P132" i="1"/>
  <c r="P795" i="1"/>
  <c r="P779" i="1"/>
  <c r="P755" i="1"/>
  <c r="P691" i="1"/>
  <c r="P531" i="1"/>
  <c r="P411" i="1"/>
  <c r="P291" i="1"/>
  <c r="P227" i="1"/>
  <c r="P211" i="1"/>
  <c r="P1572" i="1"/>
  <c r="P454" i="1"/>
  <c r="P1733" i="1"/>
  <c r="P1437" i="1"/>
  <c r="P1077" i="1"/>
  <c r="P453" i="1"/>
  <c r="P373" i="1"/>
  <c r="P2001" i="1"/>
  <c r="P1993" i="1"/>
  <c r="P1985" i="1"/>
  <c r="P1977" i="1"/>
  <c r="P1785" i="1"/>
  <c r="P1777" i="1"/>
  <c r="P1769" i="1"/>
  <c r="P1761" i="1"/>
  <c r="P1689" i="1"/>
  <c r="P1617" i="1"/>
  <c r="P1609" i="1"/>
  <c r="P1601" i="1"/>
  <c r="P1593" i="1"/>
  <c r="P1385" i="1"/>
  <c r="P1377" i="1"/>
  <c r="P1361" i="1"/>
  <c r="P1201" i="1"/>
  <c r="P1193" i="1"/>
  <c r="P1185" i="1"/>
  <c r="P1049" i="1"/>
  <c r="P721" i="1"/>
  <c r="P713" i="1"/>
  <c r="P705" i="1"/>
  <c r="P864" i="1"/>
  <c r="P1239" i="1"/>
  <c r="P1726" i="1"/>
  <c r="P1414" i="1"/>
  <c r="P1543" i="1"/>
  <c r="P1415" i="1"/>
  <c r="P1949" i="1"/>
  <c r="P1493" i="1"/>
  <c r="P1429" i="1"/>
  <c r="P871" i="1"/>
  <c r="P1254" i="1"/>
  <c r="P1805" i="1"/>
  <c r="P1261" i="1"/>
  <c r="P1005" i="1"/>
  <c r="P1964" i="1"/>
  <c r="P1740" i="1"/>
  <c r="P1436" i="1"/>
  <c r="P1348" i="1"/>
  <c r="P1268" i="1"/>
  <c r="P1092" i="1"/>
  <c r="P1012" i="1"/>
  <c r="P260" i="1"/>
  <c r="P156" i="1"/>
  <c r="P28" i="1"/>
  <c r="P1508" i="1"/>
  <c r="P938" i="1"/>
  <c r="P879" i="1"/>
  <c r="P743" i="1"/>
  <c r="P1246" i="1"/>
  <c r="P990" i="1"/>
  <c r="P1549" i="1"/>
  <c r="P1085" i="1"/>
  <c r="P1972" i="1"/>
  <c r="P1940" i="1"/>
  <c r="P1732" i="1"/>
  <c r="P1444" i="1"/>
  <c r="P1332" i="1"/>
  <c r="P372" i="1"/>
  <c r="P20" i="1"/>
  <c r="P4" i="1"/>
  <c r="P1979" i="1"/>
  <c r="P1963" i="1"/>
  <c r="P1859" i="1"/>
  <c r="P1739" i="1"/>
  <c r="P1731" i="1"/>
  <c r="P1347" i="1"/>
  <c r="P1331" i="1"/>
  <c r="P1163" i="1"/>
  <c r="P563" i="1"/>
  <c r="P467" i="1"/>
  <c r="P395" i="1"/>
  <c r="P275" i="1"/>
  <c r="P259" i="1"/>
  <c r="P243" i="1"/>
  <c r="P51" i="1"/>
  <c r="P1935" i="1"/>
  <c r="P1942" i="1"/>
  <c r="P998" i="1"/>
  <c r="P878" i="1"/>
  <c r="P1421" i="1"/>
  <c r="P1956" i="1"/>
  <c r="P1564" i="1"/>
  <c r="P1428" i="1"/>
  <c r="P1340" i="1"/>
  <c r="P1084" i="1"/>
  <c r="P612" i="1"/>
  <c r="P556" i="1"/>
  <c r="P460" i="1"/>
  <c r="P44" i="1"/>
  <c r="P1971" i="1"/>
  <c r="P1955" i="1"/>
  <c r="P1747" i="1"/>
  <c r="P1659" i="1"/>
  <c r="P1355" i="1"/>
  <c r="P1339" i="1"/>
  <c r="P1171" i="1"/>
  <c r="P1035" i="1"/>
  <c r="P571" i="1"/>
  <c r="P435" i="1"/>
  <c r="P267" i="1"/>
  <c r="P251" i="1"/>
  <c r="P59" i="1"/>
  <c r="P1986" i="1"/>
  <c r="P1906" i="1"/>
  <c r="P1882" i="1"/>
  <c r="P1842" i="1"/>
  <c r="P1834" i="1"/>
  <c r="P1826" i="1"/>
  <c r="P1754" i="1"/>
  <c r="P1746" i="1"/>
  <c r="P1698" i="1"/>
  <c r="P1690" i="1"/>
  <c r="P1666" i="1"/>
  <c r="P1658" i="1"/>
  <c r="P1610" i="1"/>
  <c r="P1602" i="1"/>
  <c r="P1458" i="1"/>
  <c r="P1450" i="1"/>
  <c r="P1442" i="1"/>
  <c r="P1394" i="1"/>
  <c r="P1386" i="1"/>
  <c r="P1354" i="1"/>
  <c r="P1346" i="1"/>
  <c r="P1338" i="1"/>
  <c r="P1202" i="1"/>
  <c r="P1194" i="1"/>
  <c r="P1178" i="1"/>
  <c r="P1034" i="1"/>
  <c r="P1026" i="1"/>
  <c r="P842" i="1"/>
  <c r="P786" i="1"/>
  <c r="P778" i="1"/>
  <c r="P770" i="1"/>
  <c r="P762" i="1"/>
  <c r="P754" i="1"/>
  <c r="P714" i="1"/>
  <c r="P698" i="1"/>
  <c r="P666" i="1"/>
  <c r="P658" i="1"/>
  <c r="P626" i="1"/>
  <c r="P618" i="1"/>
  <c r="P578" i="1"/>
  <c r="P570" i="1"/>
  <c r="P562" i="1"/>
  <c r="P538" i="1"/>
  <c r="P442" i="1"/>
  <c r="P402" i="1"/>
  <c r="P362" i="1"/>
  <c r="P354" i="1"/>
  <c r="P346" i="1"/>
  <c r="P290" i="1"/>
  <c r="P282" i="1"/>
  <c r="P274" i="1"/>
  <c r="P218" i="1"/>
  <c r="P210" i="1"/>
  <c r="P202" i="1"/>
  <c r="P114" i="1"/>
  <c r="P106" i="1"/>
  <c r="P98" i="1"/>
  <c r="P90" i="1"/>
  <c r="P82" i="1"/>
  <c r="P74" i="1"/>
  <c r="P66" i="1"/>
  <c r="P1599" i="1"/>
  <c r="P1162" i="1"/>
  <c r="P359" i="1"/>
  <c r="P625" i="1"/>
  <c r="P617" i="1"/>
  <c r="P585" i="1"/>
  <c r="P577" i="1"/>
  <c r="P569" i="1"/>
  <c r="P561" i="1"/>
  <c r="P537" i="1"/>
  <c r="P529" i="1"/>
  <c r="P505" i="1"/>
  <c r="P497" i="1"/>
  <c r="P449" i="1"/>
  <c r="P409" i="1"/>
  <c r="P401" i="1"/>
  <c r="P369" i="1"/>
  <c r="P361" i="1"/>
  <c r="P353" i="1"/>
  <c r="P345" i="1"/>
  <c r="P297" i="1"/>
  <c r="P289" i="1"/>
  <c r="P241" i="1"/>
  <c r="P233" i="1"/>
  <c r="P225" i="1"/>
  <c r="P217" i="1"/>
  <c r="P209" i="1"/>
  <c r="P129" i="1"/>
  <c r="P121" i="1"/>
  <c r="P113" i="1"/>
  <c r="P105" i="1"/>
  <c r="P935" i="1"/>
  <c r="P358" i="1"/>
  <c r="P592" i="1"/>
  <c r="P584" i="1"/>
  <c r="P576" i="1"/>
  <c r="P560" i="1"/>
  <c r="P544" i="1"/>
  <c r="P536" i="1"/>
  <c r="P512" i="1"/>
  <c r="P504" i="1"/>
  <c r="P480" i="1"/>
  <c r="P448" i="1"/>
  <c r="P416" i="1"/>
  <c r="P408" i="1"/>
  <c r="P368" i="1"/>
  <c r="P312" i="1"/>
  <c r="P304" i="1"/>
  <c r="P296" i="1"/>
  <c r="P240" i="1"/>
  <c r="P216" i="1"/>
  <c r="P136" i="1"/>
  <c r="P128" i="1"/>
  <c r="P120" i="1"/>
  <c r="P112" i="1"/>
  <c r="P1483" i="1"/>
  <c r="P1418" i="1"/>
  <c r="P1315" i="1"/>
  <c r="P797" i="1"/>
  <c r="P663" i="1"/>
  <c r="P206" i="1"/>
  <c r="P727" i="1"/>
  <c r="P679" i="1"/>
  <c r="P639" i="1"/>
  <c r="P631" i="1"/>
  <c r="P591" i="1"/>
  <c r="P583" i="1"/>
  <c r="P543" i="1"/>
  <c r="P511" i="1"/>
  <c r="P495" i="1"/>
  <c r="P479" i="1"/>
  <c r="P455" i="1"/>
  <c r="P431" i="1"/>
  <c r="P423" i="1"/>
  <c r="P415" i="1"/>
  <c r="P351" i="1"/>
  <c r="P327" i="1"/>
  <c r="P319" i="1"/>
  <c r="P311" i="1"/>
  <c r="P303" i="1"/>
  <c r="P287" i="1"/>
  <c r="P247" i="1"/>
  <c r="P239" i="1"/>
  <c r="P231" i="1"/>
  <c r="P135" i="1"/>
  <c r="P127" i="1"/>
  <c r="P119" i="1"/>
  <c r="P1828" i="1"/>
  <c r="P1694" i="1"/>
  <c r="P1668" i="1"/>
  <c r="P1526" i="1"/>
  <c r="P964" i="1"/>
  <c r="P814" i="1"/>
  <c r="P742" i="1"/>
  <c r="P734" i="1"/>
  <c r="P678" i="1"/>
  <c r="P646" i="1"/>
  <c r="P638" i="1"/>
  <c r="P598" i="1"/>
  <c r="P550" i="1"/>
  <c r="P510" i="1"/>
  <c r="P478" i="1"/>
  <c r="P430" i="1"/>
  <c r="P422" i="1"/>
  <c r="P414" i="1"/>
  <c r="P334" i="1"/>
  <c r="P326" i="1"/>
  <c r="P318" i="1"/>
  <c r="P310" i="1"/>
  <c r="P246" i="1"/>
  <c r="P238" i="1"/>
  <c r="P142" i="1"/>
  <c r="P134" i="1"/>
  <c r="P30" i="1"/>
  <c r="P22" i="1"/>
  <c r="P14" i="1"/>
  <c r="P6" i="1"/>
  <c r="P1827" i="1"/>
  <c r="P1509" i="1"/>
  <c r="P1978" i="1"/>
  <c r="P1594" i="1"/>
  <c r="P1539" i="1"/>
  <c r="P407" i="1"/>
  <c r="P1352" i="1"/>
  <c r="P1096" i="1"/>
  <c r="P664" i="1"/>
  <c r="P232" i="1"/>
  <c r="P1919" i="1"/>
  <c r="P1359" i="1"/>
  <c r="P1279" i="1"/>
  <c r="P1095" i="1"/>
  <c r="P831" i="1"/>
  <c r="P695" i="1"/>
  <c r="P623" i="1"/>
  <c r="P463" i="1"/>
  <c r="P191" i="1"/>
  <c r="P1962" i="1"/>
  <c r="P1946" i="1"/>
  <c r="P1898" i="1"/>
  <c r="P1778" i="1"/>
  <c r="P1770" i="1"/>
  <c r="P1762" i="1"/>
  <c r="P1722" i="1"/>
  <c r="P1618" i="1"/>
  <c r="P1586" i="1"/>
  <c r="P1578" i="1"/>
  <c r="P1570" i="1"/>
  <c r="P1562" i="1"/>
  <c r="P1530" i="1"/>
  <c r="P1410" i="1"/>
  <c r="P1402" i="1"/>
  <c r="P1378" i="1"/>
  <c r="P1370" i="1"/>
  <c r="P1330" i="1"/>
  <c r="P1322" i="1"/>
  <c r="P1266" i="1"/>
  <c r="P1234" i="1"/>
  <c r="P1146" i="1"/>
  <c r="P1138" i="1"/>
  <c r="P1130" i="1"/>
  <c r="P1106" i="1"/>
  <c r="P1090" i="1"/>
  <c r="P1082" i="1"/>
  <c r="P1074" i="1"/>
  <c r="P1050" i="1"/>
  <c r="P1042" i="1"/>
  <c r="P986" i="1"/>
  <c r="P978" i="1"/>
  <c r="P970" i="1"/>
  <c r="P818" i="1"/>
  <c r="P810" i="1"/>
  <c r="P746" i="1"/>
  <c r="P706" i="1"/>
  <c r="P674" i="1"/>
  <c r="P642" i="1"/>
  <c r="P634" i="1"/>
  <c r="P610" i="1"/>
  <c r="P602" i="1"/>
  <c r="P530" i="1"/>
  <c r="P506" i="1"/>
  <c r="P498" i="1"/>
  <c r="P474" i="1"/>
  <c r="P450" i="1"/>
  <c r="P426" i="1"/>
  <c r="P394" i="1"/>
  <c r="P186" i="1"/>
  <c r="P178" i="1"/>
  <c r="P1872" i="1"/>
  <c r="P1632" i="1"/>
  <c r="P1304" i="1"/>
  <c r="P792" i="1"/>
  <c r="P440" i="1"/>
  <c r="P1983" i="1"/>
  <c r="P1295" i="1"/>
  <c r="P863" i="1"/>
  <c r="P823" i="1"/>
  <c r="P719" i="1"/>
  <c r="P1934" i="1"/>
  <c r="P1862" i="1"/>
  <c r="P1742" i="1"/>
  <c r="P1734" i="1"/>
  <c r="P1646" i="1"/>
  <c r="P1598" i="1"/>
  <c r="P1286" i="1"/>
  <c r="P1190" i="1"/>
  <c r="P1166" i="1"/>
  <c r="P1094" i="1"/>
  <c r="P886" i="1"/>
  <c r="P830" i="1"/>
  <c r="P750" i="1"/>
  <c r="P438" i="1"/>
  <c r="P150" i="1"/>
  <c r="P433" i="1"/>
  <c r="P337" i="1"/>
  <c r="P720" i="1"/>
  <c r="P280" i="1"/>
  <c r="P1871" i="1"/>
  <c r="P1735" i="1"/>
  <c r="P1431" i="1"/>
  <c r="P1071" i="1"/>
  <c r="P687" i="1"/>
  <c r="P527" i="1"/>
  <c r="P375" i="1"/>
  <c r="P1926" i="1"/>
  <c r="P1870" i="1"/>
  <c r="P1662" i="1"/>
  <c r="P1630" i="1"/>
  <c r="P1550" i="1"/>
  <c r="P1502" i="1"/>
  <c r="P1350" i="1"/>
  <c r="P1302" i="1"/>
  <c r="P1174" i="1"/>
  <c r="P1102" i="1"/>
  <c r="P1070" i="1"/>
  <c r="P1006" i="1"/>
  <c r="P870" i="1"/>
  <c r="P822" i="1"/>
  <c r="P774" i="1"/>
  <c r="P726" i="1"/>
  <c r="P694" i="1"/>
  <c r="P582" i="1"/>
  <c r="P470" i="1"/>
  <c r="P374" i="1"/>
  <c r="P286" i="1"/>
  <c r="P38" i="1"/>
  <c r="P1989" i="1"/>
  <c r="P1941" i="1"/>
  <c r="P1933" i="1"/>
  <c r="P1885" i="1"/>
  <c r="P1821" i="1"/>
  <c r="P1781" i="1"/>
  <c r="P1749" i="1"/>
  <c r="P1661" i="1"/>
  <c r="P1605" i="1"/>
  <c r="P1589" i="1"/>
  <c r="P1557" i="1"/>
  <c r="P1517" i="1"/>
  <c r="P1445" i="1"/>
  <c r="P1397" i="1"/>
  <c r="P1301" i="1"/>
  <c r="P1245" i="1"/>
  <c r="P837" i="1"/>
  <c r="P733" i="1"/>
  <c r="P693" i="1"/>
  <c r="P661" i="1"/>
  <c r="P485" i="1"/>
  <c r="P461" i="1"/>
  <c r="P445" i="1"/>
  <c r="P389" i="1"/>
  <c r="P349" i="1"/>
  <c r="P213" i="1"/>
  <c r="P157" i="1"/>
  <c r="P1873" i="1"/>
  <c r="P377" i="1"/>
  <c r="P1280" i="1"/>
  <c r="P1080" i="1"/>
  <c r="P824" i="1"/>
  <c r="P688" i="1"/>
  <c r="P360" i="1"/>
  <c r="P1927" i="1"/>
  <c r="P1807" i="1"/>
  <c r="P1647" i="1"/>
  <c r="P1607" i="1"/>
  <c r="P1551" i="1"/>
  <c r="P1495" i="1"/>
  <c r="P1263" i="1"/>
  <c r="P1103" i="1"/>
  <c r="P1007" i="1"/>
  <c r="P799" i="1"/>
  <c r="P655" i="1"/>
  <c r="P1982" i="1"/>
  <c r="P1878" i="1"/>
  <c r="P1606" i="1"/>
  <c r="P1358" i="1"/>
  <c r="P1294" i="1"/>
  <c r="P1198" i="1"/>
  <c r="P1110" i="1"/>
  <c r="P1014" i="1"/>
  <c r="P942" i="1"/>
  <c r="P862" i="1"/>
  <c r="P838" i="1"/>
  <c r="P718" i="1"/>
  <c r="P686" i="1"/>
  <c r="P662" i="1"/>
  <c r="P622" i="1"/>
  <c r="P542" i="1"/>
  <c r="P518" i="1"/>
  <c r="P486" i="1"/>
  <c r="P462" i="1"/>
  <c r="P1925" i="1"/>
  <c r="P1909" i="1"/>
  <c r="P1877" i="1"/>
  <c r="P1845" i="1"/>
  <c r="P1813" i="1"/>
  <c r="P1693" i="1"/>
  <c r="P1653" i="1"/>
  <c r="P1525" i="1"/>
  <c r="P1461" i="1"/>
  <c r="P1357" i="1"/>
  <c r="P1309" i="1"/>
  <c r="P1253" i="1"/>
  <c r="P1109" i="1"/>
  <c r="P1013" i="1"/>
  <c r="P941" i="1"/>
  <c r="P629" i="1"/>
  <c r="P541" i="1"/>
  <c r="P493" i="1"/>
  <c r="P469" i="1"/>
  <c r="P413" i="1"/>
  <c r="P381" i="1"/>
  <c r="P341" i="1"/>
  <c r="P221" i="1"/>
  <c r="P53" i="1"/>
  <c r="P21" i="1"/>
  <c r="P1996" i="1"/>
  <c r="P1948" i="1"/>
  <c r="P1932" i="1"/>
  <c r="P1908" i="1"/>
  <c r="P1884" i="1"/>
  <c r="P1844" i="1"/>
  <c r="P1820" i="1"/>
  <c r="P1804" i="1"/>
  <c r="P1748" i="1"/>
  <c r="P1716" i="1"/>
  <c r="P1708" i="1"/>
  <c r="P1692" i="1"/>
  <c r="P1660" i="1"/>
  <c r="P1652" i="1"/>
  <c r="P1644" i="1"/>
  <c r="P1636" i="1"/>
  <c r="P1604" i="1"/>
  <c r="P1588" i="1"/>
  <c r="P1580" i="1"/>
  <c r="P1524" i="1"/>
  <c r="P1516" i="1"/>
  <c r="P1468" i="1"/>
  <c r="P1460" i="1"/>
  <c r="P1452" i="1"/>
  <c r="P1412" i="1"/>
  <c r="P1404" i="1"/>
  <c r="P1364" i="1"/>
  <c r="P1324" i="1"/>
  <c r="P1316" i="1"/>
  <c r="P1308" i="1"/>
  <c r="P1260" i="1"/>
  <c r="P1252" i="1"/>
  <c r="P1244" i="1"/>
  <c r="P1188" i="1"/>
  <c r="P1180" i="1"/>
  <c r="P1156" i="1"/>
  <c r="P1124" i="1"/>
  <c r="P1116" i="1"/>
  <c r="P1108" i="1"/>
  <c r="P1028" i="1"/>
  <c r="P1020" i="1"/>
  <c r="P956" i="1"/>
  <c r="P948" i="1"/>
  <c r="P900" i="1"/>
  <c r="P876" i="1"/>
  <c r="P860" i="1"/>
  <c r="P844" i="1"/>
  <c r="P836" i="1"/>
  <c r="P812" i="1"/>
  <c r="P756" i="1"/>
  <c r="P732" i="1"/>
  <c r="P724" i="1"/>
  <c r="P700" i="1"/>
  <c r="P676" i="1"/>
  <c r="P668" i="1"/>
  <c r="P628" i="1"/>
  <c r="P596" i="1"/>
  <c r="P548" i="1"/>
  <c r="P524" i="1"/>
  <c r="P500" i="1"/>
  <c r="P492" i="1"/>
  <c r="P468" i="1"/>
  <c r="P444" i="1"/>
  <c r="P420" i="1"/>
  <c r="P1393" i="1"/>
  <c r="P17" i="1"/>
  <c r="P1288" i="1"/>
  <c r="P1240" i="1"/>
  <c r="P656" i="1"/>
  <c r="P616" i="1"/>
  <c r="P336" i="1"/>
  <c r="P288" i="1"/>
  <c r="P1863" i="1"/>
  <c r="P1631" i="1"/>
  <c r="P1439" i="1"/>
  <c r="P1287" i="1"/>
  <c r="P439" i="1"/>
  <c r="P335" i="1"/>
  <c r="P1987" i="1"/>
  <c r="P1947" i="1"/>
  <c r="P1907" i="1"/>
  <c r="P1883" i="1"/>
  <c r="P1843" i="1"/>
  <c r="P1715" i="1"/>
  <c r="P1707" i="1"/>
  <c r="P1675" i="1"/>
  <c r="P1619" i="1"/>
  <c r="P1587" i="1"/>
  <c r="P1579" i="1"/>
  <c r="P1571" i="1"/>
  <c r="P1563" i="1"/>
  <c r="P1531" i="1"/>
  <c r="P1411" i="1"/>
  <c r="P1403" i="1"/>
  <c r="P1371" i="1"/>
  <c r="P1323" i="1"/>
  <c r="P1307" i="1"/>
  <c r="P1259" i="1"/>
  <c r="P1203" i="1"/>
  <c r="P1139" i="1"/>
  <c r="P1131" i="1"/>
  <c r="P1115" i="1"/>
  <c r="P1083" i="1"/>
  <c r="P1075" i="1"/>
  <c r="P1043" i="1"/>
  <c r="P1027" i="1"/>
  <c r="P1019" i="1"/>
  <c r="P955" i="1"/>
  <c r="P947" i="1"/>
  <c r="P923" i="1"/>
  <c r="P843" i="1"/>
  <c r="P803" i="1"/>
  <c r="P763" i="1"/>
  <c r="P739" i="1"/>
  <c r="P731" i="1"/>
  <c r="P675" i="1"/>
  <c r="P667" i="1"/>
  <c r="P635" i="1"/>
  <c r="P603" i="1"/>
  <c r="P587" i="1"/>
  <c r="P555" i="1"/>
  <c r="P539" i="1"/>
  <c r="P499" i="1"/>
  <c r="P491" i="1"/>
  <c r="P475" i="1"/>
  <c r="P443" i="1"/>
  <c r="P419" i="1"/>
  <c r="P387" i="1"/>
  <c r="P371" i="1"/>
  <c r="P363" i="1"/>
  <c r="P355" i="1"/>
  <c r="P347" i="1"/>
  <c r="P331" i="1"/>
  <c r="P283" i="1"/>
  <c r="P187" i="1"/>
  <c r="P179" i="1"/>
  <c r="P171" i="1"/>
  <c r="P75" i="1"/>
  <c r="P396" i="1"/>
  <c r="P388" i="1"/>
  <c r="P380" i="1"/>
  <c r="P364" i="1"/>
  <c r="P348" i="1"/>
  <c r="P324" i="1"/>
  <c r="P316" i="1"/>
  <c r="P308" i="1"/>
  <c r="P300" i="1"/>
  <c r="P292" i="1"/>
  <c r="P276" i="1"/>
  <c r="P268" i="1"/>
  <c r="P252" i="1"/>
  <c r="P244" i="1"/>
  <c r="P220" i="1"/>
  <c r="P212" i="1"/>
  <c r="P204" i="1"/>
  <c r="P180" i="1"/>
  <c r="P172" i="1"/>
  <c r="P164" i="1"/>
  <c r="P148" i="1"/>
  <c r="P124" i="1"/>
  <c r="P116" i="1"/>
  <c r="P108" i="1"/>
  <c r="P76" i="1"/>
  <c r="P68" i="1"/>
  <c r="P60" i="1"/>
  <c r="P36" i="1"/>
  <c r="P12" i="1"/>
  <c r="D24" i="4"/>
  <c r="E24" i="4" s="1"/>
  <c r="D23" i="4"/>
  <c r="E23" i="4" s="1"/>
  <c r="D21" i="4"/>
  <c r="E21" i="4" s="1"/>
  <c r="D19" i="4"/>
  <c r="E19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DDBA3-4269-415E-89E3-38E88B7FAF7B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<sst xmlns="http://schemas.openxmlformats.org/spreadsheetml/2006/main" count="32128" uniqueCount="4074">
  <si>
    <t>GLID</t>
  </si>
  <si>
    <t>TxnDate</t>
  </si>
  <si>
    <t>AccountNumber</t>
  </si>
  <si>
    <t>AccountName</t>
  </si>
  <si>
    <t>Debit</t>
  </si>
  <si>
    <t>Credit</t>
  </si>
  <si>
    <t>Dept</t>
  </si>
  <si>
    <t>CostCenter</t>
  </si>
  <si>
    <t>Description</t>
  </si>
  <si>
    <t>Currency</t>
  </si>
  <si>
    <t>GL000000</t>
  </si>
  <si>
    <t>GL000001</t>
  </si>
  <si>
    <t>GL000002</t>
  </si>
  <si>
    <t>GL000003</t>
  </si>
  <si>
    <t>GL000004</t>
  </si>
  <si>
    <t>GL000005</t>
  </si>
  <si>
    <t>GL000006</t>
  </si>
  <si>
    <t>GL000007</t>
  </si>
  <si>
    <t>GL000008</t>
  </si>
  <si>
    <t>GL000009</t>
  </si>
  <si>
    <t>GL000010</t>
  </si>
  <si>
    <t>GL000011</t>
  </si>
  <si>
    <t>GL000012</t>
  </si>
  <si>
    <t>GL000013</t>
  </si>
  <si>
    <t>GL000014</t>
  </si>
  <si>
    <t>GL000015</t>
  </si>
  <si>
    <t>GL000016</t>
  </si>
  <si>
    <t>GL000017</t>
  </si>
  <si>
    <t>GL000018</t>
  </si>
  <si>
    <t>GL000019</t>
  </si>
  <si>
    <t>GL000020</t>
  </si>
  <si>
    <t>GL000021</t>
  </si>
  <si>
    <t>GL000022</t>
  </si>
  <si>
    <t>GL000023</t>
  </si>
  <si>
    <t>GL000024</t>
  </si>
  <si>
    <t>GL000025</t>
  </si>
  <si>
    <t>GL000026</t>
  </si>
  <si>
    <t>GL000027</t>
  </si>
  <si>
    <t>GL000028</t>
  </si>
  <si>
    <t>GL000029</t>
  </si>
  <si>
    <t>GL000030</t>
  </si>
  <si>
    <t>GL000031</t>
  </si>
  <si>
    <t>GL000032</t>
  </si>
  <si>
    <t>GL000033</t>
  </si>
  <si>
    <t>GL000034</t>
  </si>
  <si>
    <t>GL000035</t>
  </si>
  <si>
    <t>GL000036</t>
  </si>
  <si>
    <t>GL000037</t>
  </si>
  <si>
    <t>GL000038</t>
  </si>
  <si>
    <t>GL000039</t>
  </si>
  <si>
    <t>GL000040</t>
  </si>
  <si>
    <t>GL000041</t>
  </si>
  <si>
    <t>GL000042</t>
  </si>
  <si>
    <t>GL000043</t>
  </si>
  <si>
    <t>GL000044</t>
  </si>
  <si>
    <t>GL000045</t>
  </si>
  <si>
    <t>GL000046</t>
  </si>
  <si>
    <t>GL000047</t>
  </si>
  <si>
    <t>GL000048</t>
  </si>
  <si>
    <t>GL000049</t>
  </si>
  <si>
    <t>GL000050</t>
  </si>
  <si>
    <t>GL000051</t>
  </si>
  <si>
    <t>GL000052</t>
  </si>
  <si>
    <t>GL000053</t>
  </si>
  <si>
    <t>GL000054</t>
  </si>
  <si>
    <t>GL000055</t>
  </si>
  <si>
    <t>GL000056</t>
  </si>
  <si>
    <t>GL000057</t>
  </si>
  <si>
    <t>GL000058</t>
  </si>
  <si>
    <t>GL000059</t>
  </si>
  <si>
    <t>GL000060</t>
  </si>
  <si>
    <t>GL000061</t>
  </si>
  <si>
    <t>GL000062</t>
  </si>
  <si>
    <t>GL000063</t>
  </si>
  <si>
    <t>GL000064</t>
  </si>
  <si>
    <t>GL000065</t>
  </si>
  <si>
    <t>GL000066</t>
  </si>
  <si>
    <t>GL000067</t>
  </si>
  <si>
    <t>GL000068</t>
  </si>
  <si>
    <t>GL000069</t>
  </si>
  <si>
    <t>GL000070</t>
  </si>
  <si>
    <t>GL000071</t>
  </si>
  <si>
    <t>GL000072</t>
  </si>
  <si>
    <t>GL000073</t>
  </si>
  <si>
    <t>GL000074</t>
  </si>
  <si>
    <t>GL000075</t>
  </si>
  <si>
    <t>GL000076</t>
  </si>
  <si>
    <t>GL000077</t>
  </si>
  <si>
    <t>GL000078</t>
  </si>
  <si>
    <t>GL000079</t>
  </si>
  <si>
    <t>GL000080</t>
  </si>
  <si>
    <t>GL000081</t>
  </si>
  <si>
    <t>GL000082</t>
  </si>
  <si>
    <t>GL000083</t>
  </si>
  <si>
    <t>GL000084</t>
  </si>
  <si>
    <t>GL000085</t>
  </si>
  <si>
    <t>GL000086</t>
  </si>
  <si>
    <t>GL000087</t>
  </si>
  <si>
    <t>GL000088</t>
  </si>
  <si>
    <t>GL000089</t>
  </si>
  <si>
    <t>GL000090</t>
  </si>
  <si>
    <t>GL000091</t>
  </si>
  <si>
    <t>GL000092</t>
  </si>
  <si>
    <t>GL000093</t>
  </si>
  <si>
    <t>GL000094</t>
  </si>
  <si>
    <t>GL000095</t>
  </si>
  <si>
    <t>GL000096</t>
  </si>
  <si>
    <t>GL000097</t>
  </si>
  <si>
    <t>GL000098</t>
  </si>
  <si>
    <t>GL000099</t>
  </si>
  <si>
    <t>GL000100</t>
  </si>
  <si>
    <t>GL000101</t>
  </si>
  <si>
    <t>GL000102</t>
  </si>
  <si>
    <t>GL000103</t>
  </si>
  <si>
    <t>GL000104</t>
  </si>
  <si>
    <t>GL000105</t>
  </si>
  <si>
    <t>GL000106</t>
  </si>
  <si>
    <t>GL000107</t>
  </si>
  <si>
    <t>GL000108</t>
  </si>
  <si>
    <t>GL000109</t>
  </si>
  <si>
    <t>GL000110</t>
  </si>
  <si>
    <t>GL000111</t>
  </si>
  <si>
    <t>GL000112</t>
  </si>
  <si>
    <t>GL000113</t>
  </si>
  <si>
    <t>GL000114</t>
  </si>
  <si>
    <t>GL000115</t>
  </si>
  <si>
    <t>GL000116</t>
  </si>
  <si>
    <t>GL000117</t>
  </si>
  <si>
    <t>GL000118</t>
  </si>
  <si>
    <t>GL000119</t>
  </si>
  <si>
    <t>GL000120</t>
  </si>
  <si>
    <t>GL000121</t>
  </si>
  <si>
    <t>GL000122</t>
  </si>
  <si>
    <t>GL000123</t>
  </si>
  <si>
    <t>GL000124</t>
  </si>
  <si>
    <t>GL000125</t>
  </si>
  <si>
    <t>GL000126</t>
  </si>
  <si>
    <t>GL000127</t>
  </si>
  <si>
    <t>GL000128</t>
  </si>
  <si>
    <t>GL000129</t>
  </si>
  <si>
    <t>GL000130</t>
  </si>
  <si>
    <t>GL000131</t>
  </si>
  <si>
    <t>GL000132</t>
  </si>
  <si>
    <t>GL000133</t>
  </si>
  <si>
    <t>GL000134</t>
  </si>
  <si>
    <t>GL000135</t>
  </si>
  <si>
    <t>GL000136</t>
  </si>
  <si>
    <t>GL000137</t>
  </si>
  <si>
    <t>GL000138</t>
  </si>
  <si>
    <t>GL000139</t>
  </si>
  <si>
    <t>GL000140</t>
  </si>
  <si>
    <t>GL000141</t>
  </si>
  <si>
    <t>GL000142</t>
  </si>
  <si>
    <t>GL000143</t>
  </si>
  <si>
    <t>GL000144</t>
  </si>
  <si>
    <t>GL000145</t>
  </si>
  <si>
    <t>GL000146</t>
  </si>
  <si>
    <t>GL000147</t>
  </si>
  <si>
    <t>GL000148</t>
  </si>
  <si>
    <t>GL000149</t>
  </si>
  <si>
    <t>GL000150</t>
  </si>
  <si>
    <t>GL000151</t>
  </si>
  <si>
    <t>GL000152</t>
  </si>
  <si>
    <t>GL000153</t>
  </si>
  <si>
    <t>GL000154</t>
  </si>
  <si>
    <t>GL000155</t>
  </si>
  <si>
    <t>GL000156</t>
  </si>
  <si>
    <t>GL000157</t>
  </si>
  <si>
    <t>GL000158</t>
  </si>
  <si>
    <t>GL000159</t>
  </si>
  <si>
    <t>GL000160</t>
  </si>
  <si>
    <t>GL000161</t>
  </si>
  <si>
    <t>GL000162</t>
  </si>
  <si>
    <t>GL000163</t>
  </si>
  <si>
    <t>GL000164</t>
  </si>
  <si>
    <t>GL000165</t>
  </si>
  <si>
    <t>GL000166</t>
  </si>
  <si>
    <t>GL000167</t>
  </si>
  <si>
    <t>GL000168</t>
  </si>
  <si>
    <t>GL000169</t>
  </si>
  <si>
    <t>GL000170</t>
  </si>
  <si>
    <t>GL000171</t>
  </si>
  <si>
    <t>GL000172</t>
  </si>
  <si>
    <t>GL000173</t>
  </si>
  <si>
    <t>GL000174</t>
  </si>
  <si>
    <t>GL000175</t>
  </si>
  <si>
    <t>GL000176</t>
  </si>
  <si>
    <t>GL000177</t>
  </si>
  <si>
    <t>GL000178</t>
  </si>
  <si>
    <t>GL000179</t>
  </si>
  <si>
    <t>GL000180</t>
  </si>
  <si>
    <t>GL000181</t>
  </si>
  <si>
    <t>GL000182</t>
  </si>
  <si>
    <t>GL000183</t>
  </si>
  <si>
    <t>GL000184</t>
  </si>
  <si>
    <t>GL000185</t>
  </si>
  <si>
    <t>GL000186</t>
  </si>
  <si>
    <t>GL000187</t>
  </si>
  <si>
    <t>GL000188</t>
  </si>
  <si>
    <t>GL000189</t>
  </si>
  <si>
    <t>GL000190</t>
  </si>
  <si>
    <t>GL000191</t>
  </si>
  <si>
    <t>GL000192</t>
  </si>
  <si>
    <t>GL000193</t>
  </si>
  <si>
    <t>GL000194</t>
  </si>
  <si>
    <t>GL000195</t>
  </si>
  <si>
    <t>GL000196</t>
  </si>
  <si>
    <t>GL000197</t>
  </si>
  <si>
    <t>GL000198</t>
  </si>
  <si>
    <t>GL000199</t>
  </si>
  <si>
    <t>GL000200</t>
  </si>
  <si>
    <t>GL000201</t>
  </si>
  <si>
    <t>GL000202</t>
  </si>
  <si>
    <t>GL000203</t>
  </si>
  <si>
    <t>GL000204</t>
  </si>
  <si>
    <t>GL000205</t>
  </si>
  <si>
    <t>GL000206</t>
  </si>
  <si>
    <t>GL000207</t>
  </si>
  <si>
    <t>GL000208</t>
  </si>
  <si>
    <t>GL000209</t>
  </si>
  <si>
    <t>GL000210</t>
  </si>
  <si>
    <t>GL000211</t>
  </si>
  <si>
    <t>GL000212</t>
  </si>
  <si>
    <t>GL000213</t>
  </si>
  <si>
    <t>GL000214</t>
  </si>
  <si>
    <t>GL000215</t>
  </si>
  <si>
    <t>GL000216</t>
  </si>
  <si>
    <t>GL000217</t>
  </si>
  <si>
    <t>GL000218</t>
  </si>
  <si>
    <t>GL000219</t>
  </si>
  <si>
    <t>GL000220</t>
  </si>
  <si>
    <t>GL000221</t>
  </si>
  <si>
    <t>GL000222</t>
  </si>
  <si>
    <t>GL000223</t>
  </si>
  <si>
    <t>GL000224</t>
  </si>
  <si>
    <t>GL000225</t>
  </si>
  <si>
    <t>GL000226</t>
  </si>
  <si>
    <t>GL000227</t>
  </si>
  <si>
    <t>GL000228</t>
  </si>
  <si>
    <t>GL000229</t>
  </si>
  <si>
    <t>GL000230</t>
  </si>
  <si>
    <t>GL000231</t>
  </si>
  <si>
    <t>GL000232</t>
  </si>
  <si>
    <t>GL000233</t>
  </si>
  <si>
    <t>GL000234</t>
  </si>
  <si>
    <t>GL000235</t>
  </si>
  <si>
    <t>GL000236</t>
  </si>
  <si>
    <t>GL000237</t>
  </si>
  <si>
    <t>GL000238</t>
  </si>
  <si>
    <t>GL000239</t>
  </si>
  <si>
    <t>GL000240</t>
  </si>
  <si>
    <t>GL000241</t>
  </si>
  <si>
    <t>GL000242</t>
  </si>
  <si>
    <t>GL000243</t>
  </si>
  <si>
    <t>GL000244</t>
  </si>
  <si>
    <t>GL000245</t>
  </si>
  <si>
    <t>GL000246</t>
  </si>
  <si>
    <t>GL000247</t>
  </si>
  <si>
    <t>GL000248</t>
  </si>
  <si>
    <t>GL000249</t>
  </si>
  <si>
    <t>GL000250</t>
  </si>
  <si>
    <t>GL000251</t>
  </si>
  <si>
    <t>GL000252</t>
  </si>
  <si>
    <t>GL000253</t>
  </si>
  <si>
    <t>GL000254</t>
  </si>
  <si>
    <t>GL000255</t>
  </si>
  <si>
    <t>GL000256</t>
  </si>
  <si>
    <t>GL000257</t>
  </si>
  <si>
    <t>GL000258</t>
  </si>
  <si>
    <t>GL000259</t>
  </si>
  <si>
    <t>GL000260</t>
  </si>
  <si>
    <t>GL000261</t>
  </si>
  <si>
    <t>GL000262</t>
  </si>
  <si>
    <t>GL000263</t>
  </si>
  <si>
    <t>GL000264</t>
  </si>
  <si>
    <t>GL000265</t>
  </si>
  <si>
    <t>GL000266</t>
  </si>
  <si>
    <t>GL000267</t>
  </si>
  <si>
    <t>GL000268</t>
  </si>
  <si>
    <t>GL000269</t>
  </si>
  <si>
    <t>GL000270</t>
  </si>
  <si>
    <t>GL000271</t>
  </si>
  <si>
    <t>GL000272</t>
  </si>
  <si>
    <t>GL000273</t>
  </si>
  <si>
    <t>GL000274</t>
  </si>
  <si>
    <t>GL000275</t>
  </si>
  <si>
    <t>GL000276</t>
  </si>
  <si>
    <t>GL000277</t>
  </si>
  <si>
    <t>GL000278</t>
  </si>
  <si>
    <t>GL000279</t>
  </si>
  <si>
    <t>GL000280</t>
  </si>
  <si>
    <t>GL000281</t>
  </si>
  <si>
    <t>GL000282</t>
  </si>
  <si>
    <t>GL000283</t>
  </si>
  <si>
    <t>GL000284</t>
  </si>
  <si>
    <t>GL000285</t>
  </si>
  <si>
    <t>GL000286</t>
  </si>
  <si>
    <t>GL000287</t>
  </si>
  <si>
    <t>GL000288</t>
  </si>
  <si>
    <t>GL000289</t>
  </si>
  <si>
    <t>GL000290</t>
  </si>
  <si>
    <t>GL000291</t>
  </si>
  <si>
    <t>GL000292</t>
  </si>
  <si>
    <t>GL000293</t>
  </si>
  <si>
    <t>GL000294</t>
  </si>
  <si>
    <t>GL000295</t>
  </si>
  <si>
    <t>GL000296</t>
  </si>
  <si>
    <t>GL000297</t>
  </si>
  <si>
    <t>GL000298</t>
  </si>
  <si>
    <t>GL000299</t>
  </si>
  <si>
    <t>GL000300</t>
  </si>
  <si>
    <t>GL000301</t>
  </si>
  <si>
    <t>GL000302</t>
  </si>
  <si>
    <t>GL000303</t>
  </si>
  <si>
    <t>GL000304</t>
  </si>
  <si>
    <t>GL000305</t>
  </si>
  <si>
    <t>GL000306</t>
  </si>
  <si>
    <t>GL000307</t>
  </si>
  <si>
    <t>GL000308</t>
  </si>
  <si>
    <t>GL000309</t>
  </si>
  <si>
    <t>GL000310</t>
  </si>
  <si>
    <t>GL000311</t>
  </si>
  <si>
    <t>GL000312</t>
  </si>
  <si>
    <t>GL000313</t>
  </si>
  <si>
    <t>GL000314</t>
  </si>
  <si>
    <t>GL000315</t>
  </si>
  <si>
    <t>GL000316</t>
  </si>
  <si>
    <t>GL000317</t>
  </si>
  <si>
    <t>GL000318</t>
  </si>
  <si>
    <t>GL000319</t>
  </si>
  <si>
    <t>GL000320</t>
  </si>
  <si>
    <t>GL000321</t>
  </si>
  <si>
    <t>GL000322</t>
  </si>
  <si>
    <t>GL000323</t>
  </si>
  <si>
    <t>GL000324</t>
  </si>
  <si>
    <t>GL000325</t>
  </si>
  <si>
    <t>GL000326</t>
  </si>
  <si>
    <t>GL000327</t>
  </si>
  <si>
    <t>GL000328</t>
  </si>
  <si>
    <t>GL000329</t>
  </si>
  <si>
    <t>GL000330</t>
  </si>
  <si>
    <t>GL000331</t>
  </si>
  <si>
    <t>GL000332</t>
  </si>
  <si>
    <t>GL000333</t>
  </si>
  <si>
    <t>GL000334</t>
  </si>
  <si>
    <t>GL000335</t>
  </si>
  <si>
    <t>GL000336</t>
  </si>
  <si>
    <t>GL000337</t>
  </si>
  <si>
    <t>GL000338</t>
  </si>
  <si>
    <t>GL000339</t>
  </si>
  <si>
    <t>GL000340</t>
  </si>
  <si>
    <t>GL000341</t>
  </si>
  <si>
    <t>GL000342</t>
  </si>
  <si>
    <t>GL000343</t>
  </si>
  <si>
    <t>GL000344</t>
  </si>
  <si>
    <t>GL000345</t>
  </si>
  <si>
    <t>GL000346</t>
  </si>
  <si>
    <t>GL000347</t>
  </si>
  <si>
    <t>GL000348</t>
  </si>
  <si>
    <t>GL000349</t>
  </si>
  <si>
    <t>GL000350</t>
  </si>
  <si>
    <t>GL000351</t>
  </si>
  <si>
    <t>GL000352</t>
  </si>
  <si>
    <t>GL000353</t>
  </si>
  <si>
    <t>GL000354</t>
  </si>
  <si>
    <t>GL000355</t>
  </si>
  <si>
    <t>GL000356</t>
  </si>
  <si>
    <t>GL000357</t>
  </si>
  <si>
    <t>GL000358</t>
  </si>
  <si>
    <t>GL000359</t>
  </si>
  <si>
    <t>GL000360</t>
  </si>
  <si>
    <t>GL000361</t>
  </si>
  <si>
    <t>GL000362</t>
  </si>
  <si>
    <t>GL000363</t>
  </si>
  <si>
    <t>GL000364</t>
  </si>
  <si>
    <t>GL000365</t>
  </si>
  <si>
    <t>GL000366</t>
  </si>
  <si>
    <t>GL000367</t>
  </si>
  <si>
    <t>GL000368</t>
  </si>
  <si>
    <t>GL000369</t>
  </si>
  <si>
    <t>GL000370</t>
  </si>
  <si>
    <t>GL000371</t>
  </si>
  <si>
    <t>GL000372</t>
  </si>
  <si>
    <t>GL000373</t>
  </si>
  <si>
    <t>GL000374</t>
  </si>
  <si>
    <t>GL000375</t>
  </si>
  <si>
    <t>GL000376</t>
  </si>
  <si>
    <t>GL000377</t>
  </si>
  <si>
    <t>GL000378</t>
  </si>
  <si>
    <t>GL000379</t>
  </si>
  <si>
    <t>GL000380</t>
  </si>
  <si>
    <t>GL000381</t>
  </si>
  <si>
    <t>GL000382</t>
  </si>
  <si>
    <t>GL000383</t>
  </si>
  <si>
    <t>GL000384</t>
  </si>
  <si>
    <t>GL000385</t>
  </si>
  <si>
    <t>GL000386</t>
  </si>
  <si>
    <t>GL000387</t>
  </si>
  <si>
    <t>GL000388</t>
  </si>
  <si>
    <t>GL000389</t>
  </si>
  <si>
    <t>GL000390</t>
  </si>
  <si>
    <t>GL000391</t>
  </si>
  <si>
    <t>GL000392</t>
  </si>
  <si>
    <t>GL000393</t>
  </si>
  <si>
    <t>GL000394</t>
  </si>
  <si>
    <t>GL000395</t>
  </si>
  <si>
    <t>GL000396</t>
  </si>
  <si>
    <t>GL000397</t>
  </si>
  <si>
    <t>GL000398</t>
  </si>
  <si>
    <t>GL000399</t>
  </si>
  <si>
    <t>GL000400</t>
  </si>
  <si>
    <t>GL000401</t>
  </si>
  <si>
    <t>GL000402</t>
  </si>
  <si>
    <t>GL000403</t>
  </si>
  <si>
    <t>GL000404</t>
  </si>
  <si>
    <t>GL000405</t>
  </si>
  <si>
    <t>GL000406</t>
  </si>
  <si>
    <t>GL000407</t>
  </si>
  <si>
    <t>GL000408</t>
  </si>
  <si>
    <t>GL000409</t>
  </si>
  <si>
    <t>GL000410</t>
  </si>
  <si>
    <t>GL000411</t>
  </si>
  <si>
    <t>GL000412</t>
  </si>
  <si>
    <t>GL000413</t>
  </si>
  <si>
    <t>GL000414</t>
  </si>
  <si>
    <t>GL000415</t>
  </si>
  <si>
    <t>GL000416</t>
  </si>
  <si>
    <t>GL000417</t>
  </si>
  <si>
    <t>GL000418</t>
  </si>
  <si>
    <t>GL000419</t>
  </si>
  <si>
    <t>GL000420</t>
  </si>
  <si>
    <t>GL000421</t>
  </si>
  <si>
    <t>GL000422</t>
  </si>
  <si>
    <t>GL000423</t>
  </si>
  <si>
    <t>GL000424</t>
  </si>
  <si>
    <t>GL000425</t>
  </si>
  <si>
    <t>GL000426</t>
  </si>
  <si>
    <t>GL000427</t>
  </si>
  <si>
    <t>GL000428</t>
  </si>
  <si>
    <t>GL000429</t>
  </si>
  <si>
    <t>GL000430</t>
  </si>
  <si>
    <t>GL000431</t>
  </si>
  <si>
    <t>GL000432</t>
  </si>
  <si>
    <t>GL000433</t>
  </si>
  <si>
    <t>GL000434</t>
  </si>
  <si>
    <t>GL000435</t>
  </si>
  <si>
    <t>GL000436</t>
  </si>
  <si>
    <t>GL000437</t>
  </si>
  <si>
    <t>GL000438</t>
  </si>
  <si>
    <t>GL000439</t>
  </si>
  <si>
    <t>GL000440</t>
  </si>
  <si>
    <t>GL000441</t>
  </si>
  <si>
    <t>GL000442</t>
  </si>
  <si>
    <t>GL000443</t>
  </si>
  <si>
    <t>GL000444</t>
  </si>
  <si>
    <t>GL000445</t>
  </si>
  <si>
    <t>GL000446</t>
  </si>
  <si>
    <t>GL000447</t>
  </si>
  <si>
    <t>GL000448</t>
  </si>
  <si>
    <t>GL000449</t>
  </si>
  <si>
    <t>GL000450</t>
  </si>
  <si>
    <t>GL000451</t>
  </si>
  <si>
    <t>GL000452</t>
  </si>
  <si>
    <t>GL000453</t>
  </si>
  <si>
    <t>GL000454</t>
  </si>
  <si>
    <t>GL000455</t>
  </si>
  <si>
    <t>GL000456</t>
  </si>
  <si>
    <t>GL000457</t>
  </si>
  <si>
    <t>GL000458</t>
  </si>
  <si>
    <t>GL000459</t>
  </si>
  <si>
    <t>GL000460</t>
  </si>
  <si>
    <t>GL000461</t>
  </si>
  <si>
    <t>GL000462</t>
  </si>
  <si>
    <t>GL000463</t>
  </si>
  <si>
    <t>GL000464</t>
  </si>
  <si>
    <t>GL000465</t>
  </si>
  <si>
    <t>GL000466</t>
  </si>
  <si>
    <t>GL000467</t>
  </si>
  <si>
    <t>GL000468</t>
  </si>
  <si>
    <t>GL000469</t>
  </si>
  <si>
    <t>GL000470</t>
  </si>
  <si>
    <t>GL000471</t>
  </si>
  <si>
    <t>GL000472</t>
  </si>
  <si>
    <t>GL000473</t>
  </si>
  <si>
    <t>GL000474</t>
  </si>
  <si>
    <t>GL000475</t>
  </si>
  <si>
    <t>GL000476</t>
  </si>
  <si>
    <t>GL000477</t>
  </si>
  <si>
    <t>GL000478</t>
  </si>
  <si>
    <t>GL000479</t>
  </si>
  <si>
    <t>GL000480</t>
  </si>
  <si>
    <t>GL000481</t>
  </si>
  <si>
    <t>GL000482</t>
  </si>
  <si>
    <t>GL000483</t>
  </si>
  <si>
    <t>GL000484</t>
  </si>
  <si>
    <t>GL000485</t>
  </si>
  <si>
    <t>GL000486</t>
  </si>
  <si>
    <t>GL000487</t>
  </si>
  <si>
    <t>GL000488</t>
  </si>
  <si>
    <t>GL000489</t>
  </si>
  <si>
    <t>GL000490</t>
  </si>
  <si>
    <t>GL000491</t>
  </si>
  <si>
    <t>GL000492</t>
  </si>
  <si>
    <t>GL000493</t>
  </si>
  <si>
    <t>GL000494</t>
  </si>
  <si>
    <t>GL000495</t>
  </si>
  <si>
    <t>GL000496</t>
  </si>
  <si>
    <t>GL000497</t>
  </si>
  <si>
    <t>GL000498</t>
  </si>
  <si>
    <t>GL000499</t>
  </si>
  <si>
    <t>GL000500</t>
  </si>
  <si>
    <t>GL000501</t>
  </si>
  <si>
    <t>GL000502</t>
  </si>
  <si>
    <t>GL000503</t>
  </si>
  <si>
    <t>GL000504</t>
  </si>
  <si>
    <t>GL000505</t>
  </si>
  <si>
    <t>GL000506</t>
  </si>
  <si>
    <t>GL000507</t>
  </si>
  <si>
    <t>GL000508</t>
  </si>
  <si>
    <t>GL000509</t>
  </si>
  <si>
    <t>GL000510</t>
  </si>
  <si>
    <t>GL000511</t>
  </si>
  <si>
    <t>GL000512</t>
  </si>
  <si>
    <t>GL000513</t>
  </si>
  <si>
    <t>GL000514</t>
  </si>
  <si>
    <t>GL000515</t>
  </si>
  <si>
    <t>GL000516</t>
  </si>
  <si>
    <t>GL000517</t>
  </si>
  <si>
    <t>GL000518</t>
  </si>
  <si>
    <t>GL000519</t>
  </si>
  <si>
    <t>GL000520</t>
  </si>
  <si>
    <t>GL000521</t>
  </si>
  <si>
    <t>GL000522</t>
  </si>
  <si>
    <t>GL000523</t>
  </si>
  <si>
    <t>GL000524</t>
  </si>
  <si>
    <t>GL000525</t>
  </si>
  <si>
    <t>GL000526</t>
  </si>
  <si>
    <t>GL000527</t>
  </si>
  <si>
    <t>GL000528</t>
  </si>
  <si>
    <t>GL000529</t>
  </si>
  <si>
    <t>GL000530</t>
  </si>
  <si>
    <t>GL000531</t>
  </si>
  <si>
    <t>GL000532</t>
  </si>
  <si>
    <t>GL000533</t>
  </si>
  <si>
    <t>GL000534</t>
  </si>
  <si>
    <t>GL000535</t>
  </si>
  <si>
    <t>GL000536</t>
  </si>
  <si>
    <t>GL000537</t>
  </si>
  <si>
    <t>GL000538</t>
  </si>
  <si>
    <t>GL000539</t>
  </si>
  <si>
    <t>GL000540</t>
  </si>
  <si>
    <t>GL000541</t>
  </si>
  <si>
    <t>GL000542</t>
  </si>
  <si>
    <t>GL000543</t>
  </si>
  <si>
    <t>GL000544</t>
  </si>
  <si>
    <t>GL000545</t>
  </si>
  <si>
    <t>GL000546</t>
  </si>
  <si>
    <t>GL000547</t>
  </si>
  <si>
    <t>GL000548</t>
  </si>
  <si>
    <t>GL000549</t>
  </si>
  <si>
    <t>GL000550</t>
  </si>
  <si>
    <t>GL000551</t>
  </si>
  <si>
    <t>GL000552</t>
  </si>
  <si>
    <t>GL000553</t>
  </si>
  <si>
    <t>GL000554</t>
  </si>
  <si>
    <t>GL000555</t>
  </si>
  <si>
    <t>GL000556</t>
  </si>
  <si>
    <t>GL000557</t>
  </si>
  <si>
    <t>GL000558</t>
  </si>
  <si>
    <t>GL000559</t>
  </si>
  <si>
    <t>GL000560</t>
  </si>
  <si>
    <t>GL000561</t>
  </si>
  <si>
    <t>GL000562</t>
  </si>
  <si>
    <t>GL000563</t>
  </si>
  <si>
    <t>GL000564</t>
  </si>
  <si>
    <t>GL000565</t>
  </si>
  <si>
    <t>GL000566</t>
  </si>
  <si>
    <t>GL000567</t>
  </si>
  <si>
    <t>GL000568</t>
  </si>
  <si>
    <t>GL000569</t>
  </si>
  <si>
    <t>GL000570</t>
  </si>
  <si>
    <t>GL000571</t>
  </si>
  <si>
    <t>GL000572</t>
  </si>
  <si>
    <t>GL000573</t>
  </si>
  <si>
    <t>GL000574</t>
  </si>
  <si>
    <t>GL000575</t>
  </si>
  <si>
    <t>GL000576</t>
  </si>
  <si>
    <t>GL000577</t>
  </si>
  <si>
    <t>GL000578</t>
  </si>
  <si>
    <t>GL000579</t>
  </si>
  <si>
    <t>GL000580</t>
  </si>
  <si>
    <t>GL000581</t>
  </si>
  <si>
    <t>GL000582</t>
  </si>
  <si>
    <t>GL000583</t>
  </si>
  <si>
    <t>GL000584</t>
  </si>
  <si>
    <t>GL000585</t>
  </si>
  <si>
    <t>GL000586</t>
  </si>
  <si>
    <t>GL000587</t>
  </si>
  <si>
    <t>GL000588</t>
  </si>
  <si>
    <t>GL000589</t>
  </si>
  <si>
    <t>GL000590</t>
  </si>
  <si>
    <t>GL000591</t>
  </si>
  <si>
    <t>GL000592</t>
  </si>
  <si>
    <t>GL000593</t>
  </si>
  <si>
    <t>GL000594</t>
  </si>
  <si>
    <t>GL000595</t>
  </si>
  <si>
    <t>GL000596</t>
  </si>
  <si>
    <t>GL000597</t>
  </si>
  <si>
    <t>GL000598</t>
  </si>
  <si>
    <t>GL000599</t>
  </si>
  <si>
    <t>GL000600</t>
  </si>
  <si>
    <t>GL000601</t>
  </si>
  <si>
    <t>GL000602</t>
  </si>
  <si>
    <t>GL000603</t>
  </si>
  <si>
    <t>GL000604</t>
  </si>
  <si>
    <t>GL000605</t>
  </si>
  <si>
    <t>GL000606</t>
  </si>
  <si>
    <t>GL000607</t>
  </si>
  <si>
    <t>GL000608</t>
  </si>
  <si>
    <t>GL000609</t>
  </si>
  <si>
    <t>GL000610</t>
  </si>
  <si>
    <t>GL000611</t>
  </si>
  <si>
    <t>GL000612</t>
  </si>
  <si>
    <t>GL000613</t>
  </si>
  <si>
    <t>GL000614</t>
  </si>
  <si>
    <t>GL000615</t>
  </si>
  <si>
    <t>GL000616</t>
  </si>
  <si>
    <t>GL000617</t>
  </si>
  <si>
    <t>GL000618</t>
  </si>
  <si>
    <t>GL000619</t>
  </si>
  <si>
    <t>GL000620</t>
  </si>
  <si>
    <t>GL000621</t>
  </si>
  <si>
    <t>GL000622</t>
  </si>
  <si>
    <t>GL000623</t>
  </si>
  <si>
    <t>GL000624</t>
  </si>
  <si>
    <t>GL000625</t>
  </si>
  <si>
    <t>GL000626</t>
  </si>
  <si>
    <t>GL000627</t>
  </si>
  <si>
    <t>GL000628</t>
  </si>
  <si>
    <t>GL000629</t>
  </si>
  <si>
    <t>GL000630</t>
  </si>
  <si>
    <t>GL000631</t>
  </si>
  <si>
    <t>GL000632</t>
  </si>
  <si>
    <t>GL000633</t>
  </si>
  <si>
    <t>GL000634</t>
  </si>
  <si>
    <t>GL000635</t>
  </si>
  <si>
    <t>GL000636</t>
  </si>
  <si>
    <t>GL000637</t>
  </si>
  <si>
    <t>GL000638</t>
  </si>
  <si>
    <t>GL000639</t>
  </si>
  <si>
    <t>GL000640</t>
  </si>
  <si>
    <t>GL000641</t>
  </si>
  <si>
    <t>GL000642</t>
  </si>
  <si>
    <t>GL000643</t>
  </si>
  <si>
    <t>GL000644</t>
  </si>
  <si>
    <t>GL000645</t>
  </si>
  <si>
    <t>GL000646</t>
  </si>
  <si>
    <t>GL000647</t>
  </si>
  <si>
    <t>GL000648</t>
  </si>
  <si>
    <t>GL000649</t>
  </si>
  <si>
    <t>GL000650</t>
  </si>
  <si>
    <t>GL000651</t>
  </si>
  <si>
    <t>GL000652</t>
  </si>
  <si>
    <t>GL000653</t>
  </si>
  <si>
    <t>GL000654</t>
  </si>
  <si>
    <t>GL000655</t>
  </si>
  <si>
    <t>GL000656</t>
  </si>
  <si>
    <t>GL000657</t>
  </si>
  <si>
    <t>GL000658</t>
  </si>
  <si>
    <t>GL000659</t>
  </si>
  <si>
    <t>GL000660</t>
  </si>
  <si>
    <t>GL000661</t>
  </si>
  <si>
    <t>GL000662</t>
  </si>
  <si>
    <t>GL000663</t>
  </si>
  <si>
    <t>GL000664</t>
  </si>
  <si>
    <t>GL000665</t>
  </si>
  <si>
    <t>GL000666</t>
  </si>
  <si>
    <t>GL000667</t>
  </si>
  <si>
    <t>GL000668</t>
  </si>
  <si>
    <t>GL000669</t>
  </si>
  <si>
    <t>GL000670</t>
  </si>
  <si>
    <t>GL000671</t>
  </si>
  <si>
    <t>GL000672</t>
  </si>
  <si>
    <t>GL000673</t>
  </si>
  <si>
    <t>GL000674</t>
  </si>
  <si>
    <t>GL000675</t>
  </si>
  <si>
    <t>GL000676</t>
  </si>
  <si>
    <t>GL000677</t>
  </si>
  <si>
    <t>GL000678</t>
  </si>
  <si>
    <t>GL000679</t>
  </si>
  <si>
    <t>GL000680</t>
  </si>
  <si>
    <t>GL000681</t>
  </si>
  <si>
    <t>GL000682</t>
  </si>
  <si>
    <t>GL000683</t>
  </si>
  <si>
    <t>GL000684</t>
  </si>
  <si>
    <t>GL000685</t>
  </si>
  <si>
    <t>GL000686</t>
  </si>
  <si>
    <t>GL000687</t>
  </si>
  <si>
    <t>GL000688</t>
  </si>
  <si>
    <t>GL000689</t>
  </si>
  <si>
    <t>GL000690</t>
  </si>
  <si>
    <t>GL000691</t>
  </si>
  <si>
    <t>GL000692</t>
  </si>
  <si>
    <t>GL000693</t>
  </si>
  <si>
    <t>GL000694</t>
  </si>
  <si>
    <t>GL000695</t>
  </si>
  <si>
    <t>GL000696</t>
  </si>
  <si>
    <t>GL000697</t>
  </si>
  <si>
    <t>GL000698</t>
  </si>
  <si>
    <t>GL000699</t>
  </si>
  <si>
    <t>GL000700</t>
  </si>
  <si>
    <t>GL000701</t>
  </si>
  <si>
    <t>GL000702</t>
  </si>
  <si>
    <t>GL000703</t>
  </si>
  <si>
    <t>GL000704</t>
  </si>
  <si>
    <t>GL000705</t>
  </si>
  <si>
    <t>GL000706</t>
  </si>
  <si>
    <t>GL000707</t>
  </si>
  <si>
    <t>GL000708</t>
  </si>
  <si>
    <t>GL000709</t>
  </si>
  <si>
    <t>GL000710</t>
  </si>
  <si>
    <t>GL000711</t>
  </si>
  <si>
    <t>GL000712</t>
  </si>
  <si>
    <t>GL000713</t>
  </si>
  <si>
    <t>GL000714</t>
  </si>
  <si>
    <t>GL000715</t>
  </si>
  <si>
    <t>GL000716</t>
  </si>
  <si>
    <t>GL000717</t>
  </si>
  <si>
    <t>GL000718</t>
  </si>
  <si>
    <t>GL000719</t>
  </si>
  <si>
    <t>GL000720</t>
  </si>
  <si>
    <t>GL000721</t>
  </si>
  <si>
    <t>GL000722</t>
  </si>
  <si>
    <t>GL000723</t>
  </si>
  <si>
    <t>GL000724</t>
  </si>
  <si>
    <t>GL000725</t>
  </si>
  <si>
    <t>GL000726</t>
  </si>
  <si>
    <t>GL000727</t>
  </si>
  <si>
    <t>GL000728</t>
  </si>
  <si>
    <t>GL000729</t>
  </si>
  <si>
    <t>GL000730</t>
  </si>
  <si>
    <t>GL000731</t>
  </si>
  <si>
    <t>GL000732</t>
  </si>
  <si>
    <t>GL000733</t>
  </si>
  <si>
    <t>GL000734</t>
  </si>
  <si>
    <t>GL000735</t>
  </si>
  <si>
    <t>GL000736</t>
  </si>
  <si>
    <t>GL000737</t>
  </si>
  <si>
    <t>GL000738</t>
  </si>
  <si>
    <t>GL000739</t>
  </si>
  <si>
    <t>GL000740</t>
  </si>
  <si>
    <t>GL000741</t>
  </si>
  <si>
    <t>GL000742</t>
  </si>
  <si>
    <t>GL000743</t>
  </si>
  <si>
    <t>GL000744</t>
  </si>
  <si>
    <t>GL000745</t>
  </si>
  <si>
    <t>GL000746</t>
  </si>
  <si>
    <t>GL000747</t>
  </si>
  <si>
    <t>GL000748</t>
  </si>
  <si>
    <t>GL000749</t>
  </si>
  <si>
    <t>GL000750</t>
  </si>
  <si>
    <t>GL000751</t>
  </si>
  <si>
    <t>GL000752</t>
  </si>
  <si>
    <t>GL000753</t>
  </si>
  <si>
    <t>GL000754</t>
  </si>
  <si>
    <t>GL000755</t>
  </si>
  <si>
    <t>GL000756</t>
  </si>
  <si>
    <t>GL000757</t>
  </si>
  <si>
    <t>GL000758</t>
  </si>
  <si>
    <t>GL000759</t>
  </si>
  <si>
    <t>GL000760</t>
  </si>
  <si>
    <t>GL000761</t>
  </si>
  <si>
    <t>GL000762</t>
  </si>
  <si>
    <t>GL000763</t>
  </si>
  <si>
    <t>GL000764</t>
  </si>
  <si>
    <t>GL000765</t>
  </si>
  <si>
    <t>GL000766</t>
  </si>
  <si>
    <t>GL000767</t>
  </si>
  <si>
    <t>GL000768</t>
  </si>
  <si>
    <t>GL000769</t>
  </si>
  <si>
    <t>GL000770</t>
  </si>
  <si>
    <t>GL000771</t>
  </si>
  <si>
    <t>GL000772</t>
  </si>
  <si>
    <t>GL000773</t>
  </si>
  <si>
    <t>GL000774</t>
  </si>
  <si>
    <t>GL000775</t>
  </si>
  <si>
    <t>GL000776</t>
  </si>
  <si>
    <t>GL000777</t>
  </si>
  <si>
    <t>GL000778</t>
  </si>
  <si>
    <t>GL000779</t>
  </si>
  <si>
    <t>GL000780</t>
  </si>
  <si>
    <t>GL000781</t>
  </si>
  <si>
    <t>GL000782</t>
  </si>
  <si>
    <t>GL000783</t>
  </si>
  <si>
    <t>GL000784</t>
  </si>
  <si>
    <t>GL000785</t>
  </si>
  <si>
    <t>GL000786</t>
  </si>
  <si>
    <t>GL000787</t>
  </si>
  <si>
    <t>GL000788</t>
  </si>
  <si>
    <t>GL000789</t>
  </si>
  <si>
    <t>GL000790</t>
  </si>
  <si>
    <t>GL000791</t>
  </si>
  <si>
    <t>GL000792</t>
  </si>
  <si>
    <t>GL000793</t>
  </si>
  <si>
    <t>GL000794</t>
  </si>
  <si>
    <t>GL000795</t>
  </si>
  <si>
    <t>GL000796</t>
  </si>
  <si>
    <t>GL000797</t>
  </si>
  <si>
    <t>GL000798</t>
  </si>
  <si>
    <t>GL000799</t>
  </si>
  <si>
    <t>GL000800</t>
  </si>
  <si>
    <t>GL000801</t>
  </si>
  <si>
    <t>GL000802</t>
  </si>
  <si>
    <t>GL000803</t>
  </si>
  <si>
    <t>GL000804</t>
  </si>
  <si>
    <t>GL000805</t>
  </si>
  <si>
    <t>GL000806</t>
  </si>
  <si>
    <t>GL000807</t>
  </si>
  <si>
    <t>GL000808</t>
  </si>
  <si>
    <t>GL000809</t>
  </si>
  <si>
    <t>GL000810</t>
  </si>
  <si>
    <t>GL000811</t>
  </si>
  <si>
    <t>GL000812</t>
  </si>
  <si>
    <t>GL000813</t>
  </si>
  <si>
    <t>GL000814</t>
  </si>
  <si>
    <t>GL000815</t>
  </si>
  <si>
    <t>GL000816</t>
  </si>
  <si>
    <t>GL000817</t>
  </si>
  <si>
    <t>GL000818</t>
  </si>
  <si>
    <t>GL000819</t>
  </si>
  <si>
    <t>GL000820</t>
  </si>
  <si>
    <t>GL000821</t>
  </si>
  <si>
    <t>GL000822</t>
  </si>
  <si>
    <t>GL000823</t>
  </si>
  <si>
    <t>GL000824</t>
  </si>
  <si>
    <t>GL000825</t>
  </si>
  <si>
    <t>GL000826</t>
  </si>
  <si>
    <t>GL000827</t>
  </si>
  <si>
    <t>GL000828</t>
  </si>
  <si>
    <t>GL000829</t>
  </si>
  <si>
    <t>GL000830</t>
  </si>
  <si>
    <t>GL000831</t>
  </si>
  <si>
    <t>GL000832</t>
  </si>
  <si>
    <t>GL000833</t>
  </si>
  <si>
    <t>GL000834</t>
  </si>
  <si>
    <t>GL000835</t>
  </si>
  <si>
    <t>GL000836</t>
  </si>
  <si>
    <t>GL000837</t>
  </si>
  <si>
    <t>GL000838</t>
  </si>
  <si>
    <t>GL000839</t>
  </si>
  <si>
    <t>GL000840</t>
  </si>
  <si>
    <t>GL000841</t>
  </si>
  <si>
    <t>GL000842</t>
  </si>
  <si>
    <t>GL000843</t>
  </si>
  <si>
    <t>GL000844</t>
  </si>
  <si>
    <t>GL000845</t>
  </si>
  <si>
    <t>GL000846</t>
  </si>
  <si>
    <t>GL000847</t>
  </si>
  <si>
    <t>GL000848</t>
  </si>
  <si>
    <t>GL000849</t>
  </si>
  <si>
    <t>GL000850</t>
  </si>
  <si>
    <t>GL000851</t>
  </si>
  <si>
    <t>GL000852</t>
  </si>
  <si>
    <t>GL000853</t>
  </si>
  <si>
    <t>GL000854</t>
  </si>
  <si>
    <t>GL000855</t>
  </si>
  <si>
    <t>GL000856</t>
  </si>
  <si>
    <t>GL000857</t>
  </si>
  <si>
    <t>GL000858</t>
  </si>
  <si>
    <t>GL000859</t>
  </si>
  <si>
    <t>GL000860</t>
  </si>
  <si>
    <t>GL000861</t>
  </si>
  <si>
    <t>GL000862</t>
  </si>
  <si>
    <t>GL000863</t>
  </si>
  <si>
    <t>GL000864</t>
  </si>
  <si>
    <t>GL000865</t>
  </si>
  <si>
    <t>GL000866</t>
  </si>
  <si>
    <t>GL000867</t>
  </si>
  <si>
    <t>GL000868</t>
  </si>
  <si>
    <t>GL000869</t>
  </si>
  <si>
    <t>GL000870</t>
  </si>
  <si>
    <t>GL000871</t>
  </si>
  <si>
    <t>GL000872</t>
  </si>
  <si>
    <t>GL000873</t>
  </si>
  <si>
    <t>GL000874</t>
  </si>
  <si>
    <t>GL000875</t>
  </si>
  <si>
    <t>GL000876</t>
  </si>
  <si>
    <t>GL000877</t>
  </si>
  <si>
    <t>GL000878</t>
  </si>
  <si>
    <t>GL000879</t>
  </si>
  <si>
    <t>GL000880</t>
  </si>
  <si>
    <t>GL000881</t>
  </si>
  <si>
    <t>GL000882</t>
  </si>
  <si>
    <t>GL000883</t>
  </si>
  <si>
    <t>GL000884</t>
  </si>
  <si>
    <t>GL000885</t>
  </si>
  <si>
    <t>GL000886</t>
  </si>
  <si>
    <t>GL000887</t>
  </si>
  <si>
    <t>GL000888</t>
  </si>
  <si>
    <t>GL000889</t>
  </si>
  <si>
    <t>GL000890</t>
  </si>
  <si>
    <t>GL000891</t>
  </si>
  <si>
    <t>GL000892</t>
  </si>
  <si>
    <t>GL000893</t>
  </si>
  <si>
    <t>GL000894</t>
  </si>
  <si>
    <t>GL000895</t>
  </si>
  <si>
    <t>GL000896</t>
  </si>
  <si>
    <t>GL000897</t>
  </si>
  <si>
    <t>GL000898</t>
  </si>
  <si>
    <t>GL000899</t>
  </si>
  <si>
    <t>GL000900</t>
  </si>
  <si>
    <t>GL000901</t>
  </si>
  <si>
    <t>GL000902</t>
  </si>
  <si>
    <t>GL000903</t>
  </si>
  <si>
    <t>GL000904</t>
  </si>
  <si>
    <t>GL000905</t>
  </si>
  <si>
    <t>GL000906</t>
  </si>
  <si>
    <t>GL000907</t>
  </si>
  <si>
    <t>GL000908</t>
  </si>
  <si>
    <t>GL000909</t>
  </si>
  <si>
    <t>GL000910</t>
  </si>
  <si>
    <t>GL000911</t>
  </si>
  <si>
    <t>GL000912</t>
  </si>
  <si>
    <t>GL000913</t>
  </si>
  <si>
    <t>GL000914</t>
  </si>
  <si>
    <t>GL000915</t>
  </si>
  <si>
    <t>GL000916</t>
  </si>
  <si>
    <t>GL000917</t>
  </si>
  <si>
    <t>GL000918</t>
  </si>
  <si>
    <t>GL000919</t>
  </si>
  <si>
    <t>GL000920</t>
  </si>
  <si>
    <t>GL000921</t>
  </si>
  <si>
    <t>GL000922</t>
  </si>
  <si>
    <t>GL000923</t>
  </si>
  <si>
    <t>GL000924</t>
  </si>
  <si>
    <t>GL000925</t>
  </si>
  <si>
    <t>GL000926</t>
  </si>
  <si>
    <t>GL000927</t>
  </si>
  <si>
    <t>GL000928</t>
  </si>
  <si>
    <t>GL000929</t>
  </si>
  <si>
    <t>GL000930</t>
  </si>
  <si>
    <t>GL000931</t>
  </si>
  <si>
    <t>GL000932</t>
  </si>
  <si>
    <t>GL000933</t>
  </si>
  <si>
    <t>GL000934</t>
  </si>
  <si>
    <t>GL000935</t>
  </si>
  <si>
    <t>GL000936</t>
  </si>
  <si>
    <t>GL000937</t>
  </si>
  <si>
    <t>GL000938</t>
  </si>
  <si>
    <t>GL000939</t>
  </si>
  <si>
    <t>GL000940</t>
  </si>
  <si>
    <t>GL000941</t>
  </si>
  <si>
    <t>GL000942</t>
  </si>
  <si>
    <t>GL000943</t>
  </si>
  <si>
    <t>GL000944</t>
  </si>
  <si>
    <t>GL000945</t>
  </si>
  <si>
    <t>GL000946</t>
  </si>
  <si>
    <t>GL000947</t>
  </si>
  <si>
    <t>GL000948</t>
  </si>
  <si>
    <t>GL000949</t>
  </si>
  <si>
    <t>GL000950</t>
  </si>
  <si>
    <t>GL000951</t>
  </si>
  <si>
    <t>GL000952</t>
  </si>
  <si>
    <t>GL000953</t>
  </si>
  <si>
    <t>GL000954</t>
  </si>
  <si>
    <t>GL000955</t>
  </si>
  <si>
    <t>GL000956</t>
  </si>
  <si>
    <t>GL000957</t>
  </si>
  <si>
    <t>GL000958</t>
  </si>
  <si>
    <t>GL000959</t>
  </si>
  <si>
    <t>GL000960</t>
  </si>
  <si>
    <t>GL000961</t>
  </si>
  <si>
    <t>GL000962</t>
  </si>
  <si>
    <t>GL000963</t>
  </si>
  <si>
    <t>GL000964</t>
  </si>
  <si>
    <t>GL000965</t>
  </si>
  <si>
    <t>GL000966</t>
  </si>
  <si>
    <t>GL000967</t>
  </si>
  <si>
    <t>GL000968</t>
  </si>
  <si>
    <t>GL000969</t>
  </si>
  <si>
    <t>GL000970</t>
  </si>
  <si>
    <t>GL000971</t>
  </si>
  <si>
    <t>GL000972</t>
  </si>
  <si>
    <t>GL000973</t>
  </si>
  <si>
    <t>GL000974</t>
  </si>
  <si>
    <t>GL000975</t>
  </si>
  <si>
    <t>GL000976</t>
  </si>
  <si>
    <t>GL000977</t>
  </si>
  <si>
    <t>GL000978</t>
  </si>
  <si>
    <t>GL000979</t>
  </si>
  <si>
    <t>GL000980</t>
  </si>
  <si>
    <t>GL000981</t>
  </si>
  <si>
    <t>GL000982</t>
  </si>
  <si>
    <t>GL000983</t>
  </si>
  <si>
    <t>GL000984</t>
  </si>
  <si>
    <t>GL000985</t>
  </si>
  <si>
    <t>GL000986</t>
  </si>
  <si>
    <t>GL000987</t>
  </si>
  <si>
    <t>GL000988</t>
  </si>
  <si>
    <t>GL000989</t>
  </si>
  <si>
    <t>GL000990</t>
  </si>
  <si>
    <t>GL000991</t>
  </si>
  <si>
    <t>GL000992</t>
  </si>
  <si>
    <t>GL000993</t>
  </si>
  <si>
    <t>GL000994</t>
  </si>
  <si>
    <t>GL000995</t>
  </si>
  <si>
    <t>GL000996</t>
  </si>
  <si>
    <t>GL000997</t>
  </si>
  <si>
    <t>GL000998</t>
  </si>
  <si>
    <t>GL000999</t>
  </si>
  <si>
    <t>GL001000</t>
  </si>
  <si>
    <t>GL001001</t>
  </si>
  <si>
    <t>GL001002</t>
  </si>
  <si>
    <t>GL001003</t>
  </si>
  <si>
    <t>GL001004</t>
  </si>
  <si>
    <t>GL001005</t>
  </si>
  <si>
    <t>GL001006</t>
  </si>
  <si>
    <t>GL001007</t>
  </si>
  <si>
    <t>GL001008</t>
  </si>
  <si>
    <t>GL001009</t>
  </si>
  <si>
    <t>GL001010</t>
  </si>
  <si>
    <t>GL001011</t>
  </si>
  <si>
    <t>GL001012</t>
  </si>
  <si>
    <t>GL001013</t>
  </si>
  <si>
    <t>GL001014</t>
  </si>
  <si>
    <t>GL001015</t>
  </si>
  <si>
    <t>GL001016</t>
  </si>
  <si>
    <t>GL001017</t>
  </si>
  <si>
    <t>GL001018</t>
  </si>
  <si>
    <t>GL001019</t>
  </si>
  <si>
    <t>GL001020</t>
  </si>
  <si>
    <t>GL001021</t>
  </si>
  <si>
    <t>GL001022</t>
  </si>
  <si>
    <t>GL001023</t>
  </si>
  <si>
    <t>GL001024</t>
  </si>
  <si>
    <t>GL001025</t>
  </si>
  <si>
    <t>GL001026</t>
  </si>
  <si>
    <t>GL001027</t>
  </si>
  <si>
    <t>GL001028</t>
  </si>
  <si>
    <t>GL001029</t>
  </si>
  <si>
    <t>GL001030</t>
  </si>
  <si>
    <t>GL001031</t>
  </si>
  <si>
    <t>GL001032</t>
  </si>
  <si>
    <t>GL001033</t>
  </si>
  <si>
    <t>GL001034</t>
  </si>
  <si>
    <t>GL001035</t>
  </si>
  <si>
    <t>GL001036</t>
  </si>
  <si>
    <t>GL001037</t>
  </si>
  <si>
    <t>GL001038</t>
  </si>
  <si>
    <t>GL001039</t>
  </si>
  <si>
    <t>GL001040</t>
  </si>
  <si>
    <t>GL001041</t>
  </si>
  <si>
    <t>GL001042</t>
  </si>
  <si>
    <t>GL001043</t>
  </si>
  <si>
    <t>GL001044</t>
  </si>
  <si>
    <t>GL001045</t>
  </si>
  <si>
    <t>GL001046</t>
  </si>
  <si>
    <t>GL001047</t>
  </si>
  <si>
    <t>GL001048</t>
  </si>
  <si>
    <t>GL001049</t>
  </si>
  <si>
    <t>GL001050</t>
  </si>
  <si>
    <t>GL001051</t>
  </si>
  <si>
    <t>GL001052</t>
  </si>
  <si>
    <t>GL001053</t>
  </si>
  <si>
    <t>GL001054</t>
  </si>
  <si>
    <t>GL001055</t>
  </si>
  <si>
    <t>GL001056</t>
  </si>
  <si>
    <t>GL001057</t>
  </si>
  <si>
    <t>GL001058</t>
  </si>
  <si>
    <t>GL001059</t>
  </si>
  <si>
    <t>GL001060</t>
  </si>
  <si>
    <t>GL001061</t>
  </si>
  <si>
    <t>GL001062</t>
  </si>
  <si>
    <t>GL001063</t>
  </si>
  <si>
    <t>GL001064</t>
  </si>
  <si>
    <t>GL001065</t>
  </si>
  <si>
    <t>GL001066</t>
  </si>
  <si>
    <t>GL001067</t>
  </si>
  <si>
    <t>GL001068</t>
  </si>
  <si>
    <t>GL001069</t>
  </si>
  <si>
    <t>GL001070</t>
  </si>
  <si>
    <t>GL001071</t>
  </si>
  <si>
    <t>GL001072</t>
  </si>
  <si>
    <t>GL001073</t>
  </si>
  <si>
    <t>GL001074</t>
  </si>
  <si>
    <t>GL001075</t>
  </si>
  <si>
    <t>GL001076</t>
  </si>
  <si>
    <t>GL001077</t>
  </si>
  <si>
    <t>GL001078</t>
  </si>
  <si>
    <t>GL001079</t>
  </si>
  <si>
    <t>GL001080</t>
  </si>
  <si>
    <t>GL001081</t>
  </si>
  <si>
    <t>GL001082</t>
  </si>
  <si>
    <t>GL001083</t>
  </si>
  <si>
    <t>GL001084</t>
  </si>
  <si>
    <t>GL001085</t>
  </si>
  <si>
    <t>GL001086</t>
  </si>
  <si>
    <t>GL001087</t>
  </si>
  <si>
    <t>GL001088</t>
  </si>
  <si>
    <t>GL001089</t>
  </si>
  <si>
    <t>GL001090</t>
  </si>
  <si>
    <t>GL001091</t>
  </si>
  <si>
    <t>GL001092</t>
  </si>
  <si>
    <t>GL001093</t>
  </si>
  <si>
    <t>GL001094</t>
  </si>
  <si>
    <t>GL001095</t>
  </si>
  <si>
    <t>GL001096</t>
  </si>
  <si>
    <t>GL001097</t>
  </si>
  <si>
    <t>GL001098</t>
  </si>
  <si>
    <t>GL001099</t>
  </si>
  <si>
    <t>GL001100</t>
  </si>
  <si>
    <t>GL001101</t>
  </si>
  <si>
    <t>GL001102</t>
  </si>
  <si>
    <t>GL001103</t>
  </si>
  <si>
    <t>GL001104</t>
  </si>
  <si>
    <t>GL001105</t>
  </si>
  <si>
    <t>GL001106</t>
  </si>
  <si>
    <t>GL001107</t>
  </si>
  <si>
    <t>GL001108</t>
  </si>
  <si>
    <t>GL001109</t>
  </si>
  <si>
    <t>GL001110</t>
  </si>
  <si>
    <t>GL001111</t>
  </si>
  <si>
    <t>GL001112</t>
  </si>
  <si>
    <t>GL001113</t>
  </si>
  <si>
    <t>GL001114</t>
  </si>
  <si>
    <t>GL001115</t>
  </si>
  <si>
    <t>GL001116</t>
  </si>
  <si>
    <t>GL001117</t>
  </si>
  <si>
    <t>GL001118</t>
  </si>
  <si>
    <t>GL001119</t>
  </si>
  <si>
    <t>GL001120</t>
  </si>
  <si>
    <t>GL001121</t>
  </si>
  <si>
    <t>GL001122</t>
  </si>
  <si>
    <t>GL001123</t>
  </si>
  <si>
    <t>GL001124</t>
  </si>
  <si>
    <t>GL001125</t>
  </si>
  <si>
    <t>GL001126</t>
  </si>
  <si>
    <t>GL001127</t>
  </si>
  <si>
    <t>GL001128</t>
  </si>
  <si>
    <t>GL001129</t>
  </si>
  <si>
    <t>GL001130</t>
  </si>
  <si>
    <t>GL001131</t>
  </si>
  <si>
    <t>GL001132</t>
  </si>
  <si>
    <t>GL001133</t>
  </si>
  <si>
    <t>GL001134</t>
  </si>
  <si>
    <t>GL001135</t>
  </si>
  <si>
    <t>GL001136</t>
  </si>
  <si>
    <t>GL001137</t>
  </si>
  <si>
    <t>GL001138</t>
  </si>
  <si>
    <t>GL001139</t>
  </si>
  <si>
    <t>GL001140</t>
  </si>
  <si>
    <t>GL001141</t>
  </si>
  <si>
    <t>GL001142</t>
  </si>
  <si>
    <t>GL001143</t>
  </si>
  <si>
    <t>GL001144</t>
  </si>
  <si>
    <t>GL001145</t>
  </si>
  <si>
    <t>GL001146</t>
  </si>
  <si>
    <t>GL001147</t>
  </si>
  <si>
    <t>GL001148</t>
  </si>
  <si>
    <t>GL001149</t>
  </si>
  <si>
    <t>GL001150</t>
  </si>
  <si>
    <t>GL001151</t>
  </si>
  <si>
    <t>GL001152</t>
  </si>
  <si>
    <t>GL001153</t>
  </si>
  <si>
    <t>GL001154</t>
  </si>
  <si>
    <t>GL001155</t>
  </si>
  <si>
    <t>GL001156</t>
  </si>
  <si>
    <t>GL001157</t>
  </si>
  <si>
    <t>GL001158</t>
  </si>
  <si>
    <t>GL001159</t>
  </si>
  <si>
    <t>GL001160</t>
  </si>
  <si>
    <t>GL001161</t>
  </si>
  <si>
    <t>GL001162</t>
  </si>
  <si>
    <t>GL001163</t>
  </si>
  <si>
    <t>GL001164</t>
  </si>
  <si>
    <t>GL001165</t>
  </si>
  <si>
    <t>GL001166</t>
  </si>
  <si>
    <t>GL001167</t>
  </si>
  <si>
    <t>GL001168</t>
  </si>
  <si>
    <t>GL001169</t>
  </si>
  <si>
    <t>GL001170</t>
  </si>
  <si>
    <t>GL001171</t>
  </si>
  <si>
    <t>GL001172</t>
  </si>
  <si>
    <t>GL001173</t>
  </si>
  <si>
    <t>GL001174</t>
  </si>
  <si>
    <t>GL001175</t>
  </si>
  <si>
    <t>GL001176</t>
  </si>
  <si>
    <t>GL001177</t>
  </si>
  <si>
    <t>GL001178</t>
  </si>
  <si>
    <t>GL001179</t>
  </si>
  <si>
    <t>GL001180</t>
  </si>
  <si>
    <t>GL001181</t>
  </si>
  <si>
    <t>GL001182</t>
  </si>
  <si>
    <t>GL001183</t>
  </si>
  <si>
    <t>GL001184</t>
  </si>
  <si>
    <t>GL001185</t>
  </si>
  <si>
    <t>GL001186</t>
  </si>
  <si>
    <t>GL001187</t>
  </si>
  <si>
    <t>GL001188</t>
  </si>
  <si>
    <t>GL001189</t>
  </si>
  <si>
    <t>GL001190</t>
  </si>
  <si>
    <t>GL001191</t>
  </si>
  <si>
    <t>GL001192</t>
  </si>
  <si>
    <t>GL001193</t>
  </si>
  <si>
    <t>GL001194</t>
  </si>
  <si>
    <t>GL001195</t>
  </si>
  <si>
    <t>GL001196</t>
  </si>
  <si>
    <t>GL001197</t>
  </si>
  <si>
    <t>GL001198</t>
  </si>
  <si>
    <t>GL001199</t>
  </si>
  <si>
    <t>GL001200</t>
  </si>
  <si>
    <t>GL001201</t>
  </si>
  <si>
    <t>GL001202</t>
  </si>
  <si>
    <t>GL001203</t>
  </si>
  <si>
    <t>GL001204</t>
  </si>
  <si>
    <t>GL001205</t>
  </si>
  <si>
    <t>GL001206</t>
  </si>
  <si>
    <t>GL001207</t>
  </si>
  <si>
    <t>GL001208</t>
  </si>
  <si>
    <t>GL001209</t>
  </si>
  <si>
    <t>GL001210</t>
  </si>
  <si>
    <t>GL001211</t>
  </si>
  <si>
    <t>GL001212</t>
  </si>
  <si>
    <t>GL001213</t>
  </si>
  <si>
    <t>GL001214</t>
  </si>
  <si>
    <t>GL001215</t>
  </si>
  <si>
    <t>GL001216</t>
  </si>
  <si>
    <t>GL001217</t>
  </si>
  <si>
    <t>GL001218</t>
  </si>
  <si>
    <t>GL001219</t>
  </si>
  <si>
    <t>GL001220</t>
  </si>
  <si>
    <t>GL001221</t>
  </si>
  <si>
    <t>GL001222</t>
  </si>
  <si>
    <t>GL001223</t>
  </si>
  <si>
    <t>GL001224</t>
  </si>
  <si>
    <t>GL001225</t>
  </si>
  <si>
    <t>GL001226</t>
  </si>
  <si>
    <t>GL001227</t>
  </si>
  <si>
    <t>GL001228</t>
  </si>
  <si>
    <t>GL001229</t>
  </si>
  <si>
    <t>GL001230</t>
  </si>
  <si>
    <t>GL001231</t>
  </si>
  <si>
    <t>GL001232</t>
  </si>
  <si>
    <t>GL001233</t>
  </si>
  <si>
    <t>GL001234</t>
  </si>
  <si>
    <t>GL001235</t>
  </si>
  <si>
    <t>GL001236</t>
  </si>
  <si>
    <t>GL001237</t>
  </si>
  <si>
    <t>GL001238</t>
  </si>
  <si>
    <t>GL001239</t>
  </si>
  <si>
    <t>GL001240</t>
  </si>
  <si>
    <t>GL001241</t>
  </si>
  <si>
    <t>GL001242</t>
  </si>
  <si>
    <t>GL001243</t>
  </si>
  <si>
    <t>GL001244</t>
  </si>
  <si>
    <t>GL001245</t>
  </si>
  <si>
    <t>GL001246</t>
  </si>
  <si>
    <t>GL001247</t>
  </si>
  <si>
    <t>GL001248</t>
  </si>
  <si>
    <t>GL001249</t>
  </si>
  <si>
    <t>GL001250</t>
  </si>
  <si>
    <t>GL001251</t>
  </si>
  <si>
    <t>GL001252</t>
  </si>
  <si>
    <t>GL001253</t>
  </si>
  <si>
    <t>GL001254</t>
  </si>
  <si>
    <t>GL001255</t>
  </si>
  <si>
    <t>GL001256</t>
  </si>
  <si>
    <t>GL001257</t>
  </si>
  <si>
    <t>GL001258</t>
  </si>
  <si>
    <t>GL001259</t>
  </si>
  <si>
    <t>GL001260</t>
  </si>
  <si>
    <t>GL001261</t>
  </si>
  <si>
    <t>GL001262</t>
  </si>
  <si>
    <t>GL001263</t>
  </si>
  <si>
    <t>GL001264</t>
  </si>
  <si>
    <t>GL001265</t>
  </si>
  <si>
    <t>GL001266</t>
  </si>
  <si>
    <t>GL001267</t>
  </si>
  <si>
    <t>GL001268</t>
  </si>
  <si>
    <t>GL001269</t>
  </si>
  <si>
    <t>GL001270</t>
  </si>
  <si>
    <t>GL001271</t>
  </si>
  <si>
    <t>GL001272</t>
  </si>
  <si>
    <t>GL001273</t>
  </si>
  <si>
    <t>GL001274</t>
  </si>
  <si>
    <t>GL001275</t>
  </si>
  <si>
    <t>GL001276</t>
  </si>
  <si>
    <t>GL001277</t>
  </si>
  <si>
    <t>GL001278</t>
  </si>
  <si>
    <t>GL001279</t>
  </si>
  <si>
    <t>GL001280</t>
  </si>
  <si>
    <t>GL001281</t>
  </si>
  <si>
    <t>GL001282</t>
  </si>
  <si>
    <t>GL001283</t>
  </si>
  <si>
    <t>GL001284</t>
  </si>
  <si>
    <t>GL001285</t>
  </si>
  <si>
    <t>GL001286</t>
  </si>
  <si>
    <t>GL001287</t>
  </si>
  <si>
    <t>GL001288</t>
  </si>
  <si>
    <t>GL001289</t>
  </si>
  <si>
    <t>GL001290</t>
  </si>
  <si>
    <t>GL001291</t>
  </si>
  <si>
    <t>GL001292</t>
  </si>
  <si>
    <t>GL001293</t>
  </si>
  <si>
    <t>GL001294</t>
  </si>
  <si>
    <t>GL001295</t>
  </si>
  <si>
    <t>GL001296</t>
  </si>
  <si>
    <t>GL001297</t>
  </si>
  <si>
    <t>GL001298</t>
  </si>
  <si>
    <t>GL001299</t>
  </si>
  <si>
    <t>GL001300</t>
  </si>
  <si>
    <t>GL001301</t>
  </si>
  <si>
    <t>GL001302</t>
  </si>
  <si>
    <t>GL001303</t>
  </si>
  <si>
    <t>GL001304</t>
  </si>
  <si>
    <t>GL001305</t>
  </si>
  <si>
    <t>GL001306</t>
  </si>
  <si>
    <t>GL001307</t>
  </si>
  <si>
    <t>GL001308</t>
  </si>
  <si>
    <t>GL001309</t>
  </si>
  <si>
    <t>GL001310</t>
  </si>
  <si>
    <t>GL001311</t>
  </si>
  <si>
    <t>GL001312</t>
  </si>
  <si>
    <t>GL001313</t>
  </si>
  <si>
    <t>GL001314</t>
  </si>
  <si>
    <t>GL001315</t>
  </si>
  <si>
    <t>GL001316</t>
  </si>
  <si>
    <t>GL001317</t>
  </si>
  <si>
    <t>GL001318</t>
  </si>
  <si>
    <t>GL001319</t>
  </si>
  <si>
    <t>GL001320</t>
  </si>
  <si>
    <t>GL001321</t>
  </si>
  <si>
    <t>GL001322</t>
  </si>
  <si>
    <t>GL001323</t>
  </si>
  <si>
    <t>GL001324</t>
  </si>
  <si>
    <t>GL001325</t>
  </si>
  <si>
    <t>GL001326</t>
  </si>
  <si>
    <t>GL001327</t>
  </si>
  <si>
    <t>GL001328</t>
  </si>
  <si>
    <t>GL001329</t>
  </si>
  <si>
    <t>GL001330</t>
  </si>
  <si>
    <t>GL001331</t>
  </si>
  <si>
    <t>GL001332</t>
  </si>
  <si>
    <t>GL001333</t>
  </si>
  <si>
    <t>GL001334</t>
  </si>
  <si>
    <t>GL001335</t>
  </si>
  <si>
    <t>GL001336</t>
  </si>
  <si>
    <t>GL001337</t>
  </si>
  <si>
    <t>GL001338</t>
  </si>
  <si>
    <t>GL001339</t>
  </si>
  <si>
    <t>GL001340</t>
  </si>
  <si>
    <t>GL001341</t>
  </si>
  <si>
    <t>GL001342</t>
  </si>
  <si>
    <t>GL001343</t>
  </si>
  <si>
    <t>GL001344</t>
  </si>
  <si>
    <t>GL001345</t>
  </si>
  <si>
    <t>GL001346</t>
  </si>
  <si>
    <t>GL001347</t>
  </si>
  <si>
    <t>GL001348</t>
  </si>
  <si>
    <t>GL001349</t>
  </si>
  <si>
    <t>GL001350</t>
  </si>
  <si>
    <t>GL001351</t>
  </si>
  <si>
    <t>GL001352</t>
  </si>
  <si>
    <t>GL001353</t>
  </si>
  <si>
    <t>GL001354</t>
  </si>
  <si>
    <t>GL001355</t>
  </si>
  <si>
    <t>GL001356</t>
  </si>
  <si>
    <t>GL001357</t>
  </si>
  <si>
    <t>GL001358</t>
  </si>
  <si>
    <t>GL001359</t>
  </si>
  <si>
    <t>GL001360</t>
  </si>
  <si>
    <t>GL001361</t>
  </si>
  <si>
    <t>GL001362</t>
  </si>
  <si>
    <t>GL001363</t>
  </si>
  <si>
    <t>GL001364</t>
  </si>
  <si>
    <t>GL001365</t>
  </si>
  <si>
    <t>GL001366</t>
  </si>
  <si>
    <t>GL001367</t>
  </si>
  <si>
    <t>GL001368</t>
  </si>
  <si>
    <t>GL001369</t>
  </si>
  <si>
    <t>GL001370</t>
  </si>
  <si>
    <t>GL001371</t>
  </si>
  <si>
    <t>GL001372</t>
  </si>
  <si>
    <t>GL001373</t>
  </si>
  <si>
    <t>GL001374</t>
  </si>
  <si>
    <t>GL001375</t>
  </si>
  <si>
    <t>GL001376</t>
  </si>
  <si>
    <t>GL001377</t>
  </si>
  <si>
    <t>GL001378</t>
  </si>
  <si>
    <t>GL001379</t>
  </si>
  <si>
    <t>GL001380</t>
  </si>
  <si>
    <t>GL001381</t>
  </si>
  <si>
    <t>GL001382</t>
  </si>
  <si>
    <t>GL001383</t>
  </si>
  <si>
    <t>GL001384</t>
  </si>
  <si>
    <t>GL001385</t>
  </si>
  <si>
    <t>GL001386</t>
  </si>
  <si>
    <t>GL001387</t>
  </si>
  <si>
    <t>GL001388</t>
  </si>
  <si>
    <t>GL001389</t>
  </si>
  <si>
    <t>GL001390</t>
  </si>
  <si>
    <t>GL001391</t>
  </si>
  <si>
    <t>GL001392</t>
  </si>
  <si>
    <t>GL001393</t>
  </si>
  <si>
    <t>GL001394</t>
  </si>
  <si>
    <t>GL001395</t>
  </si>
  <si>
    <t>GL001396</t>
  </si>
  <si>
    <t>GL001397</t>
  </si>
  <si>
    <t>GL001398</t>
  </si>
  <si>
    <t>GL001399</t>
  </si>
  <si>
    <t>GL001400</t>
  </si>
  <si>
    <t>GL001401</t>
  </si>
  <si>
    <t>GL001402</t>
  </si>
  <si>
    <t>GL001403</t>
  </si>
  <si>
    <t>GL001404</t>
  </si>
  <si>
    <t>GL001405</t>
  </si>
  <si>
    <t>GL001406</t>
  </si>
  <si>
    <t>GL001407</t>
  </si>
  <si>
    <t>GL001408</t>
  </si>
  <si>
    <t>GL001409</t>
  </si>
  <si>
    <t>GL001410</t>
  </si>
  <si>
    <t>GL001411</t>
  </si>
  <si>
    <t>GL001412</t>
  </si>
  <si>
    <t>GL001413</t>
  </si>
  <si>
    <t>GL001414</t>
  </si>
  <si>
    <t>GL001415</t>
  </si>
  <si>
    <t>GL001416</t>
  </si>
  <si>
    <t>GL001417</t>
  </si>
  <si>
    <t>GL001418</t>
  </si>
  <si>
    <t>GL001419</t>
  </si>
  <si>
    <t>GL001420</t>
  </si>
  <si>
    <t>GL001421</t>
  </si>
  <si>
    <t>GL001422</t>
  </si>
  <si>
    <t>GL001423</t>
  </si>
  <si>
    <t>GL001424</t>
  </si>
  <si>
    <t>GL001425</t>
  </si>
  <si>
    <t>GL001426</t>
  </si>
  <si>
    <t>GL001427</t>
  </si>
  <si>
    <t>GL001428</t>
  </si>
  <si>
    <t>GL001429</t>
  </si>
  <si>
    <t>GL001430</t>
  </si>
  <si>
    <t>GL001431</t>
  </si>
  <si>
    <t>GL001432</t>
  </si>
  <si>
    <t>GL001433</t>
  </si>
  <si>
    <t>GL001434</t>
  </si>
  <si>
    <t>GL001435</t>
  </si>
  <si>
    <t>GL001436</t>
  </si>
  <si>
    <t>GL001437</t>
  </si>
  <si>
    <t>GL001438</t>
  </si>
  <si>
    <t>GL001439</t>
  </si>
  <si>
    <t>GL001440</t>
  </si>
  <si>
    <t>GL001441</t>
  </si>
  <si>
    <t>GL001442</t>
  </si>
  <si>
    <t>GL001443</t>
  </si>
  <si>
    <t>GL001444</t>
  </si>
  <si>
    <t>GL001445</t>
  </si>
  <si>
    <t>GL001446</t>
  </si>
  <si>
    <t>GL001447</t>
  </si>
  <si>
    <t>GL001448</t>
  </si>
  <si>
    <t>GL001449</t>
  </si>
  <si>
    <t>GL001450</t>
  </si>
  <si>
    <t>GL001451</t>
  </si>
  <si>
    <t>GL001452</t>
  </si>
  <si>
    <t>GL001453</t>
  </si>
  <si>
    <t>GL001454</t>
  </si>
  <si>
    <t>GL001455</t>
  </si>
  <si>
    <t>GL001456</t>
  </si>
  <si>
    <t>GL001457</t>
  </si>
  <si>
    <t>GL001458</t>
  </si>
  <si>
    <t>GL001459</t>
  </si>
  <si>
    <t>GL001460</t>
  </si>
  <si>
    <t>GL001461</t>
  </si>
  <si>
    <t>GL001462</t>
  </si>
  <si>
    <t>GL001463</t>
  </si>
  <si>
    <t>GL001464</t>
  </si>
  <si>
    <t>GL001465</t>
  </si>
  <si>
    <t>GL001466</t>
  </si>
  <si>
    <t>GL001467</t>
  </si>
  <si>
    <t>GL001468</t>
  </si>
  <si>
    <t>GL001469</t>
  </si>
  <si>
    <t>GL001470</t>
  </si>
  <si>
    <t>GL001471</t>
  </si>
  <si>
    <t>GL001472</t>
  </si>
  <si>
    <t>GL001473</t>
  </si>
  <si>
    <t>GL001474</t>
  </si>
  <si>
    <t>GL001475</t>
  </si>
  <si>
    <t>GL001476</t>
  </si>
  <si>
    <t>GL001477</t>
  </si>
  <si>
    <t>GL001478</t>
  </si>
  <si>
    <t>GL001479</t>
  </si>
  <si>
    <t>GL001480</t>
  </si>
  <si>
    <t>GL001481</t>
  </si>
  <si>
    <t>GL001482</t>
  </si>
  <si>
    <t>GL001483</t>
  </si>
  <si>
    <t>GL001484</t>
  </si>
  <si>
    <t>GL001485</t>
  </si>
  <si>
    <t>GL001486</t>
  </si>
  <si>
    <t>GL001487</t>
  </si>
  <si>
    <t>GL001488</t>
  </si>
  <si>
    <t>GL001489</t>
  </si>
  <si>
    <t>GL001490</t>
  </si>
  <si>
    <t>GL001491</t>
  </si>
  <si>
    <t>GL001492</t>
  </si>
  <si>
    <t>GL001493</t>
  </si>
  <si>
    <t>GL001494</t>
  </si>
  <si>
    <t>GL001495</t>
  </si>
  <si>
    <t>GL001496</t>
  </si>
  <si>
    <t>GL001497</t>
  </si>
  <si>
    <t>GL001498</t>
  </si>
  <si>
    <t>GL001499</t>
  </si>
  <si>
    <t>GL001500</t>
  </si>
  <si>
    <t>GL001501</t>
  </si>
  <si>
    <t>GL001502</t>
  </si>
  <si>
    <t>GL001503</t>
  </si>
  <si>
    <t>GL001504</t>
  </si>
  <si>
    <t>GL001505</t>
  </si>
  <si>
    <t>GL001506</t>
  </si>
  <si>
    <t>GL001507</t>
  </si>
  <si>
    <t>GL001508</t>
  </si>
  <si>
    <t>GL001509</t>
  </si>
  <si>
    <t>GL001510</t>
  </si>
  <si>
    <t>GL001511</t>
  </si>
  <si>
    <t>GL001512</t>
  </si>
  <si>
    <t>GL001513</t>
  </si>
  <si>
    <t>GL001514</t>
  </si>
  <si>
    <t>GL001515</t>
  </si>
  <si>
    <t>GL001516</t>
  </si>
  <si>
    <t>GL001517</t>
  </si>
  <si>
    <t>GL001518</t>
  </si>
  <si>
    <t>GL001519</t>
  </si>
  <si>
    <t>GL001520</t>
  </si>
  <si>
    <t>GL001521</t>
  </si>
  <si>
    <t>GL001522</t>
  </si>
  <si>
    <t>GL001523</t>
  </si>
  <si>
    <t>GL001524</t>
  </si>
  <si>
    <t>GL001525</t>
  </si>
  <si>
    <t>GL001526</t>
  </si>
  <si>
    <t>GL001527</t>
  </si>
  <si>
    <t>GL001528</t>
  </si>
  <si>
    <t>GL001529</t>
  </si>
  <si>
    <t>GL001530</t>
  </si>
  <si>
    <t>GL001531</t>
  </si>
  <si>
    <t>GL001532</t>
  </si>
  <si>
    <t>GL001533</t>
  </si>
  <si>
    <t>GL001534</t>
  </si>
  <si>
    <t>GL001535</t>
  </si>
  <si>
    <t>GL001536</t>
  </si>
  <si>
    <t>GL001537</t>
  </si>
  <si>
    <t>GL001538</t>
  </si>
  <si>
    <t>GL001539</t>
  </si>
  <si>
    <t>GL001540</t>
  </si>
  <si>
    <t>GL001541</t>
  </si>
  <si>
    <t>GL001542</t>
  </si>
  <si>
    <t>GL001543</t>
  </si>
  <si>
    <t>GL001544</t>
  </si>
  <si>
    <t>GL001545</t>
  </si>
  <si>
    <t>GL001546</t>
  </si>
  <si>
    <t>GL001547</t>
  </si>
  <si>
    <t>GL001548</t>
  </si>
  <si>
    <t>GL001549</t>
  </si>
  <si>
    <t>GL001550</t>
  </si>
  <si>
    <t>GL001551</t>
  </si>
  <si>
    <t>GL001552</t>
  </si>
  <si>
    <t>GL001553</t>
  </si>
  <si>
    <t>GL001554</t>
  </si>
  <si>
    <t>GL001555</t>
  </si>
  <si>
    <t>GL001556</t>
  </si>
  <si>
    <t>GL001557</t>
  </si>
  <si>
    <t>GL001558</t>
  </si>
  <si>
    <t>GL001559</t>
  </si>
  <si>
    <t>GL001560</t>
  </si>
  <si>
    <t>GL001561</t>
  </si>
  <si>
    <t>GL001562</t>
  </si>
  <si>
    <t>GL001563</t>
  </si>
  <si>
    <t>GL001564</t>
  </si>
  <si>
    <t>GL001565</t>
  </si>
  <si>
    <t>GL001566</t>
  </si>
  <si>
    <t>GL001567</t>
  </si>
  <si>
    <t>GL001568</t>
  </si>
  <si>
    <t>GL001569</t>
  </si>
  <si>
    <t>GL001570</t>
  </si>
  <si>
    <t>GL001571</t>
  </si>
  <si>
    <t>GL001572</t>
  </si>
  <si>
    <t>GL001573</t>
  </si>
  <si>
    <t>GL001574</t>
  </si>
  <si>
    <t>GL001575</t>
  </si>
  <si>
    <t>GL001576</t>
  </si>
  <si>
    <t>GL001577</t>
  </si>
  <si>
    <t>GL001578</t>
  </si>
  <si>
    <t>GL001579</t>
  </si>
  <si>
    <t>GL001580</t>
  </si>
  <si>
    <t>GL001581</t>
  </si>
  <si>
    <t>GL001582</t>
  </si>
  <si>
    <t>GL001583</t>
  </si>
  <si>
    <t>GL001584</t>
  </si>
  <si>
    <t>GL001585</t>
  </si>
  <si>
    <t>GL001586</t>
  </si>
  <si>
    <t>GL001587</t>
  </si>
  <si>
    <t>GL001588</t>
  </si>
  <si>
    <t>GL001589</t>
  </si>
  <si>
    <t>GL001590</t>
  </si>
  <si>
    <t>GL001591</t>
  </si>
  <si>
    <t>GL001592</t>
  </si>
  <si>
    <t>GL001593</t>
  </si>
  <si>
    <t>GL001594</t>
  </si>
  <si>
    <t>GL001595</t>
  </si>
  <si>
    <t>GL001596</t>
  </si>
  <si>
    <t>GL001597</t>
  </si>
  <si>
    <t>GL001598</t>
  </si>
  <si>
    <t>GL001599</t>
  </si>
  <si>
    <t>GL001600</t>
  </si>
  <si>
    <t>GL001601</t>
  </si>
  <si>
    <t>GL001602</t>
  </si>
  <si>
    <t>GL001603</t>
  </si>
  <si>
    <t>GL001604</t>
  </si>
  <si>
    <t>GL001605</t>
  </si>
  <si>
    <t>GL001606</t>
  </si>
  <si>
    <t>GL001607</t>
  </si>
  <si>
    <t>GL001608</t>
  </si>
  <si>
    <t>GL001609</t>
  </si>
  <si>
    <t>GL001610</t>
  </si>
  <si>
    <t>GL001611</t>
  </si>
  <si>
    <t>GL001612</t>
  </si>
  <si>
    <t>GL001613</t>
  </si>
  <si>
    <t>GL001614</t>
  </si>
  <si>
    <t>GL001615</t>
  </si>
  <si>
    <t>GL001616</t>
  </si>
  <si>
    <t>GL001617</t>
  </si>
  <si>
    <t>GL001618</t>
  </si>
  <si>
    <t>GL001619</t>
  </si>
  <si>
    <t>GL001620</t>
  </si>
  <si>
    <t>GL001621</t>
  </si>
  <si>
    <t>GL001622</t>
  </si>
  <si>
    <t>GL001623</t>
  </si>
  <si>
    <t>GL001624</t>
  </si>
  <si>
    <t>GL001625</t>
  </si>
  <si>
    <t>GL001626</t>
  </si>
  <si>
    <t>GL001627</t>
  </si>
  <si>
    <t>GL001628</t>
  </si>
  <si>
    <t>GL001629</t>
  </si>
  <si>
    <t>GL001630</t>
  </si>
  <si>
    <t>GL001631</t>
  </si>
  <si>
    <t>GL001632</t>
  </si>
  <si>
    <t>GL001633</t>
  </si>
  <si>
    <t>GL001634</t>
  </si>
  <si>
    <t>GL001635</t>
  </si>
  <si>
    <t>GL001636</t>
  </si>
  <si>
    <t>GL001637</t>
  </si>
  <si>
    <t>GL001638</t>
  </si>
  <si>
    <t>GL001639</t>
  </si>
  <si>
    <t>GL001640</t>
  </si>
  <si>
    <t>GL001641</t>
  </si>
  <si>
    <t>GL001642</t>
  </si>
  <si>
    <t>GL001643</t>
  </si>
  <si>
    <t>GL001644</t>
  </si>
  <si>
    <t>GL001645</t>
  </si>
  <si>
    <t>GL001646</t>
  </si>
  <si>
    <t>GL001647</t>
  </si>
  <si>
    <t>GL001648</t>
  </si>
  <si>
    <t>GL001649</t>
  </si>
  <si>
    <t>GL001650</t>
  </si>
  <si>
    <t>GL001651</t>
  </si>
  <si>
    <t>GL001652</t>
  </si>
  <si>
    <t>GL001653</t>
  </si>
  <si>
    <t>GL001654</t>
  </si>
  <si>
    <t>GL001655</t>
  </si>
  <si>
    <t>GL001656</t>
  </si>
  <si>
    <t>GL001657</t>
  </si>
  <si>
    <t>GL001658</t>
  </si>
  <si>
    <t>GL001659</t>
  </si>
  <si>
    <t>GL001660</t>
  </si>
  <si>
    <t>GL001661</t>
  </si>
  <si>
    <t>GL001662</t>
  </si>
  <si>
    <t>GL001663</t>
  </si>
  <si>
    <t>GL001664</t>
  </si>
  <si>
    <t>GL001665</t>
  </si>
  <si>
    <t>GL001666</t>
  </si>
  <si>
    <t>GL001667</t>
  </si>
  <si>
    <t>GL001668</t>
  </si>
  <si>
    <t>GL001669</t>
  </si>
  <si>
    <t>GL001670</t>
  </si>
  <si>
    <t>GL001671</t>
  </si>
  <si>
    <t>GL001672</t>
  </si>
  <si>
    <t>GL001673</t>
  </si>
  <si>
    <t>GL001674</t>
  </si>
  <si>
    <t>GL001675</t>
  </si>
  <si>
    <t>GL001676</t>
  </si>
  <si>
    <t>GL001677</t>
  </si>
  <si>
    <t>GL001678</t>
  </si>
  <si>
    <t>GL001679</t>
  </si>
  <si>
    <t>GL001680</t>
  </si>
  <si>
    <t>GL001681</t>
  </si>
  <si>
    <t>GL001682</t>
  </si>
  <si>
    <t>GL001683</t>
  </si>
  <si>
    <t>GL001684</t>
  </si>
  <si>
    <t>GL001685</t>
  </si>
  <si>
    <t>GL001686</t>
  </si>
  <si>
    <t>GL001687</t>
  </si>
  <si>
    <t>GL001688</t>
  </si>
  <si>
    <t>GL001689</t>
  </si>
  <si>
    <t>GL001690</t>
  </si>
  <si>
    <t>GL001691</t>
  </si>
  <si>
    <t>GL001692</t>
  </si>
  <si>
    <t>GL001693</t>
  </si>
  <si>
    <t>GL001694</t>
  </si>
  <si>
    <t>GL001695</t>
  </si>
  <si>
    <t>GL001696</t>
  </si>
  <si>
    <t>GL001697</t>
  </si>
  <si>
    <t>GL001698</t>
  </si>
  <si>
    <t>GL001699</t>
  </si>
  <si>
    <t>GL001700</t>
  </si>
  <si>
    <t>GL001701</t>
  </si>
  <si>
    <t>GL001702</t>
  </si>
  <si>
    <t>GL001703</t>
  </si>
  <si>
    <t>GL001704</t>
  </si>
  <si>
    <t>GL001705</t>
  </si>
  <si>
    <t>GL001706</t>
  </si>
  <si>
    <t>GL001707</t>
  </si>
  <si>
    <t>GL001708</t>
  </si>
  <si>
    <t>GL001709</t>
  </si>
  <si>
    <t>GL001710</t>
  </si>
  <si>
    <t>GL001711</t>
  </si>
  <si>
    <t>GL001712</t>
  </si>
  <si>
    <t>GL001713</t>
  </si>
  <si>
    <t>GL001714</t>
  </si>
  <si>
    <t>GL001715</t>
  </si>
  <si>
    <t>GL001716</t>
  </si>
  <si>
    <t>GL001717</t>
  </si>
  <si>
    <t>GL001718</t>
  </si>
  <si>
    <t>GL001719</t>
  </si>
  <si>
    <t>GL001720</t>
  </si>
  <si>
    <t>GL001721</t>
  </si>
  <si>
    <t>GL001722</t>
  </si>
  <si>
    <t>GL001723</t>
  </si>
  <si>
    <t>GL001724</t>
  </si>
  <si>
    <t>GL001725</t>
  </si>
  <si>
    <t>GL001726</t>
  </si>
  <si>
    <t>GL001727</t>
  </si>
  <si>
    <t>GL001728</t>
  </si>
  <si>
    <t>GL001729</t>
  </si>
  <si>
    <t>GL001730</t>
  </si>
  <si>
    <t>GL001731</t>
  </si>
  <si>
    <t>GL001732</t>
  </si>
  <si>
    <t>GL001733</t>
  </si>
  <si>
    <t>GL001734</t>
  </si>
  <si>
    <t>GL001735</t>
  </si>
  <si>
    <t>GL001736</t>
  </si>
  <si>
    <t>GL001737</t>
  </si>
  <si>
    <t>GL001738</t>
  </si>
  <si>
    <t>GL001739</t>
  </si>
  <si>
    <t>GL001740</t>
  </si>
  <si>
    <t>GL001741</t>
  </si>
  <si>
    <t>GL001742</t>
  </si>
  <si>
    <t>GL001743</t>
  </si>
  <si>
    <t>GL001744</t>
  </si>
  <si>
    <t>GL001745</t>
  </si>
  <si>
    <t>GL001746</t>
  </si>
  <si>
    <t>GL001747</t>
  </si>
  <si>
    <t>GL001748</t>
  </si>
  <si>
    <t>GL001749</t>
  </si>
  <si>
    <t>GL001750</t>
  </si>
  <si>
    <t>GL001751</t>
  </si>
  <si>
    <t>GL001752</t>
  </si>
  <si>
    <t>GL001753</t>
  </si>
  <si>
    <t>GL001754</t>
  </si>
  <si>
    <t>GL001755</t>
  </si>
  <si>
    <t>GL001756</t>
  </si>
  <si>
    <t>GL001757</t>
  </si>
  <si>
    <t>GL001758</t>
  </si>
  <si>
    <t>GL001759</t>
  </si>
  <si>
    <t>GL001760</t>
  </si>
  <si>
    <t>GL001761</t>
  </si>
  <si>
    <t>GL001762</t>
  </si>
  <si>
    <t>GL001763</t>
  </si>
  <si>
    <t>GL001764</t>
  </si>
  <si>
    <t>GL001765</t>
  </si>
  <si>
    <t>GL001766</t>
  </si>
  <si>
    <t>GL001767</t>
  </si>
  <si>
    <t>GL001768</t>
  </si>
  <si>
    <t>GL001769</t>
  </si>
  <si>
    <t>GL001770</t>
  </si>
  <si>
    <t>GL001771</t>
  </si>
  <si>
    <t>GL001772</t>
  </si>
  <si>
    <t>GL001773</t>
  </si>
  <si>
    <t>GL001774</t>
  </si>
  <si>
    <t>GL001775</t>
  </si>
  <si>
    <t>GL001776</t>
  </si>
  <si>
    <t>GL001777</t>
  </si>
  <si>
    <t>GL001778</t>
  </si>
  <si>
    <t>GL001779</t>
  </si>
  <si>
    <t>GL001780</t>
  </si>
  <si>
    <t>GL001781</t>
  </si>
  <si>
    <t>GL001782</t>
  </si>
  <si>
    <t>GL001783</t>
  </si>
  <si>
    <t>GL001784</t>
  </si>
  <si>
    <t>GL001785</t>
  </si>
  <si>
    <t>GL001786</t>
  </si>
  <si>
    <t>GL001787</t>
  </si>
  <si>
    <t>GL001788</t>
  </si>
  <si>
    <t>GL001789</t>
  </si>
  <si>
    <t>GL001790</t>
  </si>
  <si>
    <t>GL001791</t>
  </si>
  <si>
    <t>GL001792</t>
  </si>
  <si>
    <t>GL001793</t>
  </si>
  <si>
    <t>GL001794</t>
  </si>
  <si>
    <t>GL001795</t>
  </si>
  <si>
    <t>GL001796</t>
  </si>
  <si>
    <t>GL001797</t>
  </si>
  <si>
    <t>GL001798</t>
  </si>
  <si>
    <t>GL001799</t>
  </si>
  <si>
    <t>GL001800</t>
  </si>
  <si>
    <t>GL001801</t>
  </si>
  <si>
    <t>GL001802</t>
  </si>
  <si>
    <t>GL001803</t>
  </si>
  <si>
    <t>GL001804</t>
  </si>
  <si>
    <t>GL001805</t>
  </si>
  <si>
    <t>GL001806</t>
  </si>
  <si>
    <t>GL001807</t>
  </si>
  <si>
    <t>GL001808</t>
  </si>
  <si>
    <t>GL001809</t>
  </si>
  <si>
    <t>GL001810</t>
  </si>
  <si>
    <t>GL001811</t>
  </si>
  <si>
    <t>GL001812</t>
  </si>
  <si>
    <t>GL001813</t>
  </si>
  <si>
    <t>GL001814</t>
  </si>
  <si>
    <t>GL001815</t>
  </si>
  <si>
    <t>GL001816</t>
  </si>
  <si>
    <t>GL001817</t>
  </si>
  <si>
    <t>GL001818</t>
  </si>
  <si>
    <t>GL001819</t>
  </si>
  <si>
    <t>GL001820</t>
  </si>
  <si>
    <t>GL001821</t>
  </si>
  <si>
    <t>GL001822</t>
  </si>
  <si>
    <t>GL001823</t>
  </si>
  <si>
    <t>GL001824</t>
  </si>
  <si>
    <t>GL001825</t>
  </si>
  <si>
    <t>GL001826</t>
  </si>
  <si>
    <t>GL001827</t>
  </si>
  <si>
    <t>GL001828</t>
  </si>
  <si>
    <t>GL001829</t>
  </si>
  <si>
    <t>GL001830</t>
  </si>
  <si>
    <t>GL001831</t>
  </si>
  <si>
    <t>GL001832</t>
  </si>
  <si>
    <t>GL001833</t>
  </si>
  <si>
    <t>GL001834</t>
  </si>
  <si>
    <t>GL001835</t>
  </si>
  <si>
    <t>GL001836</t>
  </si>
  <si>
    <t>GL001837</t>
  </si>
  <si>
    <t>GL001838</t>
  </si>
  <si>
    <t>GL001839</t>
  </si>
  <si>
    <t>GL001840</t>
  </si>
  <si>
    <t>GL001841</t>
  </si>
  <si>
    <t>GL001842</t>
  </si>
  <si>
    <t>GL001843</t>
  </si>
  <si>
    <t>GL001844</t>
  </si>
  <si>
    <t>GL001845</t>
  </si>
  <si>
    <t>GL001846</t>
  </si>
  <si>
    <t>GL001847</t>
  </si>
  <si>
    <t>GL001848</t>
  </si>
  <si>
    <t>GL001849</t>
  </si>
  <si>
    <t>GL001850</t>
  </si>
  <si>
    <t>GL001851</t>
  </si>
  <si>
    <t>GL001852</t>
  </si>
  <si>
    <t>GL001853</t>
  </si>
  <si>
    <t>GL001854</t>
  </si>
  <si>
    <t>GL001855</t>
  </si>
  <si>
    <t>GL001856</t>
  </si>
  <si>
    <t>GL001857</t>
  </si>
  <si>
    <t>GL001858</t>
  </si>
  <si>
    <t>GL001859</t>
  </si>
  <si>
    <t>GL001860</t>
  </si>
  <si>
    <t>GL001861</t>
  </si>
  <si>
    <t>GL001862</t>
  </si>
  <si>
    <t>GL001863</t>
  </si>
  <si>
    <t>GL001864</t>
  </si>
  <si>
    <t>GL001865</t>
  </si>
  <si>
    <t>GL001866</t>
  </si>
  <si>
    <t>GL001867</t>
  </si>
  <si>
    <t>GL001868</t>
  </si>
  <si>
    <t>GL001869</t>
  </si>
  <si>
    <t>GL001870</t>
  </si>
  <si>
    <t>GL001871</t>
  </si>
  <si>
    <t>GL001872</t>
  </si>
  <si>
    <t>GL001873</t>
  </si>
  <si>
    <t>GL001874</t>
  </si>
  <si>
    <t>GL001875</t>
  </si>
  <si>
    <t>GL001876</t>
  </si>
  <si>
    <t>GL001877</t>
  </si>
  <si>
    <t>GL001878</t>
  </si>
  <si>
    <t>GL001879</t>
  </si>
  <si>
    <t>GL001880</t>
  </si>
  <si>
    <t>GL001881</t>
  </si>
  <si>
    <t>GL001882</t>
  </si>
  <si>
    <t>GL001883</t>
  </si>
  <si>
    <t>GL001884</t>
  </si>
  <si>
    <t>GL001885</t>
  </si>
  <si>
    <t>GL001886</t>
  </si>
  <si>
    <t>GL001887</t>
  </si>
  <si>
    <t>GL001888</t>
  </si>
  <si>
    <t>GL001889</t>
  </si>
  <si>
    <t>GL001890</t>
  </si>
  <si>
    <t>GL001891</t>
  </si>
  <si>
    <t>GL001892</t>
  </si>
  <si>
    <t>GL001893</t>
  </si>
  <si>
    <t>GL001894</t>
  </si>
  <si>
    <t>GL001895</t>
  </si>
  <si>
    <t>GL001896</t>
  </si>
  <si>
    <t>GL001897</t>
  </si>
  <si>
    <t>GL001898</t>
  </si>
  <si>
    <t>GL001899</t>
  </si>
  <si>
    <t>GL001900</t>
  </si>
  <si>
    <t>GL001901</t>
  </si>
  <si>
    <t>GL001902</t>
  </si>
  <si>
    <t>GL001903</t>
  </si>
  <si>
    <t>GL001904</t>
  </si>
  <si>
    <t>GL001905</t>
  </si>
  <si>
    <t>GL001906</t>
  </si>
  <si>
    <t>GL001907</t>
  </si>
  <si>
    <t>GL001908</t>
  </si>
  <si>
    <t>GL001909</t>
  </si>
  <si>
    <t>GL001910</t>
  </si>
  <si>
    <t>GL001911</t>
  </si>
  <si>
    <t>GL001912</t>
  </si>
  <si>
    <t>GL001913</t>
  </si>
  <si>
    <t>GL001914</t>
  </si>
  <si>
    <t>GL001915</t>
  </si>
  <si>
    <t>GL001916</t>
  </si>
  <si>
    <t>GL001917</t>
  </si>
  <si>
    <t>GL001918</t>
  </si>
  <si>
    <t>GL001919</t>
  </si>
  <si>
    <t>GL001920</t>
  </si>
  <si>
    <t>GL001921</t>
  </si>
  <si>
    <t>GL001922</t>
  </si>
  <si>
    <t>GL001923</t>
  </si>
  <si>
    <t>GL001924</t>
  </si>
  <si>
    <t>GL001925</t>
  </si>
  <si>
    <t>GL001926</t>
  </si>
  <si>
    <t>GL001927</t>
  </si>
  <si>
    <t>GL001928</t>
  </si>
  <si>
    <t>GL001929</t>
  </si>
  <si>
    <t>GL001930</t>
  </si>
  <si>
    <t>GL001931</t>
  </si>
  <si>
    <t>GL001932</t>
  </si>
  <si>
    <t>GL001933</t>
  </si>
  <si>
    <t>GL001934</t>
  </si>
  <si>
    <t>GL001935</t>
  </si>
  <si>
    <t>GL001936</t>
  </si>
  <si>
    <t>GL001937</t>
  </si>
  <si>
    <t>GL001938</t>
  </si>
  <si>
    <t>GL001939</t>
  </si>
  <si>
    <t>GL001940</t>
  </si>
  <si>
    <t>GL001941</t>
  </si>
  <si>
    <t>GL001942</t>
  </si>
  <si>
    <t>GL001943</t>
  </si>
  <si>
    <t>GL001944</t>
  </si>
  <si>
    <t>GL001945</t>
  </si>
  <si>
    <t>GL001946</t>
  </si>
  <si>
    <t>GL001947</t>
  </si>
  <si>
    <t>GL001948</t>
  </si>
  <si>
    <t>GL001949</t>
  </si>
  <si>
    <t>GL001950</t>
  </si>
  <si>
    <t>GL001951</t>
  </si>
  <si>
    <t>GL001952</t>
  </si>
  <si>
    <t>GL001953</t>
  </si>
  <si>
    <t>GL001954</t>
  </si>
  <si>
    <t>GL001955</t>
  </si>
  <si>
    <t>GL001956</t>
  </si>
  <si>
    <t>GL001957</t>
  </si>
  <si>
    <t>GL001958</t>
  </si>
  <si>
    <t>GL001959</t>
  </si>
  <si>
    <t>GL001960</t>
  </si>
  <si>
    <t>GL001961</t>
  </si>
  <si>
    <t>GL001962</t>
  </si>
  <si>
    <t>GL001963</t>
  </si>
  <si>
    <t>GL001964</t>
  </si>
  <si>
    <t>GL001965</t>
  </si>
  <si>
    <t>GL001966</t>
  </si>
  <si>
    <t>GL001967</t>
  </si>
  <si>
    <t>GL001968</t>
  </si>
  <si>
    <t>GL001969</t>
  </si>
  <si>
    <t>GL001970</t>
  </si>
  <si>
    <t>GL001971</t>
  </si>
  <si>
    <t>GL001972</t>
  </si>
  <si>
    <t>GL001973</t>
  </si>
  <si>
    <t>GL001974</t>
  </si>
  <si>
    <t>GL001975</t>
  </si>
  <si>
    <t>GL001976</t>
  </si>
  <si>
    <t>GL001977</t>
  </si>
  <si>
    <t>GL001978</t>
  </si>
  <si>
    <t>GL001979</t>
  </si>
  <si>
    <t>GL001980</t>
  </si>
  <si>
    <t>GL001981</t>
  </si>
  <si>
    <t>GL001982</t>
  </si>
  <si>
    <t>GL001983</t>
  </si>
  <si>
    <t>GL001984</t>
  </si>
  <si>
    <t>GL001985</t>
  </si>
  <si>
    <t>GL001986</t>
  </si>
  <si>
    <t>GL001987</t>
  </si>
  <si>
    <t>GL001988</t>
  </si>
  <si>
    <t>GL001989</t>
  </si>
  <si>
    <t>GL001990</t>
  </si>
  <si>
    <t>GL001991</t>
  </si>
  <si>
    <t>GL001992</t>
  </si>
  <si>
    <t>GL001993</t>
  </si>
  <si>
    <t>GL001994</t>
  </si>
  <si>
    <t>GL001995</t>
  </si>
  <si>
    <t>GL001996</t>
  </si>
  <si>
    <t>GL001997</t>
  </si>
  <si>
    <t>GL001998</t>
  </si>
  <si>
    <t>GL001999</t>
  </si>
  <si>
    <t>4000</t>
  </si>
  <si>
    <t>5000</t>
  </si>
  <si>
    <t>6000</t>
  </si>
  <si>
    <t>5010</t>
  </si>
  <si>
    <t>4010</t>
  </si>
  <si>
    <t>Sales Revenue</t>
  </si>
  <si>
    <t>COGS</t>
  </si>
  <si>
    <t>Payroll Expense</t>
  </si>
  <si>
    <t>Travel Expense</t>
  </si>
  <si>
    <t>Online Sales</t>
  </si>
  <si>
    <t>Sales</t>
  </si>
  <si>
    <t>HR</t>
  </si>
  <si>
    <t>IT</t>
  </si>
  <si>
    <t>Marketing</t>
  </si>
  <si>
    <t>Finance</t>
  </si>
  <si>
    <t>Operations</t>
  </si>
  <si>
    <t>CC500</t>
  </si>
  <si>
    <t>CC300</t>
  </si>
  <si>
    <t>CC400</t>
  </si>
  <si>
    <t>CC200</t>
  </si>
  <si>
    <t>CC100</t>
  </si>
  <si>
    <t>AutoPost 0</t>
  </si>
  <si>
    <t>AutoPost 1</t>
  </si>
  <si>
    <t>AutoPost 2</t>
  </si>
  <si>
    <t>AutoPost 3</t>
  </si>
  <si>
    <t>AutoPost 4</t>
  </si>
  <si>
    <t>AutoPost 5</t>
  </si>
  <si>
    <t>AutoPost 6</t>
  </si>
  <si>
    <t>AutoPost 7</t>
  </si>
  <si>
    <t>AutoPost 8</t>
  </si>
  <si>
    <t>AutoPost 9</t>
  </si>
  <si>
    <t>AutoPost 10</t>
  </si>
  <si>
    <t>AutoPost 11</t>
  </si>
  <si>
    <t>AutoPost 12</t>
  </si>
  <si>
    <t>AutoPost 13</t>
  </si>
  <si>
    <t>AutoPost 14</t>
  </si>
  <si>
    <t>AutoPost 15</t>
  </si>
  <si>
    <t>AutoPost 16</t>
  </si>
  <si>
    <t>AutoPost 17</t>
  </si>
  <si>
    <t>AutoPost 18</t>
  </si>
  <si>
    <t>AutoPost 19</t>
  </si>
  <si>
    <t>AutoPost 20</t>
  </si>
  <si>
    <t>AutoPost 21</t>
  </si>
  <si>
    <t>AutoPost 22</t>
  </si>
  <si>
    <t>AutoPost 23</t>
  </si>
  <si>
    <t>AutoPost 24</t>
  </si>
  <si>
    <t>AutoPost 25</t>
  </si>
  <si>
    <t>AutoPost 26</t>
  </si>
  <si>
    <t>AutoPost 27</t>
  </si>
  <si>
    <t>AutoPost 28</t>
  </si>
  <si>
    <t>AutoPost 29</t>
  </si>
  <si>
    <t>AutoPost 30</t>
  </si>
  <si>
    <t>AutoPost 31</t>
  </si>
  <si>
    <t>AutoPost 32</t>
  </si>
  <si>
    <t>AutoPost 33</t>
  </si>
  <si>
    <t>AutoPost 34</t>
  </si>
  <si>
    <t>AutoPost 35</t>
  </si>
  <si>
    <t>AutoPost 36</t>
  </si>
  <si>
    <t>AutoPost 37</t>
  </si>
  <si>
    <t>AutoPost 38</t>
  </si>
  <si>
    <t>AutoPost 39</t>
  </si>
  <si>
    <t>AutoPost 40</t>
  </si>
  <si>
    <t>AutoPost 41</t>
  </si>
  <si>
    <t>AutoPost 42</t>
  </si>
  <si>
    <t>AutoPost 43</t>
  </si>
  <si>
    <t>AutoPost 44</t>
  </si>
  <si>
    <t>AutoPost 45</t>
  </si>
  <si>
    <t>AutoPost 46</t>
  </si>
  <si>
    <t>AutoPost 47</t>
  </si>
  <si>
    <t>AutoPost 48</t>
  </si>
  <si>
    <t>AutoPost 49</t>
  </si>
  <si>
    <t>AutoPost 50</t>
  </si>
  <si>
    <t>AutoPost 51</t>
  </si>
  <si>
    <t>AutoPost 52</t>
  </si>
  <si>
    <t>AutoPost 53</t>
  </si>
  <si>
    <t>AutoPost 54</t>
  </si>
  <si>
    <t>AutoPost 55</t>
  </si>
  <si>
    <t>AutoPost 56</t>
  </si>
  <si>
    <t>AutoPost 57</t>
  </si>
  <si>
    <t>AutoPost 58</t>
  </si>
  <si>
    <t>AutoPost 59</t>
  </si>
  <si>
    <t>AutoPost 60</t>
  </si>
  <si>
    <t>AutoPost 61</t>
  </si>
  <si>
    <t>AutoPost 62</t>
  </si>
  <si>
    <t>AutoPost 63</t>
  </si>
  <si>
    <t>AutoPost 64</t>
  </si>
  <si>
    <t>AutoPost 65</t>
  </si>
  <si>
    <t>AutoPost 66</t>
  </si>
  <si>
    <t>AutoPost 67</t>
  </si>
  <si>
    <t>AutoPost 68</t>
  </si>
  <si>
    <t>AutoPost 69</t>
  </si>
  <si>
    <t>AutoPost 70</t>
  </si>
  <si>
    <t>AutoPost 71</t>
  </si>
  <si>
    <t>AutoPost 72</t>
  </si>
  <si>
    <t>AutoPost 73</t>
  </si>
  <si>
    <t>AutoPost 74</t>
  </si>
  <si>
    <t>AutoPost 75</t>
  </si>
  <si>
    <t>AutoPost 76</t>
  </si>
  <si>
    <t>AutoPost 77</t>
  </si>
  <si>
    <t>AutoPost 78</t>
  </si>
  <si>
    <t>AutoPost 79</t>
  </si>
  <si>
    <t>AutoPost 80</t>
  </si>
  <si>
    <t>AutoPost 81</t>
  </si>
  <si>
    <t>AutoPost 82</t>
  </si>
  <si>
    <t>AutoPost 83</t>
  </si>
  <si>
    <t>AutoPost 84</t>
  </si>
  <si>
    <t>AutoPost 85</t>
  </si>
  <si>
    <t>AutoPost 86</t>
  </si>
  <si>
    <t>AutoPost 87</t>
  </si>
  <si>
    <t>AutoPost 88</t>
  </si>
  <si>
    <t>AutoPost 89</t>
  </si>
  <si>
    <t>AutoPost 90</t>
  </si>
  <si>
    <t>AutoPost 91</t>
  </si>
  <si>
    <t>AutoPost 92</t>
  </si>
  <si>
    <t>AutoPost 93</t>
  </si>
  <si>
    <t>AutoPost 94</t>
  </si>
  <si>
    <t>AutoPost 95</t>
  </si>
  <si>
    <t>AutoPost 96</t>
  </si>
  <si>
    <t>AutoPost 97</t>
  </si>
  <si>
    <t>AutoPost 98</t>
  </si>
  <si>
    <t>AutoPost 99</t>
  </si>
  <si>
    <t>AutoPost 100</t>
  </si>
  <si>
    <t>AutoPost 101</t>
  </si>
  <si>
    <t>AutoPost 102</t>
  </si>
  <si>
    <t>AutoPost 103</t>
  </si>
  <si>
    <t>AutoPost 104</t>
  </si>
  <si>
    <t>AutoPost 105</t>
  </si>
  <si>
    <t>AutoPost 106</t>
  </si>
  <si>
    <t>AutoPost 107</t>
  </si>
  <si>
    <t>AutoPost 108</t>
  </si>
  <si>
    <t>AutoPost 109</t>
  </si>
  <si>
    <t>AutoPost 110</t>
  </si>
  <si>
    <t>AutoPost 111</t>
  </si>
  <si>
    <t>AutoPost 112</t>
  </si>
  <si>
    <t>AutoPost 113</t>
  </si>
  <si>
    <t>AutoPost 114</t>
  </si>
  <si>
    <t>AutoPost 115</t>
  </si>
  <si>
    <t>AutoPost 116</t>
  </si>
  <si>
    <t>AutoPost 117</t>
  </si>
  <si>
    <t>AutoPost 118</t>
  </si>
  <si>
    <t>AutoPost 119</t>
  </si>
  <si>
    <t>AutoPost 120</t>
  </si>
  <si>
    <t>AutoPost 121</t>
  </si>
  <si>
    <t>AutoPost 122</t>
  </si>
  <si>
    <t>AutoPost 123</t>
  </si>
  <si>
    <t>AutoPost 124</t>
  </si>
  <si>
    <t>AutoPost 125</t>
  </si>
  <si>
    <t>AutoPost 126</t>
  </si>
  <si>
    <t>AutoPost 127</t>
  </si>
  <si>
    <t>AutoPost 128</t>
  </si>
  <si>
    <t>AutoPost 129</t>
  </si>
  <si>
    <t>AutoPost 130</t>
  </si>
  <si>
    <t>AutoPost 131</t>
  </si>
  <si>
    <t>AutoPost 132</t>
  </si>
  <si>
    <t>AutoPost 133</t>
  </si>
  <si>
    <t>AutoPost 134</t>
  </si>
  <si>
    <t>AutoPost 135</t>
  </si>
  <si>
    <t>AutoPost 136</t>
  </si>
  <si>
    <t>AutoPost 137</t>
  </si>
  <si>
    <t>AutoPost 138</t>
  </si>
  <si>
    <t>AutoPost 139</t>
  </si>
  <si>
    <t>AutoPost 140</t>
  </si>
  <si>
    <t>AutoPost 141</t>
  </si>
  <si>
    <t>AutoPost 142</t>
  </si>
  <si>
    <t>AutoPost 143</t>
  </si>
  <si>
    <t>AutoPost 144</t>
  </si>
  <si>
    <t>AutoPost 145</t>
  </si>
  <si>
    <t>AutoPost 146</t>
  </si>
  <si>
    <t>AutoPost 147</t>
  </si>
  <si>
    <t>AutoPost 148</t>
  </si>
  <si>
    <t>AutoPost 149</t>
  </si>
  <si>
    <t>AutoPost 150</t>
  </si>
  <si>
    <t>AutoPost 151</t>
  </si>
  <si>
    <t>AutoPost 152</t>
  </si>
  <si>
    <t>AutoPost 153</t>
  </si>
  <si>
    <t>AutoPost 154</t>
  </si>
  <si>
    <t>AutoPost 155</t>
  </si>
  <si>
    <t>AutoPost 156</t>
  </si>
  <si>
    <t>AutoPost 157</t>
  </si>
  <si>
    <t>AutoPost 158</t>
  </si>
  <si>
    <t>AutoPost 159</t>
  </si>
  <si>
    <t>AutoPost 160</t>
  </si>
  <si>
    <t>AutoPost 161</t>
  </si>
  <si>
    <t>AutoPost 162</t>
  </si>
  <si>
    <t>AutoPost 163</t>
  </si>
  <si>
    <t>AutoPost 164</t>
  </si>
  <si>
    <t>AutoPost 165</t>
  </si>
  <si>
    <t>AutoPost 166</t>
  </si>
  <si>
    <t>AutoPost 167</t>
  </si>
  <si>
    <t>AutoPost 168</t>
  </si>
  <si>
    <t>AutoPost 169</t>
  </si>
  <si>
    <t>AutoPost 170</t>
  </si>
  <si>
    <t>AutoPost 171</t>
  </si>
  <si>
    <t>AutoPost 172</t>
  </si>
  <si>
    <t>AutoPost 173</t>
  </si>
  <si>
    <t>AutoPost 174</t>
  </si>
  <si>
    <t>AutoPost 175</t>
  </si>
  <si>
    <t>AutoPost 176</t>
  </si>
  <si>
    <t>AutoPost 177</t>
  </si>
  <si>
    <t>AutoPost 178</t>
  </si>
  <si>
    <t>AutoPost 179</t>
  </si>
  <si>
    <t>AutoPost 180</t>
  </si>
  <si>
    <t>AutoPost 181</t>
  </si>
  <si>
    <t>AutoPost 182</t>
  </si>
  <si>
    <t>AutoPost 183</t>
  </si>
  <si>
    <t>AutoPost 184</t>
  </si>
  <si>
    <t>AutoPost 185</t>
  </si>
  <si>
    <t>AutoPost 186</t>
  </si>
  <si>
    <t>AutoPost 187</t>
  </si>
  <si>
    <t>AutoPost 188</t>
  </si>
  <si>
    <t>AutoPost 189</t>
  </si>
  <si>
    <t>AutoPost 190</t>
  </si>
  <si>
    <t>AutoPost 191</t>
  </si>
  <si>
    <t>AutoPost 192</t>
  </si>
  <si>
    <t>AutoPost 193</t>
  </si>
  <si>
    <t>AutoPost 194</t>
  </si>
  <si>
    <t>AutoPost 195</t>
  </si>
  <si>
    <t>AutoPost 196</t>
  </si>
  <si>
    <t>AutoPost 197</t>
  </si>
  <si>
    <t>AutoPost 198</t>
  </si>
  <si>
    <t>AutoPost 199</t>
  </si>
  <si>
    <t>AutoPost 200</t>
  </si>
  <si>
    <t>AutoPost 201</t>
  </si>
  <si>
    <t>AutoPost 202</t>
  </si>
  <si>
    <t>AutoPost 203</t>
  </si>
  <si>
    <t>AutoPost 204</t>
  </si>
  <si>
    <t>AutoPost 205</t>
  </si>
  <si>
    <t>AutoPost 206</t>
  </si>
  <si>
    <t>AutoPost 207</t>
  </si>
  <si>
    <t>AutoPost 208</t>
  </si>
  <si>
    <t>AutoPost 209</t>
  </si>
  <si>
    <t>AutoPost 210</t>
  </si>
  <si>
    <t>AutoPost 211</t>
  </si>
  <si>
    <t>AutoPost 212</t>
  </si>
  <si>
    <t>AutoPost 213</t>
  </si>
  <si>
    <t>AutoPost 214</t>
  </si>
  <si>
    <t>AutoPost 215</t>
  </si>
  <si>
    <t>AutoPost 216</t>
  </si>
  <si>
    <t>AutoPost 217</t>
  </si>
  <si>
    <t>AutoPost 218</t>
  </si>
  <si>
    <t>AutoPost 219</t>
  </si>
  <si>
    <t>AutoPost 220</t>
  </si>
  <si>
    <t>AutoPost 221</t>
  </si>
  <si>
    <t>AutoPost 222</t>
  </si>
  <si>
    <t>AutoPost 223</t>
  </si>
  <si>
    <t>AutoPost 224</t>
  </si>
  <si>
    <t>AutoPost 225</t>
  </si>
  <si>
    <t>AutoPost 226</t>
  </si>
  <si>
    <t>AutoPost 227</t>
  </si>
  <si>
    <t>AutoPost 228</t>
  </si>
  <si>
    <t>AutoPost 229</t>
  </si>
  <si>
    <t>AutoPost 230</t>
  </si>
  <si>
    <t>AutoPost 231</t>
  </si>
  <si>
    <t>AutoPost 232</t>
  </si>
  <si>
    <t>AutoPost 233</t>
  </si>
  <si>
    <t>AutoPost 234</t>
  </si>
  <si>
    <t>AutoPost 235</t>
  </si>
  <si>
    <t>AutoPost 236</t>
  </si>
  <si>
    <t>AutoPost 237</t>
  </si>
  <si>
    <t>AutoPost 238</t>
  </si>
  <si>
    <t>AutoPost 239</t>
  </si>
  <si>
    <t>AutoPost 240</t>
  </si>
  <si>
    <t>AutoPost 241</t>
  </si>
  <si>
    <t>AutoPost 242</t>
  </si>
  <si>
    <t>AutoPost 243</t>
  </si>
  <si>
    <t>AutoPost 244</t>
  </si>
  <si>
    <t>AutoPost 245</t>
  </si>
  <si>
    <t>AutoPost 246</t>
  </si>
  <si>
    <t>AutoPost 247</t>
  </si>
  <si>
    <t>AutoPost 248</t>
  </si>
  <si>
    <t>AutoPost 249</t>
  </si>
  <si>
    <t>AutoPost 250</t>
  </si>
  <si>
    <t>AutoPost 251</t>
  </si>
  <si>
    <t>AutoPost 252</t>
  </si>
  <si>
    <t>AutoPost 253</t>
  </si>
  <si>
    <t>AutoPost 254</t>
  </si>
  <si>
    <t>AutoPost 255</t>
  </si>
  <si>
    <t>AutoPost 256</t>
  </si>
  <si>
    <t>AutoPost 257</t>
  </si>
  <si>
    <t>AutoPost 258</t>
  </si>
  <si>
    <t>AutoPost 259</t>
  </si>
  <si>
    <t>AutoPost 260</t>
  </si>
  <si>
    <t>AutoPost 261</t>
  </si>
  <si>
    <t>AutoPost 262</t>
  </si>
  <si>
    <t>AutoPost 263</t>
  </si>
  <si>
    <t>AutoPost 264</t>
  </si>
  <si>
    <t>AutoPost 265</t>
  </si>
  <si>
    <t>AutoPost 266</t>
  </si>
  <si>
    <t>AutoPost 267</t>
  </si>
  <si>
    <t>AutoPost 268</t>
  </si>
  <si>
    <t>AutoPost 269</t>
  </si>
  <si>
    <t>AutoPost 270</t>
  </si>
  <si>
    <t>AutoPost 271</t>
  </si>
  <si>
    <t>AutoPost 272</t>
  </si>
  <si>
    <t>AutoPost 273</t>
  </si>
  <si>
    <t>AutoPost 274</t>
  </si>
  <si>
    <t>AutoPost 275</t>
  </si>
  <si>
    <t>AutoPost 276</t>
  </si>
  <si>
    <t>AutoPost 277</t>
  </si>
  <si>
    <t>AutoPost 278</t>
  </si>
  <si>
    <t>AutoPost 279</t>
  </si>
  <si>
    <t>AutoPost 280</t>
  </si>
  <si>
    <t>AutoPost 281</t>
  </si>
  <si>
    <t>AutoPost 282</t>
  </si>
  <si>
    <t>AutoPost 283</t>
  </si>
  <si>
    <t>AutoPost 284</t>
  </si>
  <si>
    <t>AutoPost 285</t>
  </si>
  <si>
    <t>AutoPost 286</t>
  </si>
  <si>
    <t>AutoPost 287</t>
  </si>
  <si>
    <t>AutoPost 288</t>
  </si>
  <si>
    <t>AutoPost 289</t>
  </si>
  <si>
    <t>AutoPost 290</t>
  </si>
  <si>
    <t>AutoPost 291</t>
  </si>
  <si>
    <t>AutoPost 292</t>
  </si>
  <si>
    <t>AutoPost 293</t>
  </si>
  <si>
    <t>AutoPost 294</t>
  </si>
  <si>
    <t>AutoPost 295</t>
  </si>
  <si>
    <t>AutoPost 296</t>
  </si>
  <si>
    <t>AutoPost 297</t>
  </si>
  <si>
    <t>AutoPost 298</t>
  </si>
  <si>
    <t>AutoPost 299</t>
  </si>
  <si>
    <t>AutoPost 300</t>
  </si>
  <si>
    <t>AutoPost 301</t>
  </si>
  <si>
    <t>AutoPost 302</t>
  </si>
  <si>
    <t>AutoPost 303</t>
  </si>
  <si>
    <t>AutoPost 304</t>
  </si>
  <si>
    <t>AutoPost 305</t>
  </si>
  <si>
    <t>AutoPost 306</t>
  </si>
  <si>
    <t>AutoPost 307</t>
  </si>
  <si>
    <t>AutoPost 308</t>
  </si>
  <si>
    <t>AutoPost 309</t>
  </si>
  <si>
    <t>AutoPost 310</t>
  </si>
  <si>
    <t>AutoPost 311</t>
  </si>
  <si>
    <t>AutoPost 312</t>
  </si>
  <si>
    <t>AutoPost 313</t>
  </si>
  <si>
    <t>AutoPost 314</t>
  </si>
  <si>
    <t>AutoPost 315</t>
  </si>
  <si>
    <t>AutoPost 316</t>
  </si>
  <si>
    <t>AutoPost 317</t>
  </si>
  <si>
    <t>AutoPost 318</t>
  </si>
  <si>
    <t>AutoPost 319</t>
  </si>
  <si>
    <t>AutoPost 320</t>
  </si>
  <si>
    <t>AutoPost 321</t>
  </si>
  <si>
    <t>AutoPost 322</t>
  </si>
  <si>
    <t>AutoPost 323</t>
  </si>
  <si>
    <t>AutoPost 324</t>
  </si>
  <si>
    <t>AutoPost 325</t>
  </si>
  <si>
    <t>AutoPost 326</t>
  </si>
  <si>
    <t>AutoPost 327</t>
  </si>
  <si>
    <t>AutoPost 328</t>
  </si>
  <si>
    <t>AutoPost 329</t>
  </si>
  <si>
    <t>AutoPost 330</t>
  </si>
  <si>
    <t>AutoPost 331</t>
  </si>
  <si>
    <t>AutoPost 332</t>
  </si>
  <si>
    <t>AutoPost 333</t>
  </si>
  <si>
    <t>AutoPost 334</t>
  </si>
  <si>
    <t>AutoPost 335</t>
  </si>
  <si>
    <t>AutoPost 336</t>
  </si>
  <si>
    <t>AutoPost 337</t>
  </si>
  <si>
    <t>AutoPost 338</t>
  </si>
  <si>
    <t>AutoPost 339</t>
  </si>
  <si>
    <t>AutoPost 340</t>
  </si>
  <si>
    <t>AutoPost 341</t>
  </si>
  <si>
    <t>AutoPost 342</t>
  </si>
  <si>
    <t>AutoPost 343</t>
  </si>
  <si>
    <t>AutoPost 344</t>
  </si>
  <si>
    <t>AutoPost 345</t>
  </si>
  <si>
    <t>AutoPost 346</t>
  </si>
  <si>
    <t>AutoPost 347</t>
  </si>
  <si>
    <t>AutoPost 348</t>
  </si>
  <si>
    <t>AutoPost 349</t>
  </si>
  <si>
    <t>AutoPost 350</t>
  </si>
  <si>
    <t>AutoPost 351</t>
  </si>
  <si>
    <t>AutoPost 352</t>
  </si>
  <si>
    <t>AutoPost 353</t>
  </si>
  <si>
    <t>AutoPost 354</t>
  </si>
  <si>
    <t>AutoPost 355</t>
  </si>
  <si>
    <t>AutoPost 356</t>
  </si>
  <si>
    <t>AutoPost 357</t>
  </si>
  <si>
    <t>AutoPost 358</t>
  </si>
  <si>
    <t>AutoPost 359</t>
  </si>
  <si>
    <t>AutoPost 360</t>
  </si>
  <si>
    <t>AutoPost 361</t>
  </si>
  <si>
    <t>AutoPost 362</t>
  </si>
  <si>
    <t>AutoPost 363</t>
  </si>
  <si>
    <t>AutoPost 364</t>
  </si>
  <si>
    <t>AutoPost 365</t>
  </si>
  <si>
    <t>AutoPost 366</t>
  </si>
  <si>
    <t>AutoPost 367</t>
  </si>
  <si>
    <t>AutoPost 368</t>
  </si>
  <si>
    <t>AutoPost 369</t>
  </si>
  <si>
    <t>AutoPost 370</t>
  </si>
  <si>
    <t>AutoPost 371</t>
  </si>
  <si>
    <t>AutoPost 372</t>
  </si>
  <si>
    <t>AutoPost 373</t>
  </si>
  <si>
    <t>AutoPost 374</t>
  </si>
  <si>
    <t>AutoPost 375</t>
  </si>
  <si>
    <t>AutoPost 376</t>
  </si>
  <si>
    <t>AutoPost 377</t>
  </si>
  <si>
    <t>AutoPost 378</t>
  </si>
  <si>
    <t>AutoPost 379</t>
  </si>
  <si>
    <t>AutoPost 380</t>
  </si>
  <si>
    <t>AutoPost 381</t>
  </si>
  <si>
    <t>AutoPost 382</t>
  </si>
  <si>
    <t>AutoPost 383</t>
  </si>
  <si>
    <t>AutoPost 384</t>
  </si>
  <si>
    <t>AutoPost 385</t>
  </si>
  <si>
    <t>AutoPost 386</t>
  </si>
  <si>
    <t>AutoPost 387</t>
  </si>
  <si>
    <t>AutoPost 388</t>
  </si>
  <si>
    <t>AutoPost 389</t>
  </si>
  <si>
    <t>AutoPost 390</t>
  </si>
  <si>
    <t>AutoPost 391</t>
  </si>
  <si>
    <t>AutoPost 392</t>
  </si>
  <si>
    <t>AutoPost 393</t>
  </si>
  <si>
    <t>AutoPost 394</t>
  </si>
  <si>
    <t>AutoPost 395</t>
  </si>
  <si>
    <t>AutoPost 396</t>
  </si>
  <si>
    <t>AutoPost 397</t>
  </si>
  <si>
    <t>AutoPost 398</t>
  </si>
  <si>
    <t>AutoPost 399</t>
  </si>
  <si>
    <t>AutoPost 400</t>
  </si>
  <si>
    <t>AutoPost 401</t>
  </si>
  <si>
    <t>AutoPost 402</t>
  </si>
  <si>
    <t>AutoPost 403</t>
  </si>
  <si>
    <t>AutoPost 404</t>
  </si>
  <si>
    <t>AutoPost 405</t>
  </si>
  <si>
    <t>AutoPost 406</t>
  </si>
  <si>
    <t>AutoPost 407</t>
  </si>
  <si>
    <t>AutoPost 408</t>
  </si>
  <si>
    <t>AutoPost 409</t>
  </si>
  <si>
    <t>AutoPost 410</t>
  </si>
  <si>
    <t>AutoPost 411</t>
  </si>
  <si>
    <t>AutoPost 412</t>
  </si>
  <si>
    <t>AutoPost 413</t>
  </si>
  <si>
    <t>AutoPost 414</t>
  </si>
  <si>
    <t>AutoPost 415</t>
  </si>
  <si>
    <t>AutoPost 416</t>
  </si>
  <si>
    <t>AutoPost 417</t>
  </si>
  <si>
    <t>AutoPost 418</t>
  </si>
  <si>
    <t>AutoPost 419</t>
  </si>
  <si>
    <t>AutoPost 420</t>
  </si>
  <si>
    <t>AutoPost 421</t>
  </si>
  <si>
    <t>AutoPost 422</t>
  </si>
  <si>
    <t>AutoPost 423</t>
  </si>
  <si>
    <t>AutoPost 424</t>
  </si>
  <si>
    <t>AutoPost 425</t>
  </si>
  <si>
    <t>AutoPost 426</t>
  </si>
  <si>
    <t>AutoPost 427</t>
  </si>
  <si>
    <t>AutoPost 428</t>
  </si>
  <si>
    <t>AutoPost 429</t>
  </si>
  <si>
    <t>AutoPost 430</t>
  </si>
  <si>
    <t>AutoPost 431</t>
  </si>
  <si>
    <t>AutoPost 432</t>
  </si>
  <si>
    <t>AutoPost 433</t>
  </si>
  <si>
    <t>AutoPost 434</t>
  </si>
  <si>
    <t>AutoPost 435</t>
  </si>
  <si>
    <t>AutoPost 436</t>
  </si>
  <si>
    <t>AutoPost 437</t>
  </si>
  <si>
    <t>AutoPost 438</t>
  </si>
  <si>
    <t>AutoPost 439</t>
  </si>
  <si>
    <t>AutoPost 440</t>
  </si>
  <si>
    <t>AutoPost 441</t>
  </si>
  <si>
    <t>AutoPost 442</t>
  </si>
  <si>
    <t>AutoPost 443</t>
  </si>
  <si>
    <t>AutoPost 444</t>
  </si>
  <si>
    <t>AutoPost 445</t>
  </si>
  <si>
    <t>AutoPost 446</t>
  </si>
  <si>
    <t>AutoPost 447</t>
  </si>
  <si>
    <t>AutoPost 448</t>
  </si>
  <si>
    <t>AutoPost 449</t>
  </si>
  <si>
    <t>AutoPost 450</t>
  </si>
  <si>
    <t>AutoPost 451</t>
  </si>
  <si>
    <t>AutoPost 452</t>
  </si>
  <si>
    <t>AutoPost 453</t>
  </si>
  <si>
    <t>AutoPost 454</t>
  </si>
  <si>
    <t>AutoPost 455</t>
  </si>
  <si>
    <t>AutoPost 456</t>
  </si>
  <si>
    <t>AutoPost 457</t>
  </si>
  <si>
    <t>AutoPost 458</t>
  </si>
  <si>
    <t>AutoPost 459</t>
  </si>
  <si>
    <t>AutoPost 460</t>
  </si>
  <si>
    <t>AutoPost 461</t>
  </si>
  <si>
    <t>AutoPost 462</t>
  </si>
  <si>
    <t>AutoPost 463</t>
  </si>
  <si>
    <t>AutoPost 464</t>
  </si>
  <si>
    <t>AutoPost 465</t>
  </si>
  <si>
    <t>AutoPost 466</t>
  </si>
  <si>
    <t>AutoPost 467</t>
  </si>
  <si>
    <t>AutoPost 468</t>
  </si>
  <si>
    <t>AutoPost 469</t>
  </si>
  <si>
    <t>AutoPost 470</t>
  </si>
  <si>
    <t>AutoPost 471</t>
  </si>
  <si>
    <t>AutoPost 472</t>
  </si>
  <si>
    <t>AutoPost 473</t>
  </si>
  <si>
    <t>AutoPost 474</t>
  </si>
  <si>
    <t>AutoPost 475</t>
  </si>
  <si>
    <t>AutoPost 476</t>
  </si>
  <si>
    <t>AutoPost 477</t>
  </si>
  <si>
    <t>AutoPost 478</t>
  </si>
  <si>
    <t>AutoPost 479</t>
  </si>
  <si>
    <t>AutoPost 480</t>
  </si>
  <si>
    <t>AutoPost 481</t>
  </si>
  <si>
    <t>AutoPost 482</t>
  </si>
  <si>
    <t>AutoPost 483</t>
  </si>
  <si>
    <t>AutoPost 484</t>
  </si>
  <si>
    <t>AutoPost 485</t>
  </si>
  <si>
    <t>AutoPost 486</t>
  </si>
  <si>
    <t>AutoPost 487</t>
  </si>
  <si>
    <t>AutoPost 488</t>
  </si>
  <si>
    <t>AutoPost 489</t>
  </si>
  <si>
    <t>AutoPost 490</t>
  </si>
  <si>
    <t>AutoPost 491</t>
  </si>
  <si>
    <t>AutoPost 492</t>
  </si>
  <si>
    <t>AutoPost 493</t>
  </si>
  <si>
    <t>AutoPost 494</t>
  </si>
  <si>
    <t>AutoPost 495</t>
  </si>
  <si>
    <t>AutoPost 496</t>
  </si>
  <si>
    <t>AutoPost 497</t>
  </si>
  <si>
    <t>AutoPost 498</t>
  </si>
  <si>
    <t>AutoPost 499</t>
  </si>
  <si>
    <t>AutoPost 500</t>
  </si>
  <si>
    <t>AutoPost 501</t>
  </si>
  <si>
    <t>AutoPost 502</t>
  </si>
  <si>
    <t>AutoPost 503</t>
  </si>
  <si>
    <t>AutoPost 504</t>
  </si>
  <si>
    <t>AutoPost 505</t>
  </si>
  <si>
    <t>AutoPost 506</t>
  </si>
  <si>
    <t>AutoPost 507</t>
  </si>
  <si>
    <t>AutoPost 508</t>
  </si>
  <si>
    <t>AutoPost 509</t>
  </si>
  <si>
    <t>AutoPost 510</t>
  </si>
  <si>
    <t>AutoPost 511</t>
  </si>
  <si>
    <t>AutoPost 512</t>
  </si>
  <si>
    <t>AutoPost 513</t>
  </si>
  <si>
    <t>AutoPost 514</t>
  </si>
  <si>
    <t>AutoPost 515</t>
  </si>
  <si>
    <t>AutoPost 516</t>
  </si>
  <si>
    <t>AutoPost 517</t>
  </si>
  <si>
    <t>AutoPost 518</t>
  </si>
  <si>
    <t>AutoPost 519</t>
  </si>
  <si>
    <t>AutoPost 520</t>
  </si>
  <si>
    <t>AutoPost 521</t>
  </si>
  <si>
    <t>AutoPost 522</t>
  </si>
  <si>
    <t>AutoPost 523</t>
  </si>
  <si>
    <t>AutoPost 524</t>
  </si>
  <si>
    <t>AutoPost 525</t>
  </si>
  <si>
    <t>AutoPost 526</t>
  </si>
  <si>
    <t>AutoPost 527</t>
  </si>
  <si>
    <t>AutoPost 528</t>
  </si>
  <si>
    <t>AutoPost 529</t>
  </si>
  <si>
    <t>AutoPost 530</t>
  </si>
  <si>
    <t>AutoPost 531</t>
  </si>
  <si>
    <t>AutoPost 532</t>
  </si>
  <si>
    <t>AutoPost 533</t>
  </si>
  <si>
    <t>AutoPost 534</t>
  </si>
  <si>
    <t>AutoPost 535</t>
  </si>
  <si>
    <t>AutoPost 536</t>
  </si>
  <si>
    <t>AutoPost 537</t>
  </si>
  <si>
    <t>AutoPost 538</t>
  </si>
  <si>
    <t>AutoPost 539</t>
  </si>
  <si>
    <t>AutoPost 540</t>
  </si>
  <si>
    <t>AutoPost 541</t>
  </si>
  <si>
    <t>AutoPost 542</t>
  </si>
  <si>
    <t>AutoPost 543</t>
  </si>
  <si>
    <t>AutoPost 544</t>
  </si>
  <si>
    <t>AutoPost 545</t>
  </si>
  <si>
    <t>AutoPost 546</t>
  </si>
  <si>
    <t>AutoPost 547</t>
  </si>
  <si>
    <t>AutoPost 548</t>
  </si>
  <si>
    <t>AutoPost 549</t>
  </si>
  <si>
    <t>AutoPost 550</t>
  </si>
  <si>
    <t>AutoPost 551</t>
  </si>
  <si>
    <t>AutoPost 552</t>
  </si>
  <si>
    <t>AutoPost 553</t>
  </si>
  <si>
    <t>AutoPost 554</t>
  </si>
  <si>
    <t>AutoPost 555</t>
  </si>
  <si>
    <t>AutoPost 556</t>
  </si>
  <si>
    <t>AutoPost 557</t>
  </si>
  <si>
    <t>AutoPost 558</t>
  </si>
  <si>
    <t>AutoPost 559</t>
  </si>
  <si>
    <t>AutoPost 560</t>
  </si>
  <si>
    <t>AutoPost 561</t>
  </si>
  <si>
    <t>AutoPost 562</t>
  </si>
  <si>
    <t>AutoPost 563</t>
  </si>
  <si>
    <t>AutoPost 564</t>
  </si>
  <si>
    <t>AutoPost 565</t>
  </si>
  <si>
    <t>AutoPost 566</t>
  </si>
  <si>
    <t>AutoPost 567</t>
  </si>
  <si>
    <t>AutoPost 568</t>
  </si>
  <si>
    <t>AutoPost 569</t>
  </si>
  <si>
    <t>AutoPost 570</t>
  </si>
  <si>
    <t>AutoPost 571</t>
  </si>
  <si>
    <t>AutoPost 572</t>
  </si>
  <si>
    <t>AutoPost 573</t>
  </si>
  <si>
    <t>AutoPost 574</t>
  </si>
  <si>
    <t>AutoPost 575</t>
  </si>
  <si>
    <t>AutoPost 576</t>
  </si>
  <si>
    <t>AutoPost 577</t>
  </si>
  <si>
    <t>AutoPost 578</t>
  </si>
  <si>
    <t>AutoPost 579</t>
  </si>
  <si>
    <t>AutoPost 580</t>
  </si>
  <si>
    <t>AutoPost 581</t>
  </si>
  <si>
    <t>AutoPost 582</t>
  </si>
  <si>
    <t>AutoPost 583</t>
  </si>
  <si>
    <t>AutoPost 584</t>
  </si>
  <si>
    <t>AutoPost 585</t>
  </si>
  <si>
    <t>AutoPost 586</t>
  </si>
  <si>
    <t>AutoPost 587</t>
  </si>
  <si>
    <t>AutoPost 588</t>
  </si>
  <si>
    <t>AutoPost 589</t>
  </si>
  <si>
    <t>AutoPost 590</t>
  </si>
  <si>
    <t>AutoPost 591</t>
  </si>
  <si>
    <t>AutoPost 592</t>
  </si>
  <si>
    <t>AutoPost 593</t>
  </si>
  <si>
    <t>AutoPost 594</t>
  </si>
  <si>
    <t>AutoPost 595</t>
  </si>
  <si>
    <t>AutoPost 596</t>
  </si>
  <si>
    <t>AutoPost 597</t>
  </si>
  <si>
    <t>AutoPost 598</t>
  </si>
  <si>
    <t>AutoPost 599</t>
  </si>
  <si>
    <t>AutoPost 600</t>
  </si>
  <si>
    <t>AutoPost 601</t>
  </si>
  <si>
    <t>AutoPost 602</t>
  </si>
  <si>
    <t>AutoPost 603</t>
  </si>
  <si>
    <t>AutoPost 604</t>
  </si>
  <si>
    <t>AutoPost 605</t>
  </si>
  <si>
    <t>AutoPost 606</t>
  </si>
  <si>
    <t>AutoPost 607</t>
  </si>
  <si>
    <t>AutoPost 608</t>
  </si>
  <si>
    <t>AutoPost 609</t>
  </si>
  <si>
    <t>AutoPost 610</t>
  </si>
  <si>
    <t>AutoPost 611</t>
  </si>
  <si>
    <t>AutoPost 612</t>
  </si>
  <si>
    <t>AutoPost 613</t>
  </si>
  <si>
    <t>AutoPost 614</t>
  </si>
  <si>
    <t>AutoPost 615</t>
  </si>
  <si>
    <t>AutoPost 616</t>
  </si>
  <si>
    <t>AutoPost 617</t>
  </si>
  <si>
    <t>AutoPost 618</t>
  </si>
  <si>
    <t>AutoPost 619</t>
  </si>
  <si>
    <t>AutoPost 620</t>
  </si>
  <si>
    <t>AutoPost 621</t>
  </si>
  <si>
    <t>AutoPost 622</t>
  </si>
  <si>
    <t>AutoPost 623</t>
  </si>
  <si>
    <t>AutoPost 624</t>
  </si>
  <si>
    <t>AutoPost 625</t>
  </si>
  <si>
    <t>AutoPost 626</t>
  </si>
  <si>
    <t>AutoPost 627</t>
  </si>
  <si>
    <t>AutoPost 628</t>
  </si>
  <si>
    <t>AutoPost 629</t>
  </si>
  <si>
    <t>AutoPost 630</t>
  </si>
  <si>
    <t>AutoPost 631</t>
  </si>
  <si>
    <t>AutoPost 632</t>
  </si>
  <si>
    <t>AutoPost 633</t>
  </si>
  <si>
    <t>AutoPost 634</t>
  </si>
  <si>
    <t>AutoPost 635</t>
  </si>
  <si>
    <t>AutoPost 636</t>
  </si>
  <si>
    <t>AutoPost 637</t>
  </si>
  <si>
    <t>AutoPost 638</t>
  </si>
  <si>
    <t>AutoPost 639</t>
  </si>
  <si>
    <t>AutoPost 640</t>
  </si>
  <si>
    <t>AutoPost 641</t>
  </si>
  <si>
    <t>AutoPost 642</t>
  </si>
  <si>
    <t>AutoPost 643</t>
  </si>
  <si>
    <t>AutoPost 644</t>
  </si>
  <si>
    <t>AutoPost 645</t>
  </si>
  <si>
    <t>AutoPost 646</t>
  </si>
  <si>
    <t>AutoPost 647</t>
  </si>
  <si>
    <t>AutoPost 648</t>
  </si>
  <si>
    <t>AutoPost 649</t>
  </si>
  <si>
    <t>AutoPost 650</t>
  </si>
  <si>
    <t>AutoPost 651</t>
  </si>
  <si>
    <t>AutoPost 652</t>
  </si>
  <si>
    <t>AutoPost 653</t>
  </si>
  <si>
    <t>AutoPost 654</t>
  </si>
  <si>
    <t>AutoPost 655</t>
  </si>
  <si>
    <t>AutoPost 656</t>
  </si>
  <si>
    <t>AutoPost 657</t>
  </si>
  <si>
    <t>AutoPost 658</t>
  </si>
  <si>
    <t>AutoPost 659</t>
  </si>
  <si>
    <t>AutoPost 660</t>
  </si>
  <si>
    <t>AutoPost 661</t>
  </si>
  <si>
    <t>AutoPost 662</t>
  </si>
  <si>
    <t>AutoPost 663</t>
  </si>
  <si>
    <t>AutoPost 664</t>
  </si>
  <si>
    <t>AutoPost 665</t>
  </si>
  <si>
    <t>AutoPost 666</t>
  </si>
  <si>
    <t>AutoPost 667</t>
  </si>
  <si>
    <t>AutoPost 668</t>
  </si>
  <si>
    <t>AutoPost 669</t>
  </si>
  <si>
    <t>AutoPost 670</t>
  </si>
  <si>
    <t>AutoPost 671</t>
  </si>
  <si>
    <t>AutoPost 672</t>
  </si>
  <si>
    <t>AutoPost 673</t>
  </si>
  <si>
    <t>AutoPost 674</t>
  </si>
  <si>
    <t>AutoPost 675</t>
  </si>
  <si>
    <t>AutoPost 676</t>
  </si>
  <si>
    <t>AutoPost 677</t>
  </si>
  <si>
    <t>AutoPost 678</t>
  </si>
  <si>
    <t>AutoPost 679</t>
  </si>
  <si>
    <t>AutoPost 680</t>
  </si>
  <si>
    <t>AutoPost 681</t>
  </si>
  <si>
    <t>AutoPost 682</t>
  </si>
  <si>
    <t>AutoPost 683</t>
  </si>
  <si>
    <t>AutoPost 684</t>
  </si>
  <si>
    <t>AutoPost 685</t>
  </si>
  <si>
    <t>AutoPost 686</t>
  </si>
  <si>
    <t>AutoPost 687</t>
  </si>
  <si>
    <t>AutoPost 688</t>
  </si>
  <si>
    <t>AutoPost 689</t>
  </si>
  <si>
    <t>AutoPost 690</t>
  </si>
  <si>
    <t>AutoPost 691</t>
  </si>
  <si>
    <t>AutoPost 692</t>
  </si>
  <si>
    <t>AutoPost 693</t>
  </si>
  <si>
    <t>AutoPost 694</t>
  </si>
  <si>
    <t>AutoPost 695</t>
  </si>
  <si>
    <t>AutoPost 696</t>
  </si>
  <si>
    <t>AutoPost 697</t>
  </si>
  <si>
    <t>AutoPost 698</t>
  </si>
  <si>
    <t>AutoPost 699</t>
  </si>
  <si>
    <t>AutoPost 700</t>
  </si>
  <si>
    <t>AutoPost 701</t>
  </si>
  <si>
    <t>AutoPost 702</t>
  </si>
  <si>
    <t>AutoPost 703</t>
  </si>
  <si>
    <t>AutoPost 704</t>
  </si>
  <si>
    <t>AutoPost 705</t>
  </si>
  <si>
    <t>AutoPost 706</t>
  </si>
  <si>
    <t>AutoPost 707</t>
  </si>
  <si>
    <t>AutoPost 708</t>
  </si>
  <si>
    <t>AutoPost 709</t>
  </si>
  <si>
    <t>AutoPost 710</t>
  </si>
  <si>
    <t>AutoPost 711</t>
  </si>
  <si>
    <t>AutoPost 712</t>
  </si>
  <si>
    <t>AutoPost 713</t>
  </si>
  <si>
    <t>AutoPost 714</t>
  </si>
  <si>
    <t>AutoPost 715</t>
  </si>
  <si>
    <t>AutoPost 716</t>
  </si>
  <si>
    <t>AutoPost 717</t>
  </si>
  <si>
    <t>AutoPost 718</t>
  </si>
  <si>
    <t>AutoPost 719</t>
  </si>
  <si>
    <t>AutoPost 720</t>
  </si>
  <si>
    <t>AutoPost 721</t>
  </si>
  <si>
    <t>AutoPost 722</t>
  </si>
  <si>
    <t>AutoPost 723</t>
  </si>
  <si>
    <t>AutoPost 724</t>
  </si>
  <si>
    <t>AutoPost 725</t>
  </si>
  <si>
    <t>AutoPost 726</t>
  </si>
  <si>
    <t>AutoPost 727</t>
  </si>
  <si>
    <t>AutoPost 728</t>
  </si>
  <si>
    <t>AutoPost 729</t>
  </si>
  <si>
    <t>AutoPost 730</t>
  </si>
  <si>
    <t>AutoPost 731</t>
  </si>
  <si>
    <t>AutoPost 732</t>
  </si>
  <si>
    <t>AutoPost 733</t>
  </si>
  <si>
    <t>AutoPost 734</t>
  </si>
  <si>
    <t>AutoPost 735</t>
  </si>
  <si>
    <t>AutoPost 736</t>
  </si>
  <si>
    <t>AutoPost 737</t>
  </si>
  <si>
    <t>AutoPost 738</t>
  </si>
  <si>
    <t>AutoPost 739</t>
  </si>
  <si>
    <t>AutoPost 740</t>
  </si>
  <si>
    <t>AutoPost 741</t>
  </si>
  <si>
    <t>AutoPost 742</t>
  </si>
  <si>
    <t>AutoPost 743</t>
  </si>
  <si>
    <t>AutoPost 744</t>
  </si>
  <si>
    <t>AutoPost 745</t>
  </si>
  <si>
    <t>AutoPost 746</t>
  </si>
  <si>
    <t>AutoPost 747</t>
  </si>
  <si>
    <t>AutoPost 748</t>
  </si>
  <si>
    <t>AutoPost 749</t>
  </si>
  <si>
    <t>AutoPost 750</t>
  </si>
  <si>
    <t>AutoPost 751</t>
  </si>
  <si>
    <t>AutoPost 752</t>
  </si>
  <si>
    <t>AutoPost 753</t>
  </si>
  <si>
    <t>AutoPost 754</t>
  </si>
  <si>
    <t>AutoPost 755</t>
  </si>
  <si>
    <t>AutoPost 756</t>
  </si>
  <si>
    <t>AutoPost 757</t>
  </si>
  <si>
    <t>AutoPost 758</t>
  </si>
  <si>
    <t>AutoPost 759</t>
  </si>
  <si>
    <t>AutoPost 760</t>
  </si>
  <si>
    <t>AutoPost 761</t>
  </si>
  <si>
    <t>AutoPost 762</t>
  </si>
  <si>
    <t>AutoPost 763</t>
  </si>
  <si>
    <t>AutoPost 764</t>
  </si>
  <si>
    <t>AutoPost 765</t>
  </si>
  <si>
    <t>AutoPost 766</t>
  </si>
  <si>
    <t>AutoPost 767</t>
  </si>
  <si>
    <t>AutoPost 768</t>
  </si>
  <si>
    <t>AutoPost 769</t>
  </si>
  <si>
    <t>AutoPost 770</t>
  </si>
  <si>
    <t>AutoPost 771</t>
  </si>
  <si>
    <t>AutoPost 772</t>
  </si>
  <si>
    <t>AutoPost 773</t>
  </si>
  <si>
    <t>AutoPost 774</t>
  </si>
  <si>
    <t>AutoPost 775</t>
  </si>
  <si>
    <t>AutoPost 776</t>
  </si>
  <si>
    <t>AutoPost 777</t>
  </si>
  <si>
    <t>AutoPost 778</t>
  </si>
  <si>
    <t>AutoPost 779</t>
  </si>
  <si>
    <t>AutoPost 780</t>
  </si>
  <si>
    <t>AutoPost 781</t>
  </si>
  <si>
    <t>AutoPost 782</t>
  </si>
  <si>
    <t>AutoPost 783</t>
  </si>
  <si>
    <t>AutoPost 784</t>
  </si>
  <si>
    <t>AutoPost 785</t>
  </si>
  <si>
    <t>AutoPost 786</t>
  </si>
  <si>
    <t>AutoPost 787</t>
  </si>
  <si>
    <t>AutoPost 788</t>
  </si>
  <si>
    <t>AutoPost 789</t>
  </si>
  <si>
    <t>AutoPost 790</t>
  </si>
  <si>
    <t>AutoPost 791</t>
  </si>
  <si>
    <t>AutoPost 792</t>
  </si>
  <si>
    <t>AutoPost 793</t>
  </si>
  <si>
    <t>AutoPost 794</t>
  </si>
  <si>
    <t>AutoPost 795</t>
  </si>
  <si>
    <t>AutoPost 796</t>
  </si>
  <si>
    <t>AutoPost 797</t>
  </si>
  <si>
    <t>AutoPost 798</t>
  </si>
  <si>
    <t>AutoPost 799</t>
  </si>
  <si>
    <t>AutoPost 800</t>
  </si>
  <si>
    <t>AutoPost 801</t>
  </si>
  <si>
    <t>AutoPost 802</t>
  </si>
  <si>
    <t>AutoPost 803</t>
  </si>
  <si>
    <t>AutoPost 804</t>
  </si>
  <si>
    <t>AutoPost 805</t>
  </si>
  <si>
    <t>AutoPost 806</t>
  </si>
  <si>
    <t>AutoPost 807</t>
  </si>
  <si>
    <t>AutoPost 808</t>
  </si>
  <si>
    <t>AutoPost 809</t>
  </si>
  <si>
    <t>AutoPost 810</t>
  </si>
  <si>
    <t>AutoPost 811</t>
  </si>
  <si>
    <t>AutoPost 812</t>
  </si>
  <si>
    <t>AutoPost 813</t>
  </si>
  <si>
    <t>AutoPost 814</t>
  </si>
  <si>
    <t>AutoPost 815</t>
  </si>
  <si>
    <t>AutoPost 816</t>
  </si>
  <si>
    <t>AutoPost 817</t>
  </si>
  <si>
    <t>AutoPost 818</t>
  </si>
  <si>
    <t>AutoPost 819</t>
  </si>
  <si>
    <t>AutoPost 820</t>
  </si>
  <si>
    <t>AutoPost 821</t>
  </si>
  <si>
    <t>AutoPost 822</t>
  </si>
  <si>
    <t>AutoPost 823</t>
  </si>
  <si>
    <t>AutoPost 824</t>
  </si>
  <si>
    <t>AutoPost 825</t>
  </si>
  <si>
    <t>AutoPost 826</t>
  </si>
  <si>
    <t>AutoPost 827</t>
  </si>
  <si>
    <t>AutoPost 828</t>
  </si>
  <si>
    <t>AutoPost 829</t>
  </si>
  <si>
    <t>AutoPost 830</t>
  </si>
  <si>
    <t>AutoPost 831</t>
  </si>
  <si>
    <t>AutoPost 832</t>
  </si>
  <si>
    <t>AutoPost 833</t>
  </si>
  <si>
    <t>AutoPost 834</t>
  </si>
  <si>
    <t>AutoPost 835</t>
  </si>
  <si>
    <t>AutoPost 836</t>
  </si>
  <si>
    <t>AutoPost 837</t>
  </si>
  <si>
    <t>AutoPost 838</t>
  </si>
  <si>
    <t>AutoPost 839</t>
  </si>
  <si>
    <t>AutoPost 840</t>
  </si>
  <si>
    <t>AutoPost 841</t>
  </si>
  <si>
    <t>AutoPost 842</t>
  </si>
  <si>
    <t>AutoPost 843</t>
  </si>
  <si>
    <t>AutoPost 844</t>
  </si>
  <si>
    <t>AutoPost 845</t>
  </si>
  <si>
    <t>AutoPost 846</t>
  </si>
  <si>
    <t>AutoPost 847</t>
  </si>
  <si>
    <t>AutoPost 848</t>
  </si>
  <si>
    <t>AutoPost 849</t>
  </si>
  <si>
    <t>AutoPost 850</t>
  </si>
  <si>
    <t>AutoPost 851</t>
  </si>
  <si>
    <t>AutoPost 852</t>
  </si>
  <si>
    <t>AutoPost 853</t>
  </si>
  <si>
    <t>AutoPost 854</t>
  </si>
  <si>
    <t>AutoPost 855</t>
  </si>
  <si>
    <t>AutoPost 856</t>
  </si>
  <si>
    <t>AutoPost 857</t>
  </si>
  <si>
    <t>AutoPost 858</t>
  </si>
  <si>
    <t>AutoPost 859</t>
  </si>
  <si>
    <t>AutoPost 860</t>
  </si>
  <si>
    <t>AutoPost 861</t>
  </si>
  <si>
    <t>AutoPost 862</t>
  </si>
  <si>
    <t>AutoPost 863</t>
  </si>
  <si>
    <t>AutoPost 864</t>
  </si>
  <si>
    <t>AutoPost 865</t>
  </si>
  <si>
    <t>AutoPost 866</t>
  </si>
  <si>
    <t>AutoPost 867</t>
  </si>
  <si>
    <t>AutoPost 868</t>
  </si>
  <si>
    <t>AutoPost 869</t>
  </si>
  <si>
    <t>AutoPost 870</t>
  </si>
  <si>
    <t>AutoPost 871</t>
  </si>
  <si>
    <t>AutoPost 872</t>
  </si>
  <si>
    <t>AutoPost 873</t>
  </si>
  <si>
    <t>AutoPost 874</t>
  </si>
  <si>
    <t>AutoPost 875</t>
  </si>
  <si>
    <t>AutoPost 876</t>
  </si>
  <si>
    <t>AutoPost 877</t>
  </si>
  <si>
    <t>AutoPost 878</t>
  </si>
  <si>
    <t>AutoPost 879</t>
  </si>
  <si>
    <t>AutoPost 880</t>
  </si>
  <si>
    <t>AutoPost 881</t>
  </si>
  <si>
    <t>AutoPost 882</t>
  </si>
  <si>
    <t>AutoPost 883</t>
  </si>
  <si>
    <t>AutoPost 884</t>
  </si>
  <si>
    <t>AutoPost 885</t>
  </si>
  <si>
    <t>AutoPost 886</t>
  </si>
  <si>
    <t>AutoPost 887</t>
  </si>
  <si>
    <t>AutoPost 888</t>
  </si>
  <si>
    <t>AutoPost 889</t>
  </si>
  <si>
    <t>AutoPost 890</t>
  </si>
  <si>
    <t>AutoPost 891</t>
  </si>
  <si>
    <t>AutoPost 892</t>
  </si>
  <si>
    <t>AutoPost 893</t>
  </si>
  <si>
    <t>AutoPost 894</t>
  </si>
  <si>
    <t>AutoPost 895</t>
  </si>
  <si>
    <t>AutoPost 896</t>
  </si>
  <si>
    <t>AutoPost 897</t>
  </si>
  <si>
    <t>AutoPost 898</t>
  </si>
  <si>
    <t>AutoPost 899</t>
  </si>
  <si>
    <t>AutoPost 900</t>
  </si>
  <si>
    <t>AutoPost 901</t>
  </si>
  <si>
    <t>AutoPost 902</t>
  </si>
  <si>
    <t>AutoPost 903</t>
  </si>
  <si>
    <t>AutoPost 904</t>
  </si>
  <si>
    <t>AutoPost 905</t>
  </si>
  <si>
    <t>AutoPost 906</t>
  </si>
  <si>
    <t>AutoPost 907</t>
  </si>
  <si>
    <t>AutoPost 908</t>
  </si>
  <si>
    <t>AutoPost 909</t>
  </si>
  <si>
    <t>AutoPost 910</t>
  </si>
  <si>
    <t>AutoPost 911</t>
  </si>
  <si>
    <t>AutoPost 912</t>
  </si>
  <si>
    <t>AutoPost 913</t>
  </si>
  <si>
    <t>AutoPost 914</t>
  </si>
  <si>
    <t>AutoPost 915</t>
  </si>
  <si>
    <t>AutoPost 916</t>
  </si>
  <si>
    <t>AutoPost 917</t>
  </si>
  <si>
    <t>AutoPost 918</t>
  </si>
  <si>
    <t>AutoPost 919</t>
  </si>
  <si>
    <t>AutoPost 920</t>
  </si>
  <si>
    <t>AutoPost 921</t>
  </si>
  <si>
    <t>AutoPost 922</t>
  </si>
  <si>
    <t>AutoPost 923</t>
  </si>
  <si>
    <t>AutoPost 924</t>
  </si>
  <si>
    <t>AutoPost 925</t>
  </si>
  <si>
    <t>AutoPost 926</t>
  </si>
  <si>
    <t>AutoPost 927</t>
  </si>
  <si>
    <t>AutoPost 928</t>
  </si>
  <si>
    <t>AutoPost 929</t>
  </si>
  <si>
    <t>AutoPost 930</t>
  </si>
  <si>
    <t>AutoPost 931</t>
  </si>
  <si>
    <t>AutoPost 932</t>
  </si>
  <si>
    <t>AutoPost 933</t>
  </si>
  <si>
    <t>AutoPost 934</t>
  </si>
  <si>
    <t>AutoPost 935</t>
  </si>
  <si>
    <t>AutoPost 936</t>
  </si>
  <si>
    <t>AutoPost 937</t>
  </si>
  <si>
    <t>AutoPost 938</t>
  </si>
  <si>
    <t>AutoPost 939</t>
  </si>
  <si>
    <t>AutoPost 940</t>
  </si>
  <si>
    <t>AutoPost 941</t>
  </si>
  <si>
    <t>AutoPost 942</t>
  </si>
  <si>
    <t>AutoPost 943</t>
  </si>
  <si>
    <t>AutoPost 944</t>
  </si>
  <si>
    <t>AutoPost 945</t>
  </si>
  <si>
    <t>AutoPost 946</t>
  </si>
  <si>
    <t>AutoPost 947</t>
  </si>
  <si>
    <t>AutoPost 948</t>
  </si>
  <si>
    <t>AutoPost 949</t>
  </si>
  <si>
    <t>AutoPost 950</t>
  </si>
  <si>
    <t>AutoPost 951</t>
  </si>
  <si>
    <t>AutoPost 952</t>
  </si>
  <si>
    <t>AutoPost 953</t>
  </si>
  <si>
    <t>AutoPost 954</t>
  </si>
  <si>
    <t>AutoPost 955</t>
  </si>
  <si>
    <t>AutoPost 956</t>
  </si>
  <si>
    <t>AutoPost 957</t>
  </si>
  <si>
    <t>AutoPost 958</t>
  </si>
  <si>
    <t>AutoPost 959</t>
  </si>
  <si>
    <t>AutoPost 960</t>
  </si>
  <si>
    <t>AutoPost 961</t>
  </si>
  <si>
    <t>AutoPost 962</t>
  </si>
  <si>
    <t>AutoPost 963</t>
  </si>
  <si>
    <t>AutoPost 964</t>
  </si>
  <si>
    <t>AutoPost 965</t>
  </si>
  <si>
    <t>AutoPost 966</t>
  </si>
  <si>
    <t>AutoPost 967</t>
  </si>
  <si>
    <t>AutoPost 968</t>
  </si>
  <si>
    <t>AutoPost 969</t>
  </si>
  <si>
    <t>AutoPost 970</t>
  </si>
  <si>
    <t>AutoPost 971</t>
  </si>
  <si>
    <t>AutoPost 972</t>
  </si>
  <si>
    <t>AutoPost 973</t>
  </si>
  <si>
    <t>AutoPost 974</t>
  </si>
  <si>
    <t>AutoPost 975</t>
  </si>
  <si>
    <t>AutoPost 976</t>
  </si>
  <si>
    <t>AutoPost 977</t>
  </si>
  <si>
    <t>AutoPost 978</t>
  </si>
  <si>
    <t>AutoPost 979</t>
  </si>
  <si>
    <t>AutoPost 980</t>
  </si>
  <si>
    <t>AutoPost 981</t>
  </si>
  <si>
    <t>AutoPost 982</t>
  </si>
  <si>
    <t>AutoPost 983</t>
  </si>
  <si>
    <t>AutoPost 984</t>
  </si>
  <si>
    <t>AutoPost 985</t>
  </si>
  <si>
    <t>AutoPost 986</t>
  </si>
  <si>
    <t>AutoPost 987</t>
  </si>
  <si>
    <t>AutoPost 988</t>
  </si>
  <si>
    <t>AutoPost 989</t>
  </si>
  <si>
    <t>AutoPost 990</t>
  </si>
  <si>
    <t>AutoPost 991</t>
  </si>
  <si>
    <t>AutoPost 992</t>
  </si>
  <si>
    <t>AutoPost 993</t>
  </si>
  <si>
    <t>AutoPost 994</t>
  </si>
  <si>
    <t>AutoPost 995</t>
  </si>
  <si>
    <t>AutoPost 996</t>
  </si>
  <si>
    <t>AutoPost 997</t>
  </si>
  <si>
    <t>AutoPost 998</t>
  </si>
  <si>
    <t>AutoPost 999</t>
  </si>
  <si>
    <t>AutoPost 1000</t>
  </si>
  <si>
    <t>AutoPost 1001</t>
  </si>
  <si>
    <t>AutoPost 1002</t>
  </si>
  <si>
    <t>AutoPost 1003</t>
  </si>
  <si>
    <t>AutoPost 1004</t>
  </si>
  <si>
    <t>AutoPost 1005</t>
  </si>
  <si>
    <t>AutoPost 1006</t>
  </si>
  <si>
    <t>AutoPost 1007</t>
  </si>
  <si>
    <t>AutoPost 1008</t>
  </si>
  <si>
    <t>AutoPost 1009</t>
  </si>
  <si>
    <t>AutoPost 1010</t>
  </si>
  <si>
    <t>AutoPost 1011</t>
  </si>
  <si>
    <t>AutoPost 1012</t>
  </si>
  <si>
    <t>AutoPost 1013</t>
  </si>
  <si>
    <t>AutoPost 1014</t>
  </si>
  <si>
    <t>AutoPost 1015</t>
  </si>
  <si>
    <t>AutoPost 1016</t>
  </si>
  <si>
    <t>AutoPost 1017</t>
  </si>
  <si>
    <t>AutoPost 1018</t>
  </si>
  <si>
    <t>AutoPost 1019</t>
  </si>
  <si>
    <t>AutoPost 1020</t>
  </si>
  <si>
    <t>AutoPost 1021</t>
  </si>
  <si>
    <t>AutoPost 1022</t>
  </si>
  <si>
    <t>AutoPost 1023</t>
  </si>
  <si>
    <t>AutoPost 1024</t>
  </si>
  <si>
    <t>AutoPost 1025</t>
  </si>
  <si>
    <t>AutoPost 1026</t>
  </si>
  <si>
    <t>AutoPost 1027</t>
  </si>
  <si>
    <t>AutoPost 1028</t>
  </si>
  <si>
    <t>AutoPost 1029</t>
  </si>
  <si>
    <t>AutoPost 1030</t>
  </si>
  <si>
    <t>AutoPost 1031</t>
  </si>
  <si>
    <t>AutoPost 1032</t>
  </si>
  <si>
    <t>AutoPost 1033</t>
  </si>
  <si>
    <t>AutoPost 1034</t>
  </si>
  <si>
    <t>AutoPost 1035</t>
  </si>
  <si>
    <t>AutoPost 1036</t>
  </si>
  <si>
    <t>AutoPost 1037</t>
  </si>
  <si>
    <t>AutoPost 1038</t>
  </si>
  <si>
    <t>AutoPost 1039</t>
  </si>
  <si>
    <t>AutoPost 1040</t>
  </si>
  <si>
    <t>AutoPost 1041</t>
  </si>
  <si>
    <t>AutoPost 1042</t>
  </si>
  <si>
    <t>AutoPost 1043</t>
  </si>
  <si>
    <t>AutoPost 1044</t>
  </si>
  <si>
    <t>AutoPost 1045</t>
  </si>
  <si>
    <t>AutoPost 1046</t>
  </si>
  <si>
    <t>AutoPost 1047</t>
  </si>
  <si>
    <t>AutoPost 1048</t>
  </si>
  <si>
    <t>AutoPost 1049</t>
  </si>
  <si>
    <t>AutoPost 1050</t>
  </si>
  <si>
    <t>AutoPost 1051</t>
  </si>
  <si>
    <t>AutoPost 1052</t>
  </si>
  <si>
    <t>AutoPost 1053</t>
  </si>
  <si>
    <t>AutoPost 1054</t>
  </si>
  <si>
    <t>AutoPost 1055</t>
  </si>
  <si>
    <t>AutoPost 1056</t>
  </si>
  <si>
    <t>AutoPost 1057</t>
  </si>
  <si>
    <t>AutoPost 1058</t>
  </si>
  <si>
    <t>AutoPost 1059</t>
  </si>
  <si>
    <t>AutoPost 1060</t>
  </si>
  <si>
    <t>AutoPost 1061</t>
  </si>
  <si>
    <t>AutoPost 1062</t>
  </si>
  <si>
    <t>AutoPost 1063</t>
  </si>
  <si>
    <t>AutoPost 1064</t>
  </si>
  <si>
    <t>AutoPost 1065</t>
  </si>
  <si>
    <t>AutoPost 1066</t>
  </si>
  <si>
    <t>AutoPost 1067</t>
  </si>
  <si>
    <t>AutoPost 1068</t>
  </si>
  <si>
    <t>AutoPost 1069</t>
  </si>
  <si>
    <t>AutoPost 1070</t>
  </si>
  <si>
    <t>AutoPost 1071</t>
  </si>
  <si>
    <t>AutoPost 1072</t>
  </si>
  <si>
    <t>AutoPost 1073</t>
  </si>
  <si>
    <t>AutoPost 1074</t>
  </si>
  <si>
    <t>AutoPost 1075</t>
  </si>
  <si>
    <t>AutoPost 1076</t>
  </si>
  <si>
    <t>AutoPost 1077</t>
  </si>
  <si>
    <t>AutoPost 1078</t>
  </si>
  <si>
    <t>AutoPost 1079</t>
  </si>
  <si>
    <t>AutoPost 1080</t>
  </si>
  <si>
    <t>AutoPost 1081</t>
  </si>
  <si>
    <t>AutoPost 1082</t>
  </si>
  <si>
    <t>AutoPost 1083</t>
  </si>
  <si>
    <t>AutoPost 1084</t>
  </si>
  <si>
    <t>AutoPost 1085</t>
  </si>
  <si>
    <t>AutoPost 1086</t>
  </si>
  <si>
    <t>AutoPost 1087</t>
  </si>
  <si>
    <t>AutoPost 1088</t>
  </si>
  <si>
    <t>AutoPost 1089</t>
  </si>
  <si>
    <t>AutoPost 1090</t>
  </si>
  <si>
    <t>AutoPost 1091</t>
  </si>
  <si>
    <t>AutoPost 1092</t>
  </si>
  <si>
    <t>AutoPost 1093</t>
  </si>
  <si>
    <t>AutoPost 1094</t>
  </si>
  <si>
    <t>AutoPost 1095</t>
  </si>
  <si>
    <t>AutoPost 1096</t>
  </si>
  <si>
    <t>AutoPost 1097</t>
  </si>
  <si>
    <t>AutoPost 1098</t>
  </si>
  <si>
    <t>AutoPost 1099</t>
  </si>
  <si>
    <t>AutoPost 1100</t>
  </si>
  <si>
    <t>AutoPost 1101</t>
  </si>
  <si>
    <t>AutoPost 1102</t>
  </si>
  <si>
    <t>AutoPost 1103</t>
  </si>
  <si>
    <t>AutoPost 1104</t>
  </si>
  <si>
    <t>AutoPost 1105</t>
  </si>
  <si>
    <t>AutoPost 1106</t>
  </si>
  <si>
    <t>AutoPost 1107</t>
  </si>
  <si>
    <t>AutoPost 1108</t>
  </si>
  <si>
    <t>AutoPost 1109</t>
  </si>
  <si>
    <t>AutoPost 1110</t>
  </si>
  <si>
    <t>AutoPost 1111</t>
  </si>
  <si>
    <t>AutoPost 1112</t>
  </si>
  <si>
    <t>AutoPost 1113</t>
  </si>
  <si>
    <t>AutoPost 1114</t>
  </si>
  <si>
    <t>AutoPost 1115</t>
  </si>
  <si>
    <t>AutoPost 1116</t>
  </si>
  <si>
    <t>AutoPost 1117</t>
  </si>
  <si>
    <t>AutoPost 1118</t>
  </si>
  <si>
    <t>AutoPost 1119</t>
  </si>
  <si>
    <t>AutoPost 1120</t>
  </si>
  <si>
    <t>AutoPost 1121</t>
  </si>
  <si>
    <t>AutoPost 1122</t>
  </si>
  <si>
    <t>AutoPost 1123</t>
  </si>
  <si>
    <t>AutoPost 1124</t>
  </si>
  <si>
    <t>AutoPost 1125</t>
  </si>
  <si>
    <t>AutoPost 1126</t>
  </si>
  <si>
    <t>AutoPost 1127</t>
  </si>
  <si>
    <t>AutoPost 1128</t>
  </si>
  <si>
    <t>AutoPost 1129</t>
  </si>
  <si>
    <t>AutoPost 1130</t>
  </si>
  <si>
    <t>AutoPost 1131</t>
  </si>
  <si>
    <t>AutoPost 1132</t>
  </si>
  <si>
    <t>AutoPost 1133</t>
  </si>
  <si>
    <t>AutoPost 1134</t>
  </si>
  <si>
    <t>AutoPost 1135</t>
  </si>
  <si>
    <t>AutoPost 1136</t>
  </si>
  <si>
    <t>AutoPost 1137</t>
  </si>
  <si>
    <t>AutoPost 1138</t>
  </si>
  <si>
    <t>AutoPost 1139</t>
  </si>
  <si>
    <t>AutoPost 1140</t>
  </si>
  <si>
    <t>AutoPost 1141</t>
  </si>
  <si>
    <t>AutoPost 1142</t>
  </si>
  <si>
    <t>AutoPost 1143</t>
  </si>
  <si>
    <t>AutoPost 1144</t>
  </si>
  <si>
    <t>AutoPost 1145</t>
  </si>
  <si>
    <t>AutoPost 1146</t>
  </si>
  <si>
    <t>AutoPost 1147</t>
  </si>
  <si>
    <t>AutoPost 1148</t>
  </si>
  <si>
    <t>AutoPost 1149</t>
  </si>
  <si>
    <t>AutoPost 1150</t>
  </si>
  <si>
    <t>AutoPost 1151</t>
  </si>
  <si>
    <t>AutoPost 1152</t>
  </si>
  <si>
    <t>AutoPost 1153</t>
  </si>
  <si>
    <t>AutoPost 1154</t>
  </si>
  <si>
    <t>AutoPost 1155</t>
  </si>
  <si>
    <t>AutoPost 1156</t>
  </si>
  <si>
    <t>AutoPost 1157</t>
  </si>
  <si>
    <t>AutoPost 1158</t>
  </si>
  <si>
    <t>AutoPost 1159</t>
  </si>
  <si>
    <t>AutoPost 1160</t>
  </si>
  <si>
    <t>AutoPost 1161</t>
  </si>
  <si>
    <t>AutoPost 1162</t>
  </si>
  <si>
    <t>AutoPost 1163</t>
  </si>
  <si>
    <t>AutoPost 1164</t>
  </si>
  <si>
    <t>AutoPost 1165</t>
  </si>
  <si>
    <t>AutoPost 1166</t>
  </si>
  <si>
    <t>AutoPost 1167</t>
  </si>
  <si>
    <t>AutoPost 1168</t>
  </si>
  <si>
    <t>AutoPost 1169</t>
  </si>
  <si>
    <t>AutoPost 1170</t>
  </si>
  <si>
    <t>AutoPost 1171</t>
  </si>
  <si>
    <t>AutoPost 1172</t>
  </si>
  <si>
    <t>AutoPost 1173</t>
  </si>
  <si>
    <t>AutoPost 1174</t>
  </si>
  <si>
    <t>AutoPost 1175</t>
  </si>
  <si>
    <t>AutoPost 1176</t>
  </si>
  <si>
    <t>AutoPost 1177</t>
  </si>
  <si>
    <t>AutoPost 1178</t>
  </si>
  <si>
    <t>AutoPost 1179</t>
  </si>
  <si>
    <t>AutoPost 1180</t>
  </si>
  <si>
    <t>AutoPost 1181</t>
  </si>
  <si>
    <t>AutoPost 1182</t>
  </si>
  <si>
    <t>AutoPost 1183</t>
  </si>
  <si>
    <t>AutoPost 1184</t>
  </si>
  <si>
    <t>AutoPost 1185</t>
  </si>
  <si>
    <t>AutoPost 1186</t>
  </si>
  <si>
    <t>AutoPost 1187</t>
  </si>
  <si>
    <t>AutoPost 1188</t>
  </si>
  <si>
    <t>AutoPost 1189</t>
  </si>
  <si>
    <t>AutoPost 1190</t>
  </si>
  <si>
    <t>AutoPost 1191</t>
  </si>
  <si>
    <t>AutoPost 1192</t>
  </si>
  <si>
    <t>AutoPost 1193</t>
  </si>
  <si>
    <t>AutoPost 1194</t>
  </si>
  <si>
    <t>AutoPost 1195</t>
  </si>
  <si>
    <t>AutoPost 1196</t>
  </si>
  <si>
    <t>AutoPost 1197</t>
  </si>
  <si>
    <t>AutoPost 1198</t>
  </si>
  <si>
    <t>AutoPost 1199</t>
  </si>
  <si>
    <t>AutoPost 1200</t>
  </si>
  <si>
    <t>AutoPost 1201</t>
  </si>
  <si>
    <t>AutoPost 1202</t>
  </si>
  <si>
    <t>AutoPost 1203</t>
  </si>
  <si>
    <t>AutoPost 1204</t>
  </si>
  <si>
    <t>AutoPost 1205</t>
  </si>
  <si>
    <t>AutoPost 1206</t>
  </si>
  <si>
    <t>AutoPost 1207</t>
  </si>
  <si>
    <t>AutoPost 1208</t>
  </si>
  <si>
    <t>AutoPost 1209</t>
  </si>
  <si>
    <t>AutoPost 1210</t>
  </si>
  <si>
    <t>AutoPost 1211</t>
  </si>
  <si>
    <t>AutoPost 1212</t>
  </si>
  <si>
    <t>AutoPost 1213</t>
  </si>
  <si>
    <t>AutoPost 1214</t>
  </si>
  <si>
    <t>AutoPost 1215</t>
  </si>
  <si>
    <t>AutoPost 1216</t>
  </si>
  <si>
    <t>AutoPost 1217</t>
  </si>
  <si>
    <t>AutoPost 1218</t>
  </si>
  <si>
    <t>AutoPost 1219</t>
  </si>
  <si>
    <t>AutoPost 1220</t>
  </si>
  <si>
    <t>AutoPost 1221</t>
  </si>
  <si>
    <t>AutoPost 1222</t>
  </si>
  <si>
    <t>AutoPost 1223</t>
  </si>
  <si>
    <t>AutoPost 1224</t>
  </si>
  <si>
    <t>AutoPost 1225</t>
  </si>
  <si>
    <t>AutoPost 1226</t>
  </si>
  <si>
    <t>AutoPost 1227</t>
  </si>
  <si>
    <t>AutoPost 1228</t>
  </si>
  <si>
    <t>AutoPost 1229</t>
  </si>
  <si>
    <t>AutoPost 1230</t>
  </si>
  <si>
    <t>AutoPost 1231</t>
  </si>
  <si>
    <t>AutoPost 1232</t>
  </si>
  <si>
    <t>AutoPost 1233</t>
  </si>
  <si>
    <t>AutoPost 1234</t>
  </si>
  <si>
    <t>AutoPost 1235</t>
  </si>
  <si>
    <t>AutoPost 1236</t>
  </si>
  <si>
    <t>AutoPost 1237</t>
  </si>
  <si>
    <t>AutoPost 1238</t>
  </si>
  <si>
    <t>AutoPost 1239</t>
  </si>
  <si>
    <t>AutoPost 1240</t>
  </si>
  <si>
    <t>AutoPost 1241</t>
  </si>
  <si>
    <t>AutoPost 1242</t>
  </si>
  <si>
    <t>AutoPost 1243</t>
  </si>
  <si>
    <t>AutoPost 1244</t>
  </si>
  <si>
    <t>AutoPost 1245</t>
  </si>
  <si>
    <t>AutoPost 1246</t>
  </si>
  <si>
    <t>AutoPost 1247</t>
  </si>
  <si>
    <t>AutoPost 1248</t>
  </si>
  <si>
    <t>AutoPost 1249</t>
  </si>
  <si>
    <t>AutoPost 1250</t>
  </si>
  <si>
    <t>AutoPost 1251</t>
  </si>
  <si>
    <t>AutoPost 1252</t>
  </si>
  <si>
    <t>AutoPost 1253</t>
  </si>
  <si>
    <t>AutoPost 1254</t>
  </si>
  <si>
    <t>AutoPost 1255</t>
  </si>
  <si>
    <t>AutoPost 1256</t>
  </si>
  <si>
    <t>AutoPost 1257</t>
  </si>
  <si>
    <t>AutoPost 1258</t>
  </si>
  <si>
    <t>AutoPost 1259</t>
  </si>
  <si>
    <t>AutoPost 1260</t>
  </si>
  <si>
    <t>AutoPost 1261</t>
  </si>
  <si>
    <t>AutoPost 1262</t>
  </si>
  <si>
    <t>AutoPost 1263</t>
  </si>
  <si>
    <t>AutoPost 1264</t>
  </si>
  <si>
    <t>AutoPost 1265</t>
  </si>
  <si>
    <t>AutoPost 1266</t>
  </si>
  <si>
    <t>AutoPost 1267</t>
  </si>
  <si>
    <t>AutoPost 1268</t>
  </si>
  <si>
    <t>AutoPost 1269</t>
  </si>
  <si>
    <t>AutoPost 1270</t>
  </si>
  <si>
    <t>AutoPost 1271</t>
  </si>
  <si>
    <t>AutoPost 1272</t>
  </si>
  <si>
    <t>AutoPost 1273</t>
  </si>
  <si>
    <t>AutoPost 1274</t>
  </si>
  <si>
    <t>AutoPost 1275</t>
  </si>
  <si>
    <t>AutoPost 1276</t>
  </si>
  <si>
    <t>AutoPost 1277</t>
  </si>
  <si>
    <t>AutoPost 1278</t>
  </si>
  <si>
    <t>AutoPost 1279</t>
  </si>
  <si>
    <t>AutoPost 1280</t>
  </si>
  <si>
    <t>AutoPost 1281</t>
  </si>
  <si>
    <t>AutoPost 1282</t>
  </si>
  <si>
    <t>AutoPost 1283</t>
  </si>
  <si>
    <t>AutoPost 1284</t>
  </si>
  <si>
    <t>AutoPost 1285</t>
  </si>
  <si>
    <t>AutoPost 1286</t>
  </si>
  <si>
    <t>AutoPost 1287</t>
  </si>
  <si>
    <t>AutoPost 1288</t>
  </si>
  <si>
    <t>AutoPost 1289</t>
  </si>
  <si>
    <t>AutoPost 1290</t>
  </si>
  <si>
    <t>AutoPost 1291</t>
  </si>
  <si>
    <t>AutoPost 1292</t>
  </si>
  <si>
    <t>AutoPost 1293</t>
  </si>
  <si>
    <t>AutoPost 1294</t>
  </si>
  <si>
    <t>AutoPost 1295</t>
  </si>
  <si>
    <t>AutoPost 1296</t>
  </si>
  <si>
    <t>AutoPost 1297</t>
  </si>
  <si>
    <t>AutoPost 1298</t>
  </si>
  <si>
    <t>AutoPost 1299</t>
  </si>
  <si>
    <t>AutoPost 1300</t>
  </si>
  <si>
    <t>AutoPost 1301</t>
  </si>
  <si>
    <t>AutoPost 1302</t>
  </si>
  <si>
    <t>AutoPost 1303</t>
  </si>
  <si>
    <t>AutoPost 1304</t>
  </si>
  <si>
    <t>AutoPost 1305</t>
  </si>
  <si>
    <t>AutoPost 1306</t>
  </si>
  <si>
    <t>AutoPost 1307</t>
  </si>
  <si>
    <t>AutoPost 1308</t>
  </si>
  <si>
    <t>AutoPost 1309</t>
  </si>
  <si>
    <t>AutoPost 1310</t>
  </si>
  <si>
    <t>AutoPost 1311</t>
  </si>
  <si>
    <t>AutoPost 1312</t>
  </si>
  <si>
    <t>AutoPost 1313</t>
  </si>
  <si>
    <t>AutoPost 1314</t>
  </si>
  <si>
    <t>AutoPost 1315</t>
  </si>
  <si>
    <t>AutoPost 1316</t>
  </si>
  <si>
    <t>AutoPost 1317</t>
  </si>
  <si>
    <t>AutoPost 1318</t>
  </si>
  <si>
    <t>AutoPost 1319</t>
  </si>
  <si>
    <t>AutoPost 1320</t>
  </si>
  <si>
    <t>AutoPost 1321</t>
  </si>
  <si>
    <t>AutoPost 1322</t>
  </si>
  <si>
    <t>AutoPost 1323</t>
  </si>
  <si>
    <t>AutoPost 1324</t>
  </si>
  <si>
    <t>AutoPost 1325</t>
  </si>
  <si>
    <t>AutoPost 1326</t>
  </si>
  <si>
    <t>AutoPost 1327</t>
  </si>
  <si>
    <t>AutoPost 1328</t>
  </si>
  <si>
    <t>AutoPost 1329</t>
  </si>
  <si>
    <t>AutoPost 1330</t>
  </si>
  <si>
    <t>AutoPost 1331</t>
  </si>
  <si>
    <t>AutoPost 1332</t>
  </si>
  <si>
    <t>AutoPost 1333</t>
  </si>
  <si>
    <t>AutoPost 1334</t>
  </si>
  <si>
    <t>AutoPost 1335</t>
  </si>
  <si>
    <t>AutoPost 1336</t>
  </si>
  <si>
    <t>AutoPost 1337</t>
  </si>
  <si>
    <t>AutoPost 1338</t>
  </si>
  <si>
    <t>AutoPost 1339</t>
  </si>
  <si>
    <t>AutoPost 1340</t>
  </si>
  <si>
    <t>AutoPost 1341</t>
  </si>
  <si>
    <t>AutoPost 1342</t>
  </si>
  <si>
    <t>AutoPost 1343</t>
  </si>
  <si>
    <t>AutoPost 1344</t>
  </si>
  <si>
    <t>AutoPost 1345</t>
  </si>
  <si>
    <t>AutoPost 1346</t>
  </si>
  <si>
    <t>AutoPost 1347</t>
  </si>
  <si>
    <t>AutoPost 1348</t>
  </si>
  <si>
    <t>AutoPost 1349</t>
  </si>
  <si>
    <t>AutoPost 1350</t>
  </si>
  <si>
    <t>AutoPost 1351</t>
  </si>
  <si>
    <t>AutoPost 1352</t>
  </si>
  <si>
    <t>AutoPost 1353</t>
  </si>
  <si>
    <t>AutoPost 1354</t>
  </si>
  <si>
    <t>AutoPost 1355</t>
  </si>
  <si>
    <t>AutoPost 1356</t>
  </si>
  <si>
    <t>AutoPost 1357</t>
  </si>
  <si>
    <t>AutoPost 1358</t>
  </si>
  <si>
    <t>AutoPost 1359</t>
  </si>
  <si>
    <t>AutoPost 1360</t>
  </si>
  <si>
    <t>AutoPost 1361</t>
  </si>
  <si>
    <t>AutoPost 1362</t>
  </si>
  <si>
    <t>AutoPost 1363</t>
  </si>
  <si>
    <t>AutoPost 1364</t>
  </si>
  <si>
    <t>AutoPost 1365</t>
  </si>
  <si>
    <t>AutoPost 1366</t>
  </si>
  <si>
    <t>AutoPost 1367</t>
  </si>
  <si>
    <t>AutoPost 1368</t>
  </si>
  <si>
    <t>AutoPost 1369</t>
  </si>
  <si>
    <t>AutoPost 1370</t>
  </si>
  <si>
    <t>AutoPost 1371</t>
  </si>
  <si>
    <t>AutoPost 1372</t>
  </si>
  <si>
    <t>AutoPost 1373</t>
  </si>
  <si>
    <t>AutoPost 1374</t>
  </si>
  <si>
    <t>AutoPost 1375</t>
  </si>
  <si>
    <t>AutoPost 1376</t>
  </si>
  <si>
    <t>AutoPost 1377</t>
  </si>
  <si>
    <t>AutoPost 1378</t>
  </si>
  <si>
    <t>AutoPost 1379</t>
  </si>
  <si>
    <t>AutoPost 1380</t>
  </si>
  <si>
    <t>AutoPost 1381</t>
  </si>
  <si>
    <t>AutoPost 1382</t>
  </si>
  <si>
    <t>AutoPost 1383</t>
  </si>
  <si>
    <t>AutoPost 1384</t>
  </si>
  <si>
    <t>AutoPost 1385</t>
  </si>
  <si>
    <t>AutoPost 1386</t>
  </si>
  <si>
    <t>AutoPost 1387</t>
  </si>
  <si>
    <t>AutoPost 1388</t>
  </si>
  <si>
    <t>AutoPost 1389</t>
  </si>
  <si>
    <t>AutoPost 1390</t>
  </si>
  <si>
    <t>AutoPost 1391</t>
  </si>
  <si>
    <t>AutoPost 1392</t>
  </si>
  <si>
    <t>AutoPost 1393</t>
  </si>
  <si>
    <t>AutoPost 1394</t>
  </si>
  <si>
    <t>AutoPost 1395</t>
  </si>
  <si>
    <t>AutoPost 1396</t>
  </si>
  <si>
    <t>AutoPost 1397</t>
  </si>
  <si>
    <t>AutoPost 1398</t>
  </si>
  <si>
    <t>AutoPost 1399</t>
  </si>
  <si>
    <t>AutoPost 1400</t>
  </si>
  <si>
    <t>AutoPost 1401</t>
  </si>
  <si>
    <t>AutoPost 1402</t>
  </si>
  <si>
    <t>AutoPost 1403</t>
  </si>
  <si>
    <t>AutoPost 1404</t>
  </si>
  <si>
    <t>AutoPost 1405</t>
  </si>
  <si>
    <t>AutoPost 1406</t>
  </si>
  <si>
    <t>AutoPost 1407</t>
  </si>
  <si>
    <t>AutoPost 1408</t>
  </si>
  <si>
    <t>AutoPost 1409</t>
  </si>
  <si>
    <t>AutoPost 1410</t>
  </si>
  <si>
    <t>AutoPost 1411</t>
  </si>
  <si>
    <t>AutoPost 1412</t>
  </si>
  <si>
    <t>AutoPost 1413</t>
  </si>
  <si>
    <t>AutoPost 1414</t>
  </si>
  <si>
    <t>AutoPost 1415</t>
  </si>
  <si>
    <t>AutoPost 1416</t>
  </si>
  <si>
    <t>AutoPost 1417</t>
  </si>
  <si>
    <t>AutoPost 1418</t>
  </si>
  <si>
    <t>AutoPost 1419</t>
  </si>
  <si>
    <t>AutoPost 1420</t>
  </si>
  <si>
    <t>AutoPost 1421</t>
  </si>
  <si>
    <t>AutoPost 1422</t>
  </si>
  <si>
    <t>AutoPost 1423</t>
  </si>
  <si>
    <t>AutoPost 1424</t>
  </si>
  <si>
    <t>AutoPost 1425</t>
  </si>
  <si>
    <t>AutoPost 1426</t>
  </si>
  <si>
    <t>AutoPost 1427</t>
  </si>
  <si>
    <t>AutoPost 1428</t>
  </si>
  <si>
    <t>AutoPost 1429</t>
  </si>
  <si>
    <t>AutoPost 1430</t>
  </si>
  <si>
    <t>AutoPost 1431</t>
  </si>
  <si>
    <t>AutoPost 1432</t>
  </si>
  <si>
    <t>AutoPost 1433</t>
  </si>
  <si>
    <t>AutoPost 1434</t>
  </si>
  <si>
    <t>AutoPost 1435</t>
  </si>
  <si>
    <t>AutoPost 1436</t>
  </si>
  <si>
    <t>AutoPost 1437</t>
  </si>
  <si>
    <t>AutoPost 1438</t>
  </si>
  <si>
    <t>AutoPost 1439</t>
  </si>
  <si>
    <t>AutoPost 1440</t>
  </si>
  <si>
    <t>AutoPost 1441</t>
  </si>
  <si>
    <t>AutoPost 1442</t>
  </si>
  <si>
    <t>AutoPost 1443</t>
  </si>
  <si>
    <t>AutoPost 1444</t>
  </si>
  <si>
    <t>AutoPost 1445</t>
  </si>
  <si>
    <t>AutoPost 1446</t>
  </si>
  <si>
    <t>AutoPost 1447</t>
  </si>
  <si>
    <t>AutoPost 1448</t>
  </si>
  <si>
    <t>AutoPost 1449</t>
  </si>
  <si>
    <t>AutoPost 1450</t>
  </si>
  <si>
    <t>AutoPost 1451</t>
  </si>
  <si>
    <t>AutoPost 1452</t>
  </si>
  <si>
    <t>AutoPost 1453</t>
  </si>
  <si>
    <t>AutoPost 1454</t>
  </si>
  <si>
    <t>AutoPost 1455</t>
  </si>
  <si>
    <t>AutoPost 1456</t>
  </si>
  <si>
    <t>AutoPost 1457</t>
  </si>
  <si>
    <t>AutoPost 1458</t>
  </si>
  <si>
    <t>AutoPost 1459</t>
  </si>
  <si>
    <t>AutoPost 1460</t>
  </si>
  <si>
    <t>AutoPost 1461</t>
  </si>
  <si>
    <t>AutoPost 1462</t>
  </si>
  <si>
    <t>AutoPost 1463</t>
  </si>
  <si>
    <t>AutoPost 1464</t>
  </si>
  <si>
    <t>AutoPost 1465</t>
  </si>
  <si>
    <t>AutoPost 1466</t>
  </si>
  <si>
    <t>AutoPost 1467</t>
  </si>
  <si>
    <t>AutoPost 1468</t>
  </si>
  <si>
    <t>AutoPost 1469</t>
  </si>
  <si>
    <t>AutoPost 1470</t>
  </si>
  <si>
    <t>AutoPost 1471</t>
  </si>
  <si>
    <t>AutoPost 1472</t>
  </si>
  <si>
    <t>AutoPost 1473</t>
  </si>
  <si>
    <t>AutoPost 1474</t>
  </si>
  <si>
    <t>AutoPost 1475</t>
  </si>
  <si>
    <t>AutoPost 1476</t>
  </si>
  <si>
    <t>AutoPost 1477</t>
  </si>
  <si>
    <t>AutoPost 1478</t>
  </si>
  <si>
    <t>AutoPost 1479</t>
  </si>
  <si>
    <t>AutoPost 1480</t>
  </si>
  <si>
    <t>AutoPost 1481</t>
  </si>
  <si>
    <t>AutoPost 1482</t>
  </si>
  <si>
    <t>AutoPost 1483</t>
  </si>
  <si>
    <t>AutoPost 1484</t>
  </si>
  <si>
    <t>AutoPost 1485</t>
  </si>
  <si>
    <t>AutoPost 1486</t>
  </si>
  <si>
    <t>AutoPost 1487</t>
  </si>
  <si>
    <t>AutoPost 1488</t>
  </si>
  <si>
    <t>AutoPost 1489</t>
  </si>
  <si>
    <t>AutoPost 1490</t>
  </si>
  <si>
    <t>AutoPost 1491</t>
  </si>
  <si>
    <t>AutoPost 1492</t>
  </si>
  <si>
    <t>AutoPost 1493</t>
  </si>
  <si>
    <t>AutoPost 1494</t>
  </si>
  <si>
    <t>AutoPost 1495</t>
  </si>
  <si>
    <t>AutoPost 1496</t>
  </si>
  <si>
    <t>AutoPost 1497</t>
  </si>
  <si>
    <t>AutoPost 1498</t>
  </si>
  <si>
    <t>AutoPost 1499</t>
  </si>
  <si>
    <t>AutoPost 1500</t>
  </si>
  <si>
    <t>AutoPost 1501</t>
  </si>
  <si>
    <t>AutoPost 1502</t>
  </si>
  <si>
    <t>AutoPost 1503</t>
  </si>
  <si>
    <t>AutoPost 1504</t>
  </si>
  <si>
    <t>AutoPost 1505</t>
  </si>
  <si>
    <t>AutoPost 1506</t>
  </si>
  <si>
    <t>AutoPost 1507</t>
  </si>
  <si>
    <t>AutoPost 1508</t>
  </si>
  <si>
    <t>AutoPost 1509</t>
  </si>
  <si>
    <t>AutoPost 1510</t>
  </si>
  <si>
    <t>AutoPost 1511</t>
  </si>
  <si>
    <t>AutoPost 1512</t>
  </si>
  <si>
    <t>AutoPost 1513</t>
  </si>
  <si>
    <t>AutoPost 1514</t>
  </si>
  <si>
    <t>AutoPost 1515</t>
  </si>
  <si>
    <t>AutoPost 1516</t>
  </si>
  <si>
    <t>AutoPost 1517</t>
  </si>
  <si>
    <t>AutoPost 1518</t>
  </si>
  <si>
    <t>AutoPost 1519</t>
  </si>
  <si>
    <t>AutoPost 1520</t>
  </si>
  <si>
    <t>AutoPost 1521</t>
  </si>
  <si>
    <t>AutoPost 1522</t>
  </si>
  <si>
    <t>AutoPost 1523</t>
  </si>
  <si>
    <t>AutoPost 1524</t>
  </si>
  <si>
    <t>AutoPost 1525</t>
  </si>
  <si>
    <t>AutoPost 1526</t>
  </si>
  <si>
    <t>AutoPost 1527</t>
  </si>
  <si>
    <t>AutoPost 1528</t>
  </si>
  <si>
    <t>AutoPost 1529</t>
  </si>
  <si>
    <t>AutoPost 1530</t>
  </si>
  <si>
    <t>AutoPost 1531</t>
  </si>
  <si>
    <t>AutoPost 1532</t>
  </si>
  <si>
    <t>AutoPost 1533</t>
  </si>
  <si>
    <t>AutoPost 1534</t>
  </si>
  <si>
    <t>AutoPost 1535</t>
  </si>
  <si>
    <t>AutoPost 1536</t>
  </si>
  <si>
    <t>AutoPost 1537</t>
  </si>
  <si>
    <t>AutoPost 1538</t>
  </si>
  <si>
    <t>AutoPost 1539</t>
  </si>
  <si>
    <t>AutoPost 1540</t>
  </si>
  <si>
    <t>AutoPost 1541</t>
  </si>
  <si>
    <t>AutoPost 1542</t>
  </si>
  <si>
    <t>AutoPost 1543</t>
  </si>
  <si>
    <t>AutoPost 1544</t>
  </si>
  <si>
    <t>AutoPost 1545</t>
  </si>
  <si>
    <t>AutoPost 1546</t>
  </si>
  <si>
    <t>AutoPost 1547</t>
  </si>
  <si>
    <t>AutoPost 1548</t>
  </si>
  <si>
    <t>AutoPost 1549</t>
  </si>
  <si>
    <t>AutoPost 1550</t>
  </si>
  <si>
    <t>AutoPost 1551</t>
  </si>
  <si>
    <t>AutoPost 1552</t>
  </si>
  <si>
    <t>AutoPost 1553</t>
  </si>
  <si>
    <t>AutoPost 1554</t>
  </si>
  <si>
    <t>AutoPost 1555</t>
  </si>
  <si>
    <t>AutoPost 1556</t>
  </si>
  <si>
    <t>AutoPost 1557</t>
  </si>
  <si>
    <t>AutoPost 1558</t>
  </si>
  <si>
    <t>AutoPost 1559</t>
  </si>
  <si>
    <t>AutoPost 1560</t>
  </si>
  <si>
    <t>AutoPost 1561</t>
  </si>
  <si>
    <t>AutoPost 1562</t>
  </si>
  <si>
    <t>AutoPost 1563</t>
  </si>
  <si>
    <t>AutoPost 1564</t>
  </si>
  <si>
    <t>AutoPost 1565</t>
  </si>
  <si>
    <t>AutoPost 1566</t>
  </si>
  <si>
    <t>AutoPost 1567</t>
  </si>
  <si>
    <t>AutoPost 1568</t>
  </si>
  <si>
    <t>AutoPost 1569</t>
  </si>
  <si>
    <t>AutoPost 1570</t>
  </si>
  <si>
    <t>AutoPost 1571</t>
  </si>
  <si>
    <t>AutoPost 1572</t>
  </si>
  <si>
    <t>AutoPost 1573</t>
  </si>
  <si>
    <t>AutoPost 1574</t>
  </si>
  <si>
    <t>AutoPost 1575</t>
  </si>
  <si>
    <t>AutoPost 1576</t>
  </si>
  <si>
    <t>AutoPost 1577</t>
  </si>
  <si>
    <t>AutoPost 1578</t>
  </si>
  <si>
    <t>AutoPost 1579</t>
  </si>
  <si>
    <t>AutoPost 1580</t>
  </si>
  <si>
    <t>AutoPost 1581</t>
  </si>
  <si>
    <t>AutoPost 1582</t>
  </si>
  <si>
    <t>AutoPost 1583</t>
  </si>
  <si>
    <t>AutoPost 1584</t>
  </si>
  <si>
    <t>AutoPost 1585</t>
  </si>
  <si>
    <t>AutoPost 1586</t>
  </si>
  <si>
    <t>AutoPost 1587</t>
  </si>
  <si>
    <t>AutoPost 1588</t>
  </si>
  <si>
    <t>AutoPost 1589</t>
  </si>
  <si>
    <t>AutoPost 1590</t>
  </si>
  <si>
    <t>AutoPost 1591</t>
  </si>
  <si>
    <t>AutoPost 1592</t>
  </si>
  <si>
    <t>AutoPost 1593</t>
  </si>
  <si>
    <t>AutoPost 1594</t>
  </si>
  <si>
    <t>AutoPost 1595</t>
  </si>
  <si>
    <t>AutoPost 1596</t>
  </si>
  <si>
    <t>AutoPost 1597</t>
  </si>
  <si>
    <t>AutoPost 1598</t>
  </si>
  <si>
    <t>AutoPost 1599</t>
  </si>
  <si>
    <t>AutoPost 1600</t>
  </si>
  <si>
    <t>AutoPost 1601</t>
  </si>
  <si>
    <t>AutoPost 1602</t>
  </si>
  <si>
    <t>AutoPost 1603</t>
  </si>
  <si>
    <t>AutoPost 1604</t>
  </si>
  <si>
    <t>AutoPost 1605</t>
  </si>
  <si>
    <t>AutoPost 1606</t>
  </si>
  <si>
    <t>AutoPost 1607</t>
  </si>
  <si>
    <t>AutoPost 1608</t>
  </si>
  <si>
    <t>AutoPost 1609</t>
  </si>
  <si>
    <t>AutoPost 1610</t>
  </si>
  <si>
    <t>AutoPost 1611</t>
  </si>
  <si>
    <t>AutoPost 1612</t>
  </si>
  <si>
    <t>AutoPost 1613</t>
  </si>
  <si>
    <t>AutoPost 1614</t>
  </si>
  <si>
    <t>AutoPost 1615</t>
  </si>
  <si>
    <t>AutoPost 1616</t>
  </si>
  <si>
    <t>AutoPost 1617</t>
  </si>
  <si>
    <t>AutoPost 1618</t>
  </si>
  <si>
    <t>AutoPost 1619</t>
  </si>
  <si>
    <t>AutoPost 1620</t>
  </si>
  <si>
    <t>AutoPost 1621</t>
  </si>
  <si>
    <t>AutoPost 1622</t>
  </si>
  <si>
    <t>AutoPost 1623</t>
  </si>
  <si>
    <t>AutoPost 1624</t>
  </si>
  <si>
    <t>AutoPost 1625</t>
  </si>
  <si>
    <t>AutoPost 1626</t>
  </si>
  <si>
    <t>AutoPost 1627</t>
  </si>
  <si>
    <t>AutoPost 1628</t>
  </si>
  <si>
    <t>AutoPost 1629</t>
  </si>
  <si>
    <t>AutoPost 1630</t>
  </si>
  <si>
    <t>AutoPost 1631</t>
  </si>
  <si>
    <t>AutoPost 1632</t>
  </si>
  <si>
    <t>AutoPost 1633</t>
  </si>
  <si>
    <t>AutoPost 1634</t>
  </si>
  <si>
    <t>AutoPost 1635</t>
  </si>
  <si>
    <t>AutoPost 1636</t>
  </si>
  <si>
    <t>AutoPost 1637</t>
  </si>
  <si>
    <t>AutoPost 1638</t>
  </si>
  <si>
    <t>AutoPost 1639</t>
  </si>
  <si>
    <t>AutoPost 1640</t>
  </si>
  <si>
    <t>AutoPost 1641</t>
  </si>
  <si>
    <t>AutoPost 1642</t>
  </si>
  <si>
    <t>AutoPost 1643</t>
  </si>
  <si>
    <t>AutoPost 1644</t>
  </si>
  <si>
    <t>AutoPost 1645</t>
  </si>
  <si>
    <t>AutoPost 1646</t>
  </si>
  <si>
    <t>AutoPost 1647</t>
  </si>
  <si>
    <t>AutoPost 1648</t>
  </si>
  <si>
    <t>AutoPost 1649</t>
  </si>
  <si>
    <t>AutoPost 1650</t>
  </si>
  <si>
    <t>AutoPost 1651</t>
  </si>
  <si>
    <t>AutoPost 1652</t>
  </si>
  <si>
    <t>AutoPost 1653</t>
  </si>
  <si>
    <t>AutoPost 1654</t>
  </si>
  <si>
    <t>AutoPost 1655</t>
  </si>
  <si>
    <t>AutoPost 1656</t>
  </si>
  <si>
    <t>AutoPost 1657</t>
  </si>
  <si>
    <t>AutoPost 1658</t>
  </si>
  <si>
    <t>AutoPost 1659</t>
  </si>
  <si>
    <t>AutoPost 1660</t>
  </si>
  <si>
    <t>AutoPost 1661</t>
  </si>
  <si>
    <t>AutoPost 1662</t>
  </si>
  <si>
    <t>AutoPost 1663</t>
  </si>
  <si>
    <t>AutoPost 1664</t>
  </si>
  <si>
    <t>AutoPost 1665</t>
  </si>
  <si>
    <t>AutoPost 1666</t>
  </si>
  <si>
    <t>AutoPost 1667</t>
  </si>
  <si>
    <t>AutoPost 1668</t>
  </si>
  <si>
    <t>AutoPost 1669</t>
  </si>
  <si>
    <t>AutoPost 1670</t>
  </si>
  <si>
    <t>AutoPost 1671</t>
  </si>
  <si>
    <t>AutoPost 1672</t>
  </si>
  <si>
    <t>AutoPost 1673</t>
  </si>
  <si>
    <t>AutoPost 1674</t>
  </si>
  <si>
    <t>AutoPost 1675</t>
  </si>
  <si>
    <t>AutoPost 1676</t>
  </si>
  <si>
    <t>AutoPost 1677</t>
  </si>
  <si>
    <t>AutoPost 1678</t>
  </si>
  <si>
    <t>AutoPost 1679</t>
  </si>
  <si>
    <t>AutoPost 1680</t>
  </si>
  <si>
    <t>AutoPost 1681</t>
  </si>
  <si>
    <t>AutoPost 1682</t>
  </si>
  <si>
    <t>AutoPost 1683</t>
  </si>
  <si>
    <t>AutoPost 1684</t>
  </si>
  <si>
    <t>AutoPost 1685</t>
  </si>
  <si>
    <t>AutoPost 1686</t>
  </si>
  <si>
    <t>AutoPost 1687</t>
  </si>
  <si>
    <t>AutoPost 1688</t>
  </si>
  <si>
    <t>AutoPost 1689</t>
  </si>
  <si>
    <t>AutoPost 1690</t>
  </si>
  <si>
    <t>AutoPost 1691</t>
  </si>
  <si>
    <t>AutoPost 1692</t>
  </si>
  <si>
    <t>AutoPost 1693</t>
  </si>
  <si>
    <t>AutoPost 1694</t>
  </si>
  <si>
    <t>AutoPost 1695</t>
  </si>
  <si>
    <t>AutoPost 1696</t>
  </si>
  <si>
    <t>AutoPost 1697</t>
  </si>
  <si>
    <t>AutoPost 1698</t>
  </si>
  <si>
    <t>AutoPost 1699</t>
  </si>
  <si>
    <t>AutoPost 1700</t>
  </si>
  <si>
    <t>AutoPost 1701</t>
  </si>
  <si>
    <t>AutoPost 1702</t>
  </si>
  <si>
    <t>AutoPost 1703</t>
  </si>
  <si>
    <t>AutoPost 1704</t>
  </si>
  <si>
    <t>AutoPost 1705</t>
  </si>
  <si>
    <t>AutoPost 1706</t>
  </si>
  <si>
    <t>AutoPost 1707</t>
  </si>
  <si>
    <t>AutoPost 1708</t>
  </si>
  <si>
    <t>AutoPost 1709</t>
  </si>
  <si>
    <t>AutoPost 1710</t>
  </si>
  <si>
    <t>AutoPost 1711</t>
  </si>
  <si>
    <t>AutoPost 1712</t>
  </si>
  <si>
    <t>AutoPost 1713</t>
  </si>
  <si>
    <t>AutoPost 1714</t>
  </si>
  <si>
    <t>AutoPost 1715</t>
  </si>
  <si>
    <t>AutoPost 1716</t>
  </si>
  <si>
    <t>AutoPost 1717</t>
  </si>
  <si>
    <t>AutoPost 1718</t>
  </si>
  <si>
    <t>AutoPost 1719</t>
  </si>
  <si>
    <t>AutoPost 1720</t>
  </si>
  <si>
    <t>AutoPost 1721</t>
  </si>
  <si>
    <t>AutoPost 1722</t>
  </si>
  <si>
    <t>AutoPost 1723</t>
  </si>
  <si>
    <t>AutoPost 1724</t>
  </si>
  <si>
    <t>AutoPost 1725</t>
  </si>
  <si>
    <t>AutoPost 1726</t>
  </si>
  <si>
    <t>AutoPost 1727</t>
  </si>
  <si>
    <t>AutoPost 1728</t>
  </si>
  <si>
    <t>AutoPost 1729</t>
  </si>
  <si>
    <t>AutoPost 1730</t>
  </si>
  <si>
    <t>AutoPost 1731</t>
  </si>
  <si>
    <t>AutoPost 1732</t>
  </si>
  <si>
    <t>AutoPost 1733</t>
  </si>
  <si>
    <t>AutoPost 1734</t>
  </si>
  <si>
    <t>AutoPost 1735</t>
  </si>
  <si>
    <t>AutoPost 1736</t>
  </si>
  <si>
    <t>AutoPost 1737</t>
  </si>
  <si>
    <t>AutoPost 1738</t>
  </si>
  <si>
    <t>AutoPost 1739</t>
  </si>
  <si>
    <t>AutoPost 1740</t>
  </si>
  <si>
    <t>AutoPost 1741</t>
  </si>
  <si>
    <t>AutoPost 1742</t>
  </si>
  <si>
    <t>AutoPost 1743</t>
  </si>
  <si>
    <t>AutoPost 1744</t>
  </si>
  <si>
    <t>AutoPost 1745</t>
  </si>
  <si>
    <t>AutoPost 1746</t>
  </si>
  <si>
    <t>AutoPost 1747</t>
  </si>
  <si>
    <t>AutoPost 1748</t>
  </si>
  <si>
    <t>AutoPost 1749</t>
  </si>
  <si>
    <t>AutoPost 1750</t>
  </si>
  <si>
    <t>AutoPost 1751</t>
  </si>
  <si>
    <t>AutoPost 1752</t>
  </si>
  <si>
    <t>AutoPost 1753</t>
  </si>
  <si>
    <t>AutoPost 1754</t>
  </si>
  <si>
    <t>AutoPost 1755</t>
  </si>
  <si>
    <t>AutoPost 1756</t>
  </si>
  <si>
    <t>AutoPost 1757</t>
  </si>
  <si>
    <t>AutoPost 1758</t>
  </si>
  <si>
    <t>AutoPost 1759</t>
  </si>
  <si>
    <t>AutoPost 1760</t>
  </si>
  <si>
    <t>AutoPost 1761</t>
  </si>
  <si>
    <t>AutoPost 1762</t>
  </si>
  <si>
    <t>AutoPost 1763</t>
  </si>
  <si>
    <t>AutoPost 1764</t>
  </si>
  <si>
    <t>AutoPost 1765</t>
  </si>
  <si>
    <t>AutoPost 1766</t>
  </si>
  <si>
    <t>AutoPost 1767</t>
  </si>
  <si>
    <t>AutoPost 1768</t>
  </si>
  <si>
    <t>AutoPost 1769</t>
  </si>
  <si>
    <t>AutoPost 1770</t>
  </si>
  <si>
    <t>AutoPost 1771</t>
  </si>
  <si>
    <t>AutoPost 1772</t>
  </si>
  <si>
    <t>AutoPost 1773</t>
  </si>
  <si>
    <t>AutoPost 1774</t>
  </si>
  <si>
    <t>AutoPost 1775</t>
  </si>
  <si>
    <t>AutoPost 1776</t>
  </si>
  <si>
    <t>AutoPost 1777</t>
  </si>
  <si>
    <t>AutoPost 1778</t>
  </si>
  <si>
    <t>AutoPost 1779</t>
  </si>
  <si>
    <t>AutoPost 1780</t>
  </si>
  <si>
    <t>AutoPost 1781</t>
  </si>
  <si>
    <t>AutoPost 1782</t>
  </si>
  <si>
    <t>AutoPost 1783</t>
  </si>
  <si>
    <t>AutoPost 1784</t>
  </si>
  <si>
    <t>AutoPost 1785</t>
  </si>
  <si>
    <t>AutoPost 1786</t>
  </si>
  <si>
    <t>AutoPost 1787</t>
  </si>
  <si>
    <t>AutoPost 1788</t>
  </si>
  <si>
    <t>AutoPost 1789</t>
  </si>
  <si>
    <t>AutoPost 1790</t>
  </si>
  <si>
    <t>AutoPost 1791</t>
  </si>
  <si>
    <t>AutoPost 1792</t>
  </si>
  <si>
    <t>AutoPost 1793</t>
  </si>
  <si>
    <t>AutoPost 1794</t>
  </si>
  <si>
    <t>AutoPost 1795</t>
  </si>
  <si>
    <t>AutoPost 1796</t>
  </si>
  <si>
    <t>AutoPost 1797</t>
  </si>
  <si>
    <t>AutoPost 1798</t>
  </si>
  <si>
    <t>AutoPost 1799</t>
  </si>
  <si>
    <t>AutoPost 1800</t>
  </si>
  <si>
    <t>AutoPost 1801</t>
  </si>
  <si>
    <t>AutoPost 1802</t>
  </si>
  <si>
    <t>AutoPost 1803</t>
  </si>
  <si>
    <t>AutoPost 1804</t>
  </si>
  <si>
    <t>AutoPost 1805</t>
  </si>
  <si>
    <t>AutoPost 1806</t>
  </si>
  <si>
    <t>AutoPost 1807</t>
  </si>
  <si>
    <t>AutoPost 1808</t>
  </si>
  <si>
    <t>AutoPost 1809</t>
  </si>
  <si>
    <t>AutoPost 1810</t>
  </si>
  <si>
    <t>AutoPost 1811</t>
  </si>
  <si>
    <t>AutoPost 1812</t>
  </si>
  <si>
    <t>AutoPost 1813</t>
  </si>
  <si>
    <t>AutoPost 1814</t>
  </si>
  <si>
    <t>AutoPost 1815</t>
  </si>
  <si>
    <t>AutoPost 1816</t>
  </si>
  <si>
    <t>AutoPost 1817</t>
  </si>
  <si>
    <t>AutoPost 1818</t>
  </si>
  <si>
    <t>AutoPost 1819</t>
  </si>
  <si>
    <t>AutoPost 1820</t>
  </si>
  <si>
    <t>AutoPost 1821</t>
  </si>
  <si>
    <t>AutoPost 1822</t>
  </si>
  <si>
    <t>AutoPost 1823</t>
  </si>
  <si>
    <t>AutoPost 1824</t>
  </si>
  <si>
    <t>AutoPost 1825</t>
  </si>
  <si>
    <t>AutoPost 1826</t>
  </si>
  <si>
    <t>AutoPost 1827</t>
  </si>
  <si>
    <t>AutoPost 1828</t>
  </si>
  <si>
    <t>AutoPost 1829</t>
  </si>
  <si>
    <t>AutoPost 1830</t>
  </si>
  <si>
    <t>AutoPost 1831</t>
  </si>
  <si>
    <t>AutoPost 1832</t>
  </si>
  <si>
    <t>AutoPost 1833</t>
  </si>
  <si>
    <t>AutoPost 1834</t>
  </si>
  <si>
    <t>AutoPost 1835</t>
  </si>
  <si>
    <t>AutoPost 1836</t>
  </si>
  <si>
    <t>AutoPost 1837</t>
  </si>
  <si>
    <t>AutoPost 1838</t>
  </si>
  <si>
    <t>AutoPost 1839</t>
  </si>
  <si>
    <t>AutoPost 1840</t>
  </si>
  <si>
    <t>AutoPost 1841</t>
  </si>
  <si>
    <t>AutoPost 1842</t>
  </si>
  <si>
    <t>AutoPost 1843</t>
  </si>
  <si>
    <t>AutoPost 1844</t>
  </si>
  <si>
    <t>AutoPost 1845</t>
  </si>
  <si>
    <t>AutoPost 1846</t>
  </si>
  <si>
    <t>AutoPost 1847</t>
  </si>
  <si>
    <t>AutoPost 1848</t>
  </si>
  <si>
    <t>AutoPost 1849</t>
  </si>
  <si>
    <t>AutoPost 1850</t>
  </si>
  <si>
    <t>AutoPost 1851</t>
  </si>
  <si>
    <t>AutoPost 1852</t>
  </si>
  <si>
    <t>AutoPost 1853</t>
  </si>
  <si>
    <t>AutoPost 1854</t>
  </si>
  <si>
    <t>AutoPost 1855</t>
  </si>
  <si>
    <t>AutoPost 1856</t>
  </si>
  <si>
    <t>AutoPost 1857</t>
  </si>
  <si>
    <t>AutoPost 1858</t>
  </si>
  <si>
    <t>AutoPost 1859</t>
  </si>
  <si>
    <t>AutoPost 1860</t>
  </si>
  <si>
    <t>AutoPost 1861</t>
  </si>
  <si>
    <t>AutoPost 1862</t>
  </si>
  <si>
    <t>AutoPost 1863</t>
  </si>
  <si>
    <t>AutoPost 1864</t>
  </si>
  <si>
    <t>AutoPost 1865</t>
  </si>
  <si>
    <t>AutoPost 1866</t>
  </si>
  <si>
    <t>AutoPost 1867</t>
  </si>
  <si>
    <t>AutoPost 1868</t>
  </si>
  <si>
    <t>AutoPost 1869</t>
  </si>
  <si>
    <t>AutoPost 1870</t>
  </si>
  <si>
    <t>AutoPost 1871</t>
  </si>
  <si>
    <t>AutoPost 1872</t>
  </si>
  <si>
    <t>AutoPost 1873</t>
  </si>
  <si>
    <t>AutoPost 1874</t>
  </si>
  <si>
    <t>AutoPost 1875</t>
  </si>
  <si>
    <t>AutoPost 1876</t>
  </si>
  <si>
    <t>AutoPost 1877</t>
  </si>
  <si>
    <t>AutoPost 1878</t>
  </si>
  <si>
    <t>AutoPost 1879</t>
  </si>
  <si>
    <t>AutoPost 1880</t>
  </si>
  <si>
    <t>AutoPost 1881</t>
  </si>
  <si>
    <t>AutoPost 1882</t>
  </si>
  <si>
    <t>AutoPost 1883</t>
  </si>
  <si>
    <t>AutoPost 1884</t>
  </si>
  <si>
    <t>AutoPost 1885</t>
  </si>
  <si>
    <t>AutoPost 1886</t>
  </si>
  <si>
    <t>AutoPost 1887</t>
  </si>
  <si>
    <t>AutoPost 1888</t>
  </si>
  <si>
    <t>AutoPost 1889</t>
  </si>
  <si>
    <t>AutoPost 1890</t>
  </si>
  <si>
    <t>AutoPost 1891</t>
  </si>
  <si>
    <t>AutoPost 1892</t>
  </si>
  <si>
    <t>AutoPost 1893</t>
  </si>
  <si>
    <t>AutoPost 1894</t>
  </si>
  <si>
    <t>AutoPost 1895</t>
  </si>
  <si>
    <t>AutoPost 1896</t>
  </si>
  <si>
    <t>AutoPost 1897</t>
  </si>
  <si>
    <t>AutoPost 1898</t>
  </si>
  <si>
    <t>AutoPost 1899</t>
  </si>
  <si>
    <t>AutoPost 1900</t>
  </si>
  <si>
    <t>AutoPost 1901</t>
  </si>
  <si>
    <t>AutoPost 1902</t>
  </si>
  <si>
    <t>AutoPost 1903</t>
  </si>
  <si>
    <t>AutoPost 1904</t>
  </si>
  <si>
    <t>AutoPost 1905</t>
  </si>
  <si>
    <t>AutoPost 1906</t>
  </si>
  <si>
    <t>AutoPost 1907</t>
  </si>
  <si>
    <t>AutoPost 1908</t>
  </si>
  <si>
    <t>AutoPost 1909</t>
  </si>
  <si>
    <t>AutoPost 1910</t>
  </si>
  <si>
    <t>AutoPost 1911</t>
  </si>
  <si>
    <t>AutoPost 1912</t>
  </si>
  <si>
    <t>AutoPost 1913</t>
  </si>
  <si>
    <t>AutoPost 1914</t>
  </si>
  <si>
    <t>AutoPost 1915</t>
  </si>
  <si>
    <t>AutoPost 1916</t>
  </si>
  <si>
    <t>AutoPost 1917</t>
  </si>
  <si>
    <t>AutoPost 1918</t>
  </si>
  <si>
    <t>AutoPost 1919</t>
  </si>
  <si>
    <t>AutoPost 1920</t>
  </si>
  <si>
    <t>AutoPost 1921</t>
  </si>
  <si>
    <t>AutoPost 1922</t>
  </si>
  <si>
    <t>AutoPost 1923</t>
  </si>
  <si>
    <t>AutoPost 1924</t>
  </si>
  <si>
    <t>AutoPost 1925</t>
  </si>
  <si>
    <t>AutoPost 1926</t>
  </si>
  <si>
    <t>AutoPost 1927</t>
  </si>
  <si>
    <t>AutoPost 1928</t>
  </si>
  <si>
    <t>AutoPost 1929</t>
  </si>
  <si>
    <t>AutoPost 1930</t>
  </si>
  <si>
    <t>AutoPost 1931</t>
  </si>
  <si>
    <t>AutoPost 1932</t>
  </si>
  <si>
    <t>AutoPost 1933</t>
  </si>
  <si>
    <t>AutoPost 1934</t>
  </si>
  <si>
    <t>AutoPost 1935</t>
  </si>
  <si>
    <t>AutoPost 1936</t>
  </si>
  <si>
    <t>AutoPost 1937</t>
  </si>
  <si>
    <t>AutoPost 1938</t>
  </si>
  <si>
    <t>AutoPost 1939</t>
  </si>
  <si>
    <t>AutoPost 1940</t>
  </si>
  <si>
    <t>AutoPost 1941</t>
  </si>
  <si>
    <t>AutoPost 1942</t>
  </si>
  <si>
    <t>AutoPost 1943</t>
  </si>
  <si>
    <t>AutoPost 1944</t>
  </si>
  <si>
    <t>AutoPost 1945</t>
  </si>
  <si>
    <t>AutoPost 1946</t>
  </si>
  <si>
    <t>AutoPost 1947</t>
  </si>
  <si>
    <t>AutoPost 1948</t>
  </si>
  <si>
    <t>AutoPost 1949</t>
  </si>
  <si>
    <t>AutoPost 1950</t>
  </si>
  <si>
    <t>AutoPost 1951</t>
  </si>
  <si>
    <t>AutoPost 1952</t>
  </si>
  <si>
    <t>AutoPost 1953</t>
  </si>
  <si>
    <t>AutoPost 1954</t>
  </si>
  <si>
    <t>AutoPost 1955</t>
  </si>
  <si>
    <t>AutoPost 1956</t>
  </si>
  <si>
    <t>AutoPost 1957</t>
  </si>
  <si>
    <t>AutoPost 1958</t>
  </si>
  <si>
    <t>AutoPost 1959</t>
  </si>
  <si>
    <t>AutoPost 1960</t>
  </si>
  <si>
    <t>AutoPost 1961</t>
  </si>
  <si>
    <t>AutoPost 1962</t>
  </si>
  <si>
    <t>AutoPost 1963</t>
  </si>
  <si>
    <t>AutoPost 1964</t>
  </si>
  <si>
    <t>AutoPost 1965</t>
  </si>
  <si>
    <t>AutoPost 1966</t>
  </si>
  <si>
    <t>AutoPost 1967</t>
  </si>
  <si>
    <t>AutoPost 1968</t>
  </si>
  <si>
    <t>AutoPost 1969</t>
  </si>
  <si>
    <t>AutoPost 1970</t>
  </si>
  <si>
    <t>AutoPost 1971</t>
  </si>
  <si>
    <t>AutoPost 1972</t>
  </si>
  <si>
    <t>AutoPost 1973</t>
  </si>
  <si>
    <t>AutoPost 1974</t>
  </si>
  <si>
    <t>AutoPost 1975</t>
  </si>
  <si>
    <t>AutoPost 1976</t>
  </si>
  <si>
    <t>AutoPost 1977</t>
  </si>
  <si>
    <t>AutoPost 1978</t>
  </si>
  <si>
    <t>AutoPost 1979</t>
  </si>
  <si>
    <t>AutoPost 1980</t>
  </si>
  <si>
    <t>AutoPost 1981</t>
  </si>
  <si>
    <t>AutoPost 1982</t>
  </si>
  <si>
    <t>AutoPost 1983</t>
  </si>
  <si>
    <t>AutoPost 1984</t>
  </si>
  <si>
    <t>AutoPost 1985</t>
  </si>
  <si>
    <t>AutoPost 1986</t>
  </si>
  <si>
    <t>AutoPost 1987</t>
  </si>
  <si>
    <t>AutoPost 1988</t>
  </si>
  <si>
    <t>AutoPost 1989</t>
  </si>
  <si>
    <t>AutoPost 1990</t>
  </si>
  <si>
    <t>AutoPost 1991</t>
  </si>
  <si>
    <t>AutoPost 1992</t>
  </si>
  <si>
    <t>AutoPost 1993</t>
  </si>
  <si>
    <t>AutoPost 1994</t>
  </si>
  <si>
    <t>AutoPost 1995</t>
  </si>
  <si>
    <t>AutoPost 1996</t>
  </si>
  <si>
    <t>AutoPost 1997</t>
  </si>
  <si>
    <t>AutoPost 1998</t>
  </si>
  <si>
    <t>AutoPost 1999</t>
  </si>
  <si>
    <t>GBP</t>
  </si>
  <si>
    <t>EUR</t>
  </si>
  <si>
    <t>AUD</t>
  </si>
  <si>
    <t>USD</t>
  </si>
  <si>
    <t>CAD</t>
  </si>
  <si>
    <t>Row Labels</t>
  </si>
  <si>
    <t>Grand Total</t>
  </si>
  <si>
    <t>(All)</t>
  </si>
  <si>
    <t>Column Labels</t>
  </si>
  <si>
    <t>Sum of Profit</t>
  </si>
  <si>
    <t>P&amp;L Cateogory</t>
  </si>
  <si>
    <t>Revenue</t>
  </si>
  <si>
    <t xml:space="preserve">P&amp;L Category </t>
  </si>
  <si>
    <t>Operating Expense</t>
  </si>
  <si>
    <t>Gross Profit</t>
  </si>
  <si>
    <t>Years (TxnDate)</t>
  </si>
  <si>
    <t>Column1</t>
  </si>
  <si>
    <t>Column2</t>
  </si>
  <si>
    <t>Column3</t>
  </si>
  <si>
    <t>Department</t>
  </si>
  <si>
    <t>Gross Margin</t>
  </si>
  <si>
    <t>Net Amount</t>
  </si>
  <si>
    <t>Trial balance Pivot Table</t>
  </si>
  <si>
    <t>Department-level P&amp;L</t>
  </si>
  <si>
    <t>RateDate</t>
  </si>
  <si>
    <t>Rate_To_INR</t>
  </si>
  <si>
    <t>NetAmt_INR</t>
  </si>
  <si>
    <t>FX_rates</t>
  </si>
  <si>
    <t>Debit_INR</t>
  </si>
  <si>
    <t>Credit_INR</t>
  </si>
  <si>
    <t>Trial Balance Amt</t>
  </si>
  <si>
    <t>Credit_INR_Amt</t>
  </si>
  <si>
    <t>Debit_INR_Amt</t>
  </si>
  <si>
    <t>NetAmt_INR_</t>
  </si>
  <si>
    <t>Is_Weekend</t>
  </si>
  <si>
    <t>Is_Period_End</t>
  </si>
  <si>
    <t>Is_Round_Amount</t>
  </si>
  <si>
    <t>Is_Large_Amount</t>
  </si>
  <si>
    <t>RiskScore</t>
  </si>
  <si>
    <t>Review_Priority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</si>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</sst>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Border="1"/>
    <xf numFmtId="0" fontId="0" fillId="0" borderId="6" xfId="0" applyBorder="1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1" fillId="3" borderId="9" xfId="0" applyNumberFormat="1" applyFont="1" applyFill="1" applyBorder="1"/>
    <xf numFmtId="0" fontId="1" fillId="3" borderId="10" xfId="0" applyNumberFormat="1" applyFont="1" applyFill="1" applyBorder="1"/>
    <xf numFmtId="10" fontId="1" fillId="3" borderId="11" xfId="0" applyNumberFormat="1" applyFont="1" applyFill="1" applyBorder="1"/>
    <xf numFmtId="10" fontId="0" fillId="0" borderId="13" xfId="0" applyNumberFormat="1" applyBorder="1"/>
    <xf numFmtId="0" fontId="0" fillId="0" borderId="17" xfId="0" pivotButton="1" applyBorder="1"/>
    <xf numFmtId="0" fontId="0" fillId="0" borderId="18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4" xfId="0" applyNumberFormat="1" applyBorder="1"/>
    <xf numFmtId="0" fontId="0" fillId="0" borderId="8" xfId="0" pivotButton="1" applyBorder="1"/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7" xfId="0" applyBorder="1"/>
    <xf numFmtId="0" fontId="0" fillId="0" borderId="22" xfId="0" applyBorder="1"/>
    <xf numFmtId="0" fontId="0" fillId="0" borderId="8" xfId="0" applyBorder="1"/>
    <xf numFmtId="0" fontId="0" fillId="0" borderId="7" xfId="0" applyFont="1" applyBorder="1" applyAlignment="1">
      <alignment horizontal="left"/>
    </xf>
    <xf numFmtId="0" fontId="1" fillId="0" borderId="3" xfId="0" applyFont="1" applyBorder="1"/>
    <xf numFmtId="0" fontId="1" fillId="0" borderId="2" xfId="0" applyFont="1" applyBorder="1"/>
    <xf numFmtId="0" fontId="0" fillId="0" borderId="5" xfId="0" applyFont="1" applyBorder="1" applyAlignment="1">
      <alignment horizontal="left"/>
    </xf>
  </cellXfs>
  <cellStyles count="1">
    <cellStyle name="Normal" xfId="0" builtinId="0"/>
  </cellStyles>
  <dxfs count="28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/>
      </border>
    </dxf>
    <dxf>
      <border>
        <right/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right/>
        <bottom/>
      </border>
    </dxf>
    <dxf>
      <border>
        <right/>
        <bottom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/>
      </border>
    </dxf>
    <dxf>
      <border>
        <right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right/>
        <bottom/>
      </border>
    </dxf>
    <dxf>
      <border>
        <right/>
        <bottom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/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right/>
        <bottom/>
      </border>
    </dxf>
    <dxf>
      <border>
        <right/>
        <bottom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right/>
      </border>
    </dxf>
    <dxf>
      <border>
        <right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right/>
        <bottom/>
      </border>
    </dxf>
    <dxf>
      <border>
        <right/>
        <bottom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right/>
        <bottom/>
      </border>
    </dxf>
    <dxf>
      <border>
        <right/>
        <bottom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left/>
        <top/>
        <bottom/>
        <horizontal/>
      </border>
    </dxf>
    <dxf>
      <border>
        <right/>
        <bottom/>
      </border>
    </dxf>
    <dxf>
      <border>
        <right/>
        <bottom/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/>
      </font>
      <numFmt numFmtId="0" formatCode="General"/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5EB81C3A-4178-41D9-8D93-C381B301FA4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Solutions!$E$18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Solutions!$A$19:$A$24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Solutions!$E$19:$E$24</c:f>
              <c:numCache>
                <c:formatCode>0.00%</c:formatCode>
                <c:ptCount val="6"/>
                <c:pt idx="0">
                  <c:v>0.80475788588951525</c:v>
                </c:pt>
                <c:pt idx="1">
                  <c:v>0.70095831051419377</c:v>
                </c:pt>
                <c:pt idx="2">
                  <c:v>0.8090313104653466</c:v>
                </c:pt>
                <c:pt idx="3">
                  <c:v>0.79075417737256937</c:v>
                </c:pt>
                <c:pt idx="4">
                  <c:v>0.84913765797350527</c:v>
                </c:pt>
                <c:pt idx="5">
                  <c:v>0.83467298906620035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8-450F-89C5-53F4688E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1336191"/>
        <c:axId val="1011335231"/>
      </c:barChart>
      <c:catAx>
        <c:axId val="101133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35231"/>
        <c:crosses val="autoZero"/>
        <c:auto val="1"/>
        <c:lblAlgn val="ctr"/>
        <c:lblOffset val="100"/>
        <c:noMultiLvlLbl val="0"/>
      </c:catAx>
      <c:valAx>
        <c:axId val="101133523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3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14289</xdr:colOff>
      <xdr:row>17</xdr:row>
      <xdr:rowOff>9524</xdr:rowOff>
    </xdr:from>
    <xdr:to>
      <xdr:col>10</xdr:col>
      <xdr:colOff>966788</xdr:colOff>
      <xdr:row>28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182A83-36DA-8B70-B4B1-9564C328D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34.509776736108" createdVersion="8" refreshedVersion="8" minRefreshableVersion="3" recordCount="2000" xr:uid="{FE548F15-A118-49A5-8865-4E49BDA69D07}">
  <cacheSource type="worksheet">
    <worksheetSource ref="A1:P2001" sheet="Data"/>
  </cacheSource>
  <cacheFields count="22">
    <cacheField name="GLID" numFmtId="0">
      <sharedItems/>
    </cacheField>
    <cacheField name="TxnDate" numFmtId="164">
      <sharedItems containsSemiMixedTypes="0" containsNonDate="0" containsDate="1" containsString="0" minDate="2023-01-01T00:00:00" maxDate="2025-07-01T00:00:00" count="815">
        <d v="2024-05-05T00:00:00"/>
        <d v="2024-06-23T00:00:00"/>
        <d v="2025-01-09T00:00:00"/>
        <d v="2023-09-30T00:00:00"/>
        <d v="2023-08-03T00:00:00"/>
        <d v="2025-05-11T00:00:00"/>
        <d v="2023-08-04T00:00:00"/>
        <d v="2023-12-22T00:00:00"/>
        <d v="2024-04-30T00:00:00"/>
        <d v="2023-04-13T00:00:00"/>
        <d v="2023-11-20T00:00:00"/>
        <d v="2024-11-12T00:00:00"/>
        <d v="2024-05-25T00:00:00"/>
        <d v="2024-02-22T00:00:00"/>
        <d v="2025-04-29T00:00:00"/>
        <d v="2023-04-02T00:00:00"/>
        <d v="2025-03-06T00:00:00"/>
        <d v="2024-11-09T00:00:00"/>
        <d v="2023-01-27T00:00:00"/>
        <d v="2024-09-02T00:00:00"/>
        <d v="2024-03-28T00:00:00"/>
        <d v="2023-07-01T00:00:00"/>
        <d v="2024-05-29T00:00:00"/>
        <d v="2023-03-22T00:00:00"/>
        <d v="2023-04-09T00:00:00"/>
        <d v="2025-05-25T00:00:00"/>
        <d v="2024-11-14T00:00:00"/>
        <d v="2025-06-12T00:00:00"/>
        <d v="2025-03-19T00:00:00"/>
        <d v="2024-03-26T00:00:00"/>
        <d v="2024-01-07T00:00:00"/>
        <d v="2024-05-04T00:00:00"/>
        <d v="2023-01-15T00:00:00"/>
        <d v="2023-11-17T00:00:00"/>
        <d v="2024-07-28T00:00:00"/>
        <d v="2024-05-13T00:00:00"/>
        <d v="2025-04-20T00:00:00"/>
        <d v="2023-06-19T00:00:00"/>
        <d v="2025-01-03T00:00:00"/>
        <d v="2024-02-03T00:00:00"/>
        <d v="2024-12-22T00:00:00"/>
        <d v="2023-09-27T00:00:00"/>
        <d v="2023-02-08T00:00:00"/>
        <d v="2023-03-15T00:00:00"/>
        <d v="2024-08-28T00:00:00"/>
        <d v="2024-03-19T00:00:00"/>
        <d v="2023-01-25T00:00:00"/>
        <d v="2024-03-08T00:00:00"/>
        <d v="2023-03-14T00:00:00"/>
        <d v="2024-09-18T00:00:00"/>
        <d v="2024-10-26T00:00:00"/>
        <d v="2025-06-09T00:00:00"/>
        <d v="2023-11-19T00:00:00"/>
        <d v="2024-04-26T00:00:00"/>
        <d v="2024-11-02T00:00:00"/>
        <d v="2023-04-25T00:00:00"/>
        <d v="2023-12-19T00:00:00"/>
        <d v="2024-09-11T00:00:00"/>
        <d v="2024-02-02T00:00:00"/>
        <d v="2024-06-22T00:00:00"/>
        <d v="2023-09-16T00:00:00"/>
        <d v="2024-08-25T00:00:00"/>
        <d v="2023-09-03T00:00:00"/>
        <d v="2023-02-27T00:00:00"/>
        <d v="2023-10-15T00:00:00"/>
        <d v="2025-05-01T00:00:00"/>
        <d v="2025-06-23T00:00:00"/>
        <d v="2025-06-18T00:00:00"/>
        <d v="2024-05-18T00:00:00"/>
        <d v="2025-05-04T00:00:00"/>
        <d v="2024-02-21T00:00:00"/>
        <d v="2025-02-02T00:00:00"/>
        <d v="2024-09-16T00:00:00"/>
        <d v="2025-04-04T00:00:00"/>
        <d v="2023-03-27T00:00:00"/>
        <d v="2025-03-26T00:00:00"/>
        <d v="2023-03-16T00:00:00"/>
        <d v="2025-05-22T00:00:00"/>
        <d v="2023-12-24T00:00:00"/>
        <d v="2023-10-23T00:00:00"/>
        <d v="2023-12-31T00:00:00"/>
        <d v="2023-10-22T00:00:00"/>
        <d v="2025-02-21T00:00:00"/>
        <d v="2024-11-22T00:00:00"/>
        <d v="2023-12-15T00:00:00"/>
        <d v="2023-07-28T00:00:00"/>
        <d v="2024-04-14T00:00:00"/>
        <d v="2024-11-24T00:00:00"/>
        <d v="2024-05-12T00:00:00"/>
        <d v="2023-10-16T00:00:00"/>
        <d v="2023-10-12T00:00:00"/>
        <d v="2025-05-12T00:00:00"/>
        <d v="2023-02-15T00:00:00"/>
        <d v="2023-01-09T00:00:00"/>
        <d v="2025-01-10T00:00:00"/>
        <d v="2024-07-05T00:00:00"/>
        <d v="2024-10-07T00:00:00"/>
        <d v="2023-09-01T00:00:00"/>
        <d v="2023-08-24T00:00:00"/>
        <d v="2023-06-30T00:00:00"/>
        <d v="2025-06-15T00:00:00"/>
        <d v="2024-01-28T00:00:00"/>
        <d v="2024-03-04T00:00:00"/>
        <d v="2025-02-14T00:00:00"/>
        <d v="2023-06-25T00:00:00"/>
        <d v="2024-03-30T00:00:00"/>
        <d v="2024-09-10T00:00:00"/>
        <d v="2023-10-28T00:00:00"/>
        <d v="2025-04-15T00:00:00"/>
        <d v="2025-01-12T00:00:00"/>
        <d v="2024-11-30T00:00:00"/>
        <d v="2025-01-24T00:00:00"/>
        <d v="2023-07-21T00:00:00"/>
        <d v="2024-02-23T00:00:00"/>
        <d v="2024-08-06T00:00:00"/>
        <d v="2023-11-30T00:00:00"/>
        <d v="2023-12-16T00:00:00"/>
        <d v="2023-02-05T00:00:00"/>
        <d v="2025-01-14T00:00:00"/>
        <d v="2023-09-05T00:00:00"/>
        <d v="2025-02-22T00:00:00"/>
        <d v="2024-08-31T00:00:00"/>
        <d v="2023-09-08T00:00:00"/>
        <d v="2024-10-17T00:00:00"/>
        <d v="2025-01-04T00:00:00"/>
        <d v="2024-09-23T00:00:00"/>
        <d v="2025-06-24T00:00:00"/>
        <d v="2023-12-25T00:00:00"/>
        <d v="2023-08-09T00:00:00"/>
        <d v="2024-06-18T00:00:00"/>
        <d v="2023-04-30T00:00:00"/>
        <d v="2023-06-03T00:00:00"/>
        <d v="2023-05-22T00:00:00"/>
        <d v="2024-06-25T00:00:00"/>
        <d v="2024-03-01T00:00:00"/>
        <d v="2025-01-11T00:00:00"/>
        <d v="2025-02-18T00:00:00"/>
        <d v="2024-03-17T00:00:00"/>
        <d v="2025-06-03T00:00:00"/>
        <d v="2024-10-11T00:00:00"/>
        <d v="2025-06-14T00:00:00"/>
        <d v="2023-07-09T00:00:00"/>
        <d v="2023-04-19T00:00:00"/>
        <d v="2023-04-21T00:00:00"/>
        <d v="2023-01-29T00:00:00"/>
        <d v="2025-06-20T00:00:00"/>
        <d v="2023-12-09T00:00:00"/>
        <d v="2025-02-17T00:00:00"/>
        <d v="2024-12-21T00:00:00"/>
        <d v="2025-02-26T00:00:00"/>
        <d v="2024-07-17T00:00:00"/>
        <d v="2024-06-04T00:00:00"/>
        <d v="2023-11-22T00:00:00"/>
        <d v="2024-05-06T00:00:00"/>
        <d v="2023-09-13T00:00:00"/>
        <d v="2023-01-17T00:00:00"/>
        <d v="2024-09-29T00:00:00"/>
        <d v="2024-04-02T00:00:00"/>
        <d v="2024-07-16T00:00:00"/>
        <d v="2025-03-13T00:00:00"/>
        <d v="2024-08-22T00:00:00"/>
        <d v="2024-02-08T00:00:00"/>
        <d v="2024-08-07T00:00:00"/>
        <d v="2025-06-08T00:00:00"/>
        <d v="2023-04-20T00:00:00"/>
        <d v="2025-04-23T00:00:00"/>
        <d v="2023-01-10T00:00:00"/>
        <d v="2023-09-18T00:00:00"/>
        <d v="2023-05-23T00:00:00"/>
        <d v="2024-12-09T00:00:00"/>
        <d v="2023-03-20T00:00:00"/>
        <d v="2024-11-01T00:00:00"/>
        <d v="2023-02-06T00:00:00"/>
        <d v="2025-06-30T00:00:00"/>
        <d v="2024-08-18T00:00:00"/>
        <d v="2023-02-13T00:00:00"/>
        <d v="2024-01-15T00:00:00"/>
        <d v="2023-02-12T00:00:00"/>
        <d v="2023-03-12T00:00:00"/>
        <d v="2024-09-14T00:00:00"/>
        <d v="2024-02-25T00:00:00"/>
        <d v="2023-01-28T00:00:00"/>
        <d v="2024-09-03T00:00:00"/>
        <d v="2023-08-18T00:00:00"/>
        <d v="2024-09-13T00:00:00"/>
        <d v="2025-03-23T00:00:00"/>
        <d v="2023-08-21T00:00:00"/>
        <d v="2023-11-29T00:00:00"/>
        <d v="2025-02-19T00:00:00"/>
        <d v="2023-08-14T00:00:00"/>
        <d v="2024-01-18T00:00:00"/>
        <d v="2023-11-01T00:00:00"/>
        <d v="2024-02-12T00:00:00"/>
        <d v="2025-03-07T00:00:00"/>
        <d v="2024-12-10T00:00:00"/>
        <d v="2024-05-17T00:00:00"/>
        <d v="2023-11-21T00:00:00"/>
        <d v="2024-03-16T00:00:00"/>
        <d v="2023-04-11T00:00:00"/>
        <d v="2023-12-20T00:00:00"/>
        <d v="2024-11-11T00:00:00"/>
        <d v="2025-05-02T00:00:00"/>
        <d v="2023-08-10T00:00:00"/>
        <d v="2025-02-16T00:00:00"/>
        <d v="2024-01-03T00:00:00"/>
        <d v="2023-08-12T00:00:00"/>
        <d v="2023-07-14T00:00:00"/>
        <d v="2024-04-15T00:00:00"/>
        <d v="2024-10-21T00:00:00"/>
        <d v="2023-01-24T00:00:00"/>
        <d v="2024-08-30T00:00:00"/>
        <d v="2023-07-06T00:00:00"/>
        <d v="2025-02-24T00:00:00"/>
        <d v="2023-03-26T00:00:00"/>
        <d v="2023-01-14T00:00:00"/>
        <d v="2023-05-14T00:00:00"/>
        <d v="2025-03-09T00:00:00"/>
        <d v="2024-07-22T00:00:00"/>
        <d v="2023-11-04T00:00:00"/>
        <d v="2025-06-16T00:00:00"/>
        <d v="2024-06-12T00:00:00"/>
        <d v="2025-03-27T00:00:00"/>
        <d v="2024-07-02T00:00:00"/>
        <d v="2023-07-08T00:00:00"/>
        <d v="2024-06-08T00:00:00"/>
        <d v="2025-04-21T00:00:00"/>
        <d v="2023-01-22T00:00:00"/>
        <d v="2024-11-26T00:00:00"/>
        <d v="2025-04-18T00:00:00"/>
        <d v="2024-05-02T00:00:00"/>
        <d v="2024-03-05T00:00:00"/>
        <d v="2023-06-04T00:00:00"/>
        <d v="2023-07-31T00:00:00"/>
        <d v="2024-02-26T00:00:00"/>
        <d v="2025-02-09T00:00:00"/>
        <d v="2024-01-09T00:00:00"/>
        <d v="2025-01-06T00:00:00"/>
        <d v="2023-10-21T00:00:00"/>
        <d v="2025-05-27T00:00:00"/>
        <d v="2023-09-22T00:00:00"/>
        <d v="2024-02-16T00:00:00"/>
        <d v="2024-02-10T00:00:00"/>
        <d v="2023-06-14T00:00:00"/>
        <d v="2023-11-24T00:00:00"/>
        <d v="2023-08-07T00:00:00"/>
        <d v="2024-04-07T00:00:00"/>
        <d v="2023-05-06T00:00:00"/>
        <d v="2024-01-25T00:00:00"/>
        <d v="2025-02-06T00:00:00"/>
        <d v="2025-04-28T00:00:00"/>
        <d v="2025-01-05T00:00:00"/>
        <d v="2023-04-15T00:00:00"/>
        <d v="2025-01-28T00:00:00"/>
        <d v="2025-06-25T00:00:00"/>
        <d v="2024-04-01T00:00:00"/>
        <d v="2025-04-30T00:00:00"/>
        <d v="2024-05-10T00:00:00"/>
        <d v="2024-02-29T00:00:00"/>
        <d v="2025-01-22T00:00:00"/>
        <d v="2023-12-08T00:00:00"/>
        <d v="2024-11-29T00:00:00"/>
        <d v="2024-09-20T00:00:00"/>
        <d v="2024-01-17T00:00:00"/>
        <d v="2023-10-10T00:00:00"/>
        <d v="2024-10-02T00:00:00"/>
        <d v="2024-07-31T00:00:00"/>
        <d v="2024-04-03T00:00:00"/>
        <d v="2023-01-23T00:00:00"/>
        <d v="2023-03-04T00:00:00"/>
        <d v="2024-05-30T00:00:00"/>
        <d v="2024-10-01T00:00:00"/>
        <d v="2024-02-04T00:00:00"/>
        <d v="2025-05-19T00:00:00"/>
        <d v="2025-06-21T00:00:00"/>
        <d v="2023-07-11T00:00:00"/>
        <d v="2023-12-03T00:00:00"/>
        <d v="2024-01-10T00:00:00"/>
        <d v="2024-02-18T00:00:00"/>
        <d v="2023-04-07T00:00:00"/>
        <d v="2024-01-26T00:00:00"/>
        <d v="2024-08-13T00:00:00"/>
        <d v="2023-11-13T00:00:00"/>
        <d v="2024-02-06T00:00:00"/>
        <d v="2024-05-15T00:00:00"/>
        <d v="2025-05-06T00:00:00"/>
        <d v="2023-11-08T00:00:00"/>
        <d v="2024-10-05T00:00:00"/>
        <d v="2023-11-02T00:00:00"/>
        <d v="2023-02-19T00:00:00"/>
        <d v="2024-11-03T00:00:00"/>
        <d v="2024-09-19T00:00:00"/>
        <d v="2023-10-04T00:00:00"/>
        <d v="2024-12-11T00:00:00"/>
        <d v="2024-01-20T00:00:00"/>
        <d v="2023-05-04T00:00:00"/>
        <d v="2024-10-15T00:00:00"/>
        <d v="2023-10-13T00:00:00"/>
        <d v="2024-08-02T00:00:00"/>
        <d v="2023-09-04T00:00:00"/>
        <d v="2023-09-14T00:00:00"/>
        <d v="2023-04-14T00:00:00"/>
        <d v="2024-08-17T00:00:00"/>
        <d v="2025-02-27T00:00:00"/>
        <d v="2025-05-24T00:00:00"/>
        <d v="2024-01-02T00:00:00"/>
        <d v="2024-08-21T00:00:00"/>
        <d v="2025-05-29T00:00:00"/>
        <d v="2024-06-01T00:00:00"/>
        <d v="2024-08-01T00:00:00"/>
        <d v="2024-01-22T00:00:00"/>
        <d v="2025-04-14T00:00:00"/>
        <d v="2023-01-08T00:00:00"/>
        <d v="2024-02-27T00:00:00"/>
        <d v="2023-01-04T00:00:00"/>
        <d v="2025-03-02T00:00:00"/>
        <d v="2023-01-19T00:00:00"/>
        <d v="2024-10-09T00:00:00"/>
        <d v="2024-03-12T00:00:00"/>
        <d v="2025-05-08T00:00:00"/>
        <d v="2025-02-11T00:00:00"/>
        <d v="2023-11-16T00:00:00"/>
        <d v="2023-07-03T00:00:00"/>
        <d v="2023-01-30T00:00:00"/>
        <d v="2023-04-26T00:00:00"/>
        <d v="2023-02-09T00:00:00"/>
        <d v="2023-05-12T00:00:00"/>
        <d v="2025-05-15T00:00:00"/>
        <d v="2024-08-24T00:00:00"/>
        <d v="2023-08-26T00:00:00"/>
        <d v="2023-11-03T00:00:00"/>
        <d v="2023-10-05T00:00:00"/>
        <d v="2023-08-08T00:00:00"/>
        <d v="2023-02-26T00:00:00"/>
        <d v="2023-01-31T00:00:00"/>
        <d v="2024-07-20T00:00:00"/>
        <d v="2023-02-28T00:00:00"/>
        <d v="2025-01-27T00:00:00"/>
        <d v="2024-05-20T00:00:00"/>
        <d v="2023-05-09T00:00:00"/>
        <d v="2024-04-08T00:00:00"/>
        <d v="2024-05-21T00:00:00"/>
        <d v="2023-11-12T00:00:00"/>
        <d v="2023-08-29T00:00:00"/>
        <d v="2024-08-09T00:00:00"/>
        <d v="2023-07-13T00:00:00"/>
        <d v="2024-02-11T00:00:00"/>
        <d v="2025-03-29T00:00:00"/>
        <d v="2023-07-07T00:00:00"/>
        <d v="2024-02-14T00:00:00"/>
        <d v="2024-11-15T00:00:00"/>
        <d v="2024-02-19T00:00:00"/>
        <d v="2023-12-07T00:00:00"/>
        <d v="2025-02-07T00:00:00"/>
        <d v="2024-07-23T00:00:00"/>
        <d v="2023-01-06T00:00:00"/>
        <d v="2024-01-29T00:00:00"/>
        <d v="2023-01-21T00:00:00"/>
        <d v="2024-12-28T00:00:00"/>
        <d v="2024-06-24T00:00:00"/>
        <d v="2025-01-31T00:00:00"/>
        <d v="2024-09-17T00:00:00"/>
        <d v="2023-10-09T00:00:00"/>
        <d v="2023-11-26T00:00:00"/>
        <d v="2023-02-07T00:00:00"/>
        <d v="2024-05-31T00:00:00"/>
        <d v="2024-09-06T00:00:00"/>
        <d v="2023-02-20T00:00:00"/>
        <d v="2024-05-27T00:00:00"/>
        <d v="2025-05-21T00:00:00"/>
        <d v="2023-02-17T00:00:00"/>
        <d v="2024-10-18T00:00:00"/>
        <d v="2023-12-01T00:00:00"/>
        <d v="2024-12-18T00:00:00"/>
        <d v="2024-07-21T00:00:00"/>
        <d v="2023-12-06T00:00:00"/>
        <d v="2023-10-03T00:00:00"/>
        <d v="2023-06-23T00:00:00"/>
        <d v="2025-01-18T00:00:00"/>
        <d v="2023-08-01T00:00:00"/>
        <d v="2024-08-14T00:00:00"/>
        <d v="2023-07-25T00:00:00"/>
        <d v="2024-09-24T00:00:00"/>
        <d v="2025-03-25T00:00:00"/>
        <d v="2024-05-03T00:00:00"/>
        <d v="2023-11-10T00:00:00"/>
        <d v="2024-11-06T00:00:00"/>
        <d v="2023-06-28T00:00:00"/>
        <d v="2023-08-22T00:00:00"/>
        <d v="2024-01-04T00:00:00"/>
        <d v="2023-03-02T00:00:00"/>
        <d v="2023-01-07T00:00:00"/>
        <d v="2023-08-27T00:00:00"/>
        <d v="2024-09-12T00:00:00"/>
        <d v="2024-10-06T00:00:00"/>
        <d v="2024-12-06T00:00:00"/>
        <d v="2025-05-13T00:00:00"/>
        <d v="2023-09-19T00:00:00"/>
        <d v="2024-03-15T00:00:00"/>
        <d v="2023-01-16T00:00:00"/>
        <d v="2023-12-27T00:00:00"/>
        <d v="2024-05-23T00:00:00"/>
        <d v="2025-05-09T00:00:00"/>
        <d v="2025-03-14T00:00:00"/>
        <d v="2023-09-21T00:00:00"/>
        <d v="2025-05-20T00:00:00"/>
        <d v="2025-01-30T00:00:00"/>
        <d v="2025-01-13T00:00:00"/>
        <d v="2024-12-04T00:00:00"/>
        <d v="2023-05-02T00:00:00"/>
        <d v="2023-05-31T00:00:00"/>
        <d v="2024-11-04T00:00:00"/>
        <d v="2024-09-01T00:00:00"/>
        <d v="2024-10-12T00:00:00"/>
        <d v="2024-02-05T00:00:00"/>
        <d v="2023-02-25T00:00:00"/>
        <d v="2024-10-08T00:00:00"/>
        <d v="2024-06-13T00:00:00"/>
        <d v="2024-12-02T00:00:00"/>
        <d v="2024-12-05T00:00:00"/>
        <d v="2025-03-04T00:00:00"/>
        <d v="2024-08-20T00:00:00"/>
        <d v="2024-10-29T00:00:00"/>
        <d v="2023-12-12T00:00:00"/>
        <d v="2025-06-06T00:00:00"/>
        <d v="2023-08-23T00:00:00"/>
        <d v="2023-05-24T00:00:00"/>
        <d v="2024-10-22T00:00:00"/>
        <d v="2023-12-02T00:00:00"/>
        <d v="2023-10-06T00:00:00"/>
        <d v="2025-05-05T00:00:00"/>
        <d v="2025-04-10T00:00:00"/>
        <d v="2023-03-07T00:00:00"/>
        <d v="2025-05-18T00:00:00"/>
        <d v="2023-12-18T00:00:00"/>
        <d v="2023-10-31T00:00:00"/>
        <d v="2023-03-03T00:00:00"/>
        <d v="2023-12-11T00:00:00"/>
        <d v="2024-07-19T00:00:00"/>
        <d v="2023-06-26T00:00:00"/>
        <d v="2025-03-01T00:00:00"/>
        <d v="2025-04-25T00:00:00"/>
        <d v="2025-02-03T00:00:00"/>
        <d v="2023-05-13T00:00:00"/>
        <d v="2023-09-25T00:00:00"/>
        <d v="2023-03-21T00:00:00"/>
        <d v="2023-10-25T00:00:00"/>
        <d v="2024-10-19T00:00:00"/>
        <d v="2025-03-20T00:00:00"/>
        <d v="2023-04-06T00:00:00"/>
        <d v="2024-08-05T00:00:00"/>
        <d v="2025-02-08T00:00:00"/>
        <d v="2024-10-30T00:00:00"/>
        <d v="2025-06-01T00:00:00"/>
        <d v="2024-06-27T00:00:00"/>
        <d v="2023-02-22T00:00:00"/>
        <d v="2023-06-27T00:00:00"/>
        <d v="2024-08-19T00:00:00"/>
        <d v="2024-10-24T00:00:00"/>
        <d v="2023-03-08T00:00:00"/>
        <d v="2023-11-23T00:00:00"/>
        <d v="2024-08-23T00:00:00"/>
        <d v="2023-01-01T00:00:00"/>
        <d v="2024-12-12T00:00:00"/>
        <d v="2024-04-06T00:00:00"/>
        <d v="2023-08-05T00:00:00"/>
        <d v="2024-05-26T00:00:00"/>
        <d v="2024-06-20T00:00:00"/>
        <d v="2024-10-04T00:00:00"/>
        <d v="2025-03-08T00:00:00"/>
        <d v="2023-10-24T00:00:00"/>
        <d v="2024-04-20T00:00:00"/>
        <d v="2023-06-22T00:00:00"/>
        <d v="2023-05-15T00:00:00"/>
        <d v="2023-08-11T00:00:00"/>
        <d v="2024-12-20T00:00:00"/>
        <d v="2025-02-28T00:00:00"/>
        <d v="2024-01-08T00:00:00"/>
        <d v="2024-11-17T00:00:00"/>
        <d v="2024-03-14T00:00:00"/>
        <d v="2025-03-17T00:00:00"/>
        <d v="2024-05-11T00:00:00"/>
        <d v="2024-12-08T00:00:00"/>
        <d v="2023-10-27T00:00:00"/>
        <d v="2024-03-18T00:00:00"/>
        <d v="2024-07-01T00:00:00"/>
        <d v="2023-12-04T00:00:00"/>
        <d v="2025-01-15T00:00:00"/>
        <d v="2024-01-12T00:00:00"/>
        <d v="2024-12-30T00:00:00"/>
        <d v="2025-06-19T00:00:00"/>
        <d v="2024-03-11T00:00:00"/>
        <d v="2025-05-26T00:00:00"/>
        <d v="2024-10-23T00:00:00"/>
        <d v="2025-04-05T00:00:00"/>
        <d v="2024-07-03T00:00:00"/>
        <d v="2025-02-01T00:00:00"/>
        <d v="2024-12-15T00:00:00"/>
        <d v="2025-02-12T00:00:00"/>
        <d v="2025-04-09T00:00:00"/>
        <d v="2025-06-13T00:00:00"/>
        <d v="2024-11-19T00:00:00"/>
        <d v="2024-06-07T00:00:00"/>
        <d v="2024-09-05T00:00:00"/>
        <d v="2024-09-08T00:00:00"/>
        <d v="2025-05-17T00:00:00"/>
        <d v="2024-06-02T00:00:00"/>
        <d v="2024-04-21T00:00:00"/>
        <d v="2024-03-29T00:00:00"/>
        <d v="2023-12-13T00:00:00"/>
        <d v="2025-04-07T00:00:00"/>
        <d v="2024-10-13T00:00:00"/>
        <d v="2023-04-03T00:00:00"/>
        <d v="2024-02-28T00:00:00"/>
        <d v="2025-03-24T00:00:00"/>
        <d v="2024-08-29T00:00:00"/>
        <d v="2024-11-13T00:00:00"/>
        <d v="2023-01-03T00:00:00"/>
        <d v="2025-05-23T00:00:00"/>
        <d v="2024-11-28T00:00:00"/>
        <d v="2023-08-28T00:00:00"/>
        <d v="2024-04-18T00:00:00"/>
        <d v="2024-06-29T00:00:00"/>
        <d v="2024-04-04T00:00:00"/>
        <d v="2024-06-03T00:00:00"/>
        <d v="2024-05-09T00:00:00"/>
        <d v="2023-03-31T00:00:00"/>
        <d v="2024-01-21T00:00:00"/>
        <d v="2024-03-27T00:00:00"/>
        <d v="2023-03-23T00:00:00"/>
        <d v="2024-08-12T00:00:00"/>
        <d v="2025-03-31T00:00:00"/>
        <d v="2023-06-05T00:00:00"/>
        <d v="2023-05-10T00:00:00"/>
        <d v="2023-10-01T00:00:00"/>
        <d v="2024-07-12T00:00:00"/>
        <d v="2023-10-30T00:00:00"/>
        <d v="2023-09-12T00:00:00"/>
        <d v="2025-04-17T00:00:00"/>
        <d v="2024-03-25T00:00:00"/>
        <d v="2023-05-21T00:00:00"/>
        <d v="2023-04-01T00:00:00"/>
        <d v="2023-07-27T00:00:00"/>
        <d v="2024-02-20T00:00:00"/>
        <d v="2023-09-29T00:00:00"/>
        <d v="2025-06-28T00:00:00"/>
        <d v="2024-07-25T00:00:00"/>
        <d v="2024-05-07T00:00:00"/>
        <d v="2023-11-11T00:00:00"/>
        <d v="2023-10-19T00:00:00"/>
        <d v="2023-04-17T00:00:00"/>
        <d v="2024-06-05T00:00:00"/>
        <d v="2023-04-22T00:00:00"/>
        <d v="2024-04-25T00:00:00"/>
        <d v="2025-05-30T00:00:00"/>
        <d v="2025-04-22T00:00:00"/>
        <d v="2024-04-05T00:00:00"/>
        <d v="2024-07-18T00:00:00"/>
        <d v="2024-08-26T00:00:00"/>
        <d v="2023-04-28T00:00:00"/>
        <d v="2024-09-21T00:00:00"/>
        <d v="2023-07-30T00:00:00"/>
        <d v="2025-04-24T00:00:00"/>
        <d v="2025-01-21T00:00:00"/>
        <d v="2023-06-18T00:00:00"/>
        <d v="2023-12-10T00:00:00"/>
        <d v="2024-07-06T00:00:00"/>
        <d v="2024-02-01T00:00:00"/>
        <d v="2023-12-28T00:00:00"/>
        <d v="2024-12-17T00:00:00"/>
        <d v="2024-11-05T00:00:00"/>
        <d v="2025-06-22T00:00:00"/>
        <d v="2023-05-08T00:00:00"/>
        <d v="2024-09-25T00:00:00"/>
        <d v="2024-12-24T00:00:00"/>
        <d v="2024-11-08T00:00:00"/>
        <d v="2024-05-28T00:00:00"/>
        <d v="2024-03-22T00:00:00"/>
        <d v="2025-02-15T00:00:00"/>
        <d v="2025-01-26T00:00:00"/>
        <d v="2024-04-17T00:00:00"/>
        <d v="2023-11-18T00:00:00"/>
        <d v="2024-12-16T00:00:00"/>
        <d v="2023-01-20T00:00:00"/>
        <d v="2023-09-26T00:00:00"/>
        <d v="2023-07-24T00:00:00"/>
        <d v="2023-04-18T00:00:00"/>
        <d v="2023-06-21T00:00:00"/>
        <d v="2025-02-25T00:00:00"/>
        <d v="2025-06-04T00:00:00"/>
        <d v="2024-07-13T00:00:00"/>
        <d v="2023-07-29T00:00:00"/>
        <d v="2023-06-15T00:00:00"/>
        <d v="2023-05-03T00:00:00"/>
        <d v="2024-12-03T00:00:00"/>
        <d v="2025-01-01T00:00:00"/>
        <d v="2023-07-19T00:00:00"/>
        <d v="2024-10-10T00:00:00"/>
        <d v="2024-07-29T00:00:00"/>
        <d v="2023-07-23T00:00:00"/>
        <d v="2023-07-20T00:00:00"/>
        <d v="2024-12-29T00:00:00"/>
        <d v="2023-02-01T00:00:00"/>
        <d v="2025-02-13T00:00:00"/>
        <d v="2024-05-08T00:00:00"/>
        <d v="2024-06-28T00:00:00"/>
        <d v="2024-04-28T00:00:00"/>
        <d v="2023-06-24T00:00:00"/>
        <d v="2023-11-25T00:00:00"/>
        <d v="2023-06-10T00:00:00"/>
        <d v="2024-04-24T00:00:00"/>
        <d v="2025-03-05T00:00:00"/>
        <d v="2024-07-26T00:00:00"/>
        <d v="2023-07-10T00:00:00"/>
        <d v="2024-04-10T00:00:00"/>
        <d v="2024-03-20T00:00:00"/>
        <d v="2023-06-16T00:00:00"/>
        <d v="2024-03-13T00:00:00"/>
        <d v="2023-11-06T00:00:00"/>
        <d v="2024-08-04T00:00:00"/>
        <d v="2023-11-14T00:00:00"/>
        <d v="2023-02-11T00:00:00"/>
        <d v="2025-06-05T00:00:00"/>
        <d v="2024-06-16T00:00:00"/>
        <d v="2023-08-06T00:00:00"/>
        <d v="2025-05-14T00:00:00"/>
        <d v="2023-09-06T00:00:00"/>
        <d v="2024-01-24T00:00:00"/>
        <d v="2024-06-19T00:00:00"/>
        <d v="2024-12-07T00:00:00"/>
        <d v="2025-01-23T00:00:00"/>
        <d v="2023-10-14T00:00:00"/>
        <d v="2024-03-09T00:00:00"/>
        <d v="2023-05-26T00:00:00"/>
        <d v="2023-04-16T00:00:00"/>
        <d v="2023-05-20T00:00:00"/>
        <d v="2024-01-23T00:00:00"/>
        <d v="2024-06-11T00:00:00"/>
        <d v="2023-10-29T00:00:00"/>
        <d v="2024-04-19T00:00:00"/>
        <d v="2024-07-24T00:00:00"/>
        <d v="2025-02-20T00:00:00"/>
        <d v="2023-06-17T00:00:00"/>
        <d v="2025-05-16T00:00:00"/>
        <d v="2024-05-22T00:00:00"/>
        <d v="2023-01-02T00:00:00"/>
        <d v="2023-10-20T00:00:00"/>
        <d v="2024-09-04T00:00:00"/>
        <d v="2023-07-15T00:00:00"/>
        <d v="2023-04-23T00:00:00"/>
        <d v="2024-09-09T00:00:00"/>
        <d v="2024-11-18T00:00:00"/>
        <d v="2023-06-06T00:00:00"/>
        <d v="2023-12-30T00:00:00"/>
        <d v="2024-08-08T00:00:00"/>
        <d v="2023-10-17T00:00:00"/>
        <d v="2024-04-23T00:00:00"/>
        <d v="2023-12-14T00:00:00"/>
        <d v="2023-05-11T00:00:00"/>
        <d v="2023-04-05T00:00:00"/>
        <d v="2024-07-07T00:00:00"/>
        <d v="2023-08-17T00:00:00"/>
        <d v="2024-06-14T00:00:00"/>
        <d v="2024-01-01T00:00:00"/>
        <d v="2024-01-05T00:00:00"/>
        <d v="2023-03-05T00:00:00"/>
        <d v="2024-06-09T00:00:00"/>
        <d v="2024-09-30T00:00:00"/>
        <d v="2023-03-19T00:00:00"/>
        <d v="2024-12-01T00:00:00"/>
        <d v="2024-09-26T00:00:00"/>
        <d v="2025-02-04T00:00:00"/>
        <d v="2023-05-18T00:00:00"/>
        <d v="2024-08-11T00:00:00"/>
        <d v="2024-01-06T00:00:00"/>
        <d v="2023-06-07T00:00:00"/>
        <d v="2024-04-12T00:00:00"/>
        <d v="2024-06-15T00:00:00"/>
        <d v="2023-09-28T00:00:00"/>
        <d v="2023-12-21T00:00:00"/>
        <d v="2024-04-29T00:00:00"/>
        <d v="2024-06-06T00:00:00"/>
        <d v="2024-07-10T00:00:00"/>
        <d v="2024-04-13T00:00:00"/>
        <d v="2025-05-07T00:00:00"/>
        <d v="2023-02-10T00:00:00"/>
        <d v="2023-12-29T00:00:00"/>
        <d v="2023-04-29T00:00:00"/>
        <d v="2024-03-06T00:00:00"/>
        <d v="2024-03-03T00:00:00"/>
        <d v="2024-03-21T00:00:00"/>
        <d v="2024-09-15T00:00:00"/>
        <d v="2023-04-24T00:00:00"/>
        <d v="2024-01-19T00:00:00"/>
        <d v="2024-10-20T00:00:00"/>
        <d v="2024-04-16T00:00:00"/>
        <d v="2023-06-13T00:00:00"/>
        <d v="2024-08-27T00:00:00"/>
        <d v="2023-01-12T00:00:00"/>
        <d v="2025-06-26T00:00:00"/>
        <d v="2023-06-29T00:00:00"/>
        <d v="2024-01-30T00:00:00"/>
        <d v="2024-03-31T00:00:00"/>
        <d v="2023-09-02T00:00:00"/>
        <d v="2023-03-01T00:00:00"/>
        <d v="2024-03-23T00:00:00"/>
        <d v="2024-11-27T00:00:00"/>
        <d v="2023-10-02T00:00:00"/>
        <d v="2023-05-16T00:00:00"/>
        <d v="2025-06-27T00:00:00"/>
        <d v="2025-02-10T00:00:00"/>
        <d v="2025-04-12T00:00:00"/>
        <d v="2025-01-20T00:00:00"/>
        <d v="2024-09-27T00:00:00"/>
        <d v="2024-11-23T00:00:00"/>
        <d v="2023-02-18T00:00:00"/>
        <d v="2025-06-29T00:00:00"/>
        <d v="2025-03-28T00:00:00"/>
        <d v="2023-06-12T00:00:00"/>
        <d v="2023-05-19T00:00:00"/>
        <d v="2023-08-20T00:00:00"/>
        <d v="2024-04-09T00:00:00"/>
        <d v="2023-10-11T00:00:00"/>
        <d v="2023-03-24T00:00:00"/>
        <d v="2023-11-27T00:00:00"/>
        <d v="2025-04-03T00:00:00"/>
        <d v="2023-08-31T00:00:00"/>
        <d v="2023-10-18T00:00:00"/>
        <d v="2024-11-25T00:00:00"/>
        <d v="2024-01-13T00:00:00"/>
        <d v="2023-06-11T00:00:00"/>
        <d v="2024-07-11T00:00:00"/>
        <d v="2025-01-19T00:00:00"/>
        <d v="2023-03-13T00:00:00"/>
        <d v="2025-06-10T00:00:00"/>
        <d v="2024-08-15T00:00:00"/>
        <d v="2024-05-19T00:00:00"/>
        <d v="2024-12-23T00:00:00"/>
        <d v="2023-05-01T00:00:00"/>
        <d v="2024-02-15T00:00:00"/>
        <d v="2025-03-16T00:00:00"/>
        <d v="2023-12-17T00:00:00"/>
        <d v="2023-02-24T00:00:00"/>
        <d v="2025-01-16T00:00:00"/>
        <d v="2024-01-14T00:00:00"/>
        <d v="2025-03-22T00:00:00"/>
        <d v="2024-03-24T00:00:00"/>
        <d v="2023-11-05T00:00:00"/>
        <d v="2024-06-10T00:00:00"/>
        <d v="2025-01-25T00:00:00"/>
        <d v="2024-10-27T00:00:00"/>
        <d v="2023-01-13T00:00:00"/>
        <d v="2024-12-27T00:00:00"/>
        <d v="2025-04-08T00:00:00"/>
        <d v="2023-05-25T00:00:00"/>
        <d v="2023-05-27T00:00:00"/>
        <d v="2024-06-21T00:00:00"/>
        <d v="2025-05-31T00:00:00"/>
        <d v="2023-04-12T00:00:00"/>
        <d v="2024-11-16T00:00:00"/>
        <d v="2023-08-13T00:00:00"/>
        <d v="2023-02-02T00:00:00"/>
        <d v="2023-03-28T00:00:00"/>
        <d v="2023-03-25T00:00:00"/>
        <d v="2023-01-26T00:00:00"/>
        <d v="2024-01-11T00:00:00"/>
        <d v="2023-05-29T00:00:00"/>
        <d v="2023-04-10T00:00:00"/>
        <d v="2023-03-09T00:00:00"/>
        <d v="2024-07-30T00:00:00"/>
        <d v="2024-04-27T00:00:00"/>
        <d v="2024-02-09T00:00:00"/>
        <d v="2024-12-31T00:00:00"/>
        <d v="2023-09-23T00:00:00"/>
        <d v="2023-03-30T00:00:00"/>
        <d v="2023-07-26T00:00:00"/>
        <d v="2025-04-13T00:00:00"/>
        <d v="2025-01-17T00:00:00"/>
        <d v="2024-07-14T00:00:00"/>
        <d v="2024-10-25T00:00:00"/>
        <d v="2025-01-07T00:00:00"/>
        <d v="2024-09-22T00:00:00"/>
        <d v="2023-05-05T00:00:00"/>
        <d v="2023-02-23T00:00:00"/>
        <d v="2024-09-07T00:00:00"/>
        <d v="2024-05-01T00:00:00"/>
        <d v="2023-03-29T00:00:00"/>
        <d v="2024-01-31T00:00:00"/>
        <d v="2024-03-07T00:00:00"/>
        <d v="2024-01-27T00:00:00"/>
        <d v="2023-11-15T00:00:00"/>
        <d v="2025-03-12T00:00:00"/>
        <d v="2025-06-07T00:00:00"/>
        <d v="2024-11-07T00:00:00"/>
        <d v="2024-07-15T00:00:00"/>
        <d v="2024-10-31T00:00:00"/>
        <d v="2025-02-23T00:00:00"/>
        <d v="2024-12-25T00:00:00"/>
        <d v="2023-02-21T00:00:00"/>
        <d v="2024-06-17T00:00:00"/>
        <d v="2024-12-19T00:00:00"/>
        <d v="2024-11-21T00:00:00"/>
        <d v="2023-10-26T00:00:00"/>
        <d v="2025-05-10T00:00:00"/>
        <d v="2025-06-02T00:00:00"/>
        <d v="2024-07-08T00:00:00"/>
        <d v="2025-04-06T00:00:00"/>
        <d v="2023-08-15T00:00:00"/>
        <d v="2023-02-16T00:00:00"/>
        <d v="2023-03-18T00:00:00"/>
        <d v="2023-07-12T00:00:00"/>
        <d v="2024-01-16T00:00:00"/>
        <d v="2023-12-05T00:00:00"/>
        <d v="2023-06-20T00:00:00"/>
        <d v="2023-09-11T00:00:00"/>
        <d v="2024-10-16T00:00:00"/>
      </sharedItems>
      <fieldGroup par="18"/>
    </cacheField>
    <cacheField name="AccountNumber" numFmtId="0">
      <sharedItems/>
    </cacheField>
    <cacheField name="AccountName" numFmtId="0">
      <sharedItems count="5">
        <s v="Sales Revenue"/>
        <s v="COGS"/>
        <s v="Payroll Expense"/>
        <s v="Travel Expense"/>
        <s v="Online Sales"/>
      </sharedItems>
    </cacheField>
    <cacheField name="Debit" numFmtId="0">
      <sharedItems containsSemiMixedTypes="0" containsString="0" containsNumber="1" minValue="0" maxValue="1999.52"/>
    </cacheField>
    <cacheField name="Debit_INR" numFmtId="0">
      <sharedItems containsSemiMixedTypes="0" containsString="0" containsNumber="1" minValue="0" maxValue="205317.11"/>
    </cacheField>
    <cacheField name="Credit" numFmtId="0">
      <sharedItems containsSemiMixedTypes="0" containsString="0" containsNumber="1" minValue="0" maxValue="4999.53"/>
    </cacheField>
    <cacheField name="Credit_INR" numFmtId="0">
      <sharedItems containsSemiMixedTypes="0" containsString="0" containsNumber="1" minValue="0" maxValue="513190.29000000004"/>
    </cacheField>
    <cacheField name="Dept" numFmtId="0">
      <sharedItems count="6">
        <s v="Sales"/>
        <s v="HR"/>
        <s v="IT"/>
        <s v="Marketing"/>
        <s v="Finance"/>
        <s v="Operations"/>
      </sharedItems>
    </cacheField>
    <cacheField name="CostCenter" numFmtId="0">
      <sharedItems count="5">
        <s v="CC500"/>
        <s v="CC300"/>
        <s v="CC400"/>
        <s v="CC200"/>
        <s v="CC100"/>
      </sharedItems>
    </cacheField>
    <cacheField name="Description" numFmtId="0">
      <sharedItems/>
    </cacheField>
    <cacheField name="Currency" numFmtId="0">
      <sharedItems/>
    </cacheField>
    <cacheField name="Net Amount" numFmtId="0">
      <sharedItems containsSemiMixedTypes="0" containsString="0" containsNumber="1" minValue="-1999.52" maxValue="4999.53"/>
    </cacheField>
    <cacheField name="P&amp;L Category " numFmtId="0">
      <sharedItems count="3">
        <s v="Revenue"/>
        <s v="COGS"/>
        <s v="Operating Expense"/>
      </sharedItems>
    </cacheField>
    <cacheField name="FX_rates" numFmtId="0">
      <sharedItems containsSemiMixedTypes="0" containsString="0" containsNumber="1" containsInteger="1" minValue="56" maxValue="103"/>
    </cacheField>
    <cacheField name="NetAmt_INR" numFmtId="0">
      <sharedItems containsSemiMixedTypes="0" containsString="0" containsNumber="1" minValue="-205317.11" maxValue="513190.29000000004"/>
    </cacheField>
    <cacheField name="Months (TxnDate)" numFmtId="0" databaseField="0">
      <fieldGroup base="1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TxnDate)" numFmtId="0" databaseField="0">
      <fieldGroup base="1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TxnDate)" numFmtId="0" databaseField="0">
      <fieldGroup base="1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  <cacheField name="Profit/Loss" numFmtId="0" formula="Credit -Debit" databaseField="0"/>
    <cacheField name="Trail Balance" numFmtId="0" formula="Debit_INR -Credit_INR" databaseField="0"/>
    <cacheField name="Trial Balance" numFmtId="0" formula="Debit_INR-Credit_IN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GL000000"/>
    <x v="0"/>
    <s v="4000"/>
    <x v="0"/>
    <n v="0"/>
    <n v="0"/>
    <n v="2505.15"/>
    <n v="258030.45"/>
    <x v="0"/>
    <x v="0"/>
    <s v="AutoPost 0"/>
    <s v="GBP"/>
    <n v="2505.15"/>
    <x v="0"/>
    <n v="103"/>
    <n v="258030.45"/>
  </r>
  <r>
    <s v="GL000001"/>
    <x v="1"/>
    <s v="5000"/>
    <x v="1"/>
    <n v="1184.73"/>
    <n v="122027.19"/>
    <n v="0"/>
    <n v="0"/>
    <x v="1"/>
    <x v="0"/>
    <s v="AutoPost 1"/>
    <s v="GBP"/>
    <n v="-1184.73"/>
    <x v="1"/>
    <n v="103"/>
    <n v="-122027.19"/>
  </r>
  <r>
    <s v="GL000002"/>
    <x v="2"/>
    <s v="5000"/>
    <x v="1"/>
    <n v="748.25"/>
    <n v="65846"/>
    <n v="0"/>
    <n v="0"/>
    <x v="2"/>
    <x v="1"/>
    <s v="AutoPost 2"/>
    <s v="EUR"/>
    <n v="-748.25"/>
    <x v="1"/>
    <n v="88"/>
    <n v="-65846"/>
  </r>
  <r>
    <s v="GL000003"/>
    <x v="3"/>
    <s v="6000"/>
    <x v="2"/>
    <n v="1610.64"/>
    <n v="90195.840000000011"/>
    <n v="0"/>
    <n v="0"/>
    <x v="0"/>
    <x v="2"/>
    <s v="AutoPost 3"/>
    <s v="AUD"/>
    <n v="-1610.64"/>
    <x v="2"/>
    <n v="56"/>
    <n v="-90195.840000000011"/>
  </r>
  <r>
    <s v="GL000004"/>
    <x v="4"/>
    <s v="5000"/>
    <x v="1"/>
    <n v="1053.1199999999999"/>
    <n v="86355.839999999997"/>
    <n v="0"/>
    <n v="0"/>
    <x v="1"/>
    <x v="2"/>
    <s v="AutoPost 4"/>
    <s v="USD"/>
    <n v="-1053.1199999999999"/>
    <x v="1"/>
    <n v="82"/>
    <n v="-86355.839999999997"/>
  </r>
  <r>
    <s v="GL000005"/>
    <x v="5"/>
    <s v="6000"/>
    <x v="2"/>
    <n v="1653.64"/>
    <n v="135598.48000000001"/>
    <n v="0"/>
    <n v="0"/>
    <x v="3"/>
    <x v="2"/>
    <s v="AutoPost 5"/>
    <s v="USD"/>
    <n v="-1653.64"/>
    <x v="2"/>
    <n v="82"/>
    <n v="-135598.48000000001"/>
  </r>
  <r>
    <s v="GL000006"/>
    <x v="6"/>
    <s v="5010"/>
    <x v="3"/>
    <n v="899.55"/>
    <n v="73763.099999999991"/>
    <n v="0"/>
    <n v="0"/>
    <x v="1"/>
    <x v="3"/>
    <s v="AutoPost 6"/>
    <s v="USD"/>
    <n v="-899.55"/>
    <x v="2"/>
    <n v="82"/>
    <n v="-73763.099999999991"/>
  </r>
  <r>
    <s v="GL000007"/>
    <x v="7"/>
    <s v="6000"/>
    <x v="2"/>
    <n v="247.27"/>
    <n v="20276.14"/>
    <n v="0"/>
    <n v="0"/>
    <x v="3"/>
    <x v="0"/>
    <s v="AutoPost 7"/>
    <s v="USD"/>
    <n v="-247.27"/>
    <x v="2"/>
    <n v="82"/>
    <n v="-20276.14"/>
  </r>
  <r>
    <s v="GL000008"/>
    <x v="8"/>
    <s v="5000"/>
    <x v="1"/>
    <n v="202.02"/>
    <n v="20808.060000000001"/>
    <n v="0"/>
    <n v="0"/>
    <x v="4"/>
    <x v="1"/>
    <s v="AutoPost 8"/>
    <s v="GBP"/>
    <n v="-202.02"/>
    <x v="1"/>
    <n v="103"/>
    <n v="-20808.060000000001"/>
  </r>
  <r>
    <s v="GL000009"/>
    <x v="9"/>
    <s v="5000"/>
    <x v="1"/>
    <n v="1093.72"/>
    <n v="89685.040000000008"/>
    <n v="0"/>
    <n v="0"/>
    <x v="1"/>
    <x v="2"/>
    <s v="AutoPost 9"/>
    <s v="USD"/>
    <n v="-1093.72"/>
    <x v="1"/>
    <n v="82"/>
    <n v="-89685.040000000008"/>
  </r>
  <r>
    <s v="GL000010"/>
    <x v="10"/>
    <s v="4010"/>
    <x v="4"/>
    <n v="0"/>
    <n v="0"/>
    <n v="3282.35"/>
    <n v="200223.35"/>
    <x v="3"/>
    <x v="4"/>
    <s v="AutoPost 10"/>
    <s v="CAD"/>
    <n v="3282.35"/>
    <x v="0"/>
    <n v="61"/>
    <n v="200223.35"/>
  </r>
  <r>
    <s v="GL000011"/>
    <x v="11"/>
    <s v="4000"/>
    <x v="0"/>
    <n v="0"/>
    <n v="0"/>
    <n v="2452.1999999999998"/>
    <n v="215793.59999999998"/>
    <x v="3"/>
    <x v="3"/>
    <s v="AutoPost 11"/>
    <s v="EUR"/>
    <n v="2452.1999999999998"/>
    <x v="0"/>
    <n v="88"/>
    <n v="215793.59999999998"/>
  </r>
  <r>
    <s v="GL000012"/>
    <x v="12"/>
    <s v="4000"/>
    <x v="0"/>
    <n v="0"/>
    <n v="0"/>
    <n v="3490.39"/>
    <n v="212913.78999999998"/>
    <x v="3"/>
    <x v="0"/>
    <s v="AutoPost 12"/>
    <s v="CAD"/>
    <n v="3490.39"/>
    <x v="0"/>
    <n v="61"/>
    <n v="212913.78999999998"/>
  </r>
  <r>
    <s v="GL000013"/>
    <x v="13"/>
    <s v="4000"/>
    <x v="0"/>
    <n v="0"/>
    <n v="0"/>
    <n v="3379.63"/>
    <n v="206157.43"/>
    <x v="0"/>
    <x v="4"/>
    <s v="AutoPost 13"/>
    <s v="CAD"/>
    <n v="3379.63"/>
    <x v="0"/>
    <n v="61"/>
    <n v="206157.43"/>
  </r>
  <r>
    <s v="GL000014"/>
    <x v="14"/>
    <s v="4010"/>
    <x v="4"/>
    <n v="0"/>
    <n v="0"/>
    <n v="1490.43"/>
    <n v="153514.29"/>
    <x v="0"/>
    <x v="2"/>
    <s v="AutoPost 14"/>
    <s v="GBP"/>
    <n v="1490.43"/>
    <x v="0"/>
    <n v="103"/>
    <n v="153514.29"/>
  </r>
  <r>
    <s v="GL000015"/>
    <x v="15"/>
    <s v="5000"/>
    <x v="1"/>
    <n v="1119.05"/>
    <n v="62666.799999999996"/>
    <n v="0"/>
    <n v="0"/>
    <x v="1"/>
    <x v="4"/>
    <s v="AutoPost 15"/>
    <s v="AUD"/>
    <n v="-1119.05"/>
    <x v="1"/>
    <n v="56"/>
    <n v="-62666.799999999996"/>
  </r>
  <r>
    <s v="GL000016"/>
    <x v="16"/>
    <s v="4010"/>
    <x v="4"/>
    <n v="0"/>
    <n v="0"/>
    <n v="4006.73"/>
    <n v="352592.24"/>
    <x v="0"/>
    <x v="3"/>
    <s v="AutoPost 16"/>
    <s v="EUR"/>
    <n v="4006.73"/>
    <x v="0"/>
    <n v="88"/>
    <n v="352592.24"/>
  </r>
  <r>
    <s v="GL000017"/>
    <x v="17"/>
    <s v="4000"/>
    <x v="0"/>
    <n v="0"/>
    <n v="0"/>
    <n v="259.83999999999997"/>
    <n v="14551.039999999999"/>
    <x v="5"/>
    <x v="4"/>
    <s v="AutoPost 17"/>
    <s v="AUD"/>
    <n v="259.83999999999997"/>
    <x v="0"/>
    <n v="56"/>
    <n v="14551.039999999999"/>
  </r>
  <r>
    <s v="GL000018"/>
    <x v="18"/>
    <s v="5010"/>
    <x v="3"/>
    <n v="735.45"/>
    <n v="44862.450000000004"/>
    <n v="0"/>
    <n v="0"/>
    <x v="2"/>
    <x v="4"/>
    <s v="AutoPost 18"/>
    <s v="CAD"/>
    <n v="-735.45"/>
    <x v="2"/>
    <n v="61"/>
    <n v="-44862.450000000004"/>
  </r>
  <r>
    <s v="GL000019"/>
    <x v="19"/>
    <s v="5000"/>
    <x v="1"/>
    <n v="154.43"/>
    <n v="9420.23"/>
    <n v="0"/>
    <n v="0"/>
    <x v="5"/>
    <x v="1"/>
    <s v="AutoPost 19"/>
    <s v="CAD"/>
    <n v="-154.43"/>
    <x v="1"/>
    <n v="61"/>
    <n v="-9420.23"/>
  </r>
  <r>
    <s v="GL000020"/>
    <x v="20"/>
    <s v="6000"/>
    <x v="2"/>
    <n v="359.1"/>
    <n v="21905.100000000002"/>
    <n v="0"/>
    <n v="0"/>
    <x v="2"/>
    <x v="1"/>
    <s v="AutoPost 20"/>
    <s v="CAD"/>
    <n v="-359.1"/>
    <x v="2"/>
    <n v="61"/>
    <n v="-21905.100000000002"/>
  </r>
  <r>
    <s v="GL000021"/>
    <x v="21"/>
    <s v="4010"/>
    <x v="4"/>
    <n v="0"/>
    <n v="0"/>
    <n v="1632.86"/>
    <n v="99604.459999999992"/>
    <x v="2"/>
    <x v="0"/>
    <s v="AutoPost 21"/>
    <s v="CAD"/>
    <n v="1632.86"/>
    <x v="0"/>
    <n v="61"/>
    <n v="99604.459999999992"/>
  </r>
  <r>
    <s v="GL000022"/>
    <x v="22"/>
    <s v="5000"/>
    <x v="1"/>
    <n v="319.7"/>
    <n v="26215.399999999998"/>
    <n v="0"/>
    <n v="0"/>
    <x v="2"/>
    <x v="0"/>
    <s v="AutoPost 22"/>
    <s v="USD"/>
    <n v="-319.7"/>
    <x v="1"/>
    <n v="82"/>
    <n v="-26215.399999999998"/>
  </r>
  <r>
    <s v="GL000023"/>
    <x v="23"/>
    <s v="5000"/>
    <x v="1"/>
    <n v="546.02"/>
    <n v="33307.22"/>
    <n v="0"/>
    <n v="0"/>
    <x v="2"/>
    <x v="3"/>
    <s v="AutoPost 23"/>
    <s v="CAD"/>
    <n v="-546.02"/>
    <x v="1"/>
    <n v="61"/>
    <n v="-33307.22"/>
  </r>
  <r>
    <s v="GL000024"/>
    <x v="24"/>
    <s v="5010"/>
    <x v="3"/>
    <n v="267.04000000000002"/>
    <n v="14954.240000000002"/>
    <n v="0"/>
    <n v="0"/>
    <x v="1"/>
    <x v="3"/>
    <s v="AutoPost 24"/>
    <s v="AUD"/>
    <n v="-267.04000000000002"/>
    <x v="2"/>
    <n v="56"/>
    <n v="-14954.240000000002"/>
  </r>
  <r>
    <s v="GL000025"/>
    <x v="25"/>
    <s v="4000"/>
    <x v="0"/>
    <n v="0"/>
    <n v="0"/>
    <n v="1650.08"/>
    <n v="135306.56"/>
    <x v="2"/>
    <x v="3"/>
    <s v="AutoPost 25"/>
    <s v="USD"/>
    <n v="1650.08"/>
    <x v="0"/>
    <n v="82"/>
    <n v="135306.56"/>
  </r>
  <r>
    <s v="GL000026"/>
    <x v="26"/>
    <s v="5000"/>
    <x v="1"/>
    <n v="115"/>
    <n v="6440"/>
    <n v="0"/>
    <n v="0"/>
    <x v="0"/>
    <x v="4"/>
    <s v="AutoPost 26"/>
    <s v="AUD"/>
    <n v="-115"/>
    <x v="1"/>
    <n v="56"/>
    <n v="-6440"/>
  </r>
  <r>
    <s v="GL000027"/>
    <x v="27"/>
    <s v="4010"/>
    <x v="4"/>
    <n v="0"/>
    <n v="0"/>
    <n v="1073.4100000000001"/>
    <n v="60110.960000000006"/>
    <x v="0"/>
    <x v="2"/>
    <s v="AutoPost 27"/>
    <s v="AUD"/>
    <n v="1073.4100000000001"/>
    <x v="0"/>
    <n v="56"/>
    <n v="60110.960000000006"/>
  </r>
  <r>
    <s v="GL000028"/>
    <x v="28"/>
    <s v="4010"/>
    <x v="4"/>
    <n v="0"/>
    <n v="0"/>
    <n v="3466"/>
    <n v="356998"/>
    <x v="4"/>
    <x v="2"/>
    <s v="AutoPost 28"/>
    <s v="GBP"/>
    <n v="3466"/>
    <x v="0"/>
    <n v="103"/>
    <n v="356998"/>
  </r>
  <r>
    <s v="GL000029"/>
    <x v="29"/>
    <s v="5010"/>
    <x v="3"/>
    <n v="947.43"/>
    <n v="57793.229999999996"/>
    <n v="0"/>
    <n v="0"/>
    <x v="0"/>
    <x v="1"/>
    <s v="AutoPost 29"/>
    <s v="CAD"/>
    <n v="-947.43"/>
    <x v="2"/>
    <n v="61"/>
    <n v="-57793.229999999996"/>
  </r>
  <r>
    <s v="GL000030"/>
    <x v="30"/>
    <s v="4010"/>
    <x v="4"/>
    <n v="0"/>
    <n v="0"/>
    <n v="4495.8900000000003"/>
    <n v="463076.67000000004"/>
    <x v="0"/>
    <x v="2"/>
    <s v="AutoPost 30"/>
    <s v="GBP"/>
    <n v="4495.8900000000003"/>
    <x v="0"/>
    <n v="103"/>
    <n v="463076.67000000004"/>
  </r>
  <r>
    <s v="GL000031"/>
    <x v="31"/>
    <s v="5000"/>
    <x v="1"/>
    <n v="72.88"/>
    <n v="4445.6799999999994"/>
    <n v="0"/>
    <n v="0"/>
    <x v="0"/>
    <x v="0"/>
    <s v="AutoPost 31"/>
    <s v="CAD"/>
    <n v="-72.88"/>
    <x v="1"/>
    <n v="61"/>
    <n v="-4445.6799999999994"/>
  </r>
  <r>
    <s v="GL000032"/>
    <x v="32"/>
    <s v="4010"/>
    <x v="4"/>
    <n v="0"/>
    <n v="0"/>
    <n v="867.61"/>
    <n v="48586.16"/>
    <x v="2"/>
    <x v="0"/>
    <s v="AutoPost 32"/>
    <s v="AUD"/>
    <n v="867.61"/>
    <x v="0"/>
    <n v="56"/>
    <n v="48586.16"/>
  </r>
  <r>
    <s v="GL000033"/>
    <x v="33"/>
    <s v="5010"/>
    <x v="3"/>
    <n v="1416.83"/>
    <n v="116180.06"/>
    <n v="0"/>
    <n v="0"/>
    <x v="5"/>
    <x v="0"/>
    <s v="AutoPost 33"/>
    <s v="USD"/>
    <n v="-1416.83"/>
    <x v="2"/>
    <n v="82"/>
    <n v="-116180.06"/>
  </r>
  <r>
    <s v="GL000034"/>
    <x v="34"/>
    <s v="5010"/>
    <x v="3"/>
    <n v="806.72"/>
    <n v="45176.32"/>
    <n v="0"/>
    <n v="0"/>
    <x v="0"/>
    <x v="4"/>
    <s v="AutoPost 34"/>
    <s v="AUD"/>
    <n v="-806.72"/>
    <x v="2"/>
    <n v="56"/>
    <n v="-45176.32"/>
  </r>
  <r>
    <s v="GL000035"/>
    <x v="35"/>
    <s v="4000"/>
    <x v="0"/>
    <n v="0"/>
    <n v="0"/>
    <n v="391.57"/>
    <n v="34458.159999999996"/>
    <x v="4"/>
    <x v="3"/>
    <s v="AutoPost 35"/>
    <s v="EUR"/>
    <n v="391.57"/>
    <x v="0"/>
    <n v="88"/>
    <n v="34458.159999999996"/>
  </r>
  <r>
    <s v="GL000036"/>
    <x v="36"/>
    <s v="5000"/>
    <x v="1"/>
    <n v="248.09"/>
    <n v="21831.920000000002"/>
    <n v="0"/>
    <n v="0"/>
    <x v="4"/>
    <x v="0"/>
    <s v="AutoPost 36"/>
    <s v="EUR"/>
    <n v="-248.09"/>
    <x v="1"/>
    <n v="88"/>
    <n v="-21831.920000000002"/>
  </r>
  <r>
    <s v="GL000037"/>
    <x v="37"/>
    <s v="5010"/>
    <x v="3"/>
    <n v="1469.2"/>
    <n v="120474.40000000001"/>
    <n v="0"/>
    <n v="0"/>
    <x v="2"/>
    <x v="0"/>
    <s v="AutoPost 37"/>
    <s v="USD"/>
    <n v="-1469.2"/>
    <x v="2"/>
    <n v="82"/>
    <n v="-120474.40000000001"/>
  </r>
  <r>
    <s v="GL000038"/>
    <x v="38"/>
    <s v="6000"/>
    <x v="2"/>
    <n v="1924.85"/>
    <n v="169386.8"/>
    <n v="0"/>
    <n v="0"/>
    <x v="4"/>
    <x v="4"/>
    <s v="AutoPost 38"/>
    <s v="EUR"/>
    <n v="-1924.85"/>
    <x v="2"/>
    <n v="88"/>
    <n v="-169386.8"/>
  </r>
  <r>
    <s v="GL000039"/>
    <x v="39"/>
    <s v="5010"/>
    <x v="3"/>
    <n v="1416.63"/>
    <n v="86414.430000000008"/>
    <n v="0"/>
    <n v="0"/>
    <x v="2"/>
    <x v="2"/>
    <s v="AutoPost 39"/>
    <s v="CAD"/>
    <n v="-1416.63"/>
    <x v="2"/>
    <n v="61"/>
    <n v="-86414.430000000008"/>
  </r>
  <r>
    <s v="GL000040"/>
    <x v="40"/>
    <s v="6000"/>
    <x v="2"/>
    <n v="358.23"/>
    <n v="20060.88"/>
    <n v="0"/>
    <n v="0"/>
    <x v="0"/>
    <x v="2"/>
    <s v="AutoPost 40"/>
    <s v="AUD"/>
    <n v="-358.23"/>
    <x v="2"/>
    <n v="56"/>
    <n v="-20060.88"/>
  </r>
  <r>
    <s v="GL000041"/>
    <x v="41"/>
    <s v="5010"/>
    <x v="3"/>
    <n v="1647.4"/>
    <n v="144971.20000000001"/>
    <n v="0"/>
    <n v="0"/>
    <x v="1"/>
    <x v="4"/>
    <s v="AutoPost 41"/>
    <s v="EUR"/>
    <n v="-1647.4"/>
    <x v="2"/>
    <n v="88"/>
    <n v="-144971.20000000001"/>
  </r>
  <r>
    <s v="GL000042"/>
    <x v="42"/>
    <s v="5000"/>
    <x v="1"/>
    <n v="945.76"/>
    <n v="52962.559999999998"/>
    <n v="0"/>
    <n v="0"/>
    <x v="3"/>
    <x v="1"/>
    <s v="AutoPost 42"/>
    <s v="AUD"/>
    <n v="-945.76"/>
    <x v="1"/>
    <n v="56"/>
    <n v="-52962.559999999998"/>
  </r>
  <r>
    <s v="GL000043"/>
    <x v="43"/>
    <s v="6000"/>
    <x v="2"/>
    <n v="941.14"/>
    <n v="82820.319999999992"/>
    <n v="0"/>
    <n v="0"/>
    <x v="4"/>
    <x v="2"/>
    <s v="AutoPost 43"/>
    <s v="EUR"/>
    <n v="-941.14"/>
    <x v="2"/>
    <n v="88"/>
    <n v="-82820.319999999992"/>
  </r>
  <r>
    <s v="GL000044"/>
    <x v="44"/>
    <s v="6000"/>
    <x v="2"/>
    <n v="142.16"/>
    <n v="12510.08"/>
    <n v="0"/>
    <n v="0"/>
    <x v="5"/>
    <x v="3"/>
    <s v="AutoPost 44"/>
    <s v="EUR"/>
    <n v="-142.16"/>
    <x v="2"/>
    <n v="88"/>
    <n v="-12510.08"/>
  </r>
  <r>
    <s v="GL000045"/>
    <x v="45"/>
    <s v="4010"/>
    <x v="4"/>
    <n v="0"/>
    <n v="0"/>
    <n v="1368.77"/>
    <n v="120451.76"/>
    <x v="3"/>
    <x v="0"/>
    <s v="AutoPost 45"/>
    <s v="EUR"/>
    <n v="1368.77"/>
    <x v="0"/>
    <n v="88"/>
    <n v="120451.76"/>
  </r>
  <r>
    <s v="GL000046"/>
    <x v="46"/>
    <s v="4000"/>
    <x v="0"/>
    <n v="0"/>
    <n v="0"/>
    <n v="2507.52"/>
    <n v="220661.76000000001"/>
    <x v="3"/>
    <x v="2"/>
    <s v="AutoPost 46"/>
    <s v="EUR"/>
    <n v="2507.52"/>
    <x v="0"/>
    <n v="88"/>
    <n v="220661.76000000001"/>
  </r>
  <r>
    <s v="GL000047"/>
    <x v="47"/>
    <s v="4000"/>
    <x v="0"/>
    <n v="0"/>
    <n v="0"/>
    <n v="1744.89"/>
    <n v="143080.98000000001"/>
    <x v="4"/>
    <x v="2"/>
    <s v="AutoPost 47"/>
    <s v="USD"/>
    <n v="1744.89"/>
    <x v="0"/>
    <n v="82"/>
    <n v="143080.98000000001"/>
  </r>
  <r>
    <s v="GL000048"/>
    <x v="5"/>
    <s v="6000"/>
    <x v="2"/>
    <n v="1408.09"/>
    <n v="85893.489999999991"/>
    <n v="0"/>
    <n v="0"/>
    <x v="2"/>
    <x v="2"/>
    <s v="AutoPost 48"/>
    <s v="CAD"/>
    <n v="-1408.09"/>
    <x v="2"/>
    <n v="61"/>
    <n v="-85893.489999999991"/>
  </r>
  <r>
    <s v="GL000049"/>
    <x v="48"/>
    <s v="6000"/>
    <x v="2"/>
    <n v="480.19"/>
    <n v="42256.72"/>
    <n v="0"/>
    <n v="0"/>
    <x v="3"/>
    <x v="4"/>
    <s v="AutoPost 49"/>
    <s v="EUR"/>
    <n v="-480.19"/>
    <x v="2"/>
    <n v="88"/>
    <n v="-42256.72"/>
  </r>
  <r>
    <s v="GL000050"/>
    <x v="49"/>
    <s v="5000"/>
    <x v="1"/>
    <n v="1444.62"/>
    <n v="88121.819999999992"/>
    <n v="0"/>
    <n v="0"/>
    <x v="3"/>
    <x v="4"/>
    <s v="AutoPost 50"/>
    <s v="CAD"/>
    <n v="-1444.62"/>
    <x v="1"/>
    <n v="61"/>
    <n v="-88121.819999999992"/>
  </r>
  <r>
    <s v="GL000051"/>
    <x v="50"/>
    <s v="4000"/>
    <x v="0"/>
    <n v="0"/>
    <n v="0"/>
    <n v="4456.24"/>
    <n v="271830.64"/>
    <x v="1"/>
    <x v="2"/>
    <s v="AutoPost 51"/>
    <s v="CAD"/>
    <n v="4456.24"/>
    <x v="0"/>
    <n v="61"/>
    <n v="271830.64"/>
  </r>
  <r>
    <s v="GL000052"/>
    <x v="51"/>
    <s v="4000"/>
    <x v="0"/>
    <n v="0"/>
    <n v="0"/>
    <n v="4800.28"/>
    <n v="292817.07999999996"/>
    <x v="5"/>
    <x v="2"/>
    <s v="AutoPost 52"/>
    <s v="CAD"/>
    <n v="4800.28"/>
    <x v="0"/>
    <n v="61"/>
    <n v="292817.07999999996"/>
  </r>
  <r>
    <s v="GL000053"/>
    <x v="52"/>
    <s v="5000"/>
    <x v="1"/>
    <n v="425.12"/>
    <n v="23806.720000000001"/>
    <n v="0"/>
    <n v="0"/>
    <x v="3"/>
    <x v="0"/>
    <s v="AutoPost 53"/>
    <s v="AUD"/>
    <n v="-425.12"/>
    <x v="1"/>
    <n v="56"/>
    <n v="-23806.720000000001"/>
  </r>
  <r>
    <s v="GL000054"/>
    <x v="53"/>
    <s v="6000"/>
    <x v="2"/>
    <n v="1830.18"/>
    <n v="161055.84"/>
    <n v="0"/>
    <n v="0"/>
    <x v="4"/>
    <x v="0"/>
    <s v="AutoPost 54"/>
    <s v="EUR"/>
    <n v="-1830.18"/>
    <x v="2"/>
    <n v="88"/>
    <n v="-161055.84"/>
  </r>
  <r>
    <s v="GL000055"/>
    <x v="54"/>
    <s v="4000"/>
    <x v="0"/>
    <n v="0"/>
    <n v="0"/>
    <n v="4128.6400000000003"/>
    <n v="231203.84000000003"/>
    <x v="0"/>
    <x v="4"/>
    <s v="AutoPost 55"/>
    <s v="AUD"/>
    <n v="4128.6400000000003"/>
    <x v="0"/>
    <n v="56"/>
    <n v="231203.84000000003"/>
  </r>
  <r>
    <s v="GL000056"/>
    <x v="55"/>
    <s v="5000"/>
    <x v="1"/>
    <n v="609.79999999999995"/>
    <n v="37197.799999999996"/>
    <n v="0"/>
    <n v="0"/>
    <x v="1"/>
    <x v="1"/>
    <s v="AutoPost 56"/>
    <s v="CAD"/>
    <n v="-609.79999999999995"/>
    <x v="1"/>
    <n v="61"/>
    <n v="-37197.799999999996"/>
  </r>
  <r>
    <s v="GL000057"/>
    <x v="56"/>
    <s v="5010"/>
    <x v="3"/>
    <n v="279.32"/>
    <n v="22904.239999999998"/>
    <n v="0"/>
    <n v="0"/>
    <x v="3"/>
    <x v="2"/>
    <s v="AutoPost 57"/>
    <s v="USD"/>
    <n v="-279.32"/>
    <x v="2"/>
    <n v="82"/>
    <n v="-22904.239999999998"/>
  </r>
  <r>
    <s v="GL000058"/>
    <x v="57"/>
    <s v="4010"/>
    <x v="4"/>
    <n v="0"/>
    <n v="0"/>
    <n v="1790.31"/>
    <n v="109208.91"/>
    <x v="4"/>
    <x v="0"/>
    <s v="AutoPost 58"/>
    <s v="CAD"/>
    <n v="1790.31"/>
    <x v="0"/>
    <n v="61"/>
    <n v="109208.91"/>
  </r>
  <r>
    <s v="GL000059"/>
    <x v="58"/>
    <s v="5010"/>
    <x v="3"/>
    <n v="1635.65"/>
    <n v="99774.650000000009"/>
    <n v="0"/>
    <n v="0"/>
    <x v="1"/>
    <x v="2"/>
    <s v="AutoPost 59"/>
    <s v="CAD"/>
    <n v="-1635.65"/>
    <x v="2"/>
    <n v="61"/>
    <n v="-99774.650000000009"/>
  </r>
  <r>
    <s v="GL000060"/>
    <x v="8"/>
    <s v="4000"/>
    <x v="0"/>
    <n v="0"/>
    <n v="0"/>
    <n v="3300.5"/>
    <n v="270641"/>
    <x v="4"/>
    <x v="2"/>
    <s v="AutoPost 60"/>
    <s v="USD"/>
    <n v="3300.5"/>
    <x v="0"/>
    <n v="82"/>
    <n v="270641"/>
  </r>
  <r>
    <s v="GL000061"/>
    <x v="59"/>
    <s v="6000"/>
    <x v="2"/>
    <n v="1704.76"/>
    <n v="95466.559999999998"/>
    <n v="0"/>
    <n v="0"/>
    <x v="3"/>
    <x v="1"/>
    <s v="AutoPost 61"/>
    <s v="AUD"/>
    <n v="-1704.76"/>
    <x v="2"/>
    <n v="56"/>
    <n v="-95466.559999999998"/>
  </r>
  <r>
    <s v="GL000062"/>
    <x v="60"/>
    <s v="5010"/>
    <x v="3"/>
    <n v="145.25"/>
    <n v="12782"/>
    <n v="0"/>
    <n v="0"/>
    <x v="2"/>
    <x v="1"/>
    <s v="AutoPost 62"/>
    <s v="EUR"/>
    <n v="-145.25"/>
    <x v="2"/>
    <n v="88"/>
    <n v="-12782"/>
  </r>
  <r>
    <s v="GL000063"/>
    <x v="61"/>
    <s v="6000"/>
    <x v="2"/>
    <n v="1423.44"/>
    <n v="125262.72"/>
    <n v="0"/>
    <n v="0"/>
    <x v="3"/>
    <x v="1"/>
    <s v="AutoPost 63"/>
    <s v="EUR"/>
    <n v="-1423.44"/>
    <x v="2"/>
    <n v="88"/>
    <n v="-125262.72"/>
  </r>
  <r>
    <s v="GL000064"/>
    <x v="62"/>
    <s v="5010"/>
    <x v="3"/>
    <n v="793.01"/>
    <n v="48373.61"/>
    <n v="0"/>
    <n v="0"/>
    <x v="2"/>
    <x v="4"/>
    <s v="AutoPost 64"/>
    <s v="CAD"/>
    <n v="-793.01"/>
    <x v="2"/>
    <n v="61"/>
    <n v="-48373.61"/>
  </r>
  <r>
    <s v="GL000065"/>
    <x v="63"/>
    <s v="4010"/>
    <x v="4"/>
    <n v="0"/>
    <n v="0"/>
    <n v="2977.78"/>
    <n v="244177.96000000002"/>
    <x v="3"/>
    <x v="1"/>
    <s v="AutoPost 65"/>
    <s v="USD"/>
    <n v="2977.78"/>
    <x v="0"/>
    <n v="82"/>
    <n v="244177.96000000002"/>
  </r>
  <r>
    <s v="GL000066"/>
    <x v="64"/>
    <s v="5010"/>
    <x v="3"/>
    <n v="1212.6500000000001"/>
    <n v="106713.20000000001"/>
    <n v="0"/>
    <n v="0"/>
    <x v="5"/>
    <x v="0"/>
    <s v="AutoPost 66"/>
    <s v="EUR"/>
    <n v="-1212.6500000000001"/>
    <x v="2"/>
    <n v="88"/>
    <n v="-106713.20000000001"/>
  </r>
  <r>
    <s v="GL000067"/>
    <x v="65"/>
    <s v="4000"/>
    <x v="0"/>
    <n v="0"/>
    <n v="0"/>
    <n v="1204.96"/>
    <n v="124110.88"/>
    <x v="5"/>
    <x v="1"/>
    <s v="AutoPost 67"/>
    <s v="GBP"/>
    <n v="1204.96"/>
    <x v="0"/>
    <n v="103"/>
    <n v="124110.88"/>
  </r>
  <r>
    <s v="GL000068"/>
    <x v="66"/>
    <s v="5010"/>
    <x v="3"/>
    <n v="1735.7"/>
    <n v="142327.4"/>
    <n v="0"/>
    <n v="0"/>
    <x v="3"/>
    <x v="4"/>
    <s v="AutoPost 68"/>
    <s v="USD"/>
    <n v="-1735.7"/>
    <x v="2"/>
    <n v="82"/>
    <n v="-142327.4"/>
  </r>
  <r>
    <s v="GL000069"/>
    <x v="67"/>
    <s v="6000"/>
    <x v="2"/>
    <n v="1095.32"/>
    <n v="61337.919999999998"/>
    <n v="0"/>
    <n v="0"/>
    <x v="4"/>
    <x v="0"/>
    <s v="AutoPost 69"/>
    <s v="AUD"/>
    <n v="-1095.32"/>
    <x v="2"/>
    <n v="56"/>
    <n v="-61337.919999999998"/>
  </r>
  <r>
    <s v="GL000070"/>
    <x v="68"/>
    <s v="6000"/>
    <x v="2"/>
    <n v="553.17999999999995"/>
    <n v="45360.759999999995"/>
    <n v="0"/>
    <n v="0"/>
    <x v="2"/>
    <x v="1"/>
    <s v="AutoPost 70"/>
    <s v="USD"/>
    <n v="-553.17999999999995"/>
    <x v="2"/>
    <n v="82"/>
    <n v="-45360.759999999995"/>
  </r>
  <r>
    <s v="GL000071"/>
    <x v="69"/>
    <s v="4000"/>
    <x v="0"/>
    <n v="0"/>
    <n v="0"/>
    <n v="2434.5500000000002"/>
    <n v="148507.55000000002"/>
    <x v="4"/>
    <x v="1"/>
    <s v="AutoPost 71"/>
    <s v="CAD"/>
    <n v="2434.5500000000002"/>
    <x v="0"/>
    <n v="61"/>
    <n v="148507.55000000002"/>
  </r>
  <r>
    <s v="GL000072"/>
    <x v="70"/>
    <s v="5000"/>
    <x v="1"/>
    <n v="156.53"/>
    <n v="12835.460000000001"/>
    <n v="0"/>
    <n v="0"/>
    <x v="4"/>
    <x v="0"/>
    <s v="AutoPost 72"/>
    <s v="USD"/>
    <n v="-156.53"/>
    <x v="1"/>
    <n v="82"/>
    <n v="-12835.460000000001"/>
  </r>
  <r>
    <s v="GL000073"/>
    <x v="71"/>
    <s v="6000"/>
    <x v="2"/>
    <n v="1231.32"/>
    <n v="126825.95999999999"/>
    <n v="0"/>
    <n v="0"/>
    <x v="1"/>
    <x v="3"/>
    <s v="AutoPost 73"/>
    <s v="GBP"/>
    <n v="-1231.32"/>
    <x v="2"/>
    <n v="103"/>
    <n v="-126825.95999999999"/>
  </r>
  <r>
    <s v="GL000074"/>
    <x v="72"/>
    <s v="5010"/>
    <x v="3"/>
    <n v="1844.88"/>
    <n v="103313.28"/>
    <n v="0"/>
    <n v="0"/>
    <x v="0"/>
    <x v="4"/>
    <s v="AutoPost 74"/>
    <s v="AUD"/>
    <n v="-1844.88"/>
    <x v="2"/>
    <n v="56"/>
    <n v="-103313.28"/>
  </r>
  <r>
    <s v="GL000075"/>
    <x v="73"/>
    <s v="5010"/>
    <x v="3"/>
    <n v="1368.26"/>
    <n v="140930.78"/>
    <n v="0"/>
    <n v="0"/>
    <x v="4"/>
    <x v="0"/>
    <s v="AutoPost 75"/>
    <s v="GBP"/>
    <n v="-1368.26"/>
    <x v="2"/>
    <n v="103"/>
    <n v="-140930.78"/>
  </r>
  <r>
    <s v="GL000076"/>
    <x v="12"/>
    <s v="4000"/>
    <x v="0"/>
    <n v="0"/>
    <n v="0"/>
    <n v="2609.56"/>
    <n v="268784.68"/>
    <x v="0"/>
    <x v="2"/>
    <s v="AutoPost 76"/>
    <s v="GBP"/>
    <n v="2609.56"/>
    <x v="0"/>
    <n v="103"/>
    <n v="268784.68"/>
  </r>
  <r>
    <s v="GL000077"/>
    <x v="74"/>
    <s v="6000"/>
    <x v="2"/>
    <n v="1420.84"/>
    <n v="79567.039999999994"/>
    <n v="0"/>
    <n v="0"/>
    <x v="2"/>
    <x v="2"/>
    <s v="AutoPost 77"/>
    <s v="AUD"/>
    <n v="-1420.84"/>
    <x v="2"/>
    <n v="56"/>
    <n v="-79567.039999999994"/>
  </r>
  <r>
    <s v="GL000078"/>
    <x v="75"/>
    <s v="5000"/>
    <x v="1"/>
    <n v="1671.57"/>
    <n v="172171.71"/>
    <n v="0"/>
    <n v="0"/>
    <x v="4"/>
    <x v="1"/>
    <s v="AutoPost 78"/>
    <s v="GBP"/>
    <n v="-1671.57"/>
    <x v="1"/>
    <n v="103"/>
    <n v="-172171.71"/>
  </r>
  <r>
    <s v="GL000079"/>
    <x v="76"/>
    <s v="6000"/>
    <x v="2"/>
    <n v="498.83"/>
    <n v="27934.48"/>
    <n v="0"/>
    <n v="0"/>
    <x v="5"/>
    <x v="1"/>
    <s v="AutoPost 79"/>
    <s v="AUD"/>
    <n v="-498.83"/>
    <x v="2"/>
    <n v="56"/>
    <n v="-27934.48"/>
  </r>
  <r>
    <s v="GL000080"/>
    <x v="77"/>
    <s v="5010"/>
    <x v="3"/>
    <n v="1528.9"/>
    <n v="125369.8"/>
    <n v="0"/>
    <n v="0"/>
    <x v="0"/>
    <x v="3"/>
    <s v="AutoPost 80"/>
    <s v="USD"/>
    <n v="-1528.9"/>
    <x v="2"/>
    <n v="82"/>
    <n v="-125369.8"/>
  </r>
  <r>
    <s v="GL000081"/>
    <x v="62"/>
    <s v="4000"/>
    <x v="0"/>
    <n v="0"/>
    <n v="0"/>
    <n v="4706.6099999999997"/>
    <n v="414181.68"/>
    <x v="2"/>
    <x v="1"/>
    <s v="AutoPost 81"/>
    <s v="EUR"/>
    <n v="4706.6099999999997"/>
    <x v="0"/>
    <n v="88"/>
    <n v="414181.68"/>
  </r>
  <r>
    <s v="GL000082"/>
    <x v="78"/>
    <s v="5010"/>
    <x v="3"/>
    <n v="1105.6300000000001"/>
    <n v="61915.280000000006"/>
    <n v="0"/>
    <n v="0"/>
    <x v="0"/>
    <x v="1"/>
    <s v="AutoPost 82"/>
    <s v="AUD"/>
    <n v="-1105.6300000000001"/>
    <x v="2"/>
    <n v="56"/>
    <n v="-61915.280000000006"/>
  </r>
  <r>
    <s v="GL000083"/>
    <x v="79"/>
    <s v="4010"/>
    <x v="4"/>
    <n v="0"/>
    <n v="0"/>
    <n v="3399.04"/>
    <n v="190346.23999999999"/>
    <x v="2"/>
    <x v="3"/>
    <s v="AutoPost 83"/>
    <s v="AUD"/>
    <n v="3399.04"/>
    <x v="0"/>
    <n v="56"/>
    <n v="190346.23999999999"/>
  </r>
  <r>
    <s v="GL000084"/>
    <x v="80"/>
    <s v="5010"/>
    <x v="3"/>
    <n v="1163.98"/>
    <n v="119889.94"/>
    <n v="0"/>
    <n v="0"/>
    <x v="0"/>
    <x v="4"/>
    <s v="AutoPost 84"/>
    <s v="GBP"/>
    <n v="-1163.98"/>
    <x v="2"/>
    <n v="103"/>
    <n v="-119889.94"/>
  </r>
  <r>
    <s v="GL000085"/>
    <x v="81"/>
    <s v="4000"/>
    <x v="0"/>
    <n v="0"/>
    <n v="0"/>
    <n v="3532.66"/>
    <n v="289678.12"/>
    <x v="2"/>
    <x v="1"/>
    <s v="AutoPost 85"/>
    <s v="USD"/>
    <n v="3532.66"/>
    <x v="0"/>
    <n v="82"/>
    <n v="289678.12"/>
  </r>
  <r>
    <s v="GL000086"/>
    <x v="82"/>
    <s v="5010"/>
    <x v="3"/>
    <n v="1395.59"/>
    <n v="114438.37999999999"/>
    <n v="0"/>
    <n v="0"/>
    <x v="1"/>
    <x v="4"/>
    <s v="AutoPost 86"/>
    <s v="USD"/>
    <n v="-1395.59"/>
    <x v="2"/>
    <n v="82"/>
    <n v="-114438.37999999999"/>
  </r>
  <r>
    <s v="GL000087"/>
    <x v="83"/>
    <s v="5000"/>
    <x v="1"/>
    <n v="1441.07"/>
    <n v="87905.26999999999"/>
    <n v="0"/>
    <n v="0"/>
    <x v="4"/>
    <x v="4"/>
    <s v="AutoPost 87"/>
    <s v="CAD"/>
    <n v="-1441.07"/>
    <x v="1"/>
    <n v="61"/>
    <n v="-87905.26999999999"/>
  </r>
  <r>
    <s v="GL000088"/>
    <x v="84"/>
    <s v="4010"/>
    <x v="4"/>
    <n v="0"/>
    <n v="0"/>
    <n v="3845.76"/>
    <n v="315352.32000000001"/>
    <x v="0"/>
    <x v="0"/>
    <s v="AutoPost 88"/>
    <s v="USD"/>
    <n v="3845.76"/>
    <x v="0"/>
    <n v="82"/>
    <n v="315352.32000000001"/>
  </r>
  <r>
    <s v="GL000089"/>
    <x v="85"/>
    <s v="6000"/>
    <x v="2"/>
    <n v="1448.69"/>
    <n v="88370.09"/>
    <n v="0"/>
    <n v="0"/>
    <x v="3"/>
    <x v="1"/>
    <s v="AutoPost 89"/>
    <s v="CAD"/>
    <n v="-1448.69"/>
    <x v="2"/>
    <n v="61"/>
    <n v="-88370.09"/>
  </r>
  <r>
    <s v="GL000090"/>
    <x v="86"/>
    <s v="5000"/>
    <x v="1"/>
    <n v="74.5"/>
    <n v="7673.5"/>
    <n v="0"/>
    <n v="0"/>
    <x v="2"/>
    <x v="0"/>
    <s v="AutoPost 90"/>
    <s v="GBP"/>
    <n v="-74.5"/>
    <x v="1"/>
    <n v="103"/>
    <n v="-7673.5"/>
  </r>
  <r>
    <s v="GL000091"/>
    <x v="87"/>
    <s v="4000"/>
    <x v="0"/>
    <n v="0"/>
    <n v="0"/>
    <n v="1071.73"/>
    <n v="87881.86"/>
    <x v="5"/>
    <x v="2"/>
    <s v="AutoPost 91"/>
    <s v="USD"/>
    <n v="1071.73"/>
    <x v="0"/>
    <n v="82"/>
    <n v="87881.86"/>
  </r>
  <r>
    <s v="GL000092"/>
    <x v="82"/>
    <s v="5000"/>
    <x v="1"/>
    <n v="1875.56"/>
    <n v="193182.68"/>
    <n v="0"/>
    <n v="0"/>
    <x v="4"/>
    <x v="1"/>
    <s v="AutoPost 92"/>
    <s v="GBP"/>
    <n v="-1875.56"/>
    <x v="1"/>
    <n v="103"/>
    <n v="-193182.68"/>
  </r>
  <r>
    <s v="GL000093"/>
    <x v="88"/>
    <s v="6000"/>
    <x v="2"/>
    <n v="1449.67"/>
    <n v="118872.94"/>
    <n v="0"/>
    <n v="0"/>
    <x v="0"/>
    <x v="3"/>
    <s v="AutoPost 93"/>
    <s v="USD"/>
    <n v="-1449.67"/>
    <x v="2"/>
    <n v="82"/>
    <n v="-118872.94"/>
  </r>
  <r>
    <s v="GL000094"/>
    <x v="89"/>
    <s v="5000"/>
    <x v="1"/>
    <n v="1782.21"/>
    <n v="99803.760000000009"/>
    <n v="0"/>
    <n v="0"/>
    <x v="5"/>
    <x v="0"/>
    <s v="AutoPost 94"/>
    <s v="AUD"/>
    <n v="-1782.21"/>
    <x v="1"/>
    <n v="56"/>
    <n v="-99803.760000000009"/>
  </r>
  <r>
    <s v="GL000095"/>
    <x v="55"/>
    <s v="4010"/>
    <x v="4"/>
    <n v="0"/>
    <n v="0"/>
    <n v="4889.25"/>
    <n v="273798"/>
    <x v="5"/>
    <x v="1"/>
    <s v="AutoPost 95"/>
    <s v="AUD"/>
    <n v="4889.25"/>
    <x v="0"/>
    <n v="56"/>
    <n v="273798"/>
  </r>
  <r>
    <s v="GL000096"/>
    <x v="90"/>
    <s v="6000"/>
    <x v="2"/>
    <n v="1101.33"/>
    <n v="113436.98999999999"/>
    <n v="0"/>
    <n v="0"/>
    <x v="0"/>
    <x v="0"/>
    <s v="AutoPost 96"/>
    <s v="GBP"/>
    <n v="-1101.33"/>
    <x v="2"/>
    <n v="103"/>
    <n v="-113436.98999999999"/>
  </r>
  <r>
    <s v="GL000097"/>
    <x v="91"/>
    <s v="5010"/>
    <x v="3"/>
    <n v="121.65"/>
    <n v="9975.3000000000011"/>
    <n v="0"/>
    <n v="0"/>
    <x v="1"/>
    <x v="3"/>
    <s v="AutoPost 97"/>
    <s v="USD"/>
    <n v="-121.65"/>
    <x v="2"/>
    <n v="82"/>
    <n v="-9975.3000000000011"/>
  </r>
  <r>
    <s v="GL000098"/>
    <x v="92"/>
    <s v="5010"/>
    <x v="3"/>
    <n v="137.87"/>
    <n v="7720.72"/>
    <n v="0"/>
    <n v="0"/>
    <x v="0"/>
    <x v="0"/>
    <s v="AutoPost 98"/>
    <s v="AUD"/>
    <n v="-137.87"/>
    <x v="2"/>
    <n v="56"/>
    <n v="-7720.72"/>
  </r>
  <r>
    <s v="GL000099"/>
    <x v="93"/>
    <s v="4000"/>
    <x v="0"/>
    <n v="0"/>
    <n v="0"/>
    <n v="792.94"/>
    <n v="48369.340000000004"/>
    <x v="4"/>
    <x v="2"/>
    <s v="AutoPost 99"/>
    <s v="CAD"/>
    <n v="792.94"/>
    <x v="0"/>
    <n v="61"/>
    <n v="48369.340000000004"/>
  </r>
  <r>
    <s v="GL000100"/>
    <x v="94"/>
    <s v="4010"/>
    <x v="4"/>
    <n v="0"/>
    <n v="0"/>
    <n v="1346.1"/>
    <n v="110380.2"/>
    <x v="1"/>
    <x v="1"/>
    <s v="AutoPost 100"/>
    <s v="USD"/>
    <n v="1346.1"/>
    <x v="0"/>
    <n v="82"/>
    <n v="110380.2"/>
  </r>
  <r>
    <s v="GL000101"/>
    <x v="95"/>
    <s v="4010"/>
    <x v="4"/>
    <n v="0"/>
    <n v="0"/>
    <n v="961.26"/>
    <n v="58636.86"/>
    <x v="5"/>
    <x v="1"/>
    <s v="AutoPost 101"/>
    <s v="CAD"/>
    <n v="961.26"/>
    <x v="0"/>
    <n v="61"/>
    <n v="58636.86"/>
  </r>
  <r>
    <s v="GL000102"/>
    <x v="96"/>
    <s v="5000"/>
    <x v="1"/>
    <n v="421.91"/>
    <n v="37128.080000000002"/>
    <n v="0"/>
    <n v="0"/>
    <x v="5"/>
    <x v="1"/>
    <s v="AutoPost 102"/>
    <s v="EUR"/>
    <n v="-421.91"/>
    <x v="1"/>
    <n v="88"/>
    <n v="-37128.080000000002"/>
  </r>
  <r>
    <s v="GL000103"/>
    <x v="77"/>
    <s v="4000"/>
    <x v="0"/>
    <n v="0"/>
    <n v="0"/>
    <n v="1902.45"/>
    <n v="195952.35"/>
    <x v="2"/>
    <x v="0"/>
    <s v="AutoPost 103"/>
    <s v="GBP"/>
    <n v="1902.45"/>
    <x v="0"/>
    <n v="103"/>
    <n v="195952.35"/>
  </r>
  <r>
    <s v="GL000104"/>
    <x v="97"/>
    <s v="6000"/>
    <x v="2"/>
    <n v="764.96"/>
    <n v="62726.720000000001"/>
    <n v="0"/>
    <n v="0"/>
    <x v="4"/>
    <x v="3"/>
    <s v="AutoPost 104"/>
    <s v="USD"/>
    <n v="-764.96"/>
    <x v="2"/>
    <n v="82"/>
    <n v="-62726.720000000001"/>
  </r>
  <r>
    <s v="GL000105"/>
    <x v="98"/>
    <s v="4000"/>
    <x v="0"/>
    <n v="0"/>
    <n v="0"/>
    <n v="734.03"/>
    <n v="64594.64"/>
    <x v="0"/>
    <x v="4"/>
    <s v="AutoPost 105"/>
    <s v="EUR"/>
    <n v="734.03"/>
    <x v="0"/>
    <n v="88"/>
    <n v="64594.64"/>
  </r>
  <r>
    <s v="GL000106"/>
    <x v="99"/>
    <s v="5000"/>
    <x v="1"/>
    <n v="1157.81"/>
    <n v="64837.36"/>
    <n v="0"/>
    <n v="0"/>
    <x v="3"/>
    <x v="2"/>
    <s v="AutoPost 106"/>
    <s v="AUD"/>
    <n v="-1157.81"/>
    <x v="1"/>
    <n v="56"/>
    <n v="-64837.36"/>
  </r>
  <r>
    <s v="GL000107"/>
    <x v="100"/>
    <s v="5010"/>
    <x v="3"/>
    <n v="1552.29"/>
    <n v="159885.87"/>
    <n v="0"/>
    <n v="0"/>
    <x v="4"/>
    <x v="2"/>
    <s v="AutoPost 107"/>
    <s v="GBP"/>
    <n v="-1552.29"/>
    <x v="2"/>
    <n v="103"/>
    <n v="-159885.87"/>
  </r>
  <r>
    <s v="GL000108"/>
    <x v="101"/>
    <s v="6000"/>
    <x v="2"/>
    <n v="1400.69"/>
    <n v="144271.07"/>
    <n v="0"/>
    <n v="0"/>
    <x v="1"/>
    <x v="2"/>
    <s v="AutoPost 108"/>
    <s v="GBP"/>
    <n v="-1400.69"/>
    <x v="2"/>
    <n v="103"/>
    <n v="-144271.07"/>
  </r>
  <r>
    <s v="GL000109"/>
    <x v="102"/>
    <s v="5010"/>
    <x v="3"/>
    <n v="1548.81"/>
    <n v="86733.36"/>
    <n v="0"/>
    <n v="0"/>
    <x v="5"/>
    <x v="4"/>
    <s v="AutoPost 109"/>
    <s v="AUD"/>
    <n v="-1548.81"/>
    <x v="2"/>
    <n v="56"/>
    <n v="-86733.36"/>
  </r>
  <r>
    <s v="GL000110"/>
    <x v="103"/>
    <s v="6000"/>
    <x v="2"/>
    <n v="1166.95"/>
    <n v="120195.85"/>
    <n v="0"/>
    <n v="0"/>
    <x v="0"/>
    <x v="4"/>
    <s v="AutoPost 110"/>
    <s v="GBP"/>
    <n v="-1166.95"/>
    <x v="2"/>
    <n v="103"/>
    <n v="-120195.85"/>
  </r>
  <r>
    <s v="GL000111"/>
    <x v="104"/>
    <s v="4000"/>
    <x v="0"/>
    <n v="0"/>
    <n v="0"/>
    <n v="3630.78"/>
    <n v="221477.58000000002"/>
    <x v="4"/>
    <x v="1"/>
    <s v="AutoPost 111"/>
    <s v="CAD"/>
    <n v="3630.78"/>
    <x v="0"/>
    <n v="61"/>
    <n v="221477.58000000002"/>
  </r>
  <r>
    <s v="GL000112"/>
    <x v="105"/>
    <s v="4000"/>
    <x v="0"/>
    <n v="0"/>
    <n v="0"/>
    <n v="1148.97"/>
    <n v="70087.17"/>
    <x v="1"/>
    <x v="4"/>
    <s v="AutoPost 112"/>
    <s v="CAD"/>
    <n v="1148.97"/>
    <x v="0"/>
    <n v="61"/>
    <n v="70087.17"/>
  </r>
  <r>
    <s v="GL000113"/>
    <x v="106"/>
    <s v="4000"/>
    <x v="0"/>
    <n v="0"/>
    <n v="0"/>
    <n v="1826.98"/>
    <n v="102310.88"/>
    <x v="4"/>
    <x v="3"/>
    <s v="AutoPost 113"/>
    <s v="AUD"/>
    <n v="1826.98"/>
    <x v="0"/>
    <n v="56"/>
    <n v="102310.88"/>
  </r>
  <r>
    <s v="GL000114"/>
    <x v="107"/>
    <s v="5010"/>
    <x v="3"/>
    <n v="464.27"/>
    <n v="38070.14"/>
    <n v="0"/>
    <n v="0"/>
    <x v="4"/>
    <x v="0"/>
    <s v="AutoPost 114"/>
    <s v="USD"/>
    <n v="-464.27"/>
    <x v="2"/>
    <n v="82"/>
    <n v="-38070.14"/>
  </r>
  <r>
    <s v="GL000115"/>
    <x v="108"/>
    <s v="5010"/>
    <x v="3"/>
    <n v="325.08999999999997"/>
    <n v="26657.379999999997"/>
    <n v="0"/>
    <n v="0"/>
    <x v="4"/>
    <x v="2"/>
    <s v="AutoPost 115"/>
    <s v="USD"/>
    <n v="-325.08999999999997"/>
    <x v="2"/>
    <n v="82"/>
    <n v="-26657.379999999997"/>
  </r>
  <r>
    <s v="GL000116"/>
    <x v="9"/>
    <s v="4000"/>
    <x v="0"/>
    <n v="0"/>
    <n v="0"/>
    <n v="3674.13"/>
    <n v="224121.93"/>
    <x v="1"/>
    <x v="4"/>
    <s v="AutoPost 116"/>
    <s v="CAD"/>
    <n v="3674.13"/>
    <x v="0"/>
    <n v="61"/>
    <n v="224121.93"/>
  </r>
  <r>
    <s v="GL000117"/>
    <x v="97"/>
    <s v="4010"/>
    <x v="4"/>
    <n v="0"/>
    <n v="0"/>
    <n v="2578.4299999999998"/>
    <n v="265578.28999999998"/>
    <x v="4"/>
    <x v="1"/>
    <s v="AutoPost 117"/>
    <s v="GBP"/>
    <n v="2578.4299999999998"/>
    <x v="0"/>
    <n v="103"/>
    <n v="265578.28999999998"/>
  </r>
  <r>
    <s v="GL000118"/>
    <x v="109"/>
    <s v="6000"/>
    <x v="2"/>
    <n v="523.80999999999995"/>
    <n v="29333.359999999997"/>
    <n v="0"/>
    <n v="0"/>
    <x v="3"/>
    <x v="0"/>
    <s v="AutoPost 118"/>
    <s v="AUD"/>
    <n v="-523.80999999999995"/>
    <x v="2"/>
    <n v="56"/>
    <n v="-29333.359999999997"/>
  </r>
  <r>
    <s v="GL000119"/>
    <x v="110"/>
    <s v="5010"/>
    <x v="3"/>
    <n v="1120.46"/>
    <n v="62745.760000000002"/>
    <n v="0"/>
    <n v="0"/>
    <x v="4"/>
    <x v="1"/>
    <s v="AutoPost 119"/>
    <s v="AUD"/>
    <n v="-1120.46"/>
    <x v="2"/>
    <n v="56"/>
    <n v="-62745.760000000002"/>
  </r>
  <r>
    <s v="GL000120"/>
    <x v="43"/>
    <s v="5000"/>
    <x v="1"/>
    <n v="547.59"/>
    <n v="30665.040000000001"/>
    <n v="0"/>
    <n v="0"/>
    <x v="2"/>
    <x v="0"/>
    <s v="AutoPost 120"/>
    <s v="AUD"/>
    <n v="-547.59"/>
    <x v="1"/>
    <n v="56"/>
    <n v="-30665.040000000001"/>
  </r>
  <r>
    <s v="GL000121"/>
    <x v="111"/>
    <s v="4010"/>
    <x v="4"/>
    <n v="0"/>
    <n v="0"/>
    <n v="2032.52"/>
    <n v="123983.72"/>
    <x v="5"/>
    <x v="2"/>
    <s v="AutoPost 121"/>
    <s v="CAD"/>
    <n v="2032.52"/>
    <x v="0"/>
    <n v="61"/>
    <n v="123983.72"/>
  </r>
  <r>
    <s v="GL000122"/>
    <x v="112"/>
    <s v="6000"/>
    <x v="2"/>
    <n v="1405.18"/>
    <n v="144733.54"/>
    <n v="0"/>
    <n v="0"/>
    <x v="5"/>
    <x v="1"/>
    <s v="AutoPost 122"/>
    <s v="GBP"/>
    <n v="-1405.18"/>
    <x v="2"/>
    <n v="103"/>
    <n v="-144733.54"/>
  </r>
  <r>
    <s v="GL000123"/>
    <x v="113"/>
    <s v="5000"/>
    <x v="1"/>
    <n v="150.66999999999999"/>
    <n v="9190.869999999999"/>
    <n v="0"/>
    <n v="0"/>
    <x v="3"/>
    <x v="0"/>
    <s v="AutoPost 123"/>
    <s v="CAD"/>
    <n v="-150.66999999999999"/>
    <x v="1"/>
    <n v="61"/>
    <n v="-9190.869999999999"/>
  </r>
  <r>
    <s v="GL000124"/>
    <x v="114"/>
    <s v="4010"/>
    <x v="4"/>
    <n v="0"/>
    <n v="0"/>
    <n v="902.67"/>
    <n v="55062.869999999995"/>
    <x v="2"/>
    <x v="1"/>
    <s v="AutoPost 124"/>
    <s v="CAD"/>
    <n v="902.67"/>
    <x v="0"/>
    <n v="61"/>
    <n v="55062.869999999995"/>
  </r>
  <r>
    <s v="GL000125"/>
    <x v="115"/>
    <s v="4000"/>
    <x v="0"/>
    <n v="0"/>
    <n v="0"/>
    <n v="160.09"/>
    <n v="9765.49"/>
    <x v="4"/>
    <x v="0"/>
    <s v="AutoPost 125"/>
    <s v="CAD"/>
    <n v="160.09"/>
    <x v="0"/>
    <n v="61"/>
    <n v="9765.49"/>
  </r>
  <r>
    <s v="GL000126"/>
    <x v="116"/>
    <s v="5010"/>
    <x v="3"/>
    <n v="367.4"/>
    <n v="20574.399999999998"/>
    <n v="0"/>
    <n v="0"/>
    <x v="2"/>
    <x v="0"/>
    <s v="AutoPost 126"/>
    <s v="AUD"/>
    <n v="-367.4"/>
    <x v="2"/>
    <n v="56"/>
    <n v="-20574.399999999998"/>
  </r>
  <r>
    <s v="GL000127"/>
    <x v="117"/>
    <s v="4000"/>
    <x v="0"/>
    <n v="0"/>
    <n v="0"/>
    <n v="4964.84"/>
    <n v="511378.52"/>
    <x v="1"/>
    <x v="0"/>
    <s v="AutoPost 127"/>
    <s v="GBP"/>
    <n v="4964.84"/>
    <x v="0"/>
    <n v="103"/>
    <n v="511378.52"/>
  </r>
  <r>
    <s v="GL000128"/>
    <x v="108"/>
    <s v="5010"/>
    <x v="3"/>
    <n v="925"/>
    <n v="81400"/>
    <n v="0"/>
    <n v="0"/>
    <x v="0"/>
    <x v="0"/>
    <s v="AutoPost 128"/>
    <s v="EUR"/>
    <n v="-925"/>
    <x v="2"/>
    <n v="88"/>
    <n v="-81400"/>
  </r>
  <r>
    <s v="GL000129"/>
    <x v="118"/>
    <s v="5000"/>
    <x v="1"/>
    <n v="1697.34"/>
    <n v="149365.91999999998"/>
    <n v="0"/>
    <n v="0"/>
    <x v="2"/>
    <x v="0"/>
    <s v="AutoPost 129"/>
    <s v="EUR"/>
    <n v="-1697.34"/>
    <x v="1"/>
    <n v="88"/>
    <n v="-149365.91999999998"/>
  </r>
  <r>
    <s v="GL000130"/>
    <x v="119"/>
    <s v="5000"/>
    <x v="1"/>
    <n v="308.37"/>
    <n v="18810.57"/>
    <n v="0"/>
    <n v="0"/>
    <x v="5"/>
    <x v="0"/>
    <s v="AutoPost 130"/>
    <s v="CAD"/>
    <n v="-308.37"/>
    <x v="1"/>
    <n v="61"/>
    <n v="-18810.57"/>
  </r>
  <r>
    <s v="GL000131"/>
    <x v="95"/>
    <s v="5000"/>
    <x v="1"/>
    <n v="1304.32"/>
    <n v="106954.23999999999"/>
    <n v="0"/>
    <n v="0"/>
    <x v="5"/>
    <x v="2"/>
    <s v="AutoPost 131"/>
    <s v="USD"/>
    <n v="-1304.32"/>
    <x v="1"/>
    <n v="82"/>
    <n v="-106954.23999999999"/>
  </r>
  <r>
    <s v="GL000132"/>
    <x v="102"/>
    <s v="4010"/>
    <x v="4"/>
    <n v="0"/>
    <n v="0"/>
    <n v="3993.88"/>
    <n v="223657.28"/>
    <x v="2"/>
    <x v="4"/>
    <s v="AutoPost 132"/>
    <s v="AUD"/>
    <n v="3993.88"/>
    <x v="0"/>
    <n v="56"/>
    <n v="223657.28"/>
  </r>
  <r>
    <s v="GL000133"/>
    <x v="120"/>
    <s v="4000"/>
    <x v="0"/>
    <n v="0"/>
    <n v="0"/>
    <n v="703.6"/>
    <n v="72470.8"/>
    <x v="3"/>
    <x v="4"/>
    <s v="AutoPost 133"/>
    <s v="GBP"/>
    <n v="703.6"/>
    <x v="0"/>
    <n v="103"/>
    <n v="72470.8"/>
  </r>
  <r>
    <s v="GL000134"/>
    <x v="121"/>
    <s v="5010"/>
    <x v="3"/>
    <n v="355.53"/>
    <n v="31286.639999999999"/>
    <n v="0"/>
    <n v="0"/>
    <x v="3"/>
    <x v="2"/>
    <s v="AutoPost 134"/>
    <s v="EUR"/>
    <n v="-355.53"/>
    <x v="2"/>
    <n v="88"/>
    <n v="-31286.639999999999"/>
  </r>
  <r>
    <s v="GL000135"/>
    <x v="19"/>
    <s v="5000"/>
    <x v="1"/>
    <n v="1915.19"/>
    <n v="157045.58000000002"/>
    <n v="0"/>
    <n v="0"/>
    <x v="1"/>
    <x v="1"/>
    <s v="AutoPost 135"/>
    <s v="USD"/>
    <n v="-1915.19"/>
    <x v="1"/>
    <n v="82"/>
    <n v="-157045.58000000002"/>
  </r>
  <r>
    <s v="GL000136"/>
    <x v="122"/>
    <s v="4010"/>
    <x v="4"/>
    <n v="0"/>
    <n v="0"/>
    <n v="877.66"/>
    <n v="49148.959999999999"/>
    <x v="1"/>
    <x v="1"/>
    <s v="AutoPost 136"/>
    <s v="AUD"/>
    <n v="877.66"/>
    <x v="0"/>
    <n v="56"/>
    <n v="49148.959999999999"/>
  </r>
  <r>
    <s v="GL000137"/>
    <x v="123"/>
    <s v="4010"/>
    <x v="4"/>
    <n v="0"/>
    <n v="0"/>
    <n v="2719.49"/>
    <n v="222998.18"/>
    <x v="3"/>
    <x v="1"/>
    <s v="AutoPost 137"/>
    <s v="USD"/>
    <n v="2719.49"/>
    <x v="0"/>
    <n v="82"/>
    <n v="222998.18"/>
  </r>
  <r>
    <s v="GL000138"/>
    <x v="124"/>
    <s v="5010"/>
    <x v="3"/>
    <n v="1695.8"/>
    <n v="149230.39999999999"/>
    <n v="0"/>
    <n v="0"/>
    <x v="1"/>
    <x v="4"/>
    <s v="AutoPost 138"/>
    <s v="EUR"/>
    <n v="-1695.8"/>
    <x v="2"/>
    <n v="88"/>
    <n v="-149230.39999999999"/>
  </r>
  <r>
    <s v="GL000139"/>
    <x v="125"/>
    <s v="6000"/>
    <x v="2"/>
    <n v="1304.8399999999999"/>
    <n v="73071.039999999994"/>
    <n v="0"/>
    <n v="0"/>
    <x v="1"/>
    <x v="4"/>
    <s v="AutoPost 139"/>
    <s v="AUD"/>
    <n v="-1304.8399999999999"/>
    <x v="2"/>
    <n v="56"/>
    <n v="-73071.039999999994"/>
  </r>
  <r>
    <s v="GL000140"/>
    <x v="126"/>
    <s v="4000"/>
    <x v="0"/>
    <n v="0"/>
    <n v="0"/>
    <n v="708.58"/>
    <n v="72983.740000000005"/>
    <x v="2"/>
    <x v="3"/>
    <s v="AutoPost 140"/>
    <s v="GBP"/>
    <n v="708.58"/>
    <x v="0"/>
    <n v="103"/>
    <n v="72983.740000000005"/>
  </r>
  <r>
    <s v="GL000141"/>
    <x v="127"/>
    <s v="5010"/>
    <x v="3"/>
    <n v="1650.46"/>
    <n v="100678.06"/>
    <n v="0"/>
    <n v="0"/>
    <x v="3"/>
    <x v="4"/>
    <s v="AutoPost 141"/>
    <s v="CAD"/>
    <n v="-1650.46"/>
    <x v="2"/>
    <n v="61"/>
    <n v="-100678.06"/>
  </r>
  <r>
    <s v="GL000142"/>
    <x v="128"/>
    <s v="4010"/>
    <x v="4"/>
    <n v="0"/>
    <n v="0"/>
    <n v="1112.1600000000001"/>
    <n v="67841.760000000009"/>
    <x v="4"/>
    <x v="3"/>
    <s v="AutoPost 142"/>
    <s v="CAD"/>
    <n v="1112.1600000000001"/>
    <x v="0"/>
    <n v="61"/>
    <n v="67841.760000000009"/>
  </r>
  <r>
    <s v="GL000143"/>
    <x v="129"/>
    <s v="4000"/>
    <x v="0"/>
    <n v="0"/>
    <n v="0"/>
    <n v="3711.83"/>
    <n v="226421.63"/>
    <x v="0"/>
    <x v="2"/>
    <s v="AutoPost 143"/>
    <s v="CAD"/>
    <n v="3711.83"/>
    <x v="0"/>
    <n v="61"/>
    <n v="226421.63"/>
  </r>
  <r>
    <s v="GL000144"/>
    <x v="130"/>
    <s v="5000"/>
    <x v="1"/>
    <n v="715.32"/>
    <n v="73677.960000000006"/>
    <n v="0"/>
    <n v="0"/>
    <x v="3"/>
    <x v="1"/>
    <s v="AutoPost 144"/>
    <s v="GBP"/>
    <n v="-715.32"/>
    <x v="1"/>
    <n v="103"/>
    <n v="-73677.960000000006"/>
  </r>
  <r>
    <s v="GL000145"/>
    <x v="131"/>
    <s v="6000"/>
    <x v="2"/>
    <n v="1366.61"/>
    <n v="112062.01999999999"/>
    <n v="0"/>
    <n v="0"/>
    <x v="1"/>
    <x v="3"/>
    <s v="AutoPost 145"/>
    <s v="USD"/>
    <n v="-1366.61"/>
    <x v="2"/>
    <n v="82"/>
    <n v="-112062.01999999999"/>
  </r>
  <r>
    <s v="GL000146"/>
    <x v="132"/>
    <s v="5000"/>
    <x v="1"/>
    <n v="1091.43"/>
    <n v="66577.23000000001"/>
    <n v="0"/>
    <n v="0"/>
    <x v="2"/>
    <x v="3"/>
    <s v="AutoPost 146"/>
    <s v="CAD"/>
    <n v="-1091.43"/>
    <x v="1"/>
    <n v="61"/>
    <n v="-66577.23000000001"/>
  </r>
  <r>
    <s v="GL000147"/>
    <x v="133"/>
    <s v="4000"/>
    <x v="0"/>
    <n v="0"/>
    <n v="0"/>
    <n v="1164.3499999999999"/>
    <n v="119928.04999999999"/>
    <x v="5"/>
    <x v="3"/>
    <s v="AutoPost 147"/>
    <s v="GBP"/>
    <n v="1164.3499999999999"/>
    <x v="0"/>
    <n v="103"/>
    <n v="119928.04999999999"/>
  </r>
  <r>
    <s v="GL000148"/>
    <x v="134"/>
    <s v="5010"/>
    <x v="3"/>
    <n v="1139.5"/>
    <n v="63812"/>
    <n v="0"/>
    <n v="0"/>
    <x v="5"/>
    <x v="3"/>
    <s v="AutoPost 148"/>
    <s v="AUD"/>
    <n v="-1139.5"/>
    <x v="2"/>
    <n v="56"/>
    <n v="-63812"/>
  </r>
  <r>
    <s v="GL000149"/>
    <x v="135"/>
    <s v="4000"/>
    <x v="0"/>
    <n v="0"/>
    <n v="0"/>
    <n v="338.86"/>
    <n v="27786.52"/>
    <x v="4"/>
    <x v="2"/>
    <s v="AutoPost 149"/>
    <s v="USD"/>
    <n v="338.86"/>
    <x v="0"/>
    <n v="82"/>
    <n v="27786.52"/>
  </r>
  <r>
    <s v="GL000150"/>
    <x v="136"/>
    <s v="5000"/>
    <x v="1"/>
    <n v="1379.51"/>
    <n v="113119.81999999999"/>
    <n v="0"/>
    <n v="0"/>
    <x v="1"/>
    <x v="2"/>
    <s v="AutoPost 150"/>
    <s v="USD"/>
    <n v="-1379.51"/>
    <x v="1"/>
    <n v="82"/>
    <n v="-113119.81999999999"/>
  </r>
  <r>
    <s v="GL000151"/>
    <x v="137"/>
    <s v="4010"/>
    <x v="4"/>
    <n v="0"/>
    <n v="0"/>
    <n v="978.34"/>
    <n v="54787.040000000001"/>
    <x v="3"/>
    <x v="1"/>
    <s v="AutoPost 151"/>
    <s v="AUD"/>
    <n v="978.34"/>
    <x v="0"/>
    <n v="56"/>
    <n v="54787.040000000001"/>
  </r>
  <r>
    <s v="GL000152"/>
    <x v="138"/>
    <s v="6000"/>
    <x v="2"/>
    <n v="1490.29"/>
    <n v="131145.51999999999"/>
    <n v="0"/>
    <n v="0"/>
    <x v="0"/>
    <x v="1"/>
    <s v="AutoPost 152"/>
    <s v="EUR"/>
    <n v="-1490.29"/>
    <x v="2"/>
    <n v="88"/>
    <n v="-131145.51999999999"/>
  </r>
  <r>
    <s v="GL000153"/>
    <x v="139"/>
    <s v="5010"/>
    <x v="3"/>
    <n v="1515.7"/>
    <n v="124287.40000000001"/>
    <n v="0"/>
    <n v="0"/>
    <x v="5"/>
    <x v="2"/>
    <s v="AutoPost 153"/>
    <s v="USD"/>
    <n v="-1515.7"/>
    <x v="2"/>
    <n v="82"/>
    <n v="-124287.40000000001"/>
  </r>
  <r>
    <s v="GL000154"/>
    <x v="140"/>
    <s v="4000"/>
    <x v="0"/>
    <n v="0"/>
    <n v="0"/>
    <n v="1736.2"/>
    <n v="178828.6"/>
    <x v="5"/>
    <x v="2"/>
    <s v="AutoPost 154"/>
    <s v="GBP"/>
    <n v="1736.2"/>
    <x v="0"/>
    <n v="103"/>
    <n v="178828.6"/>
  </r>
  <r>
    <s v="GL000155"/>
    <x v="141"/>
    <s v="6000"/>
    <x v="2"/>
    <n v="1711.43"/>
    <n v="104397.23000000001"/>
    <n v="0"/>
    <n v="0"/>
    <x v="4"/>
    <x v="2"/>
    <s v="AutoPost 155"/>
    <s v="CAD"/>
    <n v="-1711.43"/>
    <x v="2"/>
    <n v="61"/>
    <n v="-104397.23000000001"/>
  </r>
  <r>
    <s v="GL000156"/>
    <x v="142"/>
    <s v="6000"/>
    <x v="2"/>
    <n v="511.34"/>
    <n v="52668.02"/>
    <n v="0"/>
    <n v="0"/>
    <x v="3"/>
    <x v="3"/>
    <s v="AutoPost 156"/>
    <s v="GBP"/>
    <n v="-511.34"/>
    <x v="2"/>
    <n v="103"/>
    <n v="-52668.02"/>
  </r>
  <r>
    <s v="GL000157"/>
    <x v="143"/>
    <s v="4000"/>
    <x v="0"/>
    <n v="0"/>
    <n v="0"/>
    <n v="4520.9799999999996"/>
    <n v="253174.87999999998"/>
    <x v="0"/>
    <x v="2"/>
    <s v="AutoPost 157"/>
    <s v="AUD"/>
    <n v="4520.9799999999996"/>
    <x v="0"/>
    <n v="56"/>
    <n v="253174.87999999998"/>
  </r>
  <r>
    <s v="GL000158"/>
    <x v="144"/>
    <s v="5000"/>
    <x v="1"/>
    <n v="1483.66"/>
    <n v="83084.960000000006"/>
    <n v="0"/>
    <n v="0"/>
    <x v="2"/>
    <x v="3"/>
    <s v="AutoPost 158"/>
    <s v="AUD"/>
    <n v="-1483.66"/>
    <x v="1"/>
    <n v="56"/>
    <n v="-83084.960000000006"/>
  </r>
  <r>
    <s v="GL000159"/>
    <x v="145"/>
    <s v="5010"/>
    <x v="3"/>
    <n v="571.01"/>
    <n v="50248.88"/>
    <n v="0"/>
    <n v="0"/>
    <x v="4"/>
    <x v="1"/>
    <s v="AutoPost 159"/>
    <s v="EUR"/>
    <n v="-571.01"/>
    <x v="2"/>
    <n v="88"/>
    <n v="-50248.88"/>
  </r>
  <r>
    <s v="GL000160"/>
    <x v="146"/>
    <s v="6000"/>
    <x v="2"/>
    <n v="1556.44"/>
    <n v="127628.08"/>
    <n v="0"/>
    <n v="0"/>
    <x v="5"/>
    <x v="2"/>
    <s v="AutoPost 160"/>
    <s v="USD"/>
    <n v="-1556.44"/>
    <x v="2"/>
    <n v="82"/>
    <n v="-127628.08"/>
  </r>
  <r>
    <s v="GL000161"/>
    <x v="147"/>
    <s v="4000"/>
    <x v="0"/>
    <n v="0"/>
    <n v="0"/>
    <n v="2614.6799999999998"/>
    <n v="146422.07999999999"/>
    <x v="1"/>
    <x v="4"/>
    <s v="AutoPost 161"/>
    <s v="AUD"/>
    <n v="2614.6799999999998"/>
    <x v="0"/>
    <n v="56"/>
    <n v="146422.07999999999"/>
  </r>
  <r>
    <s v="GL000162"/>
    <x v="148"/>
    <s v="4000"/>
    <x v="0"/>
    <n v="0"/>
    <n v="0"/>
    <n v="3901.69"/>
    <n v="343348.72000000003"/>
    <x v="5"/>
    <x v="4"/>
    <s v="AutoPost 162"/>
    <s v="EUR"/>
    <n v="3901.69"/>
    <x v="0"/>
    <n v="88"/>
    <n v="343348.72000000003"/>
  </r>
  <r>
    <s v="GL000163"/>
    <x v="149"/>
    <s v="4010"/>
    <x v="4"/>
    <n v="0"/>
    <n v="0"/>
    <n v="1890.76"/>
    <n v="115336.36"/>
    <x v="1"/>
    <x v="3"/>
    <s v="AutoPost 163"/>
    <s v="CAD"/>
    <n v="1890.76"/>
    <x v="0"/>
    <n v="61"/>
    <n v="115336.36"/>
  </r>
  <r>
    <s v="GL000164"/>
    <x v="150"/>
    <s v="4010"/>
    <x v="4"/>
    <n v="0"/>
    <n v="0"/>
    <n v="1829.98"/>
    <n v="111628.78"/>
    <x v="1"/>
    <x v="4"/>
    <s v="AutoPost 164"/>
    <s v="CAD"/>
    <n v="1829.98"/>
    <x v="0"/>
    <n v="61"/>
    <n v="111628.78"/>
  </r>
  <r>
    <s v="GL000165"/>
    <x v="151"/>
    <s v="4000"/>
    <x v="0"/>
    <n v="0"/>
    <n v="0"/>
    <n v="1161.94"/>
    <n v="102250.72"/>
    <x v="4"/>
    <x v="1"/>
    <s v="AutoPost 165"/>
    <s v="EUR"/>
    <n v="1161.94"/>
    <x v="0"/>
    <n v="88"/>
    <n v="102250.72"/>
  </r>
  <r>
    <s v="GL000166"/>
    <x v="152"/>
    <s v="6000"/>
    <x v="2"/>
    <n v="1114.08"/>
    <n v="98039.039999999994"/>
    <n v="0"/>
    <n v="0"/>
    <x v="0"/>
    <x v="4"/>
    <s v="AutoPost 166"/>
    <s v="EUR"/>
    <n v="-1114.08"/>
    <x v="2"/>
    <n v="88"/>
    <n v="-98039.039999999994"/>
  </r>
  <r>
    <s v="GL000167"/>
    <x v="153"/>
    <s v="4010"/>
    <x v="4"/>
    <n v="0"/>
    <n v="0"/>
    <n v="859.97"/>
    <n v="75677.36"/>
    <x v="0"/>
    <x v="4"/>
    <s v="AutoPost 167"/>
    <s v="EUR"/>
    <n v="859.97"/>
    <x v="0"/>
    <n v="88"/>
    <n v="75677.36"/>
  </r>
  <r>
    <s v="GL000168"/>
    <x v="154"/>
    <s v="5000"/>
    <x v="1"/>
    <n v="1369.63"/>
    <n v="112309.66"/>
    <n v="0"/>
    <n v="0"/>
    <x v="0"/>
    <x v="4"/>
    <s v="AutoPost 168"/>
    <s v="USD"/>
    <n v="-1369.63"/>
    <x v="1"/>
    <n v="82"/>
    <n v="-112309.66"/>
  </r>
  <r>
    <s v="GL000169"/>
    <x v="155"/>
    <s v="6000"/>
    <x v="2"/>
    <n v="1174.4100000000001"/>
    <n v="65766.960000000006"/>
    <n v="0"/>
    <n v="0"/>
    <x v="0"/>
    <x v="0"/>
    <s v="AutoPost 169"/>
    <s v="AUD"/>
    <n v="-1174.4100000000001"/>
    <x v="2"/>
    <n v="56"/>
    <n v="-65766.960000000006"/>
  </r>
  <r>
    <s v="GL000170"/>
    <x v="156"/>
    <s v="5010"/>
    <x v="3"/>
    <n v="605.78"/>
    <n v="53308.639999999999"/>
    <n v="0"/>
    <n v="0"/>
    <x v="3"/>
    <x v="3"/>
    <s v="AutoPost 170"/>
    <s v="EUR"/>
    <n v="-605.78"/>
    <x v="2"/>
    <n v="88"/>
    <n v="-53308.639999999999"/>
  </r>
  <r>
    <s v="GL000171"/>
    <x v="157"/>
    <s v="5000"/>
    <x v="1"/>
    <n v="60.93"/>
    <n v="3412.08"/>
    <n v="0"/>
    <n v="0"/>
    <x v="4"/>
    <x v="2"/>
    <s v="AutoPost 171"/>
    <s v="AUD"/>
    <n v="-60.93"/>
    <x v="1"/>
    <n v="56"/>
    <n v="-3412.08"/>
  </r>
  <r>
    <s v="GL000172"/>
    <x v="158"/>
    <s v="5010"/>
    <x v="3"/>
    <n v="210.91"/>
    <n v="18560.079999999998"/>
    <n v="0"/>
    <n v="0"/>
    <x v="2"/>
    <x v="2"/>
    <s v="AutoPost 172"/>
    <s v="EUR"/>
    <n v="-210.91"/>
    <x v="2"/>
    <n v="88"/>
    <n v="-18560.079999999998"/>
  </r>
  <r>
    <s v="GL000173"/>
    <x v="159"/>
    <s v="5010"/>
    <x v="3"/>
    <n v="763.11"/>
    <n v="67153.680000000008"/>
    <n v="0"/>
    <n v="0"/>
    <x v="4"/>
    <x v="4"/>
    <s v="AutoPost 173"/>
    <s v="EUR"/>
    <n v="-763.11"/>
    <x v="2"/>
    <n v="88"/>
    <n v="-67153.680000000008"/>
  </r>
  <r>
    <s v="GL000174"/>
    <x v="160"/>
    <s v="5000"/>
    <x v="1"/>
    <n v="858.91"/>
    <n v="75584.08"/>
    <n v="0"/>
    <n v="0"/>
    <x v="3"/>
    <x v="2"/>
    <s v="AutoPost 174"/>
    <s v="EUR"/>
    <n v="-858.91"/>
    <x v="1"/>
    <n v="88"/>
    <n v="-75584.08"/>
  </r>
  <r>
    <s v="GL000175"/>
    <x v="161"/>
    <s v="5010"/>
    <x v="3"/>
    <n v="1330.42"/>
    <n v="109094.44"/>
    <n v="0"/>
    <n v="0"/>
    <x v="0"/>
    <x v="1"/>
    <s v="AutoPost 175"/>
    <s v="USD"/>
    <n v="-1330.42"/>
    <x v="2"/>
    <n v="82"/>
    <n v="-109094.44"/>
  </r>
  <r>
    <s v="GL000176"/>
    <x v="162"/>
    <s v="4000"/>
    <x v="0"/>
    <n v="0"/>
    <n v="0"/>
    <n v="1750.45"/>
    <n v="143536.9"/>
    <x v="1"/>
    <x v="2"/>
    <s v="AutoPost 176"/>
    <s v="USD"/>
    <n v="1750.45"/>
    <x v="0"/>
    <n v="82"/>
    <n v="143536.9"/>
  </r>
  <r>
    <s v="GL000177"/>
    <x v="146"/>
    <s v="4000"/>
    <x v="0"/>
    <n v="0"/>
    <n v="0"/>
    <n v="335.99"/>
    <n v="34606.97"/>
    <x v="2"/>
    <x v="0"/>
    <s v="AutoPost 177"/>
    <s v="GBP"/>
    <n v="335.99"/>
    <x v="0"/>
    <n v="103"/>
    <n v="34606.97"/>
  </r>
  <r>
    <s v="GL000178"/>
    <x v="163"/>
    <s v="6000"/>
    <x v="2"/>
    <n v="1783.05"/>
    <n v="146210.1"/>
    <n v="0"/>
    <n v="0"/>
    <x v="2"/>
    <x v="3"/>
    <s v="AutoPost 178"/>
    <s v="USD"/>
    <n v="-1783.05"/>
    <x v="2"/>
    <n v="82"/>
    <n v="-146210.1"/>
  </r>
  <r>
    <s v="GL000179"/>
    <x v="164"/>
    <s v="5010"/>
    <x v="3"/>
    <n v="278.89"/>
    <n v="17012.29"/>
    <n v="0"/>
    <n v="0"/>
    <x v="0"/>
    <x v="2"/>
    <s v="AutoPost 179"/>
    <s v="CAD"/>
    <n v="-278.89"/>
    <x v="2"/>
    <n v="61"/>
    <n v="-17012.29"/>
  </r>
  <r>
    <s v="GL000180"/>
    <x v="165"/>
    <s v="4010"/>
    <x v="4"/>
    <n v="0"/>
    <n v="0"/>
    <n v="4714.1099999999997"/>
    <n v="485553.32999999996"/>
    <x v="0"/>
    <x v="0"/>
    <s v="AutoPost 180"/>
    <s v="GBP"/>
    <n v="4714.1099999999997"/>
    <x v="0"/>
    <n v="103"/>
    <n v="485553.32999999996"/>
  </r>
  <r>
    <s v="GL000181"/>
    <x v="166"/>
    <s v="5010"/>
    <x v="3"/>
    <n v="782.32"/>
    <n v="64150.240000000005"/>
    <n v="0"/>
    <n v="0"/>
    <x v="3"/>
    <x v="4"/>
    <s v="AutoPost 181"/>
    <s v="USD"/>
    <n v="-782.32"/>
    <x v="2"/>
    <n v="82"/>
    <n v="-64150.240000000005"/>
  </r>
  <r>
    <s v="GL000182"/>
    <x v="106"/>
    <s v="5000"/>
    <x v="1"/>
    <n v="209.01"/>
    <n v="21528.03"/>
    <n v="0"/>
    <n v="0"/>
    <x v="3"/>
    <x v="3"/>
    <s v="AutoPost 182"/>
    <s v="GBP"/>
    <n v="-209.01"/>
    <x v="1"/>
    <n v="103"/>
    <n v="-21528.03"/>
  </r>
  <r>
    <s v="GL000183"/>
    <x v="134"/>
    <s v="5000"/>
    <x v="1"/>
    <n v="449.54"/>
    <n v="39559.520000000004"/>
    <n v="0"/>
    <n v="0"/>
    <x v="5"/>
    <x v="4"/>
    <s v="AutoPost 183"/>
    <s v="EUR"/>
    <n v="-449.54"/>
    <x v="1"/>
    <n v="88"/>
    <n v="-39559.520000000004"/>
  </r>
  <r>
    <s v="GL000184"/>
    <x v="167"/>
    <s v="6000"/>
    <x v="2"/>
    <n v="1740.12"/>
    <n v="97446.720000000001"/>
    <n v="0"/>
    <n v="0"/>
    <x v="3"/>
    <x v="4"/>
    <s v="AutoPost 184"/>
    <s v="AUD"/>
    <n v="-1740.12"/>
    <x v="2"/>
    <n v="56"/>
    <n v="-97446.720000000001"/>
  </r>
  <r>
    <s v="GL000185"/>
    <x v="168"/>
    <s v="5000"/>
    <x v="1"/>
    <n v="1625.69"/>
    <n v="167446.07"/>
    <n v="0"/>
    <n v="0"/>
    <x v="3"/>
    <x v="1"/>
    <s v="AutoPost 185"/>
    <s v="GBP"/>
    <n v="-1625.69"/>
    <x v="1"/>
    <n v="103"/>
    <n v="-167446.07"/>
  </r>
  <r>
    <s v="GL000186"/>
    <x v="169"/>
    <s v="5000"/>
    <x v="1"/>
    <n v="586.76"/>
    <n v="32858.559999999998"/>
    <n v="0"/>
    <n v="0"/>
    <x v="4"/>
    <x v="2"/>
    <s v="AutoPost 186"/>
    <s v="AUD"/>
    <n v="-586.76"/>
    <x v="1"/>
    <n v="56"/>
    <n v="-32858.559999999998"/>
  </r>
  <r>
    <s v="GL000187"/>
    <x v="170"/>
    <s v="4000"/>
    <x v="0"/>
    <n v="0"/>
    <n v="0"/>
    <n v="2824.84"/>
    <n v="290958.52"/>
    <x v="3"/>
    <x v="4"/>
    <s v="AutoPost 187"/>
    <s v="GBP"/>
    <n v="2824.84"/>
    <x v="0"/>
    <n v="103"/>
    <n v="290958.52"/>
  </r>
  <r>
    <s v="GL000188"/>
    <x v="171"/>
    <s v="4000"/>
    <x v="0"/>
    <n v="0"/>
    <n v="0"/>
    <n v="1046.78"/>
    <n v="58619.68"/>
    <x v="3"/>
    <x v="0"/>
    <s v="AutoPost 188"/>
    <s v="AUD"/>
    <n v="1046.78"/>
    <x v="0"/>
    <n v="56"/>
    <n v="58619.68"/>
  </r>
  <r>
    <s v="GL000189"/>
    <x v="172"/>
    <s v="4010"/>
    <x v="4"/>
    <n v="0"/>
    <n v="0"/>
    <n v="3930.36"/>
    <n v="404827.08"/>
    <x v="0"/>
    <x v="1"/>
    <s v="AutoPost 189"/>
    <s v="GBP"/>
    <n v="3930.36"/>
    <x v="0"/>
    <n v="103"/>
    <n v="404827.08"/>
  </r>
  <r>
    <s v="GL000190"/>
    <x v="57"/>
    <s v="4000"/>
    <x v="0"/>
    <n v="0"/>
    <n v="0"/>
    <n v="2772.6"/>
    <n v="155265.60000000001"/>
    <x v="4"/>
    <x v="3"/>
    <s v="AutoPost 190"/>
    <s v="AUD"/>
    <n v="2772.6"/>
    <x v="0"/>
    <n v="56"/>
    <n v="155265.60000000001"/>
  </r>
  <r>
    <s v="GL000191"/>
    <x v="173"/>
    <s v="5000"/>
    <x v="1"/>
    <n v="1409.16"/>
    <n v="124006.08"/>
    <n v="0"/>
    <n v="0"/>
    <x v="2"/>
    <x v="0"/>
    <s v="AutoPost 191"/>
    <s v="EUR"/>
    <n v="-1409.16"/>
    <x v="1"/>
    <n v="88"/>
    <n v="-124006.08"/>
  </r>
  <r>
    <s v="GL000192"/>
    <x v="116"/>
    <s v="4000"/>
    <x v="0"/>
    <n v="0"/>
    <n v="0"/>
    <n v="1470.69"/>
    <n v="151481.07"/>
    <x v="2"/>
    <x v="1"/>
    <s v="AutoPost 192"/>
    <s v="GBP"/>
    <n v="1470.69"/>
    <x v="0"/>
    <n v="103"/>
    <n v="151481.07"/>
  </r>
  <r>
    <s v="GL000193"/>
    <x v="174"/>
    <s v="4010"/>
    <x v="4"/>
    <n v="0"/>
    <n v="0"/>
    <n v="3549.99"/>
    <n v="312399.12"/>
    <x v="0"/>
    <x v="4"/>
    <s v="AutoPost 193"/>
    <s v="EUR"/>
    <n v="3549.99"/>
    <x v="0"/>
    <n v="88"/>
    <n v="312399.12"/>
  </r>
  <r>
    <s v="GL000194"/>
    <x v="144"/>
    <s v="4000"/>
    <x v="0"/>
    <n v="0"/>
    <n v="0"/>
    <n v="2371.4"/>
    <n v="144655.4"/>
    <x v="3"/>
    <x v="3"/>
    <s v="AutoPost 194"/>
    <s v="CAD"/>
    <n v="2371.4"/>
    <x v="0"/>
    <n v="61"/>
    <n v="144655.4"/>
  </r>
  <r>
    <s v="GL000195"/>
    <x v="175"/>
    <s v="6000"/>
    <x v="2"/>
    <n v="1869.71"/>
    <n v="104703.76000000001"/>
    <n v="0"/>
    <n v="0"/>
    <x v="1"/>
    <x v="2"/>
    <s v="AutoPost 195"/>
    <s v="AUD"/>
    <n v="-1869.71"/>
    <x v="2"/>
    <n v="56"/>
    <n v="-104703.76000000001"/>
  </r>
  <r>
    <s v="GL000196"/>
    <x v="176"/>
    <s v="5000"/>
    <x v="1"/>
    <n v="1812.22"/>
    <n v="110545.42"/>
    <n v="0"/>
    <n v="0"/>
    <x v="3"/>
    <x v="3"/>
    <s v="AutoPost 196"/>
    <s v="CAD"/>
    <n v="-1812.22"/>
    <x v="1"/>
    <n v="61"/>
    <n v="-110545.42"/>
  </r>
  <r>
    <s v="GL000197"/>
    <x v="177"/>
    <s v="5000"/>
    <x v="1"/>
    <n v="218.2"/>
    <n v="22474.6"/>
    <n v="0"/>
    <n v="0"/>
    <x v="5"/>
    <x v="0"/>
    <s v="AutoPost 197"/>
    <s v="GBP"/>
    <n v="-218.2"/>
    <x v="1"/>
    <n v="103"/>
    <n v="-22474.6"/>
  </r>
  <r>
    <s v="GL000198"/>
    <x v="178"/>
    <s v="4010"/>
    <x v="4"/>
    <n v="0"/>
    <n v="0"/>
    <n v="965.46"/>
    <n v="54065.760000000002"/>
    <x v="2"/>
    <x v="4"/>
    <s v="AutoPost 198"/>
    <s v="AUD"/>
    <n v="965.46"/>
    <x v="0"/>
    <n v="56"/>
    <n v="54065.760000000002"/>
  </r>
  <r>
    <s v="GL000199"/>
    <x v="179"/>
    <s v="4000"/>
    <x v="0"/>
    <n v="0"/>
    <n v="0"/>
    <n v="321.5"/>
    <n v="18004"/>
    <x v="2"/>
    <x v="4"/>
    <s v="AutoPost 199"/>
    <s v="AUD"/>
    <n v="321.5"/>
    <x v="0"/>
    <n v="56"/>
    <n v="18004"/>
  </r>
  <r>
    <s v="GL000200"/>
    <x v="180"/>
    <s v="6000"/>
    <x v="2"/>
    <n v="763.01"/>
    <n v="78590.03"/>
    <n v="0"/>
    <n v="0"/>
    <x v="1"/>
    <x v="4"/>
    <s v="AutoPost 200"/>
    <s v="GBP"/>
    <n v="-763.01"/>
    <x v="2"/>
    <n v="103"/>
    <n v="-78590.03"/>
  </r>
  <r>
    <s v="GL000201"/>
    <x v="181"/>
    <s v="4010"/>
    <x v="4"/>
    <n v="0"/>
    <n v="0"/>
    <n v="2497.61"/>
    <n v="204804.02000000002"/>
    <x v="2"/>
    <x v="2"/>
    <s v="AutoPost 201"/>
    <s v="USD"/>
    <n v="2497.61"/>
    <x v="0"/>
    <n v="82"/>
    <n v="204804.02000000002"/>
  </r>
  <r>
    <s v="GL000202"/>
    <x v="182"/>
    <s v="4000"/>
    <x v="0"/>
    <n v="0"/>
    <n v="0"/>
    <n v="4299.82"/>
    <n v="262289.01999999996"/>
    <x v="0"/>
    <x v="3"/>
    <s v="AutoPost 202"/>
    <s v="CAD"/>
    <n v="4299.82"/>
    <x v="0"/>
    <n v="61"/>
    <n v="262289.01999999996"/>
  </r>
  <r>
    <s v="GL000203"/>
    <x v="50"/>
    <s v="6000"/>
    <x v="2"/>
    <n v="492.26"/>
    <n v="40365.32"/>
    <n v="0"/>
    <n v="0"/>
    <x v="0"/>
    <x v="2"/>
    <s v="AutoPost 203"/>
    <s v="USD"/>
    <n v="-492.26"/>
    <x v="2"/>
    <n v="82"/>
    <n v="-40365.32"/>
  </r>
  <r>
    <s v="GL000204"/>
    <x v="183"/>
    <s v="4000"/>
    <x v="0"/>
    <n v="0"/>
    <n v="0"/>
    <n v="4036.79"/>
    <n v="355237.52"/>
    <x v="2"/>
    <x v="0"/>
    <s v="AutoPost 204"/>
    <s v="EUR"/>
    <n v="4036.79"/>
    <x v="0"/>
    <n v="88"/>
    <n v="355237.52"/>
  </r>
  <r>
    <s v="GL000205"/>
    <x v="184"/>
    <s v="4010"/>
    <x v="4"/>
    <n v="0"/>
    <n v="0"/>
    <n v="3885.84"/>
    <n v="400241.52"/>
    <x v="2"/>
    <x v="1"/>
    <s v="AutoPost 205"/>
    <s v="GBP"/>
    <n v="3885.84"/>
    <x v="0"/>
    <n v="103"/>
    <n v="400241.52"/>
  </r>
  <r>
    <s v="GL000206"/>
    <x v="42"/>
    <s v="6000"/>
    <x v="2"/>
    <n v="1161.43"/>
    <n v="119627.29000000001"/>
    <n v="0"/>
    <n v="0"/>
    <x v="2"/>
    <x v="0"/>
    <s v="AutoPost 206"/>
    <s v="GBP"/>
    <n v="-1161.43"/>
    <x v="2"/>
    <n v="103"/>
    <n v="-119627.29000000001"/>
  </r>
  <r>
    <s v="GL000207"/>
    <x v="73"/>
    <s v="4000"/>
    <x v="0"/>
    <n v="0"/>
    <n v="0"/>
    <n v="4478.0600000000004"/>
    <n v="250771.36000000002"/>
    <x v="1"/>
    <x v="3"/>
    <s v="AutoPost 207"/>
    <s v="AUD"/>
    <n v="4478.0600000000004"/>
    <x v="0"/>
    <n v="56"/>
    <n v="250771.36000000002"/>
  </r>
  <r>
    <s v="GL000208"/>
    <x v="185"/>
    <s v="6000"/>
    <x v="2"/>
    <n v="169.1"/>
    <n v="10315.1"/>
    <n v="0"/>
    <n v="0"/>
    <x v="5"/>
    <x v="0"/>
    <s v="AutoPost 208"/>
    <s v="CAD"/>
    <n v="-169.1"/>
    <x v="2"/>
    <n v="61"/>
    <n v="-10315.1"/>
  </r>
  <r>
    <s v="GL000209"/>
    <x v="154"/>
    <s v="5000"/>
    <x v="1"/>
    <n v="1138.92"/>
    <n v="63779.520000000004"/>
    <n v="0"/>
    <n v="0"/>
    <x v="1"/>
    <x v="4"/>
    <s v="AutoPost 209"/>
    <s v="AUD"/>
    <n v="-1138.92"/>
    <x v="1"/>
    <n v="56"/>
    <n v="-63779.520000000004"/>
  </r>
  <r>
    <s v="GL000210"/>
    <x v="186"/>
    <s v="4010"/>
    <x v="4"/>
    <n v="0"/>
    <n v="0"/>
    <n v="3750.39"/>
    <n v="228773.78999999998"/>
    <x v="4"/>
    <x v="1"/>
    <s v="AutoPost 210"/>
    <s v="CAD"/>
    <n v="3750.39"/>
    <x v="0"/>
    <n v="61"/>
    <n v="228773.78999999998"/>
  </r>
  <r>
    <s v="GL000211"/>
    <x v="187"/>
    <s v="5010"/>
    <x v="3"/>
    <n v="1619.58"/>
    <n v="132805.56"/>
    <n v="0"/>
    <n v="0"/>
    <x v="0"/>
    <x v="2"/>
    <s v="AutoPost 211"/>
    <s v="USD"/>
    <n v="-1619.58"/>
    <x v="2"/>
    <n v="82"/>
    <n v="-132805.56"/>
  </r>
  <r>
    <s v="GL000212"/>
    <x v="11"/>
    <s v="4010"/>
    <x v="4"/>
    <n v="0"/>
    <n v="0"/>
    <n v="668.17"/>
    <n v="40758.369999999995"/>
    <x v="0"/>
    <x v="2"/>
    <s v="AutoPost 212"/>
    <s v="CAD"/>
    <n v="668.17"/>
    <x v="0"/>
    <n v="61"/>
    <n v="40758.369999999995"/>
  </r>
  <r>
    <s v="GL000213"/>
    <x v="188"/>
    <s v="5000"/>
    <x v="1"/>
    <n v="1003.8"/>
    <n v="56212.799999999996"/>
    <n v="0"/>
    <n v="0"/>
    <x v="3"/>
    <x v="4"/>
    <s v="AutoPost 213"/>
    <s v="AUD"/>
    <n v="-1003.8"/>
    <x v="1"/>
    <n v="56"/>
    <n v="-56212.799999999996"/>
  </r>
  <r>
    <s v="GL000214"/>
    <x v="189"/>
    <s v="4010"/>
    <x v="4"/>
    <n v="0"/>
    <n v="0"/>
    <n v="1941.69"/>
    <n v="170868.72"/>
    <x v="0"/>
    <x v="3"/>
    <s v="AutoPost 214"/>
    <s v="EUR"/>
    <n v="1941.69"/>
    <x v="0"/>
    <n v="88"/>
    <n v="170868.72"/>
  </r>
  <r>
    <s v="GL000215"/>
    <x v="190"/>
    <s v="5010"/>
    <x v="3"/>
    <n v="521.33000000000004"/>
    <n v="29194.480000000003"/>
    <n v="0"/>
    <n v="0"/>
    <x v="4"/>
    <x v="4"/>
    <s v="AutoPost 215"/>
    <s v="AUD"/>
    <n v="-521.33000000000004"/>
    <x v="2"/>
    <n v="56"/>
    <n v="-29194.480000000003"/>
  </r>
  <r>
    <s v="GL000216"/>
    <x v="153"/>
    <s v="5010"/>
    <x v="3"/>
    <n v="1612.68"/>
    <n v="90310.080000000002"/>
    <n v="0"/>
    <n v="0"/>
    <x v="0"/>
    <x v="0"/>
    <s v="AutoPost 216"/>
    <s v="AUD"/>
    <n v="-1612.68"/>
    <x v="2"/>
    <n v="56"/>
    <n v="-90310.080000000002"/>
  </r>
  <r>
    <s v="GL000217"/>
    <x v="191"/>
    <s v="5000"/>
    <x v="1"/>
    <n v="1386.6"/>
    <n v="113701.2"/>
    <n v="0"/>
    <n v="0"/>
    <x v="2"/>
    <x v="4"/>
    <s v="AutoPost 217"/>
    <s v="USD"/>
    <n v="-1386.6"/>
    <x v="1"/>
    <n v="82"/>
    <n v="-113701.2"/>
  </r>
  <r>
    <s v="GL000218"/>
    <x v="192"/>
    <s v="5010"/>
    <x v="3"/>
    <n v="1060.0999999999999"/>
    <n v="93288.799999999988"/>
    <n v="0"/>
    <n v="0"/>
    <x v="5"/>
    <x v="4"/>
    <s v="AutoPost 218"/>
    <s v="EUR"/>
    <n v="-1060.0999999999999"/>
    <x v="2"/>
    <n v="88"/>
    <n v="-93288.799999999988"/>
  </r>
  <r>
    <s v="GL000219"/>
    <x v="193"/>
    <s v="5000"/>
    <x v="1"/>
    <n v="558.04"/>
    <n v="31250.239999999998"/>
    <n v="0"/>
    <n v="0"/>
    <x v="2"/>
    <x v="1"/>
    <s v="AutoPost 219"/>
    <s v="AUD"/>
    <n v="-558.04"/>
    <x v="1"/>
    <n v="56"/>
    <n v="-31250.239999999998"/>
  </r>
  <r>
    <s v="GL000220"/>
    <x v="194"/>
    <s v="4000"/>
    <x v="0"/>
    <n v="0"/>
    <n v="0"/>
    <n v="345.31"/>
    <n v="19337.36"/>
    <x v="0"/>
    <x v="3"/>
    <s v="AutoPost 220"/>
    <s v="AUD"/>
    <n v="345.31"/>
    <x v="0"/>
    <n v="56"/>
    <n v="19337.36"/>
  </r>
  <r>
    <s v="GL000221"/>
    <x v="195"/>
    <s v="4010"/>
    <x v="4"/>
    <n v="0"/>
    <n v="0"/>
    <n v="1449.49"/>
    <n v="127555.12"/>
    <x v="0"/>
    <x v="3"/>
    <s v="AutoPost 221"/>
    <s v="EUR"/>
    <n v="1449.49"/>
    <x v="0"/>
    <n v="88"/>
    <n v="127555.12"/>
  </r>
  <r>
    <s v="GL000222"/>
    <x v="196"/>
    <s v="6000"/>
    <x v="2"/>
    <n v="491.91"/>
    <n v="40336.620000000003"/>
    <n v="0"/>
    <n v="0"/>
    <x v="0"/>
    <x v="0"/>
    <s v="AutoPost 222"/>
    <s v="USD"/>
    <n v="-491.91"/>
    <x v="2"/>
    <n v="82"/>
    <n v="-40336.620000000003"/>
  </r>
  <r>
    <s v="GL000223"/>
    <x v="197"/>
    <s v="5000"/>
    <x v="1"/>
    <n v="1439"/>
    <n v="80584"/>
    <n v="0"/>
    <n v="0"/>
    <x v="5"/>
    <x v="1"/>
    <s v="AutoPost 223"/>
    <s v="AUD"/>
    <n v="-1439"/>
    <x v="1"/>
    <n v="56"/>
    <n v="-80584"/>
  </r>
  <r>
    <s v="GL000224"/>
    <x v="198"/>
    <s v="6000"/>
    <x v="2"/>
    <n v="858.22"/>
    <n v="88396.66"/>
    <n v="0"/>
    <n v="0"/>
    <x v="0"/>
    <x v="1"/>
    <s v="AutoPost 224"/>
    <s v="GBP"/>
    <n v="-858.22"/>
    <x v="2"/>
    <n v="103"/>
    <n v="-88396.66"/>
  </r>
  <r>
    <s v="GL000225"/>
    <x v="199"/>
    <s v="4010"/>
    <x v="4"/>
    <n v="0"/>
    <n v="0"/>
    <n v="4850.6400000000003"/>
    <n v="499615.92000000004"/>
    <x v="5"/>
    <x v="1"/>
    <s v="AutoPost 225"/>
    <s v="GBP"/>
    <n v="4850.6400000000003"/>
    <x v="0"/>
    <n v="103"/>
    <n v="499615.92000000004"/>
  </r>
  <r>
    <s v="GL000226"/>
    <x v="200"/>
    <s v="6000"/>
    <x v="2"/>
    <n v="103.53"/>
    <n v="6315.33"/>
    <n v="0"/>
    <n v="0"/>
    <x v="2"/>
    <x v="2"/>
    <s v="AutoPost 226"/>
    <s v="CAD"/>
    <n v="-103.53"/>
    <x v="2"/>
    <n v="61"/>
    <n v="-6315.33"/>
  </r>
  <r>
    <s v="GL000227"/>
    <x v="201"/>
    <s v="4010"/>
    <x v="4"/>
    <n v="0"/>
    <n v="0"/>
    <n v="4048.34"/>
    <n v="416979.02"/>
    <x v="4"/>
    <x v="1"/>
    <s v="AutoPost 227"/>
    <s v="GBP"/>
    <n v="4048.34"/>
    <x v="0"/>
    <n v="103"/>
    <n v="416979.02"/>
  </r>
  <r>
    <s v="GL000228"/>
    <x v="140"/>
    <s v="5010"/>
    <x v="3"/>
    <n v="581.82000000000005"/>
    <n v="47709.240000000005"/>
    <n v="0"/>
    <n v="0"/>
    <x v="3"/>
    <x v="3"/>
    <s v="AutoPost 228"/>
    <s v="USD"/>
    <n v="-581.82000000000005"/>
    <x v="2"/>
    <n v="82"/>
    <n v="-47709.240000000005"/>
  </r>
  <r>
    <s v="GL000229"/>
    <x v="202"/>
    <s v="6000"/>
    <x v="2"/>
    <n v="539.15"/>
    <n v="44210.299999999996"/>
    <n v="0"/>
    <n v="0"/>
    <x v="2"/>
    <x v="0"/>
    <s v="AutoPost 229"/>
    <s v="USD"/>
    <n v="-539.15"/>
    <x v="2"/>
    <n v="82"/>
    <n v="-44210.299999999996"/>
  </r>
  <r>
    <s v="GL000230"/>
    <x v="203"/>
    <s v="4000"/>
    <x v="0"/>
    <n v="0"/>
    <n v="0"/>
    <n v="2862.93"/>
    <n v="251937.84"/>
    <x v="1"/>
    <x v="0"/>
    <s v="AutoPost 230"/>
    <s v="EUR"/>
    <n v="2862.93"/>
    <x v="0"/>
    <n v="88"/>
    <n v="251937.84"/>
  </r>
  <r>
    <s v="GL000231"/>
    <x v="204"/>
    <s v="4010"/>
    <x v="4"/>
    <n v="0"/>
    <n v="0"/>
    <n v="3938.51"/>
    <n v="405666.53"/>
    <x v="3"/>
    <x v="3"/>
    <s v="AutoPost 231"/>
    <s v="GBP"/>
    <n v="3938.51"/>
    <x v="0"/>
    <n v="103"/>
    <n v="405666.53"/>
  </r>
  <r>
    <s v="GL000232"/>
    <x v="205"/>
    <s v="5010"/>
    <x v="3"/>
    <n v="871.28"/>
    <n v="53148.08"/>
    <n v="0"/>
    <n v="0"/>
    <x v="2"/>
    <x v="1"/>
    <s v="AutoPost 232"/>
    <s v="CAD"/>
    <n v="-871.28"/>
    <x v="2"/>
    <n v="61"/>
    <n v="-53148.08"/>
  </r>
  <r>
    <s v="GL000233"/>
    <x v="206"/>
    <s v="5000"/>
    <x v="1"/>
    <n v="1527.74"/>
    <n v="157357.22"/>
    <n v="0"/>
    <n v="0"/>
    <x v="5"/>
    <x v="0"/>
    <s v="AutoPost 233"/>
    <s v="GBP"/>
    <n v="-1527.74"/>
    <x v="1"/>
    <n v="103"/>
    <n v="-157357.22"/>
  </r>
  <r>
    <s v="GL000234"/>
    <x v="84"/>
    <s v="4000"/>
    <x v="0"/>
    <n v="0"/>
    <n v="0"/>
    <n v="1075.51"/>
    <n v="88191.819999999992"/>
    <x v="2"/>
    <x v="4"/>
    <s v="AutoPost 234"/>
    <s v="USD"/>
    <n v="1075.51"/>
    <x v="0"/>
    <n v="82"/>
    <n v="88191.819999999992"/>
  </r>
  <r>
    <s v="GL000235"/>
    <x v="207"/>
    <s v="4000"/>
    <x v="0"/>
    <n v="0"/>
    <n v="0"/>
    <n v="2361.1799999999998"/>
    <n v="193616.75999999998"/>
    <x v="2"/>
    <x v="4"/>
    <s v="AutoPost 235"/>
    <s v="USD"/>
    <n v="2361.1799999999998"/>
    <x v="0"/>
    <n v="82"/>
    <n v="193616.75999999998"/>
  </r>
  <r>
    <s v="GL000236"/>
    <x v="208"/>
    <s v="5010"/>
    <x v="3"/>
    <n v="151.34"/>
    <n v="8475.0400000000009"/>
    <n v="0"/>
    <n v="0"/>
    <x v="3"/>
    <x v="0"/>
    <s v="AutoPost 236"/>
    <s v="AUD"/>
    <n v="-151.34"/>
    <x v="2"/>
    <n v="56"/>
    <n v="-8475.0400000000009"/>
  </r>
  <r>
    <s v="GL000237"/>
    <x v="209"/>
    <s v="4010"/>
    <x v="4"/>
    <n v="0"/>
    <n v="0"/>
    <n v="1299.3699999999999"/>
    <n v="106548.34"/>
    <x v="3"/>
    <x v="1"/>
    <s v="AutoPost 237"/>
    <s v="USD"/>
    <n v="1299.3699999999999"/>
    <x v="0"/>
    <n v="82"/>
    <n v="106548.34"/>
  </r>
  <r>
    <s v="GL000238"/>
    <x v="210"/>
    <s v="5000"/>
    <x v="1"/>
    <n v="118.21"/>
    <n v="10402.48"/>
    <n v="0"/>
    <n v="0"/>
    <x v="2"/>
    <x v="1"/>
    <s v="AutoPost 238"/>
    <s v="EUR"/>
    <n v="-118.21"/>
    <x v="1"/>
    <n v="88"/>
    <n v="-10402.48"/>
  </r>
  <r>
    <s v="GL000239"/>
    <x v="211"/>
    <s v="4000"/>
    <x v="0"/>
    <n v="0"/>
    <n v="0"/>
    <n v="4864.04"/>
    <n v="500996.12"/>
    <x v="1"/>
    <x v="0"/>
    <s v="AutoPost 239"/>
    <s v="GBP"/>
    <n v="4864.04"/>
    <x v="0"/>
    <n v="103"/>
    <n v="500996.12"/>
  </r>
  <r>
    <s v="GL000240"/>
    <x v="212"/>
    <s v="4000"/>
    <x v="0"/>
    <n v="0"/>
    <n v="0"/>
    <n v="4495.32"/>
    <n v="463017.95999999996"/>
    <x v="4"/>
    <x v="3"/>
    <s v="AutoPost 240"/>
    <s v="GBP"/>
    <n v="4495.32"/>
    <x v="0"/>
    <n v="103"/>
    <n v="463017.95999999996"/>
  </r>
  <r>
    <s v="GL000241"/>
    <x v="213"/>
    <s v="6000"/>
    <x v="2"/>
    <n v="1121.29"/>
    <n v="98673.51999999999"/>
    <n v="0"/>
    <n v="0"/>
    <x v="2"/>
    <x v="4"/>
    <s v="AutoPost 241"/>
    <s v="EUR"/>
    <n v="-1121.29"/>
    <x v="2"/>
    <n v="88"/>
    <n v="-98673.51999999999"/>
  </r>
  <r>
    <s v="GL000242"/>
    <x v="214"/>
    <s v="6000"/>
    <x v="2"/>
    <n v="908.7"/>
    <n v="79965.600000000006"/>
    <n v="0"/>
    <n v="0"/>
    <x v="1"/>
    <x v="4"/>
    <s v="AutoPost 242"/>
    <s v="EUR"/>
    <n v="-908.7"/>
    <x v="2"/>
    <n v="88"/>
    <n v="-79965.600000000006"/>
  </r>
  <r>
    <s v="GL000243"/>
    <x v="215"/>
    <s v="4010"/>
    <x v="4"/>
    <n v="0"/>
    <n v="0"/>
    <n v="3760.55"/>
    <n v="210590.80000000002"/>
    <x v="2"/>
    <x v="1"/>
    <s v="AutoPost 243"/>
    <s v="AUD"/>
    <n v="3760.55"/>
    <x v="0"/>
    <n v="56"/>
    <n v="210590.80000000002"/>
  </r>
  <r>
    <s v="GL000244"/>
    <x v="216"/>
    <s v="5000"/>
    <x v="1"/>
    <n v="86.6"/>
    <n v="8919.7999999999993"/>
    <n v="0"/>
    <n v="0"/>
    <x v="0"/>
    <x v="1"/>
    <s v="AutoPost 244"/>
    <s v="GBP"/>
    <n v="-86.6"/>
    <x v="1"/>
    <n v="103"/>
    <n v="-8919.7999999999993"/>
  </r>
  <r>
    <s v="GL000245"/>
    <x v="217"/>
    <s v="4010"/>
    <x v="4"/>
    <n v="0"/>
    <n v="0"/>
    <n v="4264.16"/>
    <n v="439208.48"/>
    <x v="1"/>
    <x v="1"/>
    <s v="AutoPost 245"/>
    <s v="GBP"/>
    <n v="4264.16"/>
    <x v="0"/>
    <n v="103"/>
    <n v="439208.48"/>
  </r>
  <r>
    <s v="GL000246"/>
    <x v="218"/>
    <s v="4010"/>
    <x v="4"/>
    <n v="0"/>
    <n v="0"/>
    <n v="4005.6"/>
    <n v="328459.2"/>
    <x v="0"/>
    <x v="3"/>
    <s v="AutoPost 246"/>
    <s v="USD"/>
    <n v="4005.6"/>
    <x v="0"/>
    <n v="82"/>
    <n v="328459.2"/>
  </r>
  <r>
    <s v="GL000247"/>
    <x v="219"/>
    <s v="5000"/>
    <x v="1"/>
    <n v="736.75"/>
    <n v="64834"/>
    <n v="0"/>
    <n v="0"/>
    <x v="3"/>
    <x v="3"/>
    <s v="AutoPost 247"/>
    <s v="EUR"/>
    <n v="-736.75"/>
    <x v="1"/>
    <n v="88"/>
    <n v="-64834"/>
  </r>
  <r>
    <s v="GL000248"/>
    <x v="220"/>
    <s v="4010"/>
    <x v="4"/>
    <n v="0"/>
    <n v="0"/>
    <n v="4679.5"/>
    <n v="262052"/>
    <x v="1"/>
    <x v="0"/>
    <s v="AutoPost 248"/>
    <s v="AUD"/>
    <n v="4679.5"/>
    <x v="0"/>
    <n v="56"/>
    <n v="262052"/>
  </r>
  <r>
    <s v="GL000249"/>
    <x v="221"/>
    <s v="5010"/>
    <x v="3"/>
    <n v="1226.52"/>
    <n v="100574.64"/>
    <n v="0"/>
    <n v="0"/>
    <x v="5"/>
    <x v="3"/>
    <s v="AutoPost 249"/>
    <s v="USD"/>
    <n v="-1226.52"/>
    <x v="2"/>
    <n v="82"/>
    <n v="-100574.64"/>
  </r>
  <r>
    <s v="GL000250"/>
    <x v="222"/>
    <s v="4000"/>
    <x v="0"/>
    <n v="0"/>
    <n v="0"/>
    <n v="2655.25"/>
    <n v="217730.5"/>
    <x v="1"/>
    <x v="0"/>
    <s v="AutoPost 250"/>
    <s v="USD"/>
    <n v="2655.25"/>
    <x v="0"/>
    <n v="82"/>
    <n v="217730.5"/>
  </r>
  <r>
    <s v="GL000251"/>
    <x v="223"/>
    <s v="4000"/>
    <x v="0"/>
    <n v="0"/>
    <n v="0"/>
    <n v="889.23"/>
    <n v="54243.03"/>
    <x v="2"/>
    <x v="2"/>
    <s v="AutoPost 251"/>
    <s v="CAD"/>
    <n v="889.23"/>
    <x v="0"/>
    <n v="61"/>
    <n v="54243.03"/>
  </r>
  <r>
    <s v="GL000252"/>
    <x v="224"/>
    <s v="6000"/>
    <x v="2"/>
    <n v="734.75"/>
    <n v="75679.25"/>
    <n v="0"/>
    <n v="0"/>
    <x v="3"/>
    <x v="3"/>
    <s v="AutoPost 252"/>
    <s v="GBP"/>
    <n v="-734.75"/>
    <x v="2"/>
    <n v="103"/>
    <n v="-75679.25"/>
  </r>
  <r>
    <s v="GL000253"/>
    <x v="225"/>
    <s v="6000"/>
    <x v="2"/>
    <n v="1799.36"/>
    <n v="109760.95999999999"/>
    <n v="0"/>
    <n v="0"/>
    <x v="4"/>
    <x v="2"/>
    <s v="AutoPost 253"/>
    <s v="CAD"/>
    <n v="-1799.36"/>
    <x v="2"/>
    <n v="61"/>
    <n v="-109760.95999999999"/>
  </r>
  <r>
    <s v="GL000254"/>
    <x v="226"/>
    <s v="6000"/>
    <x v="2"/>
    <n v="950.03"/>
    <n v="83602.64"/>
    <n v="0"/>
    <n v="0"/>
    <x v="3"/>
    <x v="3"/>
    <s v="AutoPost 254"/>
    <s v="EUR"/>
    <n v="-950.03"/>
    <x v="2"/>
    <n v="88"/>
    <n v="-83602.64"/>
  </r>
  <r>
    <s v="GL000255"/>
    <x v="227"/>
    <s v="4000"/>
    <x v="0"/>
    <n v="0"/>
    <n v="0"/>
    <n v="1523.43"/>
    <n v="156913.29"/>
    <x v="4"/>
    <x v="0"/>
    <s v="AutoPost 255"/>
    <s v="GBP"/>
    <n v="1523.43"/>
    <x v="0"/>
    <n v="103"/>
    <n v="156913.29"/>
  </r>
  <r>
    <s v="GL000256"/>
    <x v="228"/>
    <s v="4000"/>
    <x v="0"/>
    <n v="0"/>
    <n v="0"/>
    <n v="2725.09"/>
    <n v="280684.27"/>
    <x v="4"/>
    <x v="0"/>
    <s v="AutoPost 256"/>
    <s v="GBP"/>
    <n v="2725.09"/>
    <x v="0"/>
    <n v="103"/>
    <n v="280684.27"/>
  </r>
  <r>
    <s v="GL000257"/>
    <x v="229"/>
    <s v="6000"/>
    <x v="2"/>
    <n v="1186.77"/>
    <n v="97315.14"/>
    <n v="0"/>
    <n v="0"/>
    <x v="1"/>
    <x v="3"/>
    <s v="AutoPost 257"/>
    <s v="USD"/>
    <n v="-1186.77"/>
    <x v="2"/>
    <n v="82"/>
    <n v="-97315.14"/>
  </r>
  <r>
    <s v="GL000258"/>
    <x v="230"/>
    <s v="4010"/>
    <x v="4"/>
    <n v="0"/>
    <n v="0"/>
    <n v="3404.96"/>
    <n v="190677.76000000001"/>
    <x v="0"/>
    <x v="0"/>
    <s v="AutoPost 258"/>
    <s v="AUD"/>
    <n v="3404.96"/>
    <x v="0"/>
    <n v="56"/>
    <n v="190677.76000000001"/>
  </r>
  <r>
    <s v="GL000259"/>
    <x v="231"/>
    <s v="5010"/>
    <x v="3"/>
    <n v="436.8"/>
    <n v="24460.799999999999"/>
    <n v="0"/>
    <n v="0"/>
    <x v="1"/>
    <x v="3"/>
    <s v="AutoPost 259"/>
    <s v="AUD"/>
    <n v="-436.8"/>
    <x v="2"/>
    <n v="56"/>
    <n v="-24460.799999999999"/>
  </r>
  <r>
    <s v="GL000260"/>
    <x v="232"/>
    <s v="5000"/>
    <x v="1"/>
    <n v="1095.1300000000001"/>
    <n v="112798.39000000001"/>
    <n v="0"/>
    <n v="0"/>
    <x v="1"/>
    <x v="4"/>
    <s v="AutoPost 260"/>
    <s v="GBP"/>
    <n v="-1095.1300000000001"/>
    <x v="1"/>
    <n v="103"/>
    <n v="-112798.39000000001"/>
  </r>
  <r>
    <s v="GL000261"/>
    <x v="233"/>
    <s v="5010"/>
    <x v="3"/>
    <n v="393.67"/>
    <n v="22045.52"/>
    <n v="0"/>
    <n v="0"/>
    <x v="3"/>
    <x v="2"/>
    <s v="AutoPost 261"/>
    <s v="AUD"/>
    <n v="-393.67"/>
    <x v="2"/>
    <n v="56"/>
    <n v="-22045.52"/>
  </r>
  <r>
    <s v="GL000262"/>
    <x v="234"/>
    <s v="4000"/>
    <x v="0"/>
    <n v="0"/>
    <n v="0"/>
    <n v="799.77"/>
    <n v="82376.31"/>
    <x v="5"/>
    <x v="1"/>
    <s v="AutoPost 262"/>
    <s v="GBP"/>
    <n v="799.77"/>
    <x v="0"/>
    <n v="103"/>
    <n v="82376.31"/>
  </r>
  <r>
    <s v="GL000263"/>
    <x v="235"/>
    <s v="4000"/>
    <x v="0"/>
    <n v="0"/>
    <n v="0"/>
    <n v="4354.13"/>
    <n v="383163.44"/>
    <x v="3"/>
    <x v="2"/>
    <s v="AutoPost 263"/>
    <s v="EUR"/>
    <n v="4354.13"/>
    <x v="0"/>
    <n v="88"/>
    <n v="383163.44"/>
  </r>
  <r>
    <s v="GL000264"/>
    <x v="236"/>
    <s v="5000"/>
    <x v="1"/>
    <n v="1157.8"/>
    <n v="70625.8"/>
    <n v="0"/>
    <n v="0"/>
    <x v="0"/>
    <x v="0"/>
    <s v="AutoPost 264"/>
    <s v="CAD"/>
    <n v="-1157.8"/>
    <x v="1"/>
    <n v="61"/>
    <n v="-70625.8"/>
  </r>
  <r>
    <s v="GL000265"/>
    <x v="237"/>
    <s v="4000"/>
    <x v="0"/>
    <n v="0"/>
    <n v="0"/>
    <n v="2597.25"/>
    <n v="145446"/>
    <x v="5"/>
    <x v="0"/>
    <s v="AutoPost 265"/>
    <s v="AUD"/>
    <n v="2597.25"/>
    <x v="0"/>
    <n v="56"/>
    <n v="145446"/>
  </r>
  <r>
    <s v="GL000266"/>
    <x v="238"/>
    <s v="5000"/>
    <x v="1"/>
    <n v="1343.21"/>
    <n v="118202.48000000001"/>
    <n v="0"/>
    <n v="0"/>
    <x v="3"/>
    <x v="3"/>
    <s v="AutoPost 266"/>
    <s v="EUR"/>
    <n v="-1343.21"/>
    <x v="1"/>
    <n v="88"/>
    <n v="-118202.48000000001"/>
  </r>
  <r>
    <s v="GL000267"/>
    <x v="239"/>
    <s v="5010"/>
    <x v="3"/>
    <n v="1498.82"/>
    <n v="131896.16"/>
    <n v="0"/>
    <n v="0"/>
    <x v="1"/>
    <x v="4"/>
    <s v="AutoPost 267"/>
    <s v="EUR"/>
    <n v="-1498.82"/>
    <x v="2"/>
    <n v="88"/>
    <n v="-131896.16"/>
  </r>
  <r>
    <s v="GL000268"/>
    <x v="240"/>
    <s v="4000"/>
    <x v="0"/>
    <n v="0"/>
    <n v="0"/>
    <n v="4728.58"/>
    <n v="264800.48"/>
    <x v="3"/>
    <x v="2"/>
    <s v="AutoPost 268"/>
    <s v="AUD"/>
    <n v="4728.58"/>
    <x v="0"/>
    <n v="56"/>
    <n v="264800.48"/>
  </r>
  <r>
    <s v="GL000269"/>
    <x v="241"/>
    <s v="4010"/>
    <x v="4"/>
    <n v="0"/>
    <n v="0"/>
    <n v="3612.83"/>
    <n v="317929.03999999998"/>
    <x v="5"/>
    <x v="4"/>
    <s v="AutoPost 269"/>
    <s v="EUR"/>
    <n v="3612.83"/>
    <x v="0"/>
    <n v="88"/>
    <n v="317929.03999999998"/>
  </r>
  <r>
    <s v="GL000270"/>
    <x v="242"/>
    <s v="4010"/>
    <x v="4"/>
    <n v="0"/>
    <n v="0"/>
    <n v="4506.28"/>
    <n v="396552.63999999996"/>
    <x v="3"/>
    <x v="1"/>
    <s v="AutoPost 270"/>
    <s v="EUR"/>
    <n v="4506.28"/>
    <x v="0"/>
    <n v="88"/>
    <n v="396552.63999999996"/>
  </r>
  <r>
    <s v="GL000271"/>
    <x v="243"/>
    <s v="5010"/>
    <x v="3"/>
    <n v="1000.3"/>
    <n v="61018.299999999996"/>
    <n v="0"/>
    <n v="0"/>
    <x v="5"/>
    <x v="4"/>
    <s v="AutoPost 271"/>
    <s v="CAD"/>
    <n v="-1000.3"/>
    <x v="2"/>
    <n v="61"/>
    <n v="-61018.299999999996"/>
  </r>
  <r>
    <s v="GL000272"/>
    <x v="244"/>
    <s v="5000"/>
    <x v="1"/>
    <n v="991.08"/>
    <n v="60455.880000000005"/>
    <n v="0"/>
    <n v="0"/>
    <x v="4"/>
    <x v="1"/>
    <s v="AutoPost 272"/>
    <s v="CAD"/>
    <n v="-991.08"/>
    <x v="1"/>
    <n v="61"/>
    <n v="-60455.880000000005"/>
  </r>
  <r>
    <s v="GL000273"/>
    <x v="245"/>
    <s v="5000"/>
    <x v="1"/>
    <n v="1499.52"/>
    <n v="83973.119999999995"/>
    <n v="0"/>
    <n v="0"/>
    <x v="4"/>
    <x v="0"/>
    <s v="AutoPost 273"/>
    <s v="AUD"/>
    <n v="-1499.52"/>
    <x v="1"/>
    <n v="56"/>
    <n v="-83973.119999999995"/>
  </r>
  <r>
    <s v="GL000274"/>
    <x v="246"/>
    <s v="4010"/>
    <x v="4"/>
    <n v="0"/>
    <n v="0"/>
    <n v="1203.8"/>
    <n v="123991.4"/>
    <x v="4"/>
    <x v="0"/>
    <s v="AutoPost 274"/>
    <s v="GBP"/>
    <n v="1203.8"/>
    <x v="0"/>
    <n v="103"/>
    <n v="123991.4"/>
  </r>
  <r>
    <s v="GL000275"/>
    <x v="247"/>
    <s v="4000"/>
    <x v="0"/>
    <n v="0"/>
    <n v="0"/>
    <n v="656.25"/>
    <n v="36750"/>
    <x v="3"/>
    <x v="3"/>
    <s v="AutoPost 275"/>
    <s v="AUD"/>
    <n v="656.25"/>
    <x v="0"/>
    <n v="56"/>
    <n v="36750"/>
  </r>
  <r>
    <s v="GL000276"/>
    <x v="248"/>
    <s v="5000"/>
    <x v="1"/>
    <n v="620.29999999999995"/>
    <n v="37838.299999999996"/>
    <n v="0"/>
    <n v="0"/>
    <x v="1"/>
    <x v="4"/>
    <s v="AutoPost 276"/>
    <s v="CAD"/>
    <n v="-620.29999999999995"/>
    <x v="1"/>
    <n v="61"/>
    <n v="-37838.299999999996"/>
  </r>
  <r>
    <s v="GL000277"/>
    <x v="249"/>
    <s v="6000"/>
    <x v="2"/>
    <n v="85.24"/>
    <n v="5199.6399999999994"/>
    <n v="0"/>
    <n v="0"/>
    <x v="4"/>
    <x v="3"/>
    <s v="AutoPost 277"/>
    <s v="CAD"/>
    <n v="-85.24"/>
    <x v="2"/>
    <n v="61"/>
    <n v="-5199.6399999999994"/>
  </r>
  <r>
    <s v="GL000278"/>
    <x v="119"/>
    <s v="5010"/>
    <x v="3"/>
    <n v="628.62"/>
    <n v="35202.720000000001"/>
    <n v="0"/>
    <n v="0"/>
    <x v="1"/>
    <x v="3"/>
    <s v="AutoPost 278"/>
    <s v="AUD"/>
    <n v="-628.62"/>
    <x v="2"/>
    <n v="56"/>
    <n v="-35202.720000000001"/>
  </r>
  <r>
    <s v="GL000279"/>
    <x v="24"/>
    <s v="4000"/>
    <x v="0"/>
    <n v="0"/>
    <n v="0"/>
    <n v="1358.19"/>
    <n v="139893.57"/>
    <x v="3"/>
    <x v="2"/>
    <s v="AutoPost 279"/>
    <s v="GBP"/>
    <n v="1358.19"/>
    <x v="0"/>
    <n v="103"/>
    <n v="139893.57"/>
  </r>
  <r>
    <s v="GL000280"/>
    <x v="222"/>
    <s v="4010"/>
    <x v="4"/>
    <n v="0"/>
    <n v="0"/>
    <n v="2329.64"/>
    <n v="191030.47999999998"/>
    <x v="4"/>
    <x v="2"/>
    <s v="AutoPost 280"/>
    <s v="USD"/>
    <n v="2329.64"/>
    <x v="0"/>
    <n v="82"/>
    <n v="191030.47999999998"/>
  </r>
  <r>
    <s v="GL000281"/>
    <x v="250"/>
    <s v="6000"/>
    <x v="2"/>
    <n v="1039.56"/>
    <n v="63413.159999999996"/>
    <n v="0"/>
    <n v="0"/>
    <x v="0"/>
    <x v="3"/>
    <s v="AutoPost 281"/>
    <s v="CAD"/>
    <n v="-1039.56"/>
    <x v="2"/>
    <n v="61"/>
    <n v="-63413.159999999996"/>
  </r>
  <r>
    <s v="GL000282"/>
    <x v="43"/>
    <s v="5010"/>
    <x v="3"/>
    <n v="1441.17"/>
    <n v="87911.37000000001"/>
    <n v="0"/>
    <n v="0"/>
    <x v="1"/>
    <x v="2"/>
    <s v="AutoPost 282"/>
    <s v="CAD"/>
    <n v="-1441.17"/>
    <x v="2"/>
    <n v="61"/>
    <n v="-87911.37000000001"/>
  </r>
  <r>
    <s v="GL000283"/>
    <x v="251"/>
    <s v="4000"/>
    <x v="0"/>
    <n v="0"/>
    <n v="0"/>
    <n v="873.53"/>
    <n v="76870.64"/>
    <x v="2"/>
    <x v="3"/>
    <s v="AutoPost 283"/>
    <s v="EUR"/>
    <n v="873.53"/>
    <x v="0"/>
    <n v="88"/>
    <n v="76870.64"/>
  </r>
  <r>
    <s v="GL000284"/>
    <x v="252"/>
    <s v="4000"/>
    <x v="0"/>
    <n v="0"/>
    <n v="0"/>
    <n v="1932.35"/>
    <n v="108211.59999999999"/>
    <x v="0"/>
    <x v="2"/>
    <s v="AutoPost 284"/>
    <s v="AUD"/>
    <n v="1932.35"/>
    <x v="0"/>
    <n v="56"/>
    <n v="108211.59999999999"/>
  </r>
  <r>
    <s v="GL000285"/>
    <x v="253"/>
    <s v="5000"/>
    <x v="1"/>
    <n v="1733.12"/>
    <n v="105720.31999999999"/>
    <n v="0"/>
    <n v="0"/>
    <x v="0"/>
    <x v="0"/>
    <s v="AutoPost 285"/>
    <s v="CAD"/>
    <n v="-1733.12"/>
    <x v="1"/>
    <n v="61"/>
    <n v="-105720.31999999999"/>
  </r>
  <r>
    <s v="GL000286"/>
    <x v="227"/>
    <s v="4000"/>
    <x v="0"/>
    <n v="0"/>
    <n v="0"/>
    <n v="3004.12"/>
    <n v="264362.56"/>
    <x v="0"/>
    <x v="3"/>
    <s v="AutoPost 286"/>
    <s v="EUR"/>
    <n v="3004.12"/>
    <x v="0"/>
    <n v="88"/>
    <n v="264362.56"/>
  </r>
  <r>
    <s v="GL000287"/>
    <x v="254"/>
    <s v="5010"/>
    <x v="3"/>
    <n v="1521.85"/>
    <n v="85223.599999999991"/>
    <n v="0"/>
    <n v="0"/>
    <x v="2"/>
    <x v="4"/>
    <s v="AutoPost 287"/>
    <s v="AUD"/>
    <n v="-1521.85"/>
    <x v="2"/>
    <n v="56"/>
    <n v="-85223.599999999991"/>
  </r>
  <r>
    <s v="GL000288"/>
    <x v="212"/>
    <s v="5000"/>
    <x v="1"/>
    <n v="1486.16"/>
    <n v="83224.960000000006"/>
    <n v="0"/>
    <n v="0"/>
    <x v="3"/>
    <x v="0"/>
    <s v="AutoPost 288"/>
    <s v="AUD"/>
    <n v="-1486.16"/>
    <x v="1"/>
    <n v="56"/>
    <n v="-83224.960000000006"/>
  </r>
  <r>
    <s v="GL000289"/>
    <x v="255"/>
    <s v="5000"/>
    <x v="1"/>
    <n v="1308.19"/>
    <n v="107271.58"/>
    <n v="0"/>
    <n v="0"/>
    <x v="0"/>
    <x v="2"/>
    <s v="AutoPost 289"/>
    <s v="USD"/>
    <n v="-1308.19"/>
    <x v="1"/>
    <n v="82"/>
    <n v="-107271.58"/>
  </r>
  <r>
    <s v="GL000290"/>
    <x v="71"/>
    <s v="5000"/>
    <x v="1"/>
    <n v="1765.16"/>
    <n v="98848.960000000006"/>
    <n v="0"/>
    <n v="0"/>
    <x v="3"/>
    <x v="3"/>
    <s v="AutoPost 290"/>
    <s v="AUD"/>
    <n v="-1765.16"/>
    <x v="1"/>
    <n v="56"/>
    <n v="-98848.960000000006"/>
  </r>
  <r>
    <s v="GL000291"/>
    <x v="256"/>
    <s v="5010"/>
    <x v="3"/>
    <n v="842.35"/>
    <n v="69072.7"/>
    <n v="0"/>
    <n v="0"/>
    <x v="3"/>
    <x v="3"/>
    <s v="AutoPost 291"/>
    <s v="USD"/>
    <n v="-842.35"/>
    <x v="2"/>
    <n v="82"/>
    <n v="-69072.7"/>
  </r>
  <r>
    <s v="GL000292"/>
    <x v="257"/>
    <s v="5010"/>
    <x v="3"/>
    <n v="788.28"/>
    <n v="69368.639999999999"/>
    <n v="0"/>
    <n v="0"/>
    <x v="1"/>
    <x v="0"/>
    <s v="AutoPost 292"/>
    <s v="EUR"/>
    <n v="-788.28"/>
    <x v="2"/>
    <n v="88"/>
    <n v="-69368.639999999999"/>
  </r>
  <r>
    <s v="GL000293"/>
    <x v="121"/>
    <s v="4000"/>
    <x v="0"/>
    <n v="0"/>
    <n v="0"/>
    <n v="239.94"/>
    <n v="21114.720000000001"/>
    <x v="4"/>
    <x v="3"/>
    <s v="AutoPost 293"/>
    <s v="EUR"/>
    <n v="239.94"/>
    <x v="0"/>
    <n v="88"/>
    <n v="21114.720000000001"/>
  </r>
  <r>
    <s v="GL000294"/>
    <x v="258"/>
    <s v="4000"/>
    <x v="0"/>
    <n v="0"/>
    <n v="0"/>
    <n v="4378.1899999999996"/>
    <n v="385280.72"/>
    <x v="3"/>
    <x v="2"/>
    <s v="AutoPost 294"/>
    <s v="EUR"/>
    <n v="4378.1899999999996"/>
    <x v="0"/>
    <n v="88"/>
    <n v="385280.72"/>
  </r>
  <r>
    <s v="GL000295"/>
    <x v="259"/>
    <s v="6000"/>
    <x v="2"/>
    <n v="1116.99"/>
    <n v="62551.44"/>
    <n v="0"/>
    <n v="0"/>
    <x v="0"/>
    <x v="0"/>
    <s v="AutoPost 295"/>
    <s v="AUD"/>
    <n v="-1116.99"/>
    <x v="2"/>
    <n v="56"/>
    <n v="-62551.44"/>
  </r>
  <r>
    <s v="GL000296"/>
    <x v="146"/>
    <s v="5010"/>
    <x v="3"/>
    <n v="1902.75"/>
    <n v="195983.25"/>
    <n v="0"/>
    <n v="0"/>
    <x v="4"/>
    <x v="2"/>
    <s v="AutoPost 296"/>
    <s v="GBP"/>
    <n v="-1902.75"/>
    <x v="2"/>
    <n v="103"/>
    <n v="-195983.25"/>
  </r>
  <r>
    <s v="GL000297"/>
    <x v="260"/>
    <s v="5010"/>
    <x v="3"/>
    <n v="275.93"/>
    <n v="22626.260000000002"/>
    <n v="0"/>
    <n v="0"/>
    <x v="1"/>
    <x v="1"/>
    <s v="AutoPost 297"/>
    <s v="USD"/>
    <n v="-275.93"/>
    <x v="2"/>
    <n v="82"/>
    <n v="-22626.260000000002"/>
  </r>
  <r>
    <s v="GL000298"/>
    <x v="261"/>
    <s v="6000"/>
    <x v="2"/>
    <n v="1761.1"/>
    <n v="98621.599999999991"/>
    <n v="0"/>
    <n v="0"/>
    <x v="3"/>
    <x v="2"/>
    <s v="AutoPost 298"/>
    <s v="AUD"/>
    <n v="-1761.1"/>
    <x v="2"/>
    <n v="56"/>
    <n v="-98621.599999999991"/>
  </r>
  <r>
    <s v="GL000299"/>
    <x v="262"/>
    <s v="4010"/>
    <x v="4"/>
    <n v="0"/>
    <n v="0"/>
    <n v="4260.88"/>
    <n v="349392.16000000003"/>
    <x v="1"/>
    <x v="3"/>
    <s v="AutoPost 299"/>
    <s v="USD"/>
    <n v="4260.88"/>
    <x v="0"/>
    <n v="82"/>
    <n v="349392.16000000003"/>
  </r>
  <r>
    <s v="GL000300"/>
    <x v="263"/>
    <s v="4000"/>
    <x v="0"/>
    <n v="0"/>
    <n v="0"/>
    <n v="1229.46"/>
    <n v="74997.06"/>
    <x v="3"/>
    <x v="0"/>
    <s v="AutoPost 300"/>
    <s v="CAD"/>
    <n v="1229.46"/>
    <x v="0"/>
    <n v="61"/>
    <n v="74997.06"/>
  </r>
  <r>
    <s v="GL000301"/>
    <x v="11"/>
    <s v="5000"/>
    <x v="1"/>
    <n v="1804.04"/>
    <n v="185816.12"/>
    <n v="0"/>
    <n v="0"/>
    <x v="1"/>
    <x v="3"/>
    <s v="AutoPost 301"/>
    <s v="GBP"/>
    <n v="-1804.04"/>
    <x v="1"/>
    <n v="103"/>
    <n v="-185816.12"/>
  </r>
  <r>
    <s v="GL000302"/>
    <x v="264"/>
    <s v="5000"/>
    <x v="1"/>
    <n v="1637.96"/>
    <n v="91725.760000000009"/>
    <n v="0"/>
    <n v="0"/>
    <x v="1"/>
    <x v="0"/>
    <s v="AutoPost 302"/>
    <s v="AUD"/>
    <n v="-1637.96"/>
    <x v="1"/>
    <n v="56"/>
    <n v="-91725.760000000009"/>
  </r>
  <r>
    <s v="GL000303"/>
    <x v="265"/>
    <s v="4000"/>
    <x v="0"/>
    <n v="0"/>
    <n v="0"/>
    <n v="1400.77"/>
    <n v="123267.76"/>
    <x v="0"/>
    <x v="3"/>
    <s v="AutoPost 303"/>
    <s v="EUR"/>
    <n v="1400.77"/>
    <x v="0"/>
    <n v="88"/>
    <n v="123267.76"/>
  </r>
  <r>
    <s v="GL000304"/>
    <x v="159"/>
    <s v="5010"/>
    <x v="3"/>
    <n v="1010.88"/>
    <n v="56609.279999999999"/>
    <n v="0"/>
    <n v="0"/>
    <x v="0"/>
    <x v="2"/>
    <s v="AutoPost 304"/>
    <s v="AUD"/>
    <n v="-1010.88"/>
    <x v="2"/>
    <n v="56"/>
    <n v="-56609.279999999999"/>
  </r>
  <r>
    <s v="GL000305"/>
    <x v="266"/>
    <s v="4000"/>
    <x v="0"/>
    <n v="0"/>
    <n v="0"/>
    <n v="1059.18"/>
    <n v="86852.760000000009"/>
    <x v="2"/>
    <x v="2"/>
    <s v="AutoPost 305"/>
    <s v="USD"/>
    <n v="1059.18"/>
    <x v="0"/>
    <n v="82"/>
    <n v="86852.760000000009"/>
  </r>
  <r>
    <s v="GL000306"/>
    <x v="189"/>
    <s v="4010"/>
    <x v="4"/>
    <n v="0"/>
    <n v="0"/>
    <n v="951.38"/>
    <n v="97992.14"/>
    <x v="0"/>
    <x v="0"/>
    <s v="AutoPost 306"/>
    <s v="GBP"/>
    <n v="951.38"/>
    <x v="0"/>
    <n v="103"/>
    <n v="97992.14"/>
  </r>
  <r>
    <s v="GL000307"/>
    <x v="267"/>
    <s v="4000"/>
    <x v="0"/>
    <n v="0"/>
    <n v="0"/>
    <n v="2648.82"/>
    <n v="272828.46000000002"/>
    <x v="5"/>
    <x v="3"/>
    <s v="AutoPost 307"/>
    <s v="GBP"/>
    <n v="2648.82"/>
    <x v="0"/>
    <n v="103"/>
    <n v="272828.46000000002"/>
  </r>
  <r>
    <s v="GL000308"/>
    <x v="268"/>
    <s v="4010"/>
    <x v="4"/>
    <n v="0"/>
    <n v="0"/>
    <n v="2008.6"/>
    <n v="164705.19999999998"/>
    <x v="4"/>
    <x v="2"/>
    <s v="AutoPost 308"/>
    <s v="USD"/>
    <n v="2008.6"/>
    <x v="0"/>
    <n v="82"/>
    <n v="164705.19999999998"/>
  </r>
  <r>
    <s v="GL000309"/>
    <x v="269"/>
    <s v="6000"/>
    <x v="2"/>
    <n v="1604.44"/>
    <n v="97870.84"/>
    <n v="0"/>
    <n v="0"/>
    <x v="2"/>
    <x v="0"/>
    <s v="AutoPost 309"/>
    <s v="CAD"/>
    <n v="-1604.44"/>
    <x v="2"/>
    <n v="61"/>
    <n v="-97870.84"/>
  </r>
  <r>
    <s v="GL000310"/>
    <x v="270"/>
    <s v="5010"/>
    <x v="3"/>
    <n v="350.19"/>
    <n v="36069.57"/>
    <n v="0"/>
    <n v="0"/>
    <x v="4"/>
    <x v="0"/>
    <s v="AutoPost 310"/>
    <s v="GBP"/>
    <n v="-350.19"/>
    <x v="2"/>
    <n v="103"/>
    <n v="-36069.57"/>
  </r>
  <r>
    <s v="GL000311"/>
    <x v="271"/>
    <s v="5000"/>
    <x v="1"/>
    <n v="547.95000000000005"/>
    <n v="56438.850000000006"/>
    <n v="0"/>
    <n v="0"/>
    <x v="4"/>
    <x v="0"/>
    <s v="AutoPost 311"/>
    <s v="GBP"/>
    <n v="-547.95000000000005"/>
    <x v="1"/>
    <n v="103"/>
    <n v="-56438.850000000006"/>
  </r>
  <r>
    <s v="GL000312"/>
    <x v="272"/>
    <s v="4000"/>
    <x v="0"/>
    <n v="0"/>
    <n v="0"/>
    <n v="561.46"/>
    <n v="57830.380000000005"/>
    <x v="4"/>
    <x v="4"/>
    <s v="AutoPost 312"/>
    <s v="GBP"/>
    <n v="561.46"/>
    <x v="0"/>
    <n v="103"/>
    <n v="57830.380000000005"/>
  </r>
  <r>
    <s v="GL000313"/>
    <x v="205"/>
    <s v="6000"/>
    <x v="2"/>
    <n v="737.29"/>
    <n v="41288.239999999998"/>
    <n v="0"/>
    <n v="0"/>
    <x v="0"/>
    <x v="4"/>
    <s v="AutoPost 313"/>
    <s v="AUD"/>
    <n v="-737.29"/>
    <x v="2"/>
    <n v="56"/>
    <n v="-41288.239999999998"/>
  </r>
  <r>
    <s v="GL000314"/>
    <x v="273"/>
    <s v="4010"/>
    <x v="4"/>
    <n v="0"/>
    <n v="0"/>
    <n v="963.96"/>
    <n v="99287.88"/>
    <x v="2"/>
    <x v="2"/>
    <s v="AutoPost 314"/>
    <s v="GBP"/>
    <n v="963.96"/>
    <x v="0"/>
    <n v="103"/>
    <n v="99287.88"/>
  </r>
  <r>
    <s v="GL000315"/>
    <x v="274"/>
    <s v="5010"/>
    <x v="3"/>
    <n v="1233.1600000000001"/>
    <n v="101119.12000000001"/>
    <n v="0"/>
    <n v="0"/>
    <x v="0"/>
    <x v="4"/>
    <s v="AutoPost 315"/>
    <s v="USD"/>
    <n v="-1233.1600000000001"/>
    <x v="2"/>
    <n v="82"/>
    <n v="-101119.12000000001"/>
  </r>
  <r>
    <s v="GL000316"/>
    <x v="275"/>
    <s v="4000"/>
    <x v="0"/>
    <n v="0"/>
    <n v="0"/>
    <n v="1228"/>
    <n v="100696"/>
    <x v="4"/>
    <x v="0"/>
    <s v="AutoPost 316"/>
    <s v="USD"/>
    <n v="1228"/>
    <x v="0"/>
    <n v="82"/>
    <n v="100696"/>
  </r>
  <r>
    <s v="GL000317"/>
    <x v="155"/>
    <s v="4000"/>
    <x v="0"/>
    <n v="0"/>
    <n v="0"/>
    <n v="1067.1500000000001"/>
    <n v="65096.150000000009"/>
    <x v="0"/>
    <x v="2"/>
    <s v="AutoPost 317"/>
    <s v="CAD"/>
    <n v="1067.1500000000001"/>
    <x v="0"/>
    <n v="61"/>
    <n v="65096.150000000009"/>
  </r>
  <r>
    <s v="GL000318"/>
    <x v="276"/>
    <s v="4010"/>
    <x v="4"/>
    <n v="0"/>
    <n v="0"/>
    <n v="1167.53"/>
    <n v="65381.68"/>
    <x v="1"/>
    <x v="1"/>
    <s v="AutoPost 318"/>
    <s v="AUD"/>
    <n v="1167.53"/>
    <x v="0"/>
    <n v="56"/>
    <n v="65381.68"/>
  </r>
  <r>
    <s v="GL000319"/>
    <x v="277"/>
    <s v="5010"/>
    <x v="3"/>
    <n v="1808.37"/>
    <n v="110310.56999999999"/>
    <n v="0"/>
    <n v="0"/>
    <x v="4"/>
    <x v="2"/>
    <s v="AutoPost 319"/>
    <s v="CAD"/>
    <n v="-1808.37"/>
    <x v="2"/>
    <n v="61"/>
    <n v="-110310.56999999999"/>
  </r>
  <r>
    <s v="GL000320"/>
    <x v="31"/>
    <s v="4000"/>
    <x v="0"/>
    <n v="0"/>
    <n v="0"/>
    <n v="3683.59"/>
    <n v="224698.99000000002"/>
    <x v="1"/>
    <x v="3"/>
    <s v="AutoPost 320"/>
    <s v="CAD"/>
    <n v="3683.59"/>
    <x v="0"/>
    <n v="61"/>
    <n v="224698.99000000002"/>
  </r>
  <r>
    <s v="GL000321"/>
    <x v="278"/>
    <s v="4010"/>
    <x v="4"/>
    <n v="0"/>
    <n v="0"/>
    <n v="2268.92"/>
    <n v="233698.76"/>
    <x v="4"/>
    <x v="0"/>
    <s v="AutoPost 321"/>
    <s v="GBP"/>
    <n v="2268.92"/>
    <x v="0"/>
    <n v="103"/>
    <n v="233698.76"/>
  </r>
  <r>
    <s v="GL000322"/>
    <x v="279"/>
    <s v="6000"/>
    <x v="2"/>
    <n v="791.64"/>
    <n v="48290.04"/>
    <n v="0"/>
    <n v="0"/>
    <x v="4"/>
    <x v="3"/>
    <s v="AutoPost 322"/>
    <s v="CAD"/>
    <n v="-791.64"/>
    <x v="2"/>
    <n v="61"/>
    <n v="-48290.04"/>
  </r>
  <r>
    <s v="GL000323"/>
    <x v="280"/>
    <s v="4000"/>
    <x v="0"/>
    <n v="0"/>
    <n v="0"/>
    <n v="381.77"/>
    <n v="39322.31"/>
    <x v="5"/>
    <x v="4"/>
    <s v="AutoPost 323"/>
    <s v="GBP"/>
    <n v="381.77"/>
    <x v="0"/>
    <n v="103"/>
    <n v="39322.31"/>
  </r>
  <r>
    <s v="GL000324"/>
    <x v="92"/>
    <s v="6000"/>
    <x v="2"/>
    <n v="603.09"/>
    <n v="49453.380000000005"/>
    <n v="0"/>
    <n v="0"/>
    <x v="2"/>
    <x v="3"/>
    <s v="AutoPost 324"/>
    <s v="USD"/>
    <n v="-603.09"/>
    <x v="2"/>
    <n v="82"/>
    <n v="-49453.380000000005"/>
  </r>
  <r>
    <s v="GL000325"/>
    <x v="196"/>
    <s v="5000"/>
    <x v="1"/>
    <n v="76.959999999999994"/>
    <n v="7926.8799999999992"/>
    <n v="0"/>
    <n v="0"/>
    <x v="4"/>
    <x v="2"/>
    <s v="AutoPost 325"/>
    <s v="GBP"/>
    <n v="-76.959999999999994"/>
    <x v="1"/>
    <n v="103"/>
    <n v="-7926.8799999999992"/>
  </r>
  <r>
    <s v="GL000326"/>
    <x v="281"/>
    <s v="6000"/>
    <x v="2"/>
    <n v="870.26"/>
    <n v="53085.86"/>
    <n v="0"/>
    <n v="0"/>
    <x v="5"/>
    <x v="2"/>
    <s v="AutoPost 326"/>
    <s v="CAD"/>
    <n v="-870.26"/>
    <x v="2"/>
    <n v="61"/>
    <n v="-53085.86"/>
  </r>
  <r>
    <s v="GL000327"/>
    <x v="282"/>
    <s v="4000"/>
    <x v="0"/>
    <n v="0"/>
    <n v="0"/>
    <n v="195.85"/>
    <n v="10967.6"/>
    <x v="5"/>
    <x v="1"/>
    <s v="AutoPost 327"/>
    <s v="AUD"/>
    <n v="195.85"/>
    <x v="0"/>
    <n v="56"/>
    <n v="10967.6"/>
  </r>
  <r>
    <s v="GL000328"/>
    <x v="283"/>
    <s v="4000"/>
    <x v="0"/>
    <n v="0"/>
    <n v="0"/>
    <n v="3924.16"/>
    <n v="219752.95999999999"/>
    <x v="4"/>
    <x v="0"/>
    <s v="AutoPost 328"/>
    <s v="AUD"/>
    <n v="3924.16"/>
    <x v="0"/>
    <n v="56"/>
    <n v="219752.95999999999"/>
  </r>
  <r>
    <s v="GL000329"/>
    <x v="284"/>
    <s v="5010"/>
    <x v="3"/>
    <n v="745.46"/>
    <n v="65600.48000000001"/>
    <n v="0"/>
    <n v="0"/>
    <x v="4"/>
    <x v="0"/>
    <s v="AutoPost 329"/>
    <s v="EUR"/>
    <n v="-745.46"/>
    <x v="2"/>
    <n v="88"/>
    <n v="-65600.48000000001"/>
  </r>
  <r>
    <s v="GL000330"/>
    <x v="285"/>
    <s v="4000"/>
    <x v="0"/>
    <n v="0"/>
    <n v="0"/>
    <n v="2579.5"/>
    <n v="226996"/>
    <x v="0"/>
    <x v="1"/>
    <s v="AutoPost 330"/>
    <s v="EUR"/>
    <n v="2579.5"/>
    <x v="0"/>
    <n v="88"/>
    <n v="226996"/>
  </r>
  <r>
    <s v="GL000331"/>
    <x v="286"/>
    <s v="5000"/>
    <x v="1"/>
    <n v="1763.39"/>
    <n v="144597.98000000001"/>
    <n v="0"/>
    <n v="0"/>
    <x v="4"/>
    <x v="4"/>
    <s v="AutoPost 331"/>
    <s v="USD"/>
    <n v="-1763.39"/>
    <x v="1"/>
    <n v="82"/>
    <n v="-144597.98000000001"/>
  </r>
  <r>
    <s v="GL000332"/>
    <x v="270"/>
    <s v="5000"/>
    <x v="1"/>
    <n v="957.72"/>
    <n v="84279.360000000001"/>
    <n v="0"/>
    <n v="0"/>
    <x v="4"/>
    <x v="2"/>
    <s v="AutoPost 332"/>
    <s v="EUR"/>
    <n v="-957.72"/>
    <x v="1"/>
    <n v="88"/>
    <n v="-84279.360000000001"/>
  </r>
  <r>
    <s v="GL000333"/>
    <x v="41"/>
    <s v="4000"/>
    <x v="0"/>
    <n v="0"/>
    <n v="0"/>
    <n v="312.52"/>
    <n v="25626.639999999999"/>
    <x v="0"/>
    <x v="2"/>
    <s v="AutoPost 333"/>
    <s v="USD"/>
    <n v="312.52"/>
    <x v="0"/>
    <n v="82"/>
    <n v="25626.639999999999"/>
  </r>
  <r>
    <s v="GL000334"/>
    <x v="287"/>
    <s v="4010"/>
    <x v="4"/>
    <n v="0"/>
    <n v="0"/>
    <n v="4032.89"/>
    <n v="415387.67"/>
    <x v="1"/>
    <x v="1"/>
    <s v="AutoPost 334"/>
    <s v="GBP"/>
    <n v="4032.89"/>
    <x v="0"/>
    <n v="103"/>
    <n v="415387.67"/>
  </r>
  <r>
    <s v="GL000335"/>
    <x v="247"/>
    <s v="5000"/>
    <x v="1"/>
    <n v="822.42"/>
    <n v="67438.44"/>
    <n v="0"/>
    <n v="0"/>
    <x v="4"/>
    <x v="2"/>
    <s v="AutoPost 335"/>
    <s v="USD"/>
    <n v="-822.42"/>
    <x v="1"/>
    <n v="82"/>
    <n v="-67438.44"/>
  </r>
  <r>
    <s v="GL000336"/>
    <x v="288"/>
    <s v="4010"/>
    <x v="4"/>
    <n v="0"/>
    <n v="0"/>
    <n v="2096.4299999999998"/>
    <n v="184485.84"/>
    <x v="3"/>
    <x v="4"/>
    <s v="AutoPost 336"/>
    <s v="EUR"/>
    <n v="2096.4299999999998"/>
    <x v="0"/>
    <n v="88"/>
    <n v="184485.84"/>
  </r>
  <r>
    <s v="GL000337"/>
    <x v="289"/>
    <s v="4000"/>
    <x v="0"/>
    <n v="0"/>
    <n v="0"/>
    <n v="2254.64"/>
    <n v="198408.31999999998"/>
    <x v="3"/>
    <x v="0"/>
    <s v="AutoPost 337"/>
    <s v="EUR"/>
    <n v="2254.64"/>
    <x v="0"/>
    <n v="88"/>
    <n v="198408.31999999998"/>
  </r>
  <r>
    <s v="GL000338"/>
    <x v="290"/>
    <s v="5010"/>
    <x v="3"/>
    <n v="1898.13"/>
    <n v="106295.28"/>
    <n v="0"/>
    <n v="0"/>
    <x v="5"/>
    <x v="3"/>
    <s v="AutoPost 338"/>
    <s v="AUD"/>
    <n v="-1898.13"/>
    <x v="2"/>
    <n v="56"/>
    <n v="-106295.28"/>
  </r>
  <r>
    <s v="GL000339"/>
    <x v="291"/>
    <s v="5000"/>
    <x v="1"/>
    <n v="92.89"/>
    <n v="8174.32"/>
    <n v="0"/>
    <n v="0"/>
    <x v="2"/>
    <x v="4"/>
    <s v="AutoPost 339"/>
    <s v="EUR"/>
    <n v="-92.89"/>
    <x v="1"/>
    <n v="88"/>
    <n v="-8174.32"/>
  </r>
  <r>
    <s v="GL000340"/>
    <x v="292"/>
    <s v="5000"/>
    <x v="1"/>
    <n v="192.59"/>
    <n v="16947.920000000002"/>
    <n v="0"/>
    <n v="0"/>
    <x v="2"/>
    <x v="2"/>
    <s v="AutoPost 340"/>
    <s v="EUR"/>
    <n v="-192.59"/>
    <x v="1"/>
    <n v="88"/>
    <n v="-16947.920000000002"/>
  </r>
  <r>
    <s v="GL000341"/>
    <x v="293"/>
    <s v="4000"/>
    <x v="0"/>
    <n v="0"/>
    <n v="0"/>
    <n v="1924.88"/>
    <n v="117417.68000000001"/>
    <x v="5"/>
    <x v="4"/>
    <s v="AutoPost 341"/>
    <s v="CAD"/>
    <n v="1924.88"/>
    <x v="0"/>
    <n v="61"/>
    <n v="117417.68000000001"/>
  </r>
  <r>
    <s v="GL000342"/>
    <x v="294"/>
    <s v="5000"/>
    <x v="1"/>
    <n v="1161.96"/>
    <n v="119681.88"/>
    <n v="0"/>
    <n v="0"/>
    <x v="1"/>
    <x v="4"/>
    <s v="AutoPost 342"/>
    <s v="GBP"/>
    <n v="-1161.96"/>
    <x v="1"/>
    <n v="103"/>
    <n v="-119681.88"/>
  </r>
  <r>
    <s v="GL000343"/>
    <x v="295"/>
    <s v="5010"/>
    <x v="3"/>
    <n v="1693.2"/>
    <n v="149001.60000000001"/>
    <n v="0"/>
    <n v="0"/>
    <x v="2"/>
    <x v="1"/>
    <s v="AutoPost 343"/>
    <s v="EUR"/>
    <n v="-1693.2"/>
    <x v="2"/>
    <n v="88"/>
    <n v="-149001.60000000001"/>
  </r>
  <r>
    <s v="GL000344"/>
    <x v="296"/>
    <s v="4010"/>
    <x v="4"/>
    <n v="0"/>
    <n v="0"/>
    <n v="535.42999999999995"/>
    <n v="55149.289999999994"/>
    <x v="0"/>
    <x v="1"/>
    <s v="AutoPost 344"/>
    <s v="GBP"/>
    <n v="535.42999999999995"/>
    <x v="0"/>
    <n v="103"/>
    <n v="55149.289999999994"/>
  </r>
  <r>
    <s v="GL000345"/>
    <x v="297"/>
    <s v="5000"/>
    <x v="1"/>
    <n v="449.09"/>
    <n v="46256.27"/>
    <n v="0"/>
    <n v="0"/>
    <x v="3"/>
    <x v="4"/>
    <s v="AutoPost 345"/>
    <s v="GBP"/>
    <n v="-449.09"/>
    <x v="1"/>
    <n v="103"/>
    <n v="-46256.27"/>
  </r>
  <r>
    <s v="GL000346"/>
    <x v="298"/>
    <s v="5010"/>
    <x v="3"/>
    <n v="938.21"/>
    <n v="96635.63"/>
    <n v="0"/>
    <n v="0"/>
    <x v="1"/>
    <x v="4"/>
    <s v="AutoPost 346"/>
    <s v="GBP"/>
    <n v="-938.21"/>
    <x v="2"/>
    <n v="103"/>
    <n v="-96635.63"/>
  </r>
  <r>
    <s v="GL000347"/>
    <x v="103"/>
    <s v="5010"/>
    <x v="3"/>
    <n v="131.84"/>
    <n v="11601.92"/>
    <n v="0"/>
    <n v="0"/>
    <x v="5"/>
    <x v="3"/>
    <s v="AutoPost 347"/>
    <s v="EUR"/>
    <n v="-131.84"/>
    <x v="2"/>
    <n v="88"/>
    <n v="-11601.92"/>
  </r>
  <r>
    <s v="GL000348"/>
    <x v="299"/>
    <s v="4000"/>
    <x v="0"/>
    <n v="0"/>
    <n v="0"/>
    <n v="3658.34"/>
    <n v="204867.04"/>
    <x v="2"/>
    <x v="1"/>
    <s v="AutoPost 348"/>
    <s v="AUD"/>
    <n v="3658.34"/>
    <x v="0"/>
    <n v="56"/>
    <n v="204867.04"/>
  </r>
  <r>
    <s v="GL000349"/>
    <x v="300"/>
    <s v="5000"/>
    <x v="1"/>
    <n v="509.89"/>
    <n v="44870.32"/>
    <n v="0"/>
    <n v="0"/>
    <x v="1"/>
    <x v="0"/>
    <s v="AutoPost 349"/>
    <s v="EUR"/>
    <n v="-509.89"/>
    <x v="1"/>
    <n v="88"/>
    <n v="-44870.32"/>
  </r>
  <r>
    <s v="GL000350"/>
    <x v="301"/>
    <s v="5000"/>
    <x v="1"/>
    <n v="697.58"/>
    <n v="42552.380000000005"/>
    <n v="0"/>
    <n v="0"/>
    <x v="2"/>
    <x v="3"/>
    <s v="AutoPost 350"/>
    <s v="CAD"/>
    <n v="-697.58"/>
    <x v="1"/>
    <n v="61"/>
    <n v="-42552.380000000005"/>
  </r>
  <r>
    <s v="GL000351"/>
    <x v="123"/>
    <s v="5010"/>
    <x v="3"/>
    <n v="1580.47"/>
    <n v="88506.32"/>
    <n v="0"/>
    <n v="0"/>
    <x v="4"/>
    <x v="4"/>
    <s v="AutoPost 351"/>
    <s v="AUD"/>
    <n v="-1580.47"/>
    <x v="2"/>
    <n v="56"/>
    <n v="-88506.32"/>
  </r>
  <r>
    <s v="GL000352"/>
    <x v="262"/>
    <s v="5000"/>
    <x v="1"/>
    <n v="1567.36"/>
    <n v="137927.67999999999"/>
    <n v="0"/>
    <n v="0"/>
    <x v="4"/>
    <x v="1"/>
    <s v="AutoPost 352"/>
    <s v="EUR"/>
    <n v="-1567.36"/>
    <x v="1"/>
    <n v="88"/>
    <n v="-137927.67999999999"/>
  </r>
  <r>
    <s v="GL000353"/>
    <x v="302"/>
    <s v="5010"/>
    <x v="3"/>
    <n v="443.79"/>
    <n v="24852.240000000002"/>
    <n v="0"/>
    <n v="0"/>
    <x v="1"/>
    <x v="2"/>
    <s v="AutoPost 353"/>
    <s v="AUD"/>
    <n v="-443.79"/>
    <x v="2"/>
    <n v="56"/>
    <n v="-24852.240000000002"/>
  </r>
  <r>
    <s v="GL000354"/>
    <x v="287"/>
    <s v="5010"/>
    <x v="3"/>
    <n v="889.34"/>
    <n v="72925.88"/>
    <n v="0"/>
    <n v="0"/>
    <x v="2"/>
    <x v="0"/>
    <s v="AutoPost 354"/>
    <s v="USD"/>
    <n v="-889.34"/>
    <x v="2"/>
    <n v="82"/>
    <n v="-72925.88"/>
  </r>
  <r>
    <s v="GL000355"/>
    <x v="303"/>
    <s v="4010"/>
    <x v="4"/>
    <n v="0"/>
    <n v="0"/>
    <n v="2239.96"/>
    <n v="183676.72"/>
    <x v="4"/>
    <x v="0"/>
    <s v="AutoPost 355"/>
    <s v="USD"/>
    <n v="2239.96"/>
    <x v="0"/>
    <n v="82"/>
    <n v="183676.72"/>
  </r>
  <r>
    <s v="GL000356"/>
    <x v="304"/>
    <s v="5010"/>
    <x v="3"/>
    <n v="1291.24"/>
    <n v="72309.440000000002"/>
    <n v="0"/>
    <n v="0"/>
    <x v="4"/>
    <x v="2"/>
    <s v="AutoPost 356"/>
    <s v="AUD"/>
    <n v="-1291.24"/>
    <x v="2"/>
    <n v="56"/>
    <n v="-72309.440000000002"/>
  </r>
  <r>
    <s v="GL000357"/>
    <x v="4"/>
    <s v="5010"/>
    <x v="3"/>
    <n v="397.07"/>
    <n v="24221.27"/>
    <n v="0"/>
    <n v="0"/>
    <x v="4"/>
    <x v="1"/>
    <s v="AutoPost 357"/>
    <s v="CAD"/>
    <n v="-397.07"/>
    <x v="2"/>
    <n v="61"/>
    <n v="-24221.27"/>
  </r>
  <r>
    <s v="GL000358"/>
    <x v="305"/>
    <s v="6000"/>
    <x v="2"/>
    <n v="803.21"/>
    <n v="44979.76"/>
    <n v="0"/>
    <n v="0"/>
    <x v="0"/>
    <x v="4"/>
    <s v="AutoPost 358"/>
    <s v="AUD"/>
    <n v="-803.21"/>
    <x v="2"/>
    <n v="56"/>
    <n v="-44979.76"/>
  </r>
  <r>
    <s v="GL000359"/>
    <x v="129"/>
    <s v="4000"/>
    <x v="0"/>
    <n v="0"/>
    <n v="0"/>
    <n v="1032.8399999999999"/>
    <n v="63003.24"/>
    <x v="2"/>
    <x v="3"/>
    <s v="AutoPost 359"/>
    <s v="CAD"/>
    <n v="1032.8399999999999"/>
    <x v="0"/>
    <n v="61"/>
    <n v="63003.24"/>
  </r>
  <r>
    <s v="GL000360"/>
    <x v="306"/>
    <s v="6000"/>
    <x v="2"/>
    <n v="1071.7"/>
    <n v="87879.400000000009"/>
    <n v="0"/>
    <n v="0"/>
    <x v="3"/>
    <x v="3"/>
    <s v="AutoPost 360"/>
    <s v="USD"/>
    <n v="-1071.7"/>
    <x v="2"/>
    <n v="82"/>
    <n v="-87879.400000000009"/>
  </r>
  <r>
    <s v="GL000361"/>
    <x v="307"/>
    <s v="5000"/>
    <x v="1"/>
    <n v="842.82"/>
    <n v="86810.46"/>
    <n v="0"/>
    <n v="0"/>
    <x v="2"/>
    <x v="3"/>
    <s v="AutoPost 361"/>
    <s v="GBP"/>
    <n v="-842.82"/>
    <x v="1"/>
    <n v="103"/>
    <n v="-86810.46"/>
  </r>
  <r>
    <s v="GL000362"/>
    <x v="308"/>
    <s v="5010"/>
    <x v="3"/>
    <n v="1375.81"/>
    <n v="83924.41"/>
    <n v="0"/>
    <n v="0"/>
    <x v="0"/>
    <x v="2"/>
    <s v="AutoPost 362"/>
    <s v="CAD"/>
    <n v="-1375.81"/>
    <x v="2"/>
    <n v="61"/>
    <n v="-83924.41"/>
  </r>
  <r>
    <s v="GL000363"/>
    <x v="309"/>
    <s v="4000"/>
    <x v="0"/>
    <n v="0"/>
    <n v="0"/>
    <n v="4517.55"/>
    <n v="275570.55"/>
    <x v="2"/>
    <x v="2"/>
    <s v="AutoPost 363"/>
    <s v="CAD"/>
    <n v="4517.55"/>
    <x v="0"/>
    <n v="61"/>
    <n v="275570.55"/>
  </r>
  <r>
    <s v="GL000364"/>
    <x v="169"/>
    <s v="5010"/>
    <x v="3"/>
    <n v="837.89"/>
    <n v="73734.319999999992"/>
    <n v="0"/>
    <n v="0"/>
    <x v="1"/>
    <x v="2"/>
    <s v="AutoPost 364"/>
    <s v="EUR"/>
    <n v="-837.89"/>
    <x v="2"/>
    <n v="88"/>
    <n v="-73734.319999999992"/>
  </r>
  <r>
    <s v="GL000365"/>
    <x v="48"/>
    <s v="5010"/>
    <x v="3"/>
    <n v="426.78"/>
    <n v="26033.579999999998"/>
    <n v="0"/>
    <n v="0"/>
    <x v="0"/>
    <x v="2"/>
    <s v="AutoPost 365"/>
    <s v="CAD"/>
    <n v="-426.78"/>
    <x v="2"/>
    <n v="61"/>
    <n v="-26033.579999999998"/>
  </r>
  <r>
    <s v="GL000366"/>
    <x v="310"/>
    <s v="6000"/>
    <x v="2"/>
    <n v="999.72"/>
    <n v="87975.360000000001"/>
    <n v="0"/>
    <n v="0"/>
    <x v="5"/>
    <x v="1"/>
    <s v="AutoPost 366"/>
    <s v="EUR"/>
    <n v="-999.72"/>
    <x v="2"/>
    <n v="88"/>
    <n v="-87975.360000000001"/>
  </r>
  <r>
    <s v="GL000367"/>
    <x v="278"/>
    <s v="5000"/>
    <x v="1"/>
    <n v="74.209999999999994"/>
    <n v="4526.8099999999995"/>
    <n v="0"/>
    <n v="0"/>
    <x v="3"/>
    <x v="4"/>
    <s v="AutoPost 367"/>
    <s v="CAD"/>
    <n v="-74.209999999999994"/>
    <x v="1"/>
    <n v="61"/>
    <n v="-4526.8099999999995"/>
  </r>
  <r>
    <s v="GL000368"/>
    <x v="311"/>
    <s v="4000"/>
    <x v="0"/>
    <n v="0"/>
    <n v="0"/>
    <n v="1158.73"/>
    <n v="101968.24"/>
    <x v="5"/>
    <x v="0"/>
    <s v="AutoPost 368"/>
    <s v="EUR"/>
    <n v="1158.73"/>
    <x v="0"/>
    <n v="88"/>
    <n v="101968.24"/>
  </r>
  <r>
    <s v="GL000369"/>
    <x v="154"/>
    <s v="6000"/>
    <x v="2"/>
    <n v="1129.06"/>
    <n v="99357.28"/>
    <n v="0"/>
    <n v="0"/>
    <x v="5"/>
    <x v="2"/>
    <s v="AutoPost 369"/>
    <s v="EUR"/>
    <n v="-1129.06"/>
    <x v="2"/>
    <n v="88"/>
    <n v="-99357.28"/>
  </r>
  <r>
    <s v="GL000370"/>
    <x v="312"/>
    <s v="5010"/>
    <x v="3"/>
    <n v="1450.58"/>
    <n v="118947.56"/>
    <n v="0"/>
    <n v="0"/>
    <x v="2"/>
    <x v="2"/>
    <s v="AutoPost 370"/>
    <s v="USD"/>
    <n v="-1450.58"/>
    <x v="2"/>
    <n v="82"/>
    <n v="-118947.56"/>
  </r>
  <r>
    <s v="GL000371"/>
    <x v="313"/>
    <s v="6000"/>
    <x v="2"/>
    <n v="820.46"/>
    <n v="84507.38"/>
    <n v="0"/>
    <n v="0"/>
    <x v="4"/>
    <x v="0"/>
    <s v="AutoPost 371"/>
    <s v="GBP"/>
    <n v="-820.46"/>
    <x v="2"/>
    <n v="103"/>
    <n v="-84507.38"/>
  </r>
  <r>
    <s v="GL000372"/>
    <x v="314"/>
    <s v="5000"/>
    <x v="1"/>
    <n v="1027.96"/>
    <n v="62705.560000000005"/>
    <n v="0"/>
    <n v="0"/>
    <x v="1"/>
    <x v="3"/>
    <s v="AutoPost 372"/>
    <s v="CAD"/>
    <n v="-1027.96"/>
    <x v="1"/>
    <n v="61"/>
    <n v="-62705.560000000005"/>
  </r>
  <r>
    <s v="GL000373"/>
    <x v="315"/>
    <s v="4000"/>
    <x v="0"/>
    <n v="0"/>
    <n v="0"/>
    <n v="2599.69"/>
    <n v="145582.64000000001"/>
    <x v="0"/>
    <x v="3"/>
    <s v="AutoPost 373"/>
    <s v="AUD"/>
    <n v="2599.69"/>
    <x v="0"/>
    <n v="56"/>
    <n v="145582.64000000001"/>
  </r>
  <r>
    <s v="GL000374"/>
    <x v="316"/>
    <s v="5010"/>
    <x v="3"/>
    <n v="903.24"/>
    <n v="79485.119999999995"/>
    <n v="0"/>
    <n v="0"/>
    <x v="2"/>
    <x v="2"/>
    <s v="AutoPost 374"/>
    <s v="EUR"/>
    <n v="-903.24"/>
    <x v="2"/>
    <n v="88"/>
    <n v="-79485.119999999995"/>
  </r>
  <r>
    <s v="GL000375"/>
    <x v="317"/>
    <s v="5000"/>
    <x v="1"/>
    <n v="1037.05"/>
    <n v="91260.4"/>
    <n v="0"/>
    <n v="0"/>
    <x v="0"/>
    <x v="0"/>
    <s v="AutoPost 375"/>
    <s v="EUR"/>
    <n v="-1037.05"/>
    <x v="1"/>
    <n v="88"/>
    <n v="-91260.4"/>
  </r>
  <r>
    <s v="GL000376"/>
    <x v="318"/>
    <s v="5010"/>
    <x v="3"/>
    <n v="390.22"/>
    <n v="34339.360000000001"/>
    <n v="0"/>
    <n v="0"/>
    <x v="1"/>
    <x v="3"/>
    <s v="AutoPost 376"/>
    <s v="EUR"/>
    <n v="-390.22"/>
    <x v="2"/>
    <n v="88"/>
    <n v="-34339.360000000001"/>
  </r>
  <r>
    <s v="GL000377"/>
    <x v="319"/>
    <s v="4010"/>
    <x v="4"/>
    <n v="0"/>
    <n v="0"/>
    <n v="4450.59"/>
    <n v="364948.38"/>
    <x v="3"/>
    <x v="4"/>
    <s v="AutoPost 377"/>
    <s v="USD"/>
    <n v="4450.59"/>
    <x v="0"/>
    <n v="82"/>
    <n v="364948.38"/>
  </r>
  <r>
    <s v="GL000378"/>
    <x v="320"/>
    <s v="6000"/>
    <x v="2"/>
    <n v="1836.23"/>
    <n v="189131.69"/>
    <n v="0"/>
    <n v="0"/>
    <x v="3"/>
    <x v="4"/>
    <s v="AutoPost 378"/>
    <s v="GBP"/>
    <n v="-1836.23"/>
    <x v="2"/>
    <n v="103"/>
    <n v="-189131.69"/>
  </r>
  <r>
    <s v="GL000379"/>
    <x v="179"/>
    <s v="6000"/>
    <x v="2"/>
    <n v="1033.93"/>
    <n v="84782.260000000009"/>
    <n v="0"/>
    <n v="0"/>
    <x v="5"/>
    <x v="1"/>
    <s v="AutoPost 379"/>
    <s v="USD"/>
    <n v="-1033.93"/>
    <x v="2"/>
    <n v="82"/>
    <n v="-84782.260000000009"/>
  </r>
  <r>
    <s v="GL000380"/>
    <x v="321"/>
    <s v="5010"/>
    <x v="3"/>
    <n v="64.73"/>
    <n v="5307.8600000000006"/>
    <n v="0"/>
    <n v="0"/>
    <x v="1"/>
    <x v="3"/>
    <s v="AutoPost 380"/>
    <s v="USD"/>
    <n v="-64.73"/>
    <x v="2"/>
    <n v="82"/>
    <n v="-5307.8600000000006"/>
  </r>
  <r>
    <s v="GL000381"/>
    <x v="322"/>
    <s v="5010"/>
    <x v="3"/>
    <n v="891.36"/>
    <n v="78439.680000000008"/>
    <n v="0"/>
    <n v="0"/>
    <x v="3"/>
    <x v="2"/>
    <s v="AutoPost 381"/>
    <s v="EUR"/>
    <n v="-891.36"/>
    <x v="2"/>
    <n v="88"/>
    <n v="-78439.680000000008"/>
  </r>
  <r>
    <s v="GL000382"/>
    <x v="323"/>
    <s v="5010"/>
    <x v="3"/>
    <n v="983.92"/>
    <n v="55099.519999999997"/>
    <n v="0"/>
    <n v="0"/>
    <x v="4"/>
    <x v="3"/>
    <s v="AutoPost 382"/>
    <s v="AUD"/>
    <n v="-983.92"/>
    <x v="2"/>
    <n v="56"/>
    <n v="-55099.519999999997"/>
  </r>
  <r>
    <s v="GL000383"/>
    <x v="324"/>
    <s v="5010"/>
    <x v="3"/>
    <n v="412.44"/>
    <n v="36294.720000000001"/>
    <n v="0"/>
    <n v="0"/>
    <x v="0"/>
    <x v="4"/>
    <s v="AutoPost 383"/>
    <s v="EUR"/>
    <n v="-412.44"/>
    <x v="2"/>
    <n v="88"/>
    <n v="-36294.720000000001"/>
  </r>
  <r>
    <s v="GL000384"/>
    <x v="325"/>
    <s v="4010"/>
    <x v="4"/>
    <n v="0"/>
    <n v="0"/>
    <n v="2409.8200000000002"/>
    <n v="146999.02000000002"/>
    <x v="0"/>
    <x v="0"/>
    <s v="AutoPost 384"/>
    <s v="CAD"/>
    <n v="2409.8200000000002"/>
    <x v="0"/>
    <n v="61"/>
    <n v="146999.02000000002"/>
  </r>
  <r>
    <s v="GL000385"/>
    <x v="326"/>
    <s v="5010"/>
    <x v="3"/>
    <n v="1490.61"/>
    <n v="90927.209999999992"/>
    <n v="0"/>
    <n v="0"/>
    <x v="5"/>
    <x v="0"/>
    <s v="AutoPost 385"/>
    <s v="CAD"/>
    <n v="-1490.61"/>
    <x v="2"/>
    <n v="61"/>
    <n v="-90927.209999999992"/>
  </r>
  <r>
    <s v="GL000386"/>
    <x v="327"/>
    <s v="4000"/>
    <x v="0"/>
    <n v="0"/>
    <n v="0"/>
    <n v="2946.46"/>
    <n v="303485.38"/>
    <x v="0"/>
    <x v="2"/>
    <s v="AutoPost 386"/>
    <s v="GBP"/>
    <n v="2946.46"/>
    <x v="0"/>
    <n v="103"/>
    <n v="303485.38"/>
  </r>
  <r>
    <s v="GL000387"/>
    <x v="184"/>
    <s v="6000"/>
    <x v="2"/>
    <n v="542.61"/>
    <n v="44494.020000000004"/>
    <n v="0"/>
    <n v="0"/>
    <x v="4"/>
    <x v="3"/>
    <s v="AutoPost 387"/>
    <s v="USD"/>
    <n v="-542.61"/>
    <x v="2"/>
    <n v="82"/>
    <n v="-44494.020000000004"/>
  </r>
  <r>
    <s v="GL000388"/>
    <x v="152"/>
    <s v="4010"/>
    <x v="4"/>
    <n v="0"/>
    <n v="0"/>
    <n v="3453.36"/>
    <n v="303895.67999999999"/>
    <x v="0"/>
    <x v="2"/>
    <s v="AutoPost 388"/>
    <s v="EUR"/>
    <n v="3453.36"/>
    <x v="0"/>
    <n v="88"/>
    <n v="303895.67999999999"/>
  </r>
  <r>
    <s v="GL000389"/>
    <x v="279"/>
    <s v="5000"/>
    <x v="1"/>
    <n v="1550.28"/>
    <n v="159678.84"/>
    <n v="0"/>
    <n v="0"/>
    <x v="1"/>
    <x v="2"/>
    <s v="AutoPost 389"/>
    <s v="GBP"/>
    <n v="-1550.28"/>
    <x v="1"/>
    <n v="103"/>
    <n v="-159678.84"/>
  </r>
  <r>
    <s v="GL000390"/>
    <x v="328"/>
    <s v="4010"/>
    <x v="4"/>
    <n v="0"/>
    <n v="0"/>
    <n v="2348.4"/>
    <n v="143252.4"/>
    <x v="5"/>
    <x v="4"/>
    <s v="AutoPost 390"/>
    <s v="CAD"/>
    <n v="2348.4"/>
    <x v="0"/>
    <n v="61"/>
    <n v="143252.4"/>
  </r>
  <r>
    <s v="GL000391"/>
    <x v="112"/>
    <s v="5000"/>
    <x v="1"/>
    <n v="761.57"/>
    <n v="67018.16"/>
    <n v="0"/>
    <n v="0"/>
    <x v="1"/>
    <x v="0"/>
    <s v="AutoPost 391"/>
    <s v="EUR"/>
    <n v="-761.57"/>
    <x v="1"/>
    <n v="88"/>
    <n v="-67018.16"/>
  </r>
  <r>
    <s v="GL000392"/>
    <x v="329"/>
    <s v="4000"/>
    <x v="0"/>
    <n v="0"/>
    <n v="0"/>
    <n v="958.3"/>
    <n v="58456.299999999996"/>
    <x v="1"/>
    <x v="3"/>
    <s v="AutoPost 392"/>
    <s v="CAD"/>
    <n v="958.3"/>
    <x v="0"/>
    <n v="61"/>
    <n v="58456.299999999996"/>
  </r>
  <r>
    <s v="GL000393"/>
    <x v="71"/>
    <s v="5000"/>
    <x v="1"/>
    <n v="618.6"/>
    <n v="50725.200000000004"/>
    <n v="0"/>
    <n v="0"/>
    <x v="4"/>
    <x v="0"/>
    <s v="AutoPost 393"/>
    <s v="USD"/>
    <n v="-618.6"/>
    <x v="1"/>
    <n v="82"/>
    <n v="-50725.200000000004"/>
  </r>
  <r>
    <s v="GL000394"/>
    <x v="330"/>
    <s v="4000"/>
    <x v="0"/>
    <n v="0"/>
    <n v="0"/>
    <n v="334.65"/>
    <n v="34468.949999999997"/>
    <x v="3"/>
    <x v="0"/>
    <s v="AutoPost 394"/>
    <s v="GBP"/>
    <n v="334.65"/>
    <x v="0"/>
    <n v="103"/>
    <n v="34468.949999999997"/>
  </r>
  <r>
    <s v="GL000395"/>
    <x v="305"/>
    <s v="5000"/>
    <x v="1"/>
    <n v="1922.54"/>
    <n v="157648.28"/>
    <n v="0"/>
    <n v="0"/>
    <x v="3"/>
    <x v="4"/>
    <s v="AutoPost 395"/>
    <s v="USD"/>
    <n v="-1922.54"/>
    <x v="1"/>
    <n v="82"/>
    <n v="-157648.28"/>
  </r>
  <r>
    <s v="GL000396"/>
    <x v="331"/>
    <s v="4000"/>
    <x v="0"/>
    <n v="0"/>
    <n v="0"/>
    <n v="3519.07"/>
    <n v="197067.92"/>
    <x v="1"/>
    <x v="1"/>
    <s v="AutoPost 396"/>
    <s v="AUD"/>
    <n v="3519.07"/>
    <x v="0"/>
    <n v="56"/>
    <n v="197067.92"/>
  </r>
  <r>
    <s v="GL000397"/>
    <x v="332"/>
    <s v="5010"/>
    <x v="3"/>
    <n v="1944.25"/>
    <n v="118599.25"/>
    <n v="0"/>
    <n v="0"/>
    <x v="1"/>
    <x v="4"/>
    <s v="AutoPost 397"/>
    <s v="CAD"/>
    <n v="-1944.25"/>
    <x v="2"/>
    <n v="61"/>
    <n v="-118599.25"/>
  </r>
  <r>
    <s v="GL000398"/>
    <x v="333"/>
    <s v="5000"/>
    <x v="1"/>
    <n v="51.54"/>
    <n v="5308.62"/>
    <n v="0"/>
    <n v="0"/>
    <x v="2"/>
    <x v="2"/>
    <s v="AutoPost 398"/>
    <s v="GBP"/>
    <n v="-51.54"/>
    <x v="1"/>
    <n v="103"/>
    <n v="-5308.62"/>
  </r>
  <r>
    <s v="GL000399"/>
    <x v="160"/>
    <s v="4010"/>
    <x v="4"/>
    <n v="0"/>
    <n v="0"/>
    <n v="952.59"/>
    <n v="98116.77"/>
    <x v="1"/>
    <x v="1"/>
    <s v="AutoPost 399"/>
    <s v="GBP"/>
    <n v="952.59"/>
    <x v="0"/>
    <n v="103"/>
    <n v="98116.77"/>
  </r>
  <r>
    <s v="GL000400"/>
    <x v="334"/>
    <s v="5010"/>
    <x v="3"/>
    <n v="312.45"/>
    <n v="32182.35"/>
    <n v="0"/>
    <n v="0"/>
    <x v="1"/>
    <x v="0"/>
    <s v="AutoPost 400"/>
    <s v="GBP"/>
    <n v="-312.45"/>
    <x v="2"/>
    <n v="103"/>
    <n v="-32182.35"/>
  </r>
  <r>
    <s v="GL000401"/>
    <x v="258"/>
    <s v="5010"/>
    <x v="3"/>
    <n v="571.80999999999995"/>
    <n v="50319.28"/>
    <n v="0"/>
    <n v="0"/>
    <x v="3"/>
    <x v="3"/>
    <s v="AutoPost 401"/>
    <s v="EUR"/>
    <n v="-571.80999999999995"/>
    <x v="2"/>
    <n v="88"/>
    <n v="-50319.28"/>
  </r>
  <r>
    <s v="GL000402"/>
    <x v="148"/>
    <s v="5010"/>
    <x v="3"/>
    <n v="750.55"/>
    <n v="45783.549999999996"/>
    <n v="0"/>
    <n v="0"/>
    <x v="1"/>
    <x v="2"/>
    <s v="AutoPost 402"/>
    <s v="CAD"/>
    <n v="-750.55"/>
    <x v="2"/>
    <n v="61"/>
    <n v="-45783.549999999996"/>
  </r>
  <r>
    <s v="GL000403"/>
    <x v="335"/>
    <s v="4010"/>
    <x v="4"/>
    <n v="0"/>
    <n v="0"/>
    <n v="4835.87"/>
    <n v="425556.56"/>
    <x v="2"/>
    <x v="0"/>
    <s v="AutoPost 403"/>
    <s v="EUR"/>
    <n v="4835.87"/>
    <x v="0"/>
    <n v="88"/>
    <n v="425556.56"/>
  </r>
  <r>
    <s v="GL000404"/>
    <x v="336"/>
    <s v="4000"/>
    <x v="0"/>
    <n v="0"/>
    <n v="0"/>
    <n v="2979.48"/>
    <n v="306886.44"/>
    <x v="5"/>
    <x v="0"/>
    <s v="AutoPost 404"/>
    <s v="GBP"/>
    <n v="2979.48"/>
    <x v="0"/>
    <n v="103"/>
    <n v="306886.44"/>
  </r>
  <r>
    <s v="GL000405"/>
    <x v="337"/>
    <s v="5000"/>
    <x v="1"/>
    <n v="1288.94"/>
    <n v="132760.82"/>
    <n v="0"/>
    <n v="0"/>
    <x v="0"/>
    <x v="0"/>
    <s v="AutoPost 405"/>
    <s v="GBP"/>
    <n v="-1288.94"/>
    <x v="1"/>
    <n v="103"/>
    <n v="-132760.82"/>
  </r>
  <r>
    <s v="GL000406"/>
    <x v="338"/>
    <s v="5000"/>
    <x v="1"/>
    <n v="578.6"/>
    <n v="32401.600000000002"/>
    <n v="0"/>
    <n v="0"/>
    <x v="0"/>
    <x v="3"/>
    <s v="AutoPost 406"/>
    <s v="AUD"/>
    <n v="-578.6"/>
    <x v="1"/>
    <n v="56"/>
    <n v="-32401.600000000002"/>
  </r>
  <r>
    <s v="GL000407"/>
    <x v="75"/>
    <s v="5000"/>
    <x v="1"/>
    <n v="341.06"/>
    <n v="19099.36"/>
    <n v="0"/>
    <n v="0"/>
    <x v="5"/>
    <x v="4"/>
    <s v="AutoPost 407"/>
    <s v="AUD"/>
    <n v="-341.06"/>
    <x v="1"/>
    <n v="56"/>
    <n v="-19099.36"/>
  </r>
  <r>
    <s v="GL000408"/>
    <x v="339"/>
    <s v="5010"/>
    <x v="3"/>
    <n v="1074.77"/>
    <n v="94579.76"/>
    <n v="0"/>
    <n v="0"/>
    <x v="1"/>
    <x v="3"/>
    <s v="AutoPost 408"/>
    <s v="EUR"/>
    <n v="-1074.77"/>
    <x v="2"/>
    <n v="88"/>
    <n v="-94579.76"/>
  </r>
  <r>
    <s v="GL000409"/>
    <x v="340"/>
    <s v="4010"/>
    <x v="4"/>
    <n v="0"/>
    <n v="0"/>
    <n v="1025.56"/>
    <n v="105632.68"/>
    <x v="1"/>
    <x v="0"/>
    <s v="AutoPost 409"/>
    <s v="GBP"/>
    <n v="1025.56"/>
    <x v="0"/>
    <n v="103"/>
    <n v="105632.68"/>
  </r>
  <r>
    <s v="GL000410"/>
    <x v="137"/>
    <s v="4000"/>
    <x v="0"/>
    <n v="0"/>
    <n v="0"/>
    <n v="1148.8499999999999"/>
    <n v="118331.54999999999"/>
    <x v="4"/>
    <x v="2"/>
    <s v="AutoPost 410"/>
    <s v="GBP"/>
    <n v="1148.8499999999999"/>
    <x v="0"/>
    <n v="103"/>
    <n v="118331.54999999999"/>
  </r>
  <r>
    <s v="GL000411"/>
    <x v="341"/>
    <s v="5000"/>
    <x v="1"/>
    <n v="1644.1"/>
    <n v="144680.79999999999"/>
    <n v="0"/>
    <n v="0"/>
    <x v="0"/>
    <x v="2"/>
    <s v="AutoPost 411"/>
    <s v="EUR"/>
    <n v="-1644.1"/>
    <x v="1"/>
    <n v="88"/>
    <n v="-144680.79999999999"/>
  </r>
  <r>
    <s v="GL000412"/>
    <x v="262"/>
    <s v="4010"/>
    <x v="4"/>
    <n v="0"/>
    <n v="0"/>
    <n v="3002.11"/>
    <n v="309217.33"/>
    <x v="3"/>
    <x v="2"/>
    <s v="AutoPost 412"/>
    <s v="GBP"/>
    <n v="3002.11"/>
    <x v="0"/>
    <n v="103"/>
    <n v="309217.33"/>
  </r>
  <r>
    <s v="GL000413"/>
    <x v="240"/>
    <s v="5010"/>
    <x v="3"/>
    <n v="327.57"/>
    <n v="28826.16"/>
    <n v="0"/>
    <n v="0"/>
    <x v="1"/>
    <x v="4"/>
    <s v="AutoPost 413"/>
    <s v="EUR"/>
    <n v="-327.57"/>
    <x v="2"/>
    <n v="88"/>
    <n v="-28826.16"/>
  </r>
  <r>
    <s v="GL000414"/>
    <x v="342"/>
    <s v="4000"/>
    <x v="0"/>
    <n v="0"/>
    <n v="0"/>
    <n v="2146.0700000000002"/>
    <n v="120179.92000000001"/>
    <x v="3"/>
    <x v="0"/>
    <s v="AutoPost 414"/>
    <s v="AUD"/>
    <n v="2146.0700000000002"/>
    <x v="0"/>
    <n v="56"/>
    <n v="120179.92000000001"/>
  </r>
  <r>
    <s v="GL000415"/>
    <x v="280"/>
    <s v="4000"/>
    <x v="0"/>
    <n v="0"/>
    <n v="0"/>
    <n v="811.92"/>
    <n v="45467.519999999997"/>
    <x v="1"/>
    <x v="0"/>
    <s v="AutoPost 415"/>
    <s v="AUD"/>
    <n v="811.92"/>
    <x v="0"/>
    <n v="56"/>
    <n v="45467.519999999997"/>
  </r>
  <r>
    <s v="GL000416"/>
    <x v="343"/>
    <s v="5000"/>
    <x v="1"/>
    <n v="943.91"/>
    <n v="77400.62"/>
    <n v="0"/>
    <n v="0"/>
    <x v="1"/>
    <x v="3"/>
    <s v="AutoPost 416"/>
    <s v="USD"/>
    <n v="-943.91"/>
    <x v="1"/>
    <n v="82"/>
    <n v="-77400.62"/>
  </r>
  <r>
    <s v="GL000417"/>
    <x v="94"/>
    <s v="5000"/>
    <x v="1"/>
    <n v="453.48"/>
    <n v="37185.360000000001"/>
    <n v="0"/>
    <n v="0"/>
    <x v="0"/>
    <x v="0"/>
    <s v="AutoPost 417"/>
    <s v="USD"/>
    <n v="-453.48"/>
    <x v="1"/>
    <n v="82"/>
    <n v="-37185.360000000001"/>
  </r>
  <r>
    <s v="GL000418"/>
    <x v="344"/>
    <s v="4000"/>
    <x v="0"/>
    <n v="0"/>
    <n v="0"/>
    <n v="4075.25"/>
    <n v="334170.5"/>
    <x v="1"/>
    <x v="1"/>
    <s v="AutoPost 418"/>
    <s v="USD"/>
    <n v="4075.25"/>
    <x v="0"/>
    <n v="82"/>
    <n v="334170.5"/>
  </r>
  <r>
    <s v="GL000419"/>
    <x v="345"/>
    <s v="4000"/>
    <x v="0"/>
    <n v="0"/>
    <n v="0"/>
    <n v="4559.4399999999996"/>
    <n v="469622.31999999995"/>
    <x v="4"/>
    <x v="4"/>
    <s v="AutoPost 419"/>
    <s v="GBP"/>
    <n v="4559.4399999999996"/>
    <x v="0"/>
    <n v="103"/>
    <n v="469622.31999999995"/>
  </r>
  <r>
    <s v="GL000420"/>
    <x v="346"/>
    <s v="5010"/>
    <x v="3"/>
    <n v="50.64"/>
    <n v="4456.32"/>
    <n v="0"/>
    <n v="0"/>
    <x v="0"/>
    <x v="2"/>
    <s v="AutoPost 420"/>
    <s v="EUR"/>
    <n v="-50.64"/>
    <x v="2"/>
    <n v="88"/>
    <n v="-4456.32"/>
  </r>
  <r>
    <s v="GL000421"/>
    <x v="347"/>
    <s v="5000"/>
    <x v="1"/>
    <n v="1277.92"/>
    <n v="112456.96000000001"/>
    <n v="0"/>
    <n v="0"/>
    <x v="1"/>
    <x v="4"/>
    <s v="AutoPost 421"/>
    <s v="EUR"/>
    <n v="-1277.92"/>
    <x v="1"/>
    <n v="88"/>
    <n v="-112456.96000000001"/>
  </r>
  <r>
    <s v="GL000422"/>
    <x v="52"/>
    <s v="5010"/>
    <x v="3"/>
    <n v="707.53"/>
    <n v="58017.46"/>
    <n v="0"/>
    <n v="0"/>
    <x v="1"/>
    <x v="2"/>
    <s v="AutoPost 422"/>
    <s v="USD"/>
    <n v="-707.53"/>
    <x v="2"/>
    <n v="82"/>
    <n v="-58017.46"/>
  </r>
  <r>
    <s v="GL000423"/>
    <x v="348"/>
    <s v="6000"/>
    <x v="2"/>
    <n v="356.21"/>
    <n v="31346.48"/>
    <n v="0"/>
    <n v="0"/>
    <x v="5"/>
    <x v="0"/>
    <s v="AutoPost 423"/>
    <s v="EUR"/>
    <n v="-356.21"/>
    <x v="2"/>
    <n v="88"/>
    <n v="-31346.48"/>
  </r>
  <r>
    <s v="GL000424"/>
    <x v="349"/>
    <s v="5010"/>
    <x v="3"/>
    <n v="189.31"/>
    <n v="16659.28"/>
    <n v="0"/>
    <n v="0"/>
    <x v="1"/>
    <x v="4"/>
    <s v="AutoPost 424"/>
    <s v="EUR"/>
    <n v="-189.31"/>
    <x v="2"/>
    <n v="88"/>
    <n v="-16659.28"/>
  </r>
  <r>
    <s v="GL000425"/>
    <x v="101"/>
    <s v="6000"/>
    <x v="2"/>
    <n v="519.61"/>
    <n v="53519.83"/>
    <n v="0"/>
    <n v="0"/>
    <x v="3"/>
    <x v="1"/>
    <s v="AutoPost 425"/>
    <s v="GBP"/>
    <n v="-519.61"/>
    <x v="2"/>
    <n v="103"/>
    <n v="-53519.83"/>
  </r>
  <r>
    <s v="GL000426"/>
    <x v="350"/>
    <s v="4000"/>
    <x v="0"/>
    <n v="0"/>
    <n v="0"/>
    <n v="3923.81"/>
    <n v="219733.36"/>
    <x v="5"/>
    <x v="2"/>
    <s v="AutoPost 426"/>
    <s v="AUD"/>
    <n v="3923.81"/>
    <x v="0"/>
    <n v="56"/>
    <n v="219733.36"/>
  </r>
  <r>
    <s v="GL000427"/>
    <x v="107"/>
    <s v="5000"/>
    <x v="1"/>
    <n v="171.38"/>
    <n v="10454.18"/>
    <n v="0"/>
    <n v="0"/>
    <x v="3"/>
    <x v="2"/>
    <s v="AutoPost 427"/>
    <s v="CAD"/>
    <n v="-171.38"/>
    <x v="1"/>
    <n v="61"/>
    <n v="-10454.18"/>
  </r>
  <r>
    <s v="GL000428"/>
    <x v="347"/>
    <s v="5000"/>
    <x v="1"/>
    <n v="960.38"/>
    <n v="84513.44"/>
    <n v="0"/>
    <n v="0"/>
    <x v="3"/>
    <x v="4"/>
    <s v="AutoPost 428"/>
    <s v="EUR"/>
    <n v="-960.38"/>
    <x v="1"/>
    <n v="88"/>
    <n v="-84513.44"/>
  </r>
  <r>
    <s v="GL000429"/>
    <x v="76"/>
    <s v="5010"/>
    <x v="3"/>
    <n v="931.96"/>
    <n v="95991.88"/>
    <n v="0"/>
    <n v="0"/>
    <x v="3"/>
    <x v="4"/>
    <s v="AutoPost 429"/>
    <s v="GBP"/>
    <n v="-931.96"/>
    <x v="2"/>
    <n v="103"/>
    <n v="-95991.88"/>
  </r>
  <r>
    <s v="GL000430"/>
    <x v="351"/>
    <s v="4000"/>
    <x v="0"/>
    <n v="0"/>
    <n v="0"/>
    <n v="353.32"/>
    <n v="28972.239999999998"/>
    <x v="4"/>
    <x v="1"/>
    <s v="AutoPost 430"/>
    <s v="USD"/>
    <n v="353.32"/>
    <x v="0"/>
    <n v="82"/>
    <n v="28972.239999999998"/>
  </r>
  <r>
    <s v="GL000431"/>
    <x v="352"/>
    <s v="6000"/>
    <x v="2"/>
    <n v="66.08"/>
    <n v="6806.24"/>
    <n v="0"/>
    <n v="0"/>
    <x v="2"/>
    <x v="3"/>
    <s v="AutoPost 431"/>
    <s v="GBP"/>
    <n v="-66.08"/>
    <x v="2"/>
    <n v="103"/>
    <n v="-6806.24"/>
  </r>
  <r>
    <s v="GL000432"/>
    <x v="353"/>
    <s v="4000"/>
    <x v="0"/>
    <n v="0"/>
    <n v="0"/>
    <n v="361.74"/>
    <n v="37259.22"/>
    <x v="3"/>
    <x v="4"/>
    <s v="AutoPost 432"/>
    <s v="GBP"/>
    <n v="361.74"/>
    <x v="0"/>
    <n v="103"/>
    <n v="37259.22"/>
  </r>
  <r>
    <s v="GL000433"/>
    <x v="354"/>
    <s v="6000"/>
    <x v="2"/>
    <n v="1392.66"/>
    <n v="84952.260000000009"/>
    <n v="0"/>
    <n v="0"/>
    <x v="2"/>
    <x v="4"/>
    <s v="AutoPost 433"/>
    <s v="CAD"/>
    <n v="-1392.66"/>
    <x v="2"/>
    <n v="61"/>
    <n v="-84952.260000000009"/>
  </r>
  <r>
    <s v="GL000434"/>
    <x v="355"/>
    <s v="4000"/>
    <x v="0"/>
    <n v="0"/>
    <n v="0"/>
    <n v="4172.26"/>
    <n v="342125.32"/>
    <x v="3"/>
    <x v="4"/>
    <s v="AutoPost 434"/>
    <s v="USD"/>
    <n v="4172.26"/>
    <x v="0"/>
    <n v="82"/>
    <n v="342125.32"/>
  </r>
  <r>
    <s v="GL000435"/>
    <x v="356"/>
    <s v="6000"/>
    <x v="2"/>
    <n v="1792.82"/>
    <n v="184660.46"/>
    <n v="0"/>
    <n v="0"/>
    <x v="0"/>
    <x v="0"/>
    <s v="AutoPost 435"/>
    <s v="GBP"/>
    <n v="-1792.82"/>
    <x v="2"/>
    <n v="103"/>
    <n v="-184660.46"/>
  </r>
  <r>
    <s v="GL000436"/>
    <x v="10"/>
    <s v="5000"/>
    <x v="1"/>
    <n v="164.54"/>
    <n v="16947.62"/>
    <n v="0"/>
    <n v="0"/>
    <x v="3"/>
    <x v="2"/>
    <s v="AutoPost 436"/>
    <s v="GBP"/>
    <n v="-164.54"/>
    <x v="1"/>
    <n v="103"/>
    <n v="-16947.62"/>
  </r>
  <r>
    <s v="GL000437"/>
    <x v="349"/>
    <s v="6000"/>
    <x v="2"/>
    <n v="217.44"/>
    <n v="19134.72"/>
    <n v="0"/>
    <n v="0"/>
    <x v="0"/>
    <x v="3"/>
    <s v="AutoPost 437"/>
    <s v="EUR"/>
    <n v="-217.44"/>
    <x v="2"/>
    <n v="88"/>
    <n v="-19134.72"/>
  </r>
  <r>
    <s v="GL000438"/>
    <x v="38"/>
    <s v="6000"/>
    <x v="2"/>
    <n v="1899.59"/>
    <n v="155766.38"/>
    <n v="0"/>
    <n v="0"/>
    <x v="4"/>
    <x v="0"/>
    <s v="AutoPost 438"/>
    <s v="USD"/>
    <n v="-1899.59"/>
    <x v="2"/>
    <n v="82"/>
    <n v="-155766.38"/>
  </r>
  <r>
    <s v="GL000439"/>
    <x v="220"/>
    <s v="5010"/>
    <x v="3"/>
    <n v="808.94"/>
    <n v="71186.720000000001"/>
    <n v="0"/>
    <n v="0"/>
    <x v="5"/>
    <x v="1"/>
    <s v="AutoPost 439"/>
    <s v="EUR"/>
    <n v="-808.94"/>
    <x v="2"/>
    <n v="88"/>
    <n v="-71186.720000000001"/>
  </r>
  <r>
    <s v="GL000440"/>
    <x v="344"/>
    <s v="4000"/>
    <x v="0"/>
    <n v="0"/>
    <n v="0"/>
    <n v="3691.59"/>
    <n v="206729.04"/>
    <x v="3"/>
    <x v="0"/>
    <s v="AutoPost 440"/>
    <s v="AUD"/>
    <n v="3691.59"/>
    <x v="0"/>
    <n v="56"/>
    <n v="206729.04"/>
  </r>
  <r>
    <s v="GL000441"/>
    <x v="357"/>
    <s v="4010"/>
    <x v="4"/>
    <n v="0"/>
    <n v="0"/>
    <n v="2510.66"/>
    <n v="205874.12"/>
    <x v="2"/>
    <x v="4"/>
    <s v="AutoPost 441"/>
    <s v="USD"/>
    <n v="2510.66"/>
    <x v="0"/>
    <n v="82"/>
    <n v="205874.12"/>
  </r>
  <r>
    <s v="GL000442"/>
    <x v="358"/>
    <s v="4000"/>
    <x v="0"/>
    <n v="0"/>
    <n v="0"/>
    <n v="1959.12"/>
    <n v="172402.56"/>
    <x v="2"/>
    <x v="4"/>
    <s v="AutoPost 442"/>
    <s v="EUR"/>
    <n v="1959.12"/>
    <x v="0"/>
    <n v="88"/>
    <n v="172402.56"/>
  </r>
  <r>
    <s v="GL000443"/>
    <x v="316"/>
    <s v="5010"/>
    <x v="3"/>
    <n v="1541.66"/>
    <n v="94041.260000000009"/>
    <n v="0"/>
    <n v="0"/>
    <x v="2"/>
    <x v="2"/>
    <s v="AutoPost 443"/>
    <s v="CAD"/>
    <n v="-1541.66"/>
    <x v="2"/>
    <n v="61"/>
    <n v="-94041.260000000009"/>
  </r>
  <r>
    <s v="GL000444"/>
    <x v="314"/>
    <s v="5010"/>
    <x v="3"/>
    <n v="1240.1400000000001"/>
    <n v="75648.540000000008"/>
    <n v="0"/>
    <n v="0"/>
    <x v="3"/>
    <x v="0"/>
    <s v="AutoPost 444"/>
    <s v="CAD"/>
    <n v="-1240.1400000000001"/>
    <x v="2"/>
    <n v="61"/>
    <n v="-75648.540000000008"/>
  </r>
  <r>
    <s v="GL000445"/>
    <x v="359"/>
    <s v="5010"/>
    <x v="3"/>
    <n v="889.94"/>
    <n v="49836.639999999999"/>
    <n v="0"/>
    <n v="0"/>
    <x v="2"/>
    <x v="1"/>
    <s v="AutoPost 445"/>
    <s v="AUD"/>
    <n v="-889.94"/>
    <x v="2"/>
    <n v="56"/>
    <n v="-49836.639999999999"/>
  </r>
  <r>
    <s v="GL000446"/>
    <x v="219"/>
    <s v="5000"/>
    <x v="1"/>
    <n v="1562.72"/>
    <n v="137519.36000000002"/>
    <n v="0"/>
    <n v="0"/>
    <x v="2"/>
    <x v="4"/>
    <s v="AutoPost 446"/>
    <s v="EUR"/>
    <n v="-1562.72"/>
    <x v="1"/>
    <n v="88"/>
    <n v="-137519.36000000002"/>
  </r>
  <r>
    <s v="GL000447"/>
    <x v="360"/>
    <s v="6000"/>
    <x v="2"/>
    <n v="1182.8"/>
    <n v="104086.39999999999"/>
    <n v="0"/>
    <n v="0"/>
    <x v="1"/>
    <x v="3"/>
    <s v="AutoPost 447"/>
    <s v="EUR"/>
    <n v="-1182.8"/>
    <x v="2"/>
    <n v="88"/>
    <n v="-104086.39999999999"/>
  </r>
  <r>
    <s v="GL000448"/>
    <x v="122"/>
    <s v="6000"/>
    <x v="2"/>
    <n v="489.72"/>
    <n v="29872.920000000002"/>
    <n v="0"/>
    <n v="0"/>
    <x v="4"/>
    <x v="4"/>
    <s v="AutoPost 448"/>
    <s v="CAD"/>
    <n v="-489.72"/>
    <x v="2"/>
    <n v="61"/>
    <n v="-29872.920000000002"/>
  </r>
  <r>
    <s v="GL000449"/>
    <x v="23"/>
    <s v="6000"/>
    <x v="2"/>
    <n v="1003.21"/>
    <n v="88282.48000000001"/>
    <n v="0"/>
    <n v="0"/>
    <x v="3"/>
    <x v="3"/>
    <s v="AutoPost 449"/>
    <s v="EUR"/>
    <n v="-1003.21"/>
    <x v="2"/>
    <n v="88"/>
    <n v="-88282.48000000001"/>
  </r>
  <r>
    <s v="GL000450"/>
    <x v="361"/>
    <s v="4000"/>
    <x v="0"/>
    <n v="0"/>
    <n v="0"/>
    <n v="1571.79"/>
    <n v="88020.239999999991"/>
    <x v="5"/>
    <x v="4"/>
    <s v="AutoPost 450"/>
    <s v="AUD"/>
    <n v="1571.79"/>
    <x v="0"/>
    <n v="56"/>
    <n v="88020.239999999991"/>
  </r>
  <r>
    <s v="GL000451"/>
    <x v="51"/>
    <s v="6000"/>
    <x v="2"/>
    <n v="1413.19"/>
    <n v="79138.64"/>
    <n v="0"/>
    <n v="0"/>
    <x v="4"/>
    <x v="0"/>
    <s v="AutoPost 451"/>
    <s v="AUD"/>
    <n v="-1413.19"/>
    <x v="2"/>
    <n v="56"/>
    <n v="-79138.64"/>
  </r>
  <r>
    <s v="GL000452"/>
    <x v="362"/>
    <s v="6000"/>
    <x v="2"/>
    <n v="819.5"/>
    <n v="84408.5"/>
    <n v="0"/>
    <n v="0"/>
    <x v="2"/>
    <x v="2"/>
    <s v="AutoPost 452"/>
    <s v="GBP"/>
    <n v="-819.5"/>
    <x v="2"/>
    <n v="103"/>
    <n v="-84408.5"/>
  </r>
  <r>
    <s v="GL000453"/>
    <x v="363"/>
    <s v="4010"/>
    <x v="4"/>
    <n v="0"/>
    <n v="0"/>
    <n v="1428.23"/>
    <n v="117114.86"/>
    <x v="1"/>
    <x v="3"/>
    <s v="AutoPost 453"/>
    <s v="USD"/>
    <n v="1428.23"/>
    <x v="0"/>
    <n v="82"/>
    <n v="117114.86"/>
  </r>
  <r>
    <s v="GL000454"/>
    <x v="93"/>
    <s v="4000"/>
    <x v="0"/>
    <n v="0"/>
    <n v="0"/>
    <n v="1859.84"/>
    <n v="163665.91999999998"/>
    <x v="0"/>
    <x v="3"/>
    <s v="AutoPost 454"/>
    <s v="EUR"/>
    <n v="1859.84"/>
    <x v="0"/>
    <n v="88"/>
    <n v="163665.91999999998"/>
  </r>
  <r>
    <s v="GL000455"/>
    <x v="364"/>
    <s v="5010"/>
    <x v="3"/>
    <n v="1060.6500000000001"/>
    <n v="86973.3"/>
    <n v="0"/>
    <n v="0"/>
    <x v="1"/>
    <x v="4"/>
    <s v="AutoPost 455"/>
    <s v="USD"/>
    <n v="-1060.6500000000001"/>
    <x v="2"/>
    <n v="82"/>
    <n v="-86973.3"/>
  </r>
  <r>
    <s v="GL000456"/>
    <x v="110"/>
    <s v="6000"/>
    <x v="2"/>
    <n v="493.78"/>
    <n v="43452.639999999999"/>
    <n v="0"/>
    <n v="0"/>
    <x v="3"/>
    <x v="1"/>
    <s v="AutoPost 456"/>
    <s v="EUR"/>
    <n v="-493.78"/>
    <x v="2"/>
    <n v="88"/>
    <n v="-43452.639999999999"/>
  </r>
  <r>
    <s v="GL000457"/>
    <x v="364"/>
    <s v="5010"/>
    <x v="3"/>
    <n v="911.05"/>
    <n v="74706.099999999991"/>
    <n v="0"/>
    <n v="0"/>
    <x v="3"/>
    <x v="2"/>
    <s v="AutoPost 457"/>
    <s v="USD"/>
    <n v="-911.05"/>
    <x v="2"/>
    <n v="82"/>
    <n v="-74706.099999999991"/>
  </r>
  <r>
    <s v="GL000458"/>
    <x v="365"/>
    <s v="4010"/>
    <x v="4"/>
    <n v="0"/>
    <n v="0"/>
    <n v="855.46"/>
    <n v="88112.38"/>
    <x v="3"/>
    <x v="0"/>
    <s v="AutoPost 458"/>
    <s v="GBP"/>
    <n v="855.46"/>
    <x v="0"/>
    <n v="103"/>
    <n v="88112.38"/>
  </r>
  <r>
    <s v="GL000459"/>
    <x v="154"/>
    <s v="5000"/>
    <x v="1"/>
    <n v="1218.8900000000001"/>
    <n v="99948.98000000001"/>
    <n v="0"/>
    <n v="0"/>
    <x v="3"/>
    <x v="3"/>
    <s v="AutoPost 459"/>
    <s v="USD"/>
    <n v="-1218.8900000000001"/>
    <x v="1"/>
    <n v="82"/>
    <n v="-99948.98000000001"/>
  </r>
  <r>
    <s v="GL000460"/>
    <x v="366"/>
    <s v="6000"/>
    <x v="2"/>
    <n v="670.27"/>
    <n v="54962.14"/>
    <n v="0"/>
    <n v="0"/>
    <x v="3"/>
    <x v="4"/>
    <s v="AutoPost 460"/>
    <s v="USD"/>
    <n v="-670.27"/>
    <x v="2"/>
    <n v="82"/>
    <n v="-54962.14"/>
  </r>
  <r>
    <s v="GL000461"/>
    <x v="367"/>
    <s v="5010"/>
    <x v="3"/>
    <n v="579"/>
    <n v="59637"/>
    <n v="0"/>
    <n v="0"/>
    <x v="4"/>
    <x v="2"/>
    <s v="AutoPost 461"/>
    <s v="GBP"/>
    <n v="-579"/>
    <x v="2"/>
    <n v="103"/>
    <n v="-59637"/>
  </r>
  <r>
    <s v="GL000462"/>
    <x v="50"/>
    <s v="4010"/>
    <x v="4"/>
    <n v="0"/>
    <n v="0"/>
    <n v="1322.5"/>
    <n v="136217.5"/>
    <x v="1"/>
    <x v="0"/>
    <s v="AutoPost 462"/>
    <s v="GBP"/>
    <n v="1322.5"/>
    <x v="0"/>
    <n v="103"/>
    <n v="136217.5"/>
  </r>
  <r>
    <s v="GL000463"/>
    <x v="94"/>
    <s v="5010"/>
    <x v="3"/>
    <n v="1920.52"/>
    <n v="169005.76"/>
    <n v="0"/>
    <n v="0"/>
    <x v="0"/>
    <x v="1"/>
    <s v="AutoPost 463"/>
    <s v="EUR"/>
    <n v="-1920.52"/>
    <x v="2"/>
    <n v="88"/>
    <n v="-169005.76"/>
  </r>
  <r>
    <s v="GL000464"/>
    <x v="130"/>
    <s v="6000"/>
    <x v="2"/>
    <n v="417.54"/>
    <n v="25469.940000000002"/>
    <n v="0"/>
    <n v="0"/>
    <x v="3"/>
    <x v="1"/>
    <s v="AutoPost 464"/>
    <s v="CAD"/>
    <n v="-417.54"/>
    <x v="2"/>
    <n v="61"/>
    <n v="-25469.940000000002"/>
  </r>
  <r>
    <s v="GL000465"/>
    <x v="368"/>
    <s v="5000"/>
    <x v="1"/>
    <n v="1832.61"/>
    <n v="111789.20999999999"/>
    <n v="0"/>
    <n v="0"/>
    <x v="3"/>
    <x v="0"/>
    <s v="AutoPost 465"/>
    <s v="CAD"/>
    <n v="-1832.61"/>
    <x v="1"/>
    <n v="61"/>
    <n v="-111789.20999999999"/>
  </r>
  <r>
    <s v="GL000466"/>
    <x v="369"/>
    <s v="4000"/>
    <x v="0"/>
    <n v="0"/>
    <n v="0"/>
    <n v="1225.02"/>
    <n v="107801.76"/>
    <x v="5"/>
    <x v="3"/>
    <s v="AutoPost 466"/>
    <s v="EUR"/>
    <n v="1225.02"/>
    <x v="0"/>
    <n v="88"/>
    <n v="107801.76"/>
  </r>
  <r>
    <s v="GL000467"/>
    <x v="370"/>
    <s v="5000"/>
    <x v="1"/>
    <n v="973.97"/>
    <n v="100318.91"/>
    <n v="0"/>
    <n v="0"/>
    <x v="4"/>
    <x v="0"/>
    <s v="AutoPost 467"/>
    <s v="GBP"/>
    <n v="-973.97"/>
    <x v="1"/>
    <n v="103"/>
    <n v="-100318.91"/>
  </r>
  <r>
    <s v="GL000468"/>
    <x v="101"/>
    <s v="6000"/>
    <x v="2"/>
    <n v="525.5"/>
    <n v="46244"/>
    <n v="0"/>
    <n v="0"/>
    <x v="5"/>
    <x v="3"/>
    <s v="AutoPost 468"/>
    <s v="EUR"/>
    <n v="-525.5"/>
    <x v="2"/>
    <n v="88"/>
    <n v="-46244"/>
  </r>
  <r>
    <s v="GL000469"/>
    <x v="79"/>
    <s v="5000"/>
    <x v="1"/>
    <n v="805.56"/>
    <n v="49139.159999999996"/>
    <n v="0"/>
    <n v="0"/>
    <x v="0"/>
    <x v="2"/>
    <s v="AutoPost 469"/>
    <s v="CAD"/>
    <n v="-805.56"/>
    <x v="1"/>
    <n v="61"/>
    <n v="-49139.159999999996"/>
  </r>
  <r>
    <s v="GL000470"/>
    <x v="371"/>
    <s v="6000"/>
    <x v="2"/>
    <n v="1466.97"/>
    <n v="82150.320000000007"/>
    <n v="0"/>
    <n v="0"/>
    <x v="1"/>
    <x v="3"/>
    <s v="AutoPost 470"/>
    <s v="AUD"/>
    <n v="-1466.97"/>
    <x v="2"/>
    <n v="56"/>
    <n v="-82150.320000000007"/>
  </r>
  <r>
    <s v="GL000471"/>
    <x v="372"/>
    <s v="4010"/>
    <x v="4"/>
    <n v="0"/>
    <n v="0"/>
    <n v="4734.3599999999997"/>
    <n v="265124.15999999997"/>
    <x v="0"/>
    <x v="2"/>
    <s v="AutoPost 471"/>
    <s v="AUD"/>
    <n v="4734.3599999999997"/>
    <x v="0"/>
    <n v="56"/>
    <n v="265124.15999999997"/>
  </r>
  <r>
    <s v="GL000472"/>
    <x v="239"/>
    <s v="4010"/>
    <x v="4"/>
    <n v="0"/>
    <n v="0"/>
    <n v="1668.4"/>
    <n v="136808.80000000002"/>
    <x v="4"/>
    <x v="4"/>
    <s v="AutoPost 472"/>
    <s v="USD"/>
    <n v="1668.4"/>
    <x v="0"/>
    <n v="82"/>
    <n v="136808.80000000002"/>
  </r>
  <r>
    <s v="GL000473"/>
    <x v="116"/>
    <s v="4010"/>
    <x v="4"/>
    <n v="0"/>
    <n v="0"/>
    <n v="4991.26"/>
    <n v="409283.32"/>
    <x v="3"/>
    <x v="3"/>
    <s v="AutoPost 473"/>
    <s v="USD"/>
    <n v="4991.26"/>
    <x v="0"/>
    <n v="82"/>
    <n v="409283.32"/>
  </r>
  <r>
    <s v="GL000474"/>
    <x v="250"/>
    <s v="6000"/>
    <x v="2"/>
    <n v="445.53"/>
    <n v="45889.59"/>
    <n v="0"/>
    <n v="0"/>
    <x v="2"/>
    <x v="4"/>
    <s v="AutoPost 474"/>
    <s v="GBP"/>
    <n v="-445.53"/>
    <x v="2"/>
    <n v="103"/>
    <n v="-45889.59"/>
  </r>
  <r>
    <s v="GL000475"/>
    <x v="373"/>
    <s v="6000"/>
    <x v="2"/>
    <n v="1464.99"/>
    <n v="128919.12"/>
    <n v="0"/>
    <n v="0"/>
    <x v="3"/>
    <x v="4"/>
    <s v="AutoPost 475"/>
    <s v="EUR"/>
    <n v="-1464.99"/>
    <x v="2"/>
    <n v="88"/>
    <n v="-128919.12"/>
  </r>
  <r>
    <s v="GL000476"/>
    <x v="374"/>
    <s v="4010"/>
    <x v="4"/>
    <n v="0"/>
    <n v="0"/>
    <n v="1422.45"/>
    <n v="125175.6"/>
    <x v="1"/>
    <x v="0"/>
    <s v="AutoPost 476"/>
    <s v="EUR"/>
    <n v="1422.45"/>
    <x v="0"/>
    <n v="88"/>
    <n v="125175.6"/>
  </r>
  <r>
    <s v="GL000477"/>
    <x v="370"/>
    <s v="4010"/>
    <x v="4"/>
    <n v="0"/>
    <n v="0"/>
    <n v="2350.1999999999998"/>
    <n v="131611.19999999998"/>
    <x v="1"/>
    <x v="0"/>
    <s v="AutoPost 477"/>
    <s v="AUD"/>
    <n v="2350.1999999999998"/>
    <x v="0"/>
    <n v="56"/>
    <n v="131611.19999999998"/>
  </r>
  <r>
    <s v="GL000478"/>
    <x v="239"/>
    <s v="6000"/>
    <x v="2"/>
    <n v="1559.89"/>
    <n v="87353.840000000011"/>
    <n v="0"/>
    <n v="0"/>
    <x v="1"/>
    <x v="2"/>
    <s v="AutoPost 478"/>
    <s v="AUD"/>
    <n v="-1559.89"/>
    <x v="2"/>
    <n v="56"/>
    <n v="-87353.840000000011"/>
  </r>
  <r>
    <s v="GL000479"/>
    <x v="208"/>
    <s v="5010"/>
    <x v="3"/>
    <n v="1570.96"/>
    <n v="128818.72"/>
    <n v="0"/>
    <n v="0"/>
    <x v="0"/>
    <x v="0"/>
    <s v="AutoPost 479"/>
    <s v="USD"/>
    <n v="-1570.96"/>
    <x v="2"/>
    <n v="82"/>
    <n v="-128818.72"/>
  </r>
  <r>
    <s v="GL000480"/>
    <x v="375"/>
    <s v="4000"/>
    <x v="0"/>
    <n v="0"/>
    <n v="0"/>
    <n v="3947.32"/>
    <n v="406573.96"/>
    <x v="0"/>
    <x v="2"/>
    <s v="AutoPost 480"/>
    <s v="GBP"/>
    <n v="3947.32"/>
    <x v="0"/>
    <n v="103"/>
    <n v="406573.96"/>
  </r>
  <r>
    <s v="GL000481"/>
    <x v="289"/>
    <s v="6000"/>
    <x v="2"/>
    <n v="1467.92"/>
    <n v="120369.44"/>
    <n v="0"/>
    <n v="0"/>
    <x v="0"/>
    <x v="1"/>
    <s v="AutoPost 481"/>
    <s v="USD"/>
    <n v="-1467.92"/>
    <x v="2"/>
    <n v="82"/>
    <n v="-120369.44"/>
  </r>
  <r>
    <s v="GL000482"/>
    <x v="376"/>
    <s v="5000"/>
    <x v="1"/>
    <n v="1843.54"/>
    <n v="189884.62"/>
    <n v="0"/>
    <n v="0"/>
    <x v="4"/>
    <x v="0"/>
    <s v="AutoPost 482"/>
    <s v="GBP"/>
    <n v="-1843.54"/>
    <x v="1"/>
    <n v="103"/>
    <n v="-189884.62"/>
  </r>
  <r>
    <s v="GL000483"/>
    <x v="108"/>
    <s v="5010"/>
    <x v="3"/>
    <n v="134.56"/>
    <n v="11841.28"/>
    <n v="0"/>
    <n v="0"/>
    <x v="0"/>
    <x v="4"/>
    <s v="AutoPost 483"/>
    <s v="EUR"/>
    <n v="-134.56"/>
    <x v="2"/>
    <n v="88"/>
    <n v="-11841.28"/>
  </r>
  <r>
    <s v="GL000484"/>
    <x v="377"/>
    <s v="4000"/>
    <x v="0"/>
    <n v="0"/>
    <n v="0"/>
    <n v="1712.94"/>
    <n v="150738.72"/>
    <x v="4"/>
    <x v="0"/>
    <s v="AutoPost 484"/>
    <s v="EUR"/>
    <n v="1712.94"/>
    <x v="0"/>
    <n v="88"/>
    <n v="150738.72"/>
  </r>
  <r>
    <s v="GL000485"/>
    <x v="378"/>
    <s v="5010"/>
    <x v="3"/>
    <n v="551.23"/>
    <n v="56776.69"/>
    <n v="0"/>
    <n v="0"/>
    <x v="5"/>
    <x v="3"/>
    <s v="AutoPost 485"/>
    <s v="GBP"/>
    <n v="-551.23"/>
    <x v="2"/>
    <n v="103"/>
    <n v="-56776.69"/>
  </r>
  <r>
    <s v="GL000486"/>
    <x v="379"/>
    <s v="4000"/>
    <x v="0"/>
    <n v="0"/>
    <n v="0"/>
    <n v="588.37"/>
    <n v="60602.11"/>
    <x v="0"/>
    <x v="2"/>
    <s v="AutoPost 486"/>
    <s v="GBP"/>
    <n v="588.37"/>
    <x v="0"/>
    <n v="103"/>
    <n v="60602.11"/>
  </r>
  <r>
    <s v="GL000487"/>
    <x v="114"/>
    <s v="6000"/>
    <x v="2"/>
    <n v="134.5"/>
    <n v="8204.5"/>
    <n v="0"/>
    <n v="0"/>
    <x v="4"/>
    <x v="0"/>
    <s v="AutoPost 487"/>
    <s v="CAD"/>
    <n v="-134.5"/>
    <x v="2"/>
    <n v="61"/>
    <n v="-8204.5"/>
  </r>
  <r>
    <s v="GL000488"/>
    <x v="26"/>
    <s v="5000"/>
    <x v="1"/>
    <n v="630.03"/>
    <n v="38431.83"/>
    <n v="0"/>
    <n v="0"/>
    <x v="4"/>
    <x v="3"/>
    <s v="AutoPost 488"/>
    <s v="CAD"/>
    <n v="-630.03"/>
    <x v="1"/>
    <n v="61"/>
    <n v="-38431.83"/>
  </r>
  <r>
    <s v="GL000489"/>
    <x v="380"/>
    <s v="6000"/>
    <x v="2"/>
    <n v="1840.05"/>
    <n v="103042.8"/>
    <n v="0"/>
    <n v="0"/>
    <x v="0"/>
    <x v="0"/>
    <s v="AutoPost 489"/>
    <s v="AUD"/>
    <n v="-1840.05"/>
    <x v="2"/>
    <n v="56"/>
    <n v="-103042.8"/>
  </r>
  <r>
    <s v="GL000490"/>
    <x v="164"/>
    <s v="5000"/>
    <x v="1"/>
    <n v="1943.87"/>
    <n v="108856.72"/>
    <n v="0"/>
    <n v="0"/>
    <x v="3"/>
    <x v="4"/>
    <s v="AutoPost 490"/>
    <s v="AUD"/>
    <n v="-1943.87"/>
    <x v="1"/>
    <n v="56"/>
    <n v="-108856.72"/>
  </r>
  <r>
    <s v="GL000491"/>
    <x v="381"/>
    <s v="4000"/>
    <x v="0"/>
    <n v="0"/>
    <n v="0"/>
    <n v="2322.15"/>
    <n v="190416.30000000002"/>
    <x v="0"/>
    <x v="2"/>
    <s v="AutoPost 491"/>
    <s v="USD"/>
    <n v="2322.15"/>
    <x v="0"/>
    <n v="82"/>
    <n v="190416.30000000002"/>
  </r>
  <r>
    <s v="GL000492"/>
    <x v="382"/>
    <s v="4000"/>
    <x v="0"/>
    <n v="0"/>
    <n v="0"/>
    <n v="1615.42"/>
    <n v="98540.62000000001"/>
    <x v="3"/>
    <x v="1"/>
    <s v="AutoPost 492"/>
    <s v="CAD"/>
    <n v="1615.42"/>
    <x v="0"/>
    <n v="61"/>
    <n v="98540.62000000001"/>
  </r>
  <r>
    <s v="GL000493"/>
    <x v="383"/>
    <s v="4010"/>
    <x v="4"/>
    <n v="0"/>
    <n v="0"/>
    <n v="3274.24"/>
    <n v="199728.63999999998"/>
    <x v="1"/>
    <x v="4"/>
    <s v="AutoPost 493"/>
    <s v="CAD"/>
    <n v="3274.24"/>
    <x v="0"/>
    <n v="61"/>
    <n v="199728.63999999998"/>
  </r>
  <r>
    <s v="GL000494"/>
    <x v="384"/>
    <s v="5010"/>
    <x v="3"/>
    <n v="293.63"/>
    <n v="17911.43"/>
    <n v="0"/>
    <n v="0"/>
    <x v="3"/>
    <x v="1"/>
    <s v="AutoPost 494"/>
    <s v="CAD"/>
    <n v="-293.63"/>
    <x v="2"/>
    <n v="61"/>
    <n v="-17911.43"/>
  </r>
  <r>
    <s v="GL000495"/>
    <x v="92"/>
    <s v="4000"/>
    <x v="0"/>
    <n v="0"/>
    <n v="0"/>
    <n v="2924.19"/>
    <n v="239783.58000000002"/>
    <x v="4"/>
    <x v="3"/>
    <s v="AutoPost 495"/>
    <s v="USD"/>
    <n v="2924.19"/>
    <x v="0"/>
    <n v="82"/>
    <n v="239783.58000000002"/>
  </r>
  <r>
    <s v="GL000496"/>
    <x v="385"/>
    <s v="5000"/>
    <x v="1"/>
    <n v="630.34"/>
    <n v="51687.880000000005"/>
    <n v="0"/>
    <n v="0"/>
    <x v="0"/>
    <x v="0"/>
    <s v="AutoPost 496"/>
    <s v="USD"/>
    <n v="-630.34"/>
    <x v="1"/>
    <n v="82"/>
    <n v="-51687.880000000005"/>
  </r>
  <r>
    <s v="GL000497"/>
    <x v="348"/>
    <s v="4000"/>
    <x v="0"/>
    <n v="0"/>
    <n v="0"/>
    <n v="2794.59"/>
    <n v="245923.92"/>
    <x v="1"/>
    <x v="3"/>
    <s v="AutoPost 497"/>
    <s v="EUR"/>
    <n v="2794.59"/>
    <x v="0"/>
    <n v="88"/>
    <n v="245923.92"/>
  </r>
  <r>
    <s v="GL000498"/>
    <x v="154"/>
    <s v="5000"/>
    <x v="1"/>
    <n v="276.86"/>
    <n v="22702.52"/>
    <n v="0"/>
    <n v="0"/>
    <x v="3"/>
    <x v="2"/>
    <s v="AutoPost 498"/>
    <s v="USD"/>
    <n v="-276.86"/>
    <x v="1"/>
    <n v="82"/>
    <n v="-22702.52"/>
  </r>
  <r>
    <s v="GL000499"/>
    <x v="211"/>
    <s v="5000"/>
    <x v="1"/>
    <n v="1358.2"/>
    <n v="139894.6"/>
    <n v="0"/>
    <n v="0"/>
    <x v="0"/>
    <x v="3"/>
    <s v="AutoPost 499"/>
    <s v="GBP"/>
    <n v="-1358.2"/>
    <x v="1"/>
    <n v="103"/>
    <n v="-139894.6"/>
  </r>
  <r>
    <s v="GL000500"/>
    <x v="53"/>
    <s v="5010"/>
    <x v="3"/>
    <n v="701.01"/>
    <n v="72204.03"/>
    <n v="0"/>
    <n v="0"/>
    <x v="3"/>
    <x v="4"/>
    <s v="AutoPost 500"/>
    <s v="GBP"/>
    <n v="-701.01"/>
    <x v="2"/>
    <n v="103"/>
    <n v="-72204.03"/>
  </r>
  <r>
    <s v="GL000501"/>
    <x v="139"/>
    <s v="4000"/>
    <x v="0"/>
    <n v="0"/>
    <n v="0"/>
    <n v="3951.26"/>
    <n v="221270.56"/>
    <x v="4"/>
    <x v="0"/>
    <s v="AutoPost 501"/>
    <s v="AUD"/>
    <n v="3951.26"/>
    <x v="0"/>
    <n v="56"/>
    <n v="221270.56"/>
  </r>
  <r>
    <s v="GL000502"/>
    <x v="386"/>
    <s v="4000"/>
    <x v="0"/>
    <n v="0"/>
    <n v="0"/>
    <n v="1521.81"/>
    <n v="133919.28"/>
    <x v="3"/>
    <x v="3"/>
    <s v="AutoPost 502"/>
    <s v="EUR"/>
    <n v="1521.81"/>
    <x v="0"/>
    <n v="88"/>
    <n v="133919.28"/>
  </r>
  <r>
    <s v="GL000503"/>
    <x v="387"/>
    <s v="5010"/>
    <x v="3"/>
    <n v="402.01"/>
    <n v="35376.879999999997"/>
    <n v="0"/>
    <n v="0"/>
    <x v="3"/>
    <x v="0"/>
    <s v="AutoPost 503"/>
    <s v="EUR"/>
    <n v="-402.01"/>
    <x v="2"/>
    <n v="88"/>
    <n v="-35376.879999999997"/>
  </r>
  <r>
    <s v="GL000504"/>
    <x v="192"/>
    <s v="5000"/>
    <x v="1"/>
    <n v="610.08000000000004"/>
    <n v="37214.880000000005"/>
    <n v="0"/>
    <n v="0"/>
    <x v="0"/>
    <x v="4"/>
    <s v="AutoPost 504"/>
    <s v="CAD"/>
    <n v="-610.08000000000004"/>
    <x v="1"/>
    <n v="61"/>
    <n v="-37214.880000000005"/>
  </r>
  <r>
    <s v="GL000505"/>
    <x v="388"/>
    <s v="4000"/>
    <x v="0"/>
    <n v="0"/>
    <n v="0"/>
    <n v="4713.8999999999996"/>
    <n v="414823.19999999995"/>
    <x v="1"/>
    <x v="4"/>
    <s v="AutoPost 505"/>
    <s v="EUR"/>
    <n v="4713.8999999999996"/>
    <x v="0"/>
    <n v="88"/>
    <n v="414823.19999999995"/>
  </r>
  <r>
    <s v="GL000506"/>
    <x v="389"/>
    <s v="6000"/>
    <x v="2"/>
    <n v="1547.67"/>
    <n v="136194.96000000002"/>
    <n v="0"/>
    <n v="0"/>
    <x v="0"/>
    <x v="0"/>
    <s v="AutoPost 506"/>
    <s v="EUR"/>
    <n v="-1547.67"/>
    <x v="2"/>
    <n v="88"/>
    <n v="-136194.96000000002"/>
  </r>
  <r>
    <s v="GL000507"/>
    <x v="42"/>
    <s v="4010"/>
    <x v="4"/>
    <n v="0"/>
    <n v="0"/>
    <n v="3002.52"/>
    <n v="183153.72"/>
    <x v="1"/>
    <x v="4"/>
    <s v="AutoPost 507"/>
    <s v="CAD"/>
    <n v="3002.52"/>
    <x v="0"/>
    <n v="61"/>
    <n v="183153.72"/>
  </r>
  <r>
    <s v="GL000508"/>
    <x v="154"/>
    <s v="6000"/>
    <x v="2"/>
    <n v="1295.97"/>
    <n v="133484.91"/>
    <n v="0"/>
    <n v="0"/>
    <x v="1"/>
    <x v="1"/>
    <s v="AutoPost 508"/>
    <s v="GBP"/>
    <n v="-1295.97"/>
    <x v="2"/>
    <n v="103"/>
    <n v="-133484.91"/>
  </r>
  <r>
    <s v="GL000509"/>
    <x v="148"/>
    <s v="5010"/>
    <x v="3"/>
    <n v="1648.77"/>
    <n v="100574.97"/>
    <n v="0"/>
    <n v="0"/>
    <x v="5"/>
    <x v="4"/>
    <s v="AutoPost 509"/>
    <s v="CAD"/>
    <n v="-1648.77"/>
    <x v="2"/>
    <n v="61"/>
    <n v="-100574.97"/>
  </r>
  <r>
    <s v="GL000510"/>
    <x v="390"/>
    <s v="4010"/>
    <x v="4"/>
    <n v="0"/>
    <n v="0"/>
    <n v="1351.35"/>
    <n v="118918.79999999999"/>
    <x v="1"/>
    <x v="0"/>
    <s v="AutoPost 510"/>
    <s v="EUR"/>
    <n v="1351.35"/>
    <x v="0"/>
    <n v="88"/>
    <n v="118918.79999999999"/>
  </r>
  <r>
    <s v="GL000511"/>
    <x v="2"/>
    <s v="4010"/>
    <x v="4"/>
    <n v="0"/>
    <n v="0"/>
    <n v="1986.96"/>
    <n v="174852.48000000001"/>
    <x v="5"/>
    <x v="4"/>
    <s v="AutoPost 511"/>
    <s v="EUR"/>
    <n v="1986.96"/>
    <x v="0"/>
    <n v="88"/>
    <n v="174852.48000000001"/>
  </r>
  <r>
    <s v="GL000512"/>
    <x v="391"/>
    <s v="5010"/>
    <x v="3"/>
    <n v="1723.41"/>
    <n v="151660.08000000002"/>
    <n v="0"/>
    <n v="0"/>
    <x v="0"/>
    <x v="4"/>
    <s v="AutoPost 512"/>
    <s v="EUR"/>
    <n v="-1723.41"/>
    <x v="2"/>
    <n v="88"/>
    <n v="-151660.08000000002"/>
  </r>
  <r>
    <s v="GL000513"/>
    <x v="23"/>
    <s v="4010"/>
    <x v="4"/>
    <n v="0"/>
    <n v="0"/>
    <n v="386.09"/>
    <n v="21621.039999999997"/>
    <x v="3"/>
    <x v="2"/>
    <s v="AutoPost 513"/>
    <s v="AUD"/>
    <n v="386.09"/>
    <x v="0"/>
    <n v="56"/>
    <n v="21621.039999999997"/>
  </r>
  <r>
    <s v="GL000514"/>
    <x v="392"/>
    <s v="4000"/>
    <x v="0"/>
    <n v="0"/>
    <n v="0"/>
    <n v="2180.11"/>
    <n v="191849.68000000002"/>
    <x v="1"/>
    <x v="2"/>
    <s v="AutoPost 514"/>
    <s v="EUR"/>
    <n v="2180.11"/>
    <x v="0"/>
    <n v="88"/>
    <n v="191849.68000000002"/>
  </r>
  <r>
    <s v="GL000515"/>
    <x v="290"/>
    <s v="6000"/>
    <x v="2"/>
    <n v="1283.72"/>
    <n v="71888.320000000007"/>
    <n v="0"/>
    <n v="0"/>
    <x v="0"/>
    <x v="3"/>
    <s v="AutoPost 515"/>
    <s v="AUD"/>
    <n v="-1283.72"/>
    <x v="2"/>
    <n v="56"/>
    <n v="-71888.320000000007"/>
  </r>
  <r>
    <s v="GL000516"/>
    <x v="318"/>
    <s v="6000"/>
    <x v="2"/>
    <n v="1809.13"/>
    <n v="110356.93000000001"/>
    <n v="0"/>
    <n v="0"/>
    <x v="3"/>
    <x v="4"/>
    <s v="AutoPost 516"/>
    <s v="CAD"/>
    <n v="-1809.13"/>
    <x v="2"/>
    <n v="61"/>
    <n v="-110356.93000000001"/>
  </r>
  <r>
    <s v="GL000517"/>
    <x v="185"/>
    <s v="5000"/>
    <x v="1"/>
    <n v="1785.9"/>
    <n v="100010.40000000001"/>
    <n v="0"/>
    <n v="0"/>
    <x v="4"/>
    <x v="0"/>
    <s v="AutoPost 517"/>
    <s v="AUD"/>
    <n v="-1785.9"/>
    <x v="1"/>
    <n v="56"/>
    <n v="-100010.40000000001"/>
  </r>
  <r>
    <s v="GL000518"/>
    <x v="56"/>
    <s v="4010"/>
    <x v="4"/>
    <n v="0"/>
    <n v="0"/>
    <n v="4808.83"/>
    <n v="394324.06"/>
    <x v="5"/>
    <x v="4"/>
    <s v="AutoPost 518"/>
    <s v="USD"/>
    <n v="4808.83"/>
    <x v="0"/>
    <n v="82"/>
    <n v="394324.06"/>
  </r>
  <r>
    <s v="GL000519"/>
    <x v="393"/>
    <s v="5000"/>
    <x v="1"/>
    <n v="922.15"/>
    <n v="75616.3"/>
    <n v="0"/>
    <n v="0"/>
    <x v="3"/>
    <x v="3"/>
    <s v="AutoPost 519"/>
    <s v="USD"/>
    <n v="-922.15"/>
    <x v="1"/>
    <n v="82"/>
    <n v="-75616.3"/>
  </r>
  <r>
    <s v="GL000520"/>
    <x v="394"/>
    <s v="4000"/>
    <x v="0"/>
    <n v="0"/>
    <n v="0"/>
    <n v="2754.43"/>
    <n v="225863.25999999998"/>
    <x v="0"/>
    <x v="4"/>
    <s v="AutoPost 520"/>
    <s v="USD"/>
    <n v="2754.43"/>
    <x v="0"/>
    <n v="82"/>
    <n v="225863.25999999998"/>
  </r>
  <r>
    <s v="GL000521"/>
    <x v="395"/>
    <s v="4000"/>
    <x v="0"/>
    <n v="0"/>
    <n v="0"/>
    <n v="2370.2800000000002"/>
    <n v="132735.68000000002"/>
    <x v="1"/>
    <x v="3"/>
    <s v="AutoPost 521"/>
    <s v="AUD"/>
    <n v="2370.2800000000002"/>
    <x v="0"/>
    <n v="56"/>
    <n v="132735.68000000002"/>
  </r>
  <r>
    <s v="GL000522"/>
    <x v="396"/>
    <s v="5000"/>
    <x v="1"/>
    <n v="649.98"/>
    <n v="57198.240000000005"/>
    <n v="0"/>
    <n v="0"/>
    <x v="2"/>
    <x v="3"/>
    <s v="AutoPost 522"/>
    <s v="EUR"/>
    <n v="-649.98"/>
    <x v="1"/>
    <n v="88"/>
    <n v="-57198.240000000005"/>
  </r>
  <r>
    <s v="GL000523"/>
    <x v="22"/>
    <s v="4010"/>
    <x v="4"/>
    <n v="0"/>
    <n v="0"/>
    <n v="402.69"/>
    <n v="35436.720000000001"/>
    <x v="3"/>
    <x v="3"/>
    <s v="AutoPost 523"/>
    <s v="EUR"/>
    <n v="402.69"/>
    <x v="0"/>
    <n v="88"/>
    <n v="35436.720000000001"/>
  </r>
  <r>
    <s v="GL000524"/>
    <x v="10"/>
    <s v="6000"/>
    <x v="2"/>
    <n v="154.30000000000001"/>
    <n v="15892.900000000001"/>
    <n v="0"/>
    <n v="0"/>
    <x v="3"/>
    <x v="0"/>
    <s v="AutoPost 524"/>
    <s v="GBP"/>
    <n v="-154.30000000000001"/>
    <x v="2"/>
    <n v="103"/>
    <n v="-15892.900000000001"/>
  </r>
  <r>
    <s v="GL000525"/>
    <x v="397"/>
    <s v="4000"/>
    <x v="0"/>
    <n v="0"/>
    <n v="0"/>
    <n v="3155.19"/>
    <n v="277656.72000000003"/>
    <x v="4"/>
    <x v="0"/>
    <s v="AutoPost 525"/>
    <s v="EUR"/>
    <n v="3155.19"/>
    <x v="0"/>
    <n v="88"/>
    <n v="277656.72000000003"/>
  </r>
  <r>
    <s v="GL000526"/>
    <x v="398"/>
    <s v="6000"/>
    <x v="2"/>
    <n v="1455.97"/>
    <n v="119389.54000000001"/>
    <n v="0"/>
    <n v="0"/>
    <x v="3"/>
    <x v="2"/>
    <s v="AutoPost 526"/>
    <s v="USD"/>
    <n v="-1455.97"/>
    <x v="2"/>
    <n v="82"/>
    <n v="-119389.54000000001"/>
  </r>
  <r>
    <s v="GL000527"/>
    <x v="399"/>
    <s v="5000"/>
    <x v="1"/>
    <n v="133.86000000000001"/>
    <n v="11779.68"/>
    <n v="0"/>
    <n v="0"/>
    <x v="5"/>
    <x v="3"/>
    <s v="AutoPost 527"/>
    <s v="EUR"/>
    <n v="-133.86000000000001"/>
    <x v="1"/>
    <n v="88"/>
    <n v="-11779.68"/>
  </r>
  <r>
    <s v="GL000528"/>
    <x v="400"/>
    <s v="5000"/>
    <x v="1"/>
    <n v="928.81"/>
    <n v="52013.36"/>
    <n v="0"/>
    <n v="0"/>
    <x v="5"/>
    <x v="1"/>
    <s v="AutoPost 528"/>
    <s v="AUD"/>
    <n v="-928.81"/>
    <x v="1"/>
    <n v="56"/>
    <n v="-52013.36"/>
  </r>
  <r>
    <s v="GL000529"/>
    <x v="198"/>
    <s v="4010"/>
    <x v="4"/>
    <n v="0"/>
    <n v="0"/>
    <n v="4936.62"/>
    <n v="508471.86"/>
    <x v="2"/>
    <x v="2"/>
    <s v="AutoPost 529"/>
    <s v="GBP"/>
    <n v="4936.62"/>
    <x v="0"/>
    <n v="103"/>
    <n v="508471.86"/>
  </r>
  <r>
    <s v="GL000530"/>
    <x v="400"/>
    <s v="6000"/>
    <x v="2"/>
    <n v="1152.7"/>
    <n v="101437.6"/>
    <n v="0"/>
    <n v="0"/>
    <x v="0"/>
    <x v="1"/>
    <s v="AutoPost 530"/>
    <s v="EUR"/>
    <n v="-1152.7"/>
    <x v="2"/>
    <n v="88"/>
    <n v="-101437.6"/>
  </r>
  <r>
    <s v="GL000531"/>
    <x v="372"/>
    <s v="5010"/>
    <x v="3"/>
    <n v="1793.92"/>
    <n v="100459.52"/>
    <n v="0"/>
    <n v="0"/>
    <x v="4"/>
    <x v="4"/>
    <s v="AutoPost 531"/>
    <s v="AUD"/>
    <n v="-1793.92"/>
    <x v="2"/>
    <n v="56"/>
    <n v="-100459.52"/>
  </r>
  <r>
    <s v="GL000532"/>
    <x v="133"/>
    <s v="5000"/>
    <x v="1"/>
    <n v="1022.78"/>
    <n v="83867.959999999992"/>
    <n v="0"/>
    <n v="0"/>
    <x v="0"/>
    <x v="0"/>
    <s v="AutoPost 532"/>
    <s v="USD"/>
    <n v="-1022.78"/>
    <x v="1"/>
    <n v="82"/>
    <n v="-83867.959999999992"/>
  </r>
  <r>
    <s v="GL000533"/>
    <x v="250"/>
    <s v="4000"/>
    <x v="0"/>
    <n v="0"/>
    <n v="0"/>
    <n v="1831.2"/>
    <n v="161145.60000000001"/>
    <x v="3"/>
    <x v="4"/>
    <s v="AutoPost 533"/>
    <s v="EUR"/>
    <n v="1831.2"/>
    <x v="0"/>
    <n v="88"/>
    <n v="161145.60000000001"/>
  </r>
  <r>
    <s v="GL000534"/>
    <x v="401"/>
    <s v="4000"/>
    <x v="0"/>
    <n v="0"/>
    <n v="0"/>
    <n v="1273.25"/>
    <n v="112046"/>
    <x v="3"/>
    <x v="3"/>
    <s v="AutoPost 534"/>
    <s v="EUR"/>
    <n v="1273.25"/>
    <x v="0"/>
    <n v="88"/>
    <n v="112046"/>
  </r>
  <r>
    <s v="GL000535"/>
    <x v="64"/>
    <s v="4010"/>
    <x v="4"/>
    <n v="0"/>
    <n v="0"/>
    <n v="3620.97"/>
    <n v="372959.91"/>
    <x v="4"/>
    <x v="4"/>
    <s v="AutoPost 535"/>
    <s v="GBP"/>
    <n v="3620.97"/>
    <x v="0"/>
    <n v="103"/>
    <n v="372959.91"/>
  </r>
  <r>
    <s v="GL000536"/>
    <x v="224"/>
    <s v="4000"/>
    <x v="0"/>
    <n v="0"/>
    <n v="0"/>
    <n v="2592.4299999999998"/>
    <n v="228133.84"/>
    <x v="3"/>
    <x v="0"/>
    <s v="AutoPost 536"/>
    <s v="EUR"/>
    <n v="2592.4299999999998"/>
    <x v="0"/>
    <n v="88"/>
    <n v="228133.84"/>
  </r>
  <r>
    <s v="GL000537"/>
    <x v="402"/>
    <s v="5000"/>
    <x v="1"/>
    <n v="1683.82"/>
    <n v="94293.92"/>
    <n v="0"/>
    <n v="0"/>
    <x v="3"/>
    <x v="2"/>
    <s v="AutoPost 537"/>
    <s v="AUD"/>
    <n v="-1683.82"/>
    <x v="1"/>
    <n v="56"/>
    <n v="-94293.92"/>
  </r>
  <r>
    <s v="GL000538"/>
    <x v="403"/>
    <s v="5010"/>
    <x v="3"/>
    <n v="1735.98"/>
    <n v="97214.88"/>
    <n v="0"/>
    <n v="0"/>
    <x v="0"/>
    <x v="0"/>
    <s v="AutoPost 538"/>
    <s v="AUD"/>
    <n v="-1735.98"/>
    <x v="2"/>
    <n v="56"/>
    <n v="-97214.88"/>
  </r>
  <r>
    <s v="GL000539"/>
    <x v="404"/>
    <s v="4000"/>
    <x v="0"/>
    <n v="0"/>
    <n v="0"/>
    <n v="3791.55"/>
    <n v="333656.40000000002"/>
    <x v="4"/>
    <x v="2"/>
    <s v="AutoPost 539"/>
    <s v="EUR"/>
    <n v="3791.55"/>
    <x v="0"/>
    <n v="88"/>
    <n v="333656.40000000002"/>
  </r>
  <r>
    <s v="GL000540"/>
    <x v="405"/>
    <s v="4010"/>
    <x v="4"/>
    <n v="0"/>
    <n v="0"/>
    <n v="2119.27"/>
    <n v="173780.13999999998"/>
    <x v="0"/>
    <x v="0"/>
    <s v="AutoPost 540"/>
    <s v="USD"/>
    <n v="2119.27"/>
    <x v="0"/>
    <n v="82"/>
    <n v="173780.13999999998"/>
  </r>
  <r>
    <s v="GL000541"/>
    <x v="208"/>
    <s v="4010"/>
    <x v="4"/>
    <n v="0"/>
    <n v="0"/>
    <n v="3802.31"/>
    <n v="231940.91"/>
    <x v="3"/>
    <x v="2"/>
    <s v="AutoPost 541"/>
    <s v="CAD"/>
    <n v="3802.31"/>
    <x v="0"/>
    <n v="61"/>
    <n v="231940.91"/>
  </r>
  <r>
    <s v="GL000542"/>
    <x v="406"/>
    <s v="4010"/>
    <x v="4"/>
    <n v="0"/>
    <n v="0"/>
    <n v="1414.25"/>
    <n v="115968.5"/>
    <x v="0"/>
    <x v="3"/>
    <s v="AutoPost 542"/>
    <s v="USD"/>
    <n v="1414.25"/>
    <x v="0"/>
    <n v="82"/>
    <n v="115968.5"/>
  </r>
  <r>
    <s v="GL000543"/>
    <x v="407"/>
    <s v="4000"/>
    <x v="0"/>
    <n v="0"/>
    <n v="0"/>
    <n v="1404.17"/>
    <n v="78633.52"/>
    <x v="2"/>
    <x v="0"/>
    <s v="AutoPost 543"/>
    <s v="AUD"/>
    <n v="1404.17"/>
    <x v="0"/>
    <n v="56"/>
    <n v="78633.52"/>
  </r>
  <r>
    <s v="GL000544"/>
    <x v="408"/>
    <s v="4010"/>
    <x v="4"/>
    <n v="0"/>
    <n v="0"/>
    <n v="3160.15"/>
    <n v="192769.15"/>
    <x v="4"/>
    <x v="2"/>
    <s v="AutoPost 544"/>
    <s v="CAD"/>
    <n v="3160.15"/>
    <x v="0"/>
    <n v="61"/>
    <n v="192769.15"/>
  </r>
  <r>
    <s v="GL000545"/>
    <x v="409"/>
    <s v="6000"/>
    <x v="2"/>
    <n v="344.52"/>
    <n v="19293.12"/>
    <n v="0"/>
    <n v="0"/>
    <x v="4"/>
    <x v="2"/>
    <s v="AutoPost 545"/>
    <s v="AUD"/>
    <n v="-344.52"/>
    <x v="2"/>
    <n v="56"/>
    <n v="-19293.12"/>
  </r>
  <r>
    <s v="GL000546"/>
    <x v="360"/>
    <s v="6000"/>
    <x v="2"/>
    <n v="846.89"/>
    <n v="87229.67"/>
    <n v="0"/>
    <n v="0"/>
    <x v="3"/>
    <x v="3"/>
    <s v="AutoPost 546"/>
    <s v="GBP"/>
    <n v="-846.89"/>
    <x v="2"/>
    <n v="103"/>
    <n v="-87229.67"/>
  </r>
  <r>
    <s v="GL000547"/>
    <x v="306"/>
    <s v="5010"/>
    <x v="3"/>
    <n v="1316.39"/>
    <n v="80299.790000000008"/>
    <n v="0"/>
    <n v="0"/>
    <x v="4"/>
    <x v="4"/>
    <s v="AutoPost 547"/>
    <s v="CAD"/>
    <n v="-1316.39"/>
    <x v="2"/>
    <n v="61"/>
    <n v="-80299.790000000008"/>
  </r>
  <r>
    <s v="GL000548"/>
    <x v="410"/>
    <s v="5010"/>
    <x v="3"/>
    <n v="1731.71"/>
    <n v="178366.13"/>
    <n v="0"/>
    <n v="0"/>
    <x v="0"/>
    <x v="2"/>
    <s v="AutoPost 548"/>
    <s v="GBP"/>
    <n v="-1731.71"/>
    <x v="2"/>
    <n v="103"/>
    <n v="-178366.13"/>
  </r>
  <r>
    <s v="GL000549"/>
    <x v="340"/>
    <s v="5000"/>
    <x v="1"/>
    <n v="1683.19"/>
    <n v="138021.58000000002"/>
    <n v="0"/>
    <n v="0"/>
    <x v="4"/>
    <x v="2"/>
    <s v="AutoPost 549"/>
    <s v="USD"/>
    <n v="-1683.19"/>
    <x v="1"/>
    <n v="82"/>
    <n v="-138021.58000000002"/>
  </r>
  <r>
    <s v="GL000550"/>
    <x v="411"/>
    <s v="6000"/>
    <x v="2"/>
    <n v="225.82"/>
    <n v="23259.46"/>
    <n v="0"/>
    <n v="0"/>
    <x v="3"/>
    <x v="2"/>
    <s v="AutoPost 550"/>
    <s v="GBP"/>
    <n v="-225.82"/>
    <x v="2"/>
    <n v="103"/>
    <n v="-23259.46"/>
  </r>
  <r>
    <s v="GL000551"/>
    <x v="294"/>
    <s v="4000"/>
    <x v="0"/>
    <n v="0"/>
    <n v="0"/>
    <n v="3218.47"/>
    <n v="180234.31999999998"/>
    <x v="2"/>
    <x v="2"/>
    <s v="AutoPost 551"/>
    <s v="AUD"/>
    <n v="3218.47"/>
    <x v="0"/>
    <n v="56"/>
    <n v="180234.31999999998"/>
  </r>
  <r>
    <s v="GL000552"/>
    <x v="154"/>
    <s v="4010"/>
    <x v="4"/>
    <n v="0"/>
    <n v="0"/>
    <n v="489.03"/>
    <n v="29830.829999999998"/>
    <x v="2"/>
    <x v="0"/>
    <s v="AutoPost 552"/>
    <s v="CAD"/>
    <n v="489.03"/>
    <x v="0"/>
    <n v="61"/>
    <n v="29830.829999999998"/>
  </r>
  <r>
    <s v="GL000553"/>
    <x v="27"/>
    <s v="5010"/>
    <x v="3"/>
    <n v="558.76"/>
    <n v="45818.32"/>
    <n v="0"/>
    <n v="0"/>
    <x v="2"/>
    <x v="3"/>
    <s v="AutoPost 553"/>
    <s v="USD"/>
    <n v="-558.76"/>
    <x v="2"/>
    <n v="82"/>
    <n v="-45818.32"/>
  </r>
  <r>
    <s v="GL000554"/>
    <x v="267"/>
    <s v="4000"/>
    <x v="0"/>
    <n v="0"/>
    <n v="0"/>
    <n v="3368.07"/>
    <n v="346911.21"/>
    <x v="3"/>
    <x v="1"/>
    <s v="AutoPost 554"/>
    <s v="GBP"/>
    <n v="3368.07"/>
    <x v="0"/>
    <n v="103"/>
    <n v="346911.21"/>
  </r>
  <r>
    <s v="GL000555"/>
    <x v="82"/>
    <s v="5000"/>
    <x v="1"/>
    <n v="1354.74"/>
    <n v="82639.14"/>
    <n v="0"/>
    <n v="0"/>
    <x v="1"/>
    <x v="0"/>
    <s v="AutoPost 555"/>
    <s v="CAD"/>
    <n v="-1354.74"/>
    <x v="1"/>
    <n v="61"/>
    <n v="-82639.14"/>
  </r>
  <r>
    <s v="GL000556"/>
    <x v="412"/>
    <s v="5010"/>
    <x v="3"/>
    <n v="421.39"/>
    <n v="34553.979999999996"/>
    <n v="0"/>
    <n v="0"/>
    <x v="4"/>
    <x v="2"/>
    <s v="AutoPost 556"/>
    <s v="USD"/>
    <n v="-421.39"/>
    <x v="2"/>
    <n v="82"/>
    <n v="-34553.979999999996"/>
  </r>
  <r>
    <s v="GL000557"/>
    <x v="413"/>
    <s v="5010"/>
    <x v="3"/>
    <n v="618.39"/>
    <n v="63694.17"/>
    <n v="0"/>
    <n v="0"/>
    <x v="1"/>
    <x v="2"/>
    <s v="AutoPost 557"/>
    <s v="GBP"/>
    <n v="-618.39"/>
    <x v="2"/>
    <n v="103"/>
    <n v="-63694.17"/>
  </r>
  <r>
    <s v="GL000558"/>
    <x v="14"/>
    <s v="6000"/>
    <x v="2"/>
    <n v="1649.25"/>
    <n v="92358"/>
    <n v="0"/>
    <n v="0"/>
    <x v="3"/>
    <x v="1"/>
    <s v="AutoPost 558"/>
    <s v="AUD"/>
    <n v="-1649.25"/>
    <x v="2"/>
    <n v="56"/>
    <n v="-92358"/>
  </r>
  <r>
    <s v="GL000559"/>
    <x v="120"/>
    <s v="4000"/>
    <x v="0"/>
    <n v="0"/>
    <n v="0"/>
    <n v="3741.45"/>
    <n v="385369.35"/>
    <x v="3"/>
    <x v="3"/>
    <s v="AutoPost 559"/>
    <s v="GBP"/>
    <n v="3741.45"/>
    <x v="0"/>
    <n v="103"/>
    <n v="385369.35"/>
  </r>
  <r>
    <s v="GL000560"/>
    <x v="414"/>
    <s v="4000"/>
    <x v="0"/>
    <n v="0"/>
    <n v="0"/>
    <n v="3563.43"/>
    <n v="292201.26"/>
    <x v="1"/>
    <x v="4"/>
    <s v="AutoPost 560"/>
    <s v="USD"/>
    <n v="3563.43"/>
    <x v="0"/>
    <n v="82"/>
    <n v="292201.26"/>
  </r>
  <r>
    <s v="GL000561"/>
    <x v="87"/>
    <s v="6000"/>
    <x v="2"/>
    <n v="1010.12"/>
    <n v="82829.84"/>
    <n v="0"/>
    <n v="0"/>
    <x v="1"/>
    <x v="2"/>
    <s v="AutoPost 561"/>
    <s v="USD"/>
    <n v="-1010.12"/>
    <x v="2"/>
    <n v="82"/>
    <n v="-82829.84"/>
  </r>
  <r>
    <s v="GL000562"/>
    <x v="284"/>
    <s v="4000"/>
    <x v="0"/>
    <n v="0"/>
    <n v="0"/>
    <n v="4926.55"/>
    <n v="403977.10000000003"/>
    <x v="2"/>
    <x v="3"/>
    <s v="AutoPost 562"/>
    <s v="USD"/>
    <n v="4926.55"/>
    <x v="0"/>
    <n v="82"/>
    <n v="403977.10000000003"/>
  </r>
  <r>
    <s v="GL000563"/>
    <x v="86"/>
    <s v="4000"/>
    <x v="0"/>
    <n v="0"/>
    <n v="0"/>
    <n v="3762.76"/>
    <n v="308546.32"/>
    <x v="5"/>
    <x v="4"/>
    <s v="AutoPost 563"/>
    <s v="USD"/>
    <n v="3762.76"/>
    <x v="0"/>
    <n v="82"/>
    <n v="308546.32"/>
  </r>
  <r>
    <s v="GL000564"/>
    <x v="391"/>
    <s v="5010"/>
    <x v="3"/>
    <n v="372.65"/>
    <n v="20868.399999999998"/>
    <n v="0"/>
    <n v="0"/>
    <x v="1"/>
    <x v="4"/>
    <s v="AutoPost 564"/>
    <s v="AUD"/>
    <n v="-372.65"/>
    <x v="2"/>
    <n v="56"/>
    <n v="-20868.399999999998"/>
  </r>
  <r>
    <s v="GL000565"/>
    <x v="415"/>
    <s v="5010"/>
    <x v="3"/>
    <n v="1040.76"/>
    <n v="107198.28"/>
    <n v="0"/>
    <n v="0"/>
    <x v="4"/>
    <x v="2"/>
    <s v="AutoPost 565"/>
    <s v="GBP"/>
    <n v="-1040.76"/>
    <x v="2"/>
    <n v="103"/>
    <n v="-107198.28"/>
  </r>
  <r>
    <s v="GL000566"/>
    <x v="260"/>
    <s v="5010"/>
    <x v="3"/>
    <n v="1458.37"/>
    <n v="81668.72"/>
    <n v="0"/>
    <n v="0"/>
    <x v="2"/>
    <x v="0"/>
    <s v="AutoPost 566"/>
    <s v="AUD"/>
    <n v="-1458.37"/>
    <x v="2"/>
    <n v="56"/>
    <n v="-81668.72"/>
  </r>
  <r>
    <s v="GL000567"/>
    <x v="416"/>
    <s v="4010"/>
    <x v="4"/>
    <n v="0"/>
    <n v="0"/>
    <n v="529.02"/>
    <n v="54489.06"/>
    <x v="4"/>
    <x v="3"/>
    <s v="AutoPost 567"/>
    <s v="GBP"/>
    <n v="529.02"/>
    <x v="0"/>
    <n v="103"/>
    <n v="54489.06"/>
  </r>
  <r>
    <s v="GL000568"/>
    <x v="417"/>
    <s v="4010"/>
    <x v="4"/>
    <n v="0"/>
    <n v="0"/>
    <n v="4167.67"/>
    <n v="341748.94"/>
    <x v="4"/>
    <x v="1"/>
    <s v="AutoPost 568"/>
    <s v="USD"/>
    <n v="4167.67"/>
    <x v="0"/>
    <n v="82"/>
    <n v="341748.94"/>
  </r>
  <r>
    <s v="GL000569"/>
    <x v="408"/>
    <s v="5010"/>
    <x v="3"/>
    <n v="1788.83"/>
    <n v="157417.03999999998"/>
    <n v="0"/>
    <n v="0"/>
    <x v="2"/>
    <x v="0"/>
    <s v="AutoPost 569"/>
    <s v="EUR"/>
    <n v="-1788.83"/>
    <x v="2"/>
    <n v="88"/>
    <n v="-157417.03999999998"/>
  </r>
  <r>
    <s v="GL000570"/>
    <x v="418"/>
    <s v="5010"/>
    <x v="3"/>
    <n v="929.85"/>
    <n v="76247.7"/>
    <n v="0"/>
    <n v="0"/>
    <x v="2"/>
    <x v="2"/>
    <s v="AutoPost 570"/>
    <s v="USD"/>
    <n v="-929.85"/>
    <x v="2"/>
    <n v="82"/>
    <n v="-76247.7"/>
  </r>
  <r>
    <s v="GL000571"/>
    <x v="102"/>
    <s v="4000"/>
    <x v="0"/>
    <n v="0"/>
    <n v="0"/>
    <n v="3706.89"/>
    <n v="226120.28999999998"/>
    <x v="2"/>
    <x v="2"/>
    <s v="AutoPost 571"/>
    <s v="CAD"/>
    <n v="3706.89"/>
    <x v="0"/>
    <n v="61"/>
    <n v="226120.28999999998"/>
  </r>
  <r>
    <s v="GL000572"/>
    <x v="419"/>
    <s v="4000"/>
    <x v="0"/>
    <n v="0"/>
    <n v="0"/>
    <n v="4692.96"/>
    <n v="286270.56"/>
    <x v="2"/>
    <x v="4"/>
    <s v="AutoPost 572"/>
    <s v="CAD"/>
    <n v="4692.96"/>
    <x v="0"/>
    <n v="61"/>
    <n v="286270.56"/>
  </r>
  <r>
    <s v="GL000573"/>
    <x v="420"/>
    <s v="6000"/>
    <x v="2"/>
    <n v="179.56"/>
    <n v="18494.68"/>
    <n v="0"/>
    <n v="0"/>
    <x v="4"/>
    <x v="0"/>
    <s v="AutoPost 573"/>
    <s v="GBP"/>
    <n v="-179.56"/>
    <x v="2"/>
    <n v="103"/>
    <n v="-18494.68"/>
  </r>
  <r>
    <s v="GL000574"/>
    <x v="421"/>
    <s v="5010"/>
    <x v="3"/>
    <n v="649.71"/>
    <n v="66920.13"/>
    <n v="0"/>
    <n v="0"/>
    <x v="0"/>
    <x v="2"/>
    <s v="AutoPost 574"/>
    <s v="GBP"/>
    <n v="-649.71"/>
    <x v="2"/>
    <n v="103"/>
    <n v="-66920.13"/>
  </r>
  <r>
    <s v="GL000575"/>
    <x v="422"/>
    <s v="4010"/>
    <x v="4"/>
    <n v="0"/>
    <n v="0"/>
    <n v="3347.45"/>
    <n v="274490.89999999997"/>
    <x v="0"/>
    <x v="0"/>
    <s v="AutoPost 575"/>
    <s v="USD"/>
    <n v="3347.45"/>
    <x v="0"/>
    <n v="82"/>
    <n v="274490.89999999997"/>
  </r>
  <r>
    <s v="GL000576"/>
    <x v="423"/>
    <s v="4010"/>
    <x v="4"/>
    <n v="0"/>
    <n v="0"/>
    <n v="2584"/>
    <n v="227392"/>
    <x v="1"/>
    <x v="3"/>
    <s v="AutoPost 576"/>
    <s v="EUR"/>
    <n v="2584"/>
    <x v="0"/>
    <n v="88"/>
    <n v="227392"/>
  </r>
  <r>
    <s v="GL000577"/>
    <x v="424"/>
    <s v="4000"/>
    <x v="0"/>
    <n v="0"/>
    <n v="0"/>
    <n v="4254.54"/>
    <n v="259526.94"/>
    <x v="3"/>
    <x v="1"/>
    <s v="AutoPost 577"/>
    <s v="CAD"/>
    <n v="4254.54"/>
    <x v="0"/>
    <n v="61"/>
    <n v="259526.94"/>
  </r>
  <r>
    <s v="GL000578"/>
    <x v="417"/>
    <s v="4000"/>
    <x v="0"/>
    <n v="0"/>
    <n v="0"/>
    <n v="1301.08"/>
    <n v="134011.24"/>
    <x v="2"/>
    <x v="3"/>
    <s v="AutoPost 578"/>
    <s v="GBP"/>
    <n v="1301.08"/>
    <x v="0"/>
    <n v="103"/>
    <n v="134011.24"/>
  </r>
  <r>
    <s v="GL000579"/>
    <x v="425"/>
    <s v="4010"/>
    <x v="4"/>
    <n v="0"/>
    <n v="0"/>
    <n v="1565.18"/>
    <n v="128344.76000000001"/>
    <x v="1"/>
    <x v="2"/>
    <s v="AutoPost 579"/>
    <s v="USD"/>
    <n v="1565.18"/>
    <x v="0"/>
    <n v="82"/>
    <n v="128344.76000000001"/>
  </r>
  <r>
    <s v="GL000580"/>
    <x v="273"/>
    <s v="5000"/>
    <x v="1"/>
    <n v="69.31"/>
    <n v="5683.42"/>
    <n v="0"/>
    <n v="0"/>
    <x v="0"/>
    <x v="4"/>
    <s v="AutoPost 580"/>
    <s v="USD"/>
    <n v="-69.31"/>
    <x v="1"/>
    <n v="82"/>
    <n v="-5683.42"/>
  </r>
  <r>
    <s v="GL000581"/>
    <x v="426"/>
    <s v="5000"/>
    <x v="1"/>
    <n v="1752.75"/>
    <n v="106917.75"/>
    <n v="0"/>
    <n v="0"/>
    <x v="1"/>
    <x v="0"/>
    <s v="AutoPost 581"/>
    <s v="CAD"/>
    <n v="-1752.75"/>
    <x v="1"/>
    <n v="61"/>
    <n v="-106917.75"/>
  </r>
  <r>
    <s v="GL000582"/>
    <x v="361"/>
    <s v="4010"/>
    <x v="4"/>
    <n v="0"/>
    <n v="0"/>
    <n v="759.16"/>
    <n v="46308.759999999995"/>
    <x v="5"/>
    <x v="2"/>
    <s v="AutoPost 582"/>
    <s v="CAD"/>
    <n v="759.16"/>
    <x v="0"/>
    <n v="61"/>
    <n v="46308.759999999995"/>
  </r>
  <r>
    <s v="GL000583"/>
    <x v="427"/>
    <s v="6000"/>
    <x v="2"/>
    <n v="350.75"/>
    <n v="21395.75"/>
    <n v="0"/>
    <n v="0"/>
    <x v="4"/>
    <x v="2"/>
    <s v="AutoPost 583"/>
    <s v="CAD"/>
    <n v="-350.75"/>
    <x v="2"/>
    <n v="61"/>
    <n v="-21395.75"/>
  </r>
  <r>
    <s v="GL000584"/>
    <x v="257"/>
    <s v="6000"/>
    <x v="2"/>
    <n v="1991.12"/>
    <n v="111502.72"/>
    <n v="0"/>
    <n v="0"/>
    <x v="2"/>
    <x v="4"/>
    <s v="AutoPost 584"/>
    <s v="AUD"/>
    <n v="-1991.12"/>
    <x v="2"/>
    <n v="56"/>
    <n v="-111502.72"/>
  </r>
  <r>
    <s v="GL000585"/>
    <x v="338"/>
    <s v="5000"/>
    <x v="1"/>
    <n v="661.12"/>
    <n v="40328.32"/>
    <n v="0"/>
    <n v="0"/>
    <x v="1"/>
    <x v="4"/>
    <s v="AutoPost 585"/>
    <s v="CAD"/>
    <n v="-661.12"/>
    <x v="1"/>
    <n v="61"/>
    <n v="-40328.32"/>
  </r>
  <r>
    <s v="GL000586"/>
    <x v="428"/>
    <s v="5010"/>
    <x v="3"/>
    <n v="1109.8599999999999"/>
    <n v="97667.68"/>
    <n v="0"/>
    <n v="0"/>
    <x v="5"/>
    <x v="0"/>
    <s v="AutoPost 586"/>
    <s v="EUR"/>
    <n v="-1109.8599999999999"/>
    <x v="2"/>
    <n v="88"/>
    <n v="-97667.68"/>
  </r>
  <r>
    <s v="GL000587"/>
    <x v="429"/>
    <s v="4010"/>
    <x v="4"/>
    <n v="0"/>
    <n v="0"/>
    <n v="4533.8"/>
    <n v="276561.8"/>
    <x v="5"/>
    <x v="3"/>
    <s v="AutoPost 587"/>
    <s v="CAD"/>
    <n v="4533.8"/>
    <x v="0"/>
    <n v="61"/>
    <n v="276561.8"/>
  </r>
  <r>
    <s v="GL000588"/>
    <x v="430"/>
    <s v="5010"/>
    <x v="3"/>
    <n v="329.57"/>
    <n v="20103.77"/>
    <n v="0"/>
    <n v="0"/>
    <x v="3"/>
    <x v="4"/>
    <s v="AutoPost 588"/>
    <s v="CAD"/>
    <n v="-329.57"/>
    <x v="2"/>
    <n v="61"/>
    <n v="-20103.77"/>
  </r>
  <r>
    <s v="GL000589"/>
    <x v="431"/>
    <s v="4000"/>
    <x v="0"/>
    <n v="0"/>
    <n v="0"/>
    <n v="4725.13"/>
    <n v="415811.44"/>
    <x v="4"/>
    <x v="0"/>
    <s v="AutoPost 589"/>
    <s v="EUR"/>
    <n v="4725.13"/>
    <x v="0"/>
    <n v="88"/>
    <n v="415811.44"/>
  </r>
  <r>
    <s v="GL000590"/>
    <x v="206"/>
    <s v="5010"/>
    <x v="3"/>
    <n v="206.46"/>
    <n v="11561.76"/>
    <n v="0"/>
    <n v="0"/>
    <x v="1"/>
    <x v="3"/>
    <s v="AutoPost 590"/>
    <s v="AUD"/>
    <n v="-206.46"/>
    <x v="2"/>
    <n v="56"/>
    <n v="-11561.76"/>
  </r>
  <r>
    <s v="GL000591"/>
    <x v="432"/>
    <s v="6000"/>
    <x v="2"/>
    <n v="402.92"/>
    <n v="41500.76"/>
    <n v="0"/>
    <n v="0"/>
    <x v="5"/>
    <x v="2"/>
    <s v="AutoPost 591"/>
    <s v="GBP"/>
    <n v="-402.92"/>
    <x v="2"/>
    <n v="103"/>
    <n v="-41500.76"/>
  </r>
  <r>
    <s v="GL000592"/>
    <x v="406"/>
    <s v="4010"/>
    <x v="4"/>
    <n v="0"/>
    <n v="0"/>
    <n v="4295.83"/>
    <n v="442470.49"/>
    <x v="2"/>
    <x v="0"/>
    <s v="AutoPost 592"/>
    <s v="GBP"/>
    <n v="4295.83"/>
    <x v="0"/>
    <n v="103"/>
    <n v="442470.49"/>
  </r>
  <r>
    <s v="GL000593"/>
    <x v="433"/>
    <s v="4010"/>
    <x v="4"/>
    <n v="0"/>
    <n v="0"/>
    <n v="3237.32"/>
    <n v="333443.96000000002"/>
    <x v="4"/>
    <x v="2"/>
    <s v="AutoPost 593"/>
    <s v="GBP"/>
    <n v="3237.32"/>
    <x v="0"/>
    <n v="103"/>
    <n v="333443.96000000002"/>
  </r>
  <r>
    <s v="GL000594"/>
    <x v="362"/>
    <s v="6000"/>
    <x v="2"/>
    <n v="648.30999999999995"/>
    <n v="66775.929999999993"/>
    <n v="0"/>
    <n v="0"/>
    <x v="4"/>
    <x v="1"/>
    <s v="AutoPost 594"/>
    <s v="GBP"/>
    <n v="-648.30999999999995"/>
    <x v="2"/>
    <n v="103"/>
    <n v="-66775.929999999993"/>
  </r>
  <r>
    <s v="GL000595"/>
    <x v="153"/>
    <s v="5000"/>
    <x v="1"/>
    <n v="710.64"/>
    <n v="62536.32"/>
    <n v="0"/>
    <n v="0"/>
    <x v="0"/>
    <x v="0"/>
    <s v="AutoPost 595"/>
    <s v="EUR"/>
    <n v="-710.64"/>
    <x v="1"/>
    <n v="88"/>
    <n v="-62536.32"/>
  </r>
  <r>
    <s v="GL000596"/>
    <x v="434"/>
    <s v="5000"/>
    <x v="1"/>
    <n v="309.33999999999997"/>
    <n v="27221.919999999998"/>
    <n v="0"/>
    <n v="0"/>
    <x v="4"/>
    <x v="1"/>
    <s v="AutoPost 596"/>
    <s v="EUR"/>
    <n v="-309.33999999999997"/>
    <x v="1"/>
    <n v="88"/>
    <n v="-27221.919999999998"/>
  </r>
  <r>
    <s v="GL000597"/>
    <x v="435"/>
    <s v="6000"/>
    <x v="2"/>
    <n v="1657.7"/>
    <n v="92831.2"/>
    <n v="0"/>
    <n v="0"/>
    <x v="0"/>
    <x v="1"/>
    <s v="AutoPost 597"/>
    <s v="AUD"/>
    <n v="-1657.7"/>
    <x v="2"/>
    <n v="56"/>
    <n v="-92831.2"/>
  </r>
  <r>
    <s v="GL000598"/>
    <x v="436"/>
    <s v="5010"/>
    <x v="3"/>
    <n v="1748.81"/>
    <n v="153895.28"/>
    <n v="0"/>
    <n v="0"/>
    <x v="4"/>
    <x v="0"/>
    <s v="AutoPost 598"/>
    <s v="EUR"/>
    <n v="-1748.81"/>
    <x v="2"/>
    <n v="88"/>
    <n v="-153895.28"/>
  </r>
  <r>
    <s v="GL000599"/>
    <x v="437"/>
    <s v="6000"/>
    <x v="2"/>
    <n v="278.26"/>
    <n v="22817.32"/>
    <n v="0"/>
    <n v="0"/>
    <x v="0"/>
    <x v="2"/>
    <s v="AutoPost 599"/>
    <s v="USD"/>
    <n v="-278.26"/>
    <x v="2"/>
    <n v="82"/>
    <n v="-22817.32"/>
  </r>
  <r>
    <s v="GL000600"/>
    <x v="438"/>
    <s v="5010"/>
    <x v="3"/>
    <n v="387.61"/>
    <n v="39923.83"/>
    <n v="0"/>
    <n v="0"/>
    <x v="5"/>
    <x v="2"/>
    <s v="AutoPost 600"/>
    <s v="GBP"/>
    <n v="-387.61"/>
    <x v="2"/>
    <n v="103"/>
    <n v="-39923.83"/>
  </r>
  <r>
    <s v="GL000601"/>
    <x v="439"/>
    <s v="5000"/>
    <x v="1"/>
    <n v="930.92"/>
    <n v="56786.119999999995"/>
    <n v="0"/>
    <n v="0"/>
    <x v="1"/>
    <x v="0"/>
    <s v="AutoPost 601"/>
    <s v="CAD"/>
    <n v="-930.92"/>
    <x v="1"/>
    <n v="61"/>
    <n v="-56786.119999999995"/>
  </r>
  <r>
    <s v="GL000602"/>
    <x v="440"/>
    <s v="5000"/>
    <x v="1"/>
    <n v="1231.94"/>
    <n v="126889.82"/>
    <n v="0"/>
    <n v="0"/>
    <x v="3"/>
    <x v="1"/>
    <s v="AutoPost 602"/>
    <s v="GBP"/>
    <n v="-1231.94"/>
    <x v="1"/>
    <n v="103"/>
    <n v="-126889.82"/>
  </r>
  <r>
    <s v="GL000603"/>
    <x v="441"/>
    <s v="5010"/>
    <x v="3"/>
    <n v="1911.86"/>
    <n v="116623.45999999999"/>
    <n v="0"/>
    <n v="0"/>
    <x v="5"/>
    <x v="3"/>
    <s v="AutoPost 603"/>
    <s v="CAD"/>
    <n v="-1911.86"/>
    <x v="2"/>
    <n v="61"/>
    <n v="-116623.45999999999"/>
  </r>
  <r>
    <s v="GL000604"/>
    <x v="442"/>
    <s v="4010"/>
    <x v="4"/>
    <n v="0"/>
    <n v="0"/>
    <n v="1161.8599999999999"/>
    <n v="65064.159999999996"/>
    <x v="3"/>
    <x v="2"/>
    <s v="AutoPost 604"/>
    <s v="AUD"/>
    <n v="1161.8599999999999"/>
    <x v="0"/>
    <n v="56"/>
    <n v="65064.159999999996"/>
  </r>
  <r>
    <s v="GL000605"/>
    <x v="443"/>
    <s v="5010"/>
    <x v="3"/>
    <n v="622.09"/>
    <n v="64075.270000000004"/>
    <n v="0"/>
    <n v="0"/>
    <x v="5"/>
    <x v="4"/>
    <s v="AutoPost 605"/>
    <s v="GBP"/>
    <n v="-622.09"/>
    <x v="2"/>
    <n v="103"/>
    <n v="-64075.270000000004"/>
  </r>
  <r>
    <s v="GL000606"/>
    <x v="444"/>
    <s v="6000"/>
    <x v="2"/>
    <n v="895.07"/>
    <n v="73395.740000000005"/>
    <n v="0"/>
    <n v="0"/>
    <x v="5"/>
    <x v="3"/>
    <s v="AutoPost 606"/>
    <s v="USD"/>
    <n v="-895.07"/>
    <x v="2"/>
    <n v="82"/>
    <n v="-73395.740000000005"/>
  </r>
  <r>
    <s v="GL000607"/>
    <x v="192"/>
    <s v="6000"/>
    <x v="2"/>
    <n v="1093.48"/>
    <n v="66702.28"/>
    <n v="0"/>
    <n v="0"/>
    <x v="4"/>
    <x v="1"/>
    <s v="AutoPost 607"/>
    <s v="CAD"/>
    <n v="-1093.48"/>
    <x v="2"/>
    <n v="61"/>
    <n v="-66702.28"/>
  </r>
  <r>
    <s v="GL000608"/>
    <x v="445"/>
    <s v="4000"/>
    <x v="0"/>
    <n v="0"/>
    <n v="0"/>
    <n v="1178.75"/>
    <n v="66010"/>
    <x v="0"/>
    <x v="4"/>
    <s v="AutoPost 608"/>
    <s v="AUD"/>
    <n v="1178.75"/>
    <x v="0"/>
    <n v="56"/>
    <n v="66010"/>
  </r>
  <r>
    <s v="GL000609"/>
    <x v="446"/>
    <s v="4010"/>
    <x v="4"/>
    <n v="0"/>
    <n v="0"/>
    <n v="1843.27"/>
    <n v="112439.47"/>
    <x v="0"/>
    <x v="1"/>
    <s v="AutoPost 609"/>
    <s v="CAD"/>
    <n v="1843.27"/>
    <x v="0"/>
    <n v="61"/>
    <n v="112439.47"/>
  </r>
  <r>
    <s v="GL000610"/>
    <x v="133"/>
    <s v="6000"/>
    <x v="2"/>
    <n v="1239.45"/>
    <n v="109071.6"/>
    <n v="0"/>
    <n v="0"/>
    <x v="2"/>
    <x v="1"/>
    <s v="AutoPost 610"/>
    <s v="EUR"/>
    <n v="-1239.45"/>
    <x v="2"/>
    <n v="88"/>
    <n v="-109071.6"/>
  </r>
  <r>
    <s v="GL000611"/>
    <x v="155"/>
    <s v="4000"/>
    <x v="0"/>
    <n v="0"/>
    <n v="0"/>
    <n v="3317.75"/>
    <n v="291962"/>
    <x v="0"/>
    <x v="1"/>
    <s v="AutoPost 611"/>
    <s v="EUR"/>
    <n v="3317.75"/>
    <x v="0"/>
    <n v="88"/>
    <n v="291962"/>
  </r>
  <r>
    <s v="GL000612"/>
    <x v="447"/>
    <s v="4000"/>
    <x v="0"/>
    <n v="0"/>
    <n v="0"/>
    <n v="493.21"/>
    <n v="30085.809999999998"/>
    <x v="3"/>
    <x v="1"/>
    <s v="AutoPost 612"/>
    <s v="CAD"/>
    <n v="493.21"/>
    <x v="0"/>
    <n v="61"/>
    <n v="30085.809999999998"/>
  </r>
  <r>
    <s v="GL000613"/>
    <x v="43"/>
    <s v="6000"/>
    <x v="2"/>
    <n v="1638.5"/>
    <n v="168765.5"/>
    <n v="0"/>
    <n v="0"/>
    <x v="2"/>
    <x v="0"/>
    <s v="AutoPost 613"/>
    <s v="GBP"/>
    <n v="-1638.5"/>
    <x v="2"/>
    <n v="103"/>
    <n v="-168765.5"/>
  </r>
  <r>
    <s v="GL000614"/>
    <x v="80"/>
    <s v="4000"/>
    <x v="0"/>
    <n v="0"/>
    <n v="0"/>
    <n v="1848.61"/>
    <n v="190406.83"/>
    <x v="1"/>
    <x v="1"/>
    <s v="AutoPost 614"/>
    <s v="GBP"/>
    <n v="1848.61"/>
    <x v="0"/>
    <n v="103"/>
    <n v="190406.83"/>
  </r>
  <r>
    <s v="GL000615"/>
    <x v="448"/>
    <s v="5010"/>
    <x v="3"/>
    <n v="436.93"/>
    <n v="26652.73"/>
    <n v="0"/>
    <n v="0"/>
    <x v="1"/>
    <x v="3"/>
    <s v="AutoPost 615"/>
    <s v="CAD"/>
    <n v="-436.93"/>
    <x v="2"/>
    <n v="61"/>
    <n v="-26652.73"/>
  </r>
  <r>
    <s v="GL000616"/>
    <x v="222"/>
    <s v="5000"/>
    <x v="1"/>
    <n v="1498.49"/>
    <n v="122876.18000000001"/>
    <n v="0"/>
    <n v="0"/>
    <x v="1"/>
    <x v="2"/>
    <s v="AutoPost 616"/>
    <s v="USD"/>
    <n v="-1498.49"/>
    <x v="1"/>
    <n v="82"/>
    <n v="-122876.18000000001"/>
  </r>
  <r>
    <s v="GL000617"/>
    <x v="69"/>
    <s v="6000"/>
    <x v="2"/>
    <n v="1030.46"/>
    <n v="84497.72"/>
    <n v="0"/>
    <n v="0"/>
    <x v="2"/>
    <x v="0"/>
    <s v="AutoPost 617"/>
    <s v="USD"/>
    <n v="-1030.46"/>
    <x v="2"/>
    <n v="82"/>
    <n v="-84497.72"/>
  </r>
  <r>
    <s v="GL000618"/>
    <x v="173"/>
    <s v="4010"/>
    <x v="4"/>
    <n v="0"/>
    <n v="0"/>
    <n v="2665.08"/>
    <n v="162569.88"/>
    <x v="4"/>
    <x v="0"/>
    <s v="AutoPost 618"/>
    <s v="CAD"/>
    <n v="2665.08"/>
    <x v="0"/>
    <n v="61"/>
    <n v="162569.88"/>
  </r>
  <r>
    <s v="GL000619"/>
    <x v="449"/>
    <s v="5010"/>
    <x v="3"/>
    <n v="416.41"/>
    <n v="25401.010000000002"/>
    <n v="0"/>
    <n v="0"/>
    <x v="3"/>
    <x v="1"/>
    <s v="AutoPost 619"/>
    <s v="CAD"/>
    <n v="-416.41"/>
    <x v="2"/>
    <n v="61"/>
    <n v="-25401.010000000002"/>
  </r>
  <r>
    <s v="GL000620"/>
    <x v="450"/>
    <s v="4000"/>
    <x v="0"/>
    <n v="0"/>
    <n v="0"/>
    <n v="2058.4"/>
    <n v="212015.2"/>
    <x v="2"/>
    <x v="3"/>
    <s v="AutoPost 620"/>
    <s v="GBP"/>
    <n v="2058.4"/>
    <x v="0"/>
    <n v="103"/>
    <n v="212015.2"/>
  </r>
  <r>
    <s v="GL000621"/>
    <x v="109"/>
    <s v="4000"/>
    <x v="0"/>
    <n v="0"/>
    <n v="0"/>
    <n v="203.81"/>
    <n v="11413.36"/>
    <x v="5"/>
    <x v="0"/>
    <s v="AutoPost 621"/>
    <s v="AUD"/>
    <n v="203.81"/>
    <x v="0"/>
    <n v="56"/>
    <n v="11413.36"/>
  </r>
  <r>
    <s v="GL000622"/>
    <x v="451"/>
    <s v="5010"/>
    <x v="3"/>
    <n v="1876.28"/>
    <n v="114453.08"/>
    <n v="0"/>
    <n v="0"/>
    <x v="4"/>
    <x v="2"/>
    <s v="AutoPost 622"/>
    <s v="CAD"/>
    <n v="-1876.28"/>
    <x v="2"/>
    <n v="61"/>
    <n v="-114453.08"/>
  </r>
  <r>
    <s v="GL000623"/>
    <x v="375"/>
    <s v="5000"/>
    <x v="1"/>
    <n v="1047.55"/>
    <n v="58662.799999999996"/>
    <n v="0"/>
    <n v="0"/>
    <x v="1"/>
    <x v="2"/>
    <s v="AutoPost 623"/>
    <s v="AUD"/>
    <n v="-1047.55"/>
    <x v="1"/>
    <n v="56"/>
    <n v="-58662.799999999996"/>
  </r>
  <r>
    <s v="GL000624"/>
    <x v="155"/>
    <s v="4000"/>
    <x v="0"/>
    <n v="0"/>
    <n v="0"/>
    <n v="3567.5"/>
    <n v="313940"/>
    <x v="4"/>
    <x v="3"/>
    <s v="AutoPost 624"/>
    <s v="EUR"/>
    <n v="3567.5"/>
    <x v="0"/>
    <n v="88"/>
    <n v="313940"/>
  </r>
  <r>
    <s v="GL000625"/>
    <x v="240"/>
    <s v="4000"/>
    <x v="0"/>
    <n v="0"/>
    <n v="0"/>
    <n v="1073.3499999999999"/>
    <n v="65474.349999999991"/>
    <x v="1"/>
    <x v="0"/>
    <s v="AutoPost 625"/>
    <s v="CAD"/>
    <n v="1073.3499999999999"/>
    <x v="0"/>
    <n v="61"/>
    <n v="65474.349999999991"/>
  </r>
  <r>
    <s v="GL000626"/>
    <x v="82"/>
    <s v="6000"/>
    <x v="2"/>
    <n v="1340.18"/>
    <n v="109894.76000000001"/>
    <n v="0"/>
    <n v="0"/>
    <x v="0"/>
    <x v="0"/>
    <s v="AutoPost 626"/>
    <s v="USD"/>
    <n v="-1340.18"/>
    <x v="2"/>
    <n v="82"/>
    <n v="-109894.76000000001"/>
  </r>
  <r>
    <s v="GL000627"/>
    <x v="197"/>
    <s v="4010"/>
    <x v="4"/>
    <n v="0"/>
    <n v="0"/>
    <n v="2847.98"/>
    <n v="233534.36000000002"/>
    <x v="0"/>
    <x v="4"/>
    <s v="AutoPost 627"/>
    <s v="USD"/>
    <n v="2847.98"/>
    <x v="0"/>
    <n v="82"/>
    <n v="233534.36000000002"/>
  </r>
  <r>
    <s v="GL000628"/>
    <x v="111"/>
    <s v="5000"/>
    <x v="1"/>
    <n v="1084.3800000000001"/>
    <n v="111691.14000000001"/>
    <n v="0"/>
    <n v="0"/>
    <x v="5"/>
    <x v="0"/>
    <s v="AutoPost 628"/>
    <s v="GBP"/>
    <n v="-1084.3800000000001"/>
    <x v="1"/>
    <n v="103"/>
    <n v="-111691.14000000001"/>
  </r>
  <r>
    <s v="GL000629"/>
    <x v="452"/>
    <s v="5000"/>
    <x v="1"/>
    <n v="1437.11"/>
    <n v="117843.01999999999"/>
    <n v="0"/>
    <n v="0"/>
    <x v="4"/>
    <x v="3"/>
    <s v="AutoPost 629"/>
    <s v="USD"/>
    <n v="-1437.11"/>
    <x v="1"/>
    <n v="82"/>
    <n v="-117843.01999999999"/>
  </r>
  <r>
    <s v="GL000630"/>
    <x v="453"/>
    <s v="4000"/>
    <x v="0"/>
    <n v="0"/>
    <n v="0"/>
    <n v="4116.3900000000003"/>
    <n v="423988.17000000004"/>
    <x v="1"/>
    <x v="4"/>
    <s v="AutoPost 630"/>
    <s v="GBP"/>
    <n v="4116.3900000000003"/>
    <x v="0"/>
    <n v="103"/>
    <n v="423988.17000000004"/>
  </r>
  <r>
    <s v="GL000631"/>
    <x v="454"/>
    <s v="5010"/>
    <x v="3"/>
    <n v="1732.79"/>
    <n v="105700.19"/>
    <n v="0"/>
    <n v="0"/>
    <x v="1"/>
    <x v="2"/>
    <s v="AutoPost 631"/>
    <s v="CAD"/>
    <n v="-1732.79"/>
    <x v="2"/>
    <n v="61"/>
    <n v="-105700.19"/>
  </r>
  <r>
    <s v="GL000632"/>
    <x v="30"/>
    <s v="5000"/>
    <x v="1"/>
    <n v="1107.71"/>
    <n v="114094.13"/>
    <n v="0"/>
    <n v="0"/>
    <x v="5"/>
    <x v="1"/>
    <s v="AutoPost 632"/>
    <s v="GBP"/>
    <n v="-1107.71"/>
    <x v="1"/>
    <n v="103"/>
    <n v="-114094.13"/>
  </r>
  <r>
    <s v="GL000633"/>
    <x v="244"/>
    <s v="4010"/>
    <x v="4"/>
    <n v="0"/>
    <n v="0"/>
    <n v="303.27"/>
    <n v="16983.12"/>
    <x v="1"/>
    <x v="3"/>
    <s v="AutoPost 633"/>
    <s v="AUD"/>
    <n v="303.27"/>
    <x v="0"/>
    <n v="56"/>
    <n v="16983.12"/>
  </r>
  <r>
    <s v="GL000634"/>
    <x v="390"/>
    <s v="5000"/>
    <x v="1"/>
    <n v="608.84"/>
    <n v="34095.040000000001"/>
    <n v="0"/>
    <n v="0"/>
    <x v="5"/>
    <x v="4"/>
    <s v="AutoPost 634"/>
    <s v="AUD"/>
    <n v="-608.84"/>
    <x v="1"/>
    <n v="56"/>
    <n v="-34095.040000000001"/>
  </r>
  <r>
    <s v="GL000635"/>
    <x v="455"/>
    <s v="6000"/>
    <x v="2"/>
    <n v="1438.43"/>
    <n v="87744.23000000001"/>
    <n v="0"/>
    <n v="0"/>
    <x v="1"/>
    <x v="2"/>
    <s v="AutoPost 635"/>
    <s v="CAD"/>
    <n v="-1438.43"/>
    <x v="2"/>
    <n v="61"/>
    <n v="-87744.23000000001"/>
  </r>
  <r>
    <s v="GL000636"/>
    <x v="268"/>
    <s v="4000"/>
    <x v="0"/>
    <n v="0"/>
    <n v="0"/>
    <n v="1141.46"/>
    <n v="100448.48000000001"/>
    <x v="4"/>
    <x v="4"/>
    <s v="AutoPost 636"/>
    <s v="EUR"/>
    <n v="1141.46"/>
    <x v="0"/>
    <n v="88"/>
    <n v="100448.48000000001"/>
  </r>
  <r>
    <s v="GL000637"/>
    <x v="456"/>
    <s v="6000"/>
    <x v="2"/>
    <n v="1263.43"/>
    <n v="77069.23000000001"/>
    <n v="0"/>
    <n v="0"/>
    <x v="4"/>
    <x v="1"/>
    <s v="AutoPost 637"/>
    <s v="CAD"/>
    <n v="-1263.43"/>
    <x v="2"/>
    <n v="61"/>
    <n v="-77069.23000000001"/>
  </r>
  <r>
    <s v="GL000638"/>
    <x v="206"/>
    <s v="4000"/>
    <x v="0"/>
    <n v="0"/>
    <n v="0"/>
    <n v="3107.95"/>
    <n v="320118.84999999998"/>
    <x v="1"/>
    <x v="0"/>
    <s v="AutoPost 638"/>
    <s v="GBP"/>
    <n v="3107.95"/>
    <x v="0"/>
    <n v="103"/>
    <n v="320118.84999999998"/>
  </r>
  <r>
    <s v="GL000639"/>
    <x v="457"/>
    <s v="5000"/>
    <x v="1"/>
    <n v="1600.99"/>
    <n v="97660.39"/>
    <n v="0"/>
    <n v="0"/>
    <x v="4"/>
    <x v="4"/>
    <s v="AutoPost 639"/>
    <s v="CAD"/>
    <n v="-1600.99"/>
    <x v="1"/>
    <n v="61"/>
    <n v="-97660.39"/>
  </r>
  <r>
    <s v="GL000640"/>
    <x v="394"/>
    <s v="5000"/>
    <x v="1"/>
    <n v="563.6"/>
    <n v="46215.200000000004"/>
    <n v="0"/>
    <n v="0"/>
    <x v="0"/>
    <x v="3"/>
    <s v="AutoPost 640"/>
    <s v="USD"/>
    <n v="-563.6"/>
    <x v="1"/>
    <n v="82"/>
    <n v="-46215.200000000004"/>
  </r>
  <r>
    <s v="GL000641"/>
    <x v="37"/>
    <s v="5000"/>
    <x v="1"/>
    <n v="961.83"/>
    <n v="99068.49"/>
    <n v="0"/>
    <n v="0"/>
    <x v="3"/>
    <x v="4"/>
    <s v="AutoPost 641"/>
    <s v="GBP"/>
    <n v="-961.83"/>
    <x v="1"/>
    <n v="103"/>
    <n v="-99068.49"/>
  </r>
  <r>
    <s v="GL000642"/>
    <x v="201"/>
    <s v="6000"/>
    <x v="2"/>
    <n v="1455.41"/>
    <n v="119343.62000000001"/>
    <n v="0"/>
    <n v="0"/>
    <x v="4"/>
    <x v="2"/>
    <s v="AutoPost 642"/>
    <s v="USD"/>
    <n v="-1455.41"/>
    <x v="2"/>
    <n v="82"/>
    <n v="-119343.62000000001"/>
  </r>
  <r>
    <s v="GL000643"/>
    <x v="322"/>
    <s v="5000"/>
    <x v="1"/>
    <n v="1057.3599999999999"/>
    <n v="86703.51999999999"/>
    <n v="0"/>
    <n v="0"/>
    <x v="0"/>
    <x v="1"/>
    <s v="AutoPost 643"/>
    <s v="USD"/>
    <n v="-1057.3599999999999"/>
    <x v="1"/>
    <n v="82"/>
    <n v="-86703.51999999999"/>
  </r>
  <r>
    <s v="GL000644"/>
    <x v="337"/>
    <s v="4010"/>
    <x v="4"/>
    <n v="0"/>
    <n v="0"/>
    <n v="3358.16"/>
    <n v="295518.07999999996"/>
    <x v="1"/>
    <x v="4"/>
    <s v="AutoPost 644"/>
    <s v="EUR"/>
    <n v="3358.16"/>
    <x v="0"/>
    <n v="88"/>
    <n v="295518.07999999996"/>
  </r>
  <r>
    <s v="GL000645"/>
    <x v="338"/>
    <s v="4010"/>
    <x v="4"/>
    <n v="0"/>
    <n v="0"/>
    <n v="1525.47"/>
    <n v="157123.41"/>
    <x v="2"/>
    <x v="3"/>
    <s v="AutoPost 645"/>
    <s v="GBP"/>
    <n v="1525.47"/>
    <x v="0"/>
    <n v="103"/>
    <n v="157123.41"/>
  </r>
  <r>
    <s v="GL000646"/>
    <x v="458"/>
    <s v="5010"/>
    <x v="3"/>
    <n v="707.2"/>
    <n v="62233.600000000006"/>
    <n v="0"/>
    <n v="0"/>
    <x v="4"/>
    <x v="0"/>
    <s v="AutoPost 646"/>
    <s v="EUR"/>
    <n v="-707.2"/>
    <x v="2"/>
    <n v="88"/>
    <n v="-62233.600000000006"/>
  </r>
  <r>
    <s v="GL000647"/>
    <x v="107"/>
    <s v="6000"/>
    <x v="2"/>
    <n v="1209.72"/>
    <n v="67744.320000000007"/>
    <n v="0"/>
    <n v="0"/>
    <x v="2"/>
    <x v="2"/>
    <s v="AutoPost 647"/>
    <s v="AUD"/>
    <n v="-1209.72"/>
    <x v="2"/>
    <n v="56"/>
    <n v="-67744.320000000007"/>
  </r>
  <r>
    <s v="GL000648"/>
    <x v="22"/>
    <s v="5000"/>
    <x v="1"/>
    <n v="1696.57"/>
    <n v="174746.71"/>
    <n v="0"/>
    <n v="0"/>
    <x v="0"/>
    <x v="2"/>
    <s v="AutoPost 648"/>
    <s v="GBP"/>
    <n v="-1696.57"/>
    <x v="1"/>
    <n v="103"/>
    <n v="-174746.71"/>
  </r>
  <r>
    <s v="GL000649"/>
    <x v="350"/>
    <s v="4000"/>
    <x v="0"/>
    <n v="0"/>
    <n v="0"/>
    <n v="2657.38"/>
    <n v="273710.14"/>
    <x v="5"/>
    <x v="1"/>
    <s v="AutoPost 649"/>
    <s v="GBP"/>
    <n v="2657.38"/>
    <x v="0"/>
    <n v="103"/>
    <n v="273710.14"/>
  </r>
  <r>
    <s v="GL000650"/>
    <x v="75"/>
    <s v="4000"/>
    <x v="0"/>
    <n v="0"/>
    <n v="0"/>
    <n v="4294.0600000000004"/>
    <n v="352112.92000000004"/>
    <x v="1"/>
    <x v="3"/>
    <s v="AutoPost 650"/>
    <s v="USD"/>
    <n v="4294.0600000000004"/>
    <x v="0"/>
    <n v="82"/>
    <n v="352112.92000000004"/>
  </r>
  <r>
    <s v="GL000651"/>
    <x v="459"/>
    <s v="4000"/>
    <x v="0"/>
    <n v="0"/>
    <n v="0"/>
    <n v="451.28"/>
    <n v="37004.959999999999"/>
    <x v="4"/>
    <x v="1"/>
    <s v="AutoPost 651"/>
    <s v="USD"/>
    <n v="451.28"/>
    <x v="0"/>
    <n v="82"/>
    <n v="37004.959999999999"/>
  </r>
  <r>
    <s v="GL000652"/>
    <x v="460"/>
    <s v="5010"/>
    <x v="3"/>
    <n v="1730.45"/>
    <n v="141896.9"/>
    <n v="0"/>
    <n v="0"/>
    <x v="1"/>
    <x v="3"/>
    <s v="AutoPost 652"/>
    <s v="USD"/>
    <n v="-1730.45"/>
    <x v="2"/>
    <n v="82"/>
    <n v="-141896.9"/>
  </r>
  <r>
    <s v="GL000653"/>
    <x v="461"/>
    <s v="4000"/>
    <x v="0"/>
    <n v="0"/>
    <n v="0"/>
    <n v="4570.1099999999997"/>
    <n v="374749.01999999996"/>
    <x v="4"/>
    <x v="4"/>
    <s v="AutoPost 653"/>
    <s v="USD"/>
    <n v="4570.1099999999997"/>
    <x v="0"/>
    <n v="82"/>
    <n v="374749.01999999996"/>
  </r>
  <r>
    <s v="GL000654"/>
    <x v="462"/>
    <s v="5010"/>
    <x v="3"/>
    <n v="1200.67"/>
    <n v="73240.87000000001"/>
    <n v="0"/>
    <n v="0"/>
    <x v="5"/>
    <x v="0"/>
    <s v="AutoPost 654"/>
    <s v="CAD"/>
    <n v="-1200.67"/>
    <x v="2"/>
    <n v="61"/>
    <n v="-73240.87000000001"/>
  </r>
  <r>
    <s v="GL000655"/>
    <x v="463"/>
    <s v="5000"/>
    <x v="1"/>
    <n v="1429.26"/>
    <n v="125774.88"/>
    <n v="0"/>
    <n v="0"/>
    <x v="5"/>
    <x v="3"/>
    <s v="AutoPost 655"/>
    <s v="EUR"/>
    <n v="-1429.26"/>
    <x v="1"/>
    <n v="88"/>
    <n v="-125774.88"/>
  </r>
  <r>
    <s v="GL000656"/>
    <x v="464"/>
    <s v="5010"/>
    <x v="3"/>
    <n v="1489.09"/>
    <n v="131039.92"/>
    <n v="0"/>
    <n v="0"/>
    <x v="0"/>
    <x v="2"/>
    <s v="AutoPost 656"/>
    <s v="EUR"/>
    <n v="-1489.09"/>
    <x v="2"/>
    <n v="88"/>
    <n v="-131039.92"/>
  </r>
  <r>
    <s v="GL000657"/>
    <x v="465"/>
    <s v="4000"/>
    <x v="0"/>
    <n v="0"/>
    <n v="0"/>
    <n v="1528.95"/>
    <n v="93265.95"/>
    <x v="3"/>
    <x v="4"/>
    <s v="AutoPost 657"/>
    <s v="CAD"/>
    <n v="1528.95"/>
    <x v="0"/>
    <n v="61"/>
    <n v="93265.95"/>
  </r>
  <r>
    <s v="GL000658"/>
    <x v="87"/>
    <s v="4010"/>
    <x v="4"/>
    <n v="0"/>
    <n v="0"/>
    <n v="4139.3100000000004"/>
    <n v="252497.91000000003"/>
    <x v="1"/>
    <x v="1"/>
    <s v="AutoPost 658"/>
    <s v="CAD"/>
    <n v="4139.3100000000004"/>
    <x v="0"/>
    <n v="61"/>
    <n v="252497.91000000003"/>
  </r>
  <r>
    <s v="GL000659"/>
    <x v="466"/>
    <s v="6000"/>
    <x v="2"/>
    <n v="1781.01"/>
    <n v="108641.61"/>
    <n v="0"/>
    <n v="0"/>
    <x v="0"/>
    <x v="4"/>
    <s v="AutoPost 659"/>
    <s v="CAD"/>
    <n v="-1781.01"/>
    <x v="2"/>
    <n v="61"/>
    <n v="-108641.61"/>
  </r>
  <r>
    <s v="GL000660"/>
    <x v="396"/>
    <s v="5000"/>
    <x v="1"/>
    <n v="1659.6"/>
    <n v="170938.8"/>
    <n v="0"/>
    <n v="0"/>
    <x v="1"/>
    <x v="3"/>
    <s v="AutoPost 660"/>
    <s v="GBP"/>
    <n v="-1659.6"/>
    <x v="1"/>
    <n v="103"/>
    <n v="-170938.8"/>
  </r>
  <r>
    <s v="GL000661"/>
    <x v="255"/>
    <s v="6000"/>
    <x v="2"/>
    <n v="1220.3"/>
    <n v="100064.59999999999"/>
    <n v="0"/>
    <n v="0"/>
    <x v="2"/>
    <x v="1"/>
    <s v="AutoPost 661"/>
    <s v="USD"/>
    <n v="-1220.3"/>
    <x v="2"/>
    <n v="82"/>
    <n v="-100064.59999999999"/>
  </r>
  <r>
    <s v="GL000662"/>
    <x v="467"/>
    <s v="5000"/>
    <x v="1"/>
    <n v="1327.71"/>
    <n v="116838.48000000001"/>
    <n v="0"/>
    <n v="0"/>
    <x v="3"/>
    <x v="3"/>
    <s v="AutoPost 662"/>
    <s v="EUR"/>
    <n v="-1327.71"/>
    <x v="1"/>
    <n v="88"/>
    <n v="-116838.48000000001"/>
  </r>
  <r>
    <s v="GL000663"/>
    <x v="418"/>
    <s v="5000"/>
    <x v="1"/>
    <n v="1760.57"/>
    <n v="181338.71"/>
    <n v="0"/>
    <n v="0"/>
    <x v="3"/>
    <x v="1"/>
    <s v="AutoPost 663"/>
    <s v="GBP"/>
    <n v="-1760.57"/>
    <x v="1"/>
    <n v="103"/>
    <n v="-181338.71"/>
  </r>
  <r>
    <s v="GL000664"/>
    <x v="197"/>
    <s v="6000"/>
    <x v="2"/>
    <n v="832.19"/>
    <n v="46602.64"/>
    <n v="0"/>
    <n v="0"/>
    <x v="2"/>
    <x v="0"/>
    <s v="AutoPost 664"/>
    <s v="AUD"/>
    <n v="-832.19"/>
    <x v="2"/>
    <n v="56"/>
    <n v="-46602.64"/>
  </r>
  <r>
    <s v="GL000665"/>
    <x v="46"/>
    <s v="5000"/>
    <x v="1"/>
    <n v="243.79"/>
    <n v="14871.189999999999"/>
    <n v="0"/>
    <n v="0"/>
    <x v="1"/>
    <x v="2"/>
    <s v="AutoPost 665"/>
    <s v="CAD"/>
    <n v="-243.79"/>
    <x v="1"/>
    <n v="61"/>
    <n v="-14871.189999999999"/>
  </r>
  <r>
    <s v="GL000666"/>
    <x v="165"/>
    <s v="5010"/>
    <x v="3"/>
    <n v="560.62"/>
    <n v="31394.720000000001"/>
    <n v="0"/>
    <n v="0"/>
    <x v="0"/>
    <x v="1"/>
    <s v="AutoPost 666"/>
    <s v="AUD"/>
    <n v="-560.62"/>
    <x v="2"/>
    <n v="56"/>
    <n v="-31394.720000000001"/>
  </r>
  <r>
    <s v="GL000667"/>
    <x v="445"/>
    <s v="4010"/>
    <x v="4"/>
    <n v="0"/>
    <n v="0"/>
    <n v="4106.57"/>
    <n v="422976.70999999996"/>
    <x v="3"/>
    <x v="0"/>
    <s v="AutoPost 667"/>
    <s v="GBP"/>
    <n v="4106.57"/>
    <x v="0"/>
    <n v="103"/>
    <n v="422976.70999999996"/>
  </r>
  <r>
    <s v="GL000668"/>
    <x v="468"/>
    <s v="5010"/>
    <x v="3"/>
    <n v="873.19"/>
    <n v="89938.57"/>
    <n v="0"/>
    <n v="0"/>
    <x v="2"/>
    <x v="1"/>
    <s v="AutoPost 668"/>
    <s v="GBP"/>
    <n v="-873.19"/>
    <x v="2"/>
    <n v="103"/>
    <n v="-89938.57"/>
  </r>
  <r>
    <s v="GL000669"/>
    <x v="469"/>
    <s v="4010"/>
    <x v="4"/>
    <n v="0"/>
    <n v="0"/>
    <n v="541.23"/>
    <n v="33015.03"/>
    <x v="3"/>
    <x v="2"/>
    <s v="AutoPost 669"/>
    <s v="CAD"/>
    <n v="541.23"/>
    <x v="0"/>
    <n v="61"/>
    <n v="33015.03"/>
  </r>
  <r>
    <s v="GL000670"/>
    <x v="470"/>
    <s v="5000"/>
    <x v="1"/>
    <n v="793.98"/>
    <n v="69870.240000000005"/>
    <n v="0"/>
    <n v="0"/>
    <x v="2"/>
    <x v="3"/>
    <s v="AutoPost 670"/>
    <s v="EUR"/>
    <n v="-793.98"/>
    <x v="1"/>
    <n v="88"/>
    <n v="-69870.240000000005"/>
  </r>
  <r>
    <s v="GL000671"/>
    <x v="471"/>
    <s v="5010"/>
    <x v="3"/>
    <n v="644.58000000000004"/>
    <n v="52855.560000000005"/>
    <n v="0"/>
    <n v="0"/>
    <x v="5"/>
    <x v="2"/>
    <s v="AutoPost 671"/>
    <s v="USD"/>
    <n v="-644.58000000000004"/>
    <x v="2"/>
    <n v="82"/>
    <n v="-52855.560000000005"/>
  </r>
  <r>
    <s v="GL000672"/>
    <x v="177"/>
    <s v="5010"/>
    <x v="3"/>
    <n v="222.19"/>
    <n v="22885.57"/>
    <n v="0"/>
    <n v="0"/>
    <x v="3"/>
    <x v="3"/>
    <s v="AutoPost 672"/>
    <s v="GBP"/>
    <n v="-222.19"/>
    <x v="2"/>
    <n v="103"/>
    <n v="-22885.57"/>
  </r>
  <r>
    <s v="GL000673"/>
    <x v="105"/>
    <s v="6000"/>
    <x v="2"/>
    <n v="296.98"/>
    <n v="16630.88"/>
    <n v="0"/>
    <n v="0"/>
    <x v="5"/>
    <x v="4"/>
    <s v="AutoPost 673"/>
    <s v="AUD"/>
    <n v="-296.98"/>
    <x v="2"/>
    <n v="56"/>
    <n v="-16630.88"/>
  </r>
  <r>
    <s v="GL000674"/>
    <x v="53"/>
    <s v="5010"/>
    <x v="3"/>
    <n v="1919.89"/>
    <n v="117113.29000000001"/>
    <n v="0"/>
    <n v="0"/>
    <x v="0"/>
    <x v="3"/>
    <s v="AutoPost 674"/>
    <s v="CAD"/>
    <n v="-1919.89"/>
    <x v="2"/>
    <n v="61"/>
    <n v="-117113.29000000001"/>
  </r>
  <r>
    <s v="GL000675"/>
    <x v="358"/>
    <s v="4010"/>
    <x v="4"/>
    <n v="0"/>
    <n v="0"/>
    <n v="3948.96"/>
    <n v="347508.47999999998"/>
    <x v="3"/>
    <x v="3"/>
    <s v="AutoPost 675"/>
    <s v="EUR"/>
    <n v="3948.96"/>
    <x v="0"/>
    <n v="88"/>
    <n v="347508.47999999998"/>
  </r>
  <r>
    <s v="GL000676"/>
    <x v="391"/>
    <s v="4000"/>
    <x v="0"/>
    <n v="0"/>
    <n v="0"/>
    <n v="1952.91"/>
    <n v="171856.08000000002"/>
    <x v="4"/>
    <x v="0"/>
    <s v="AutoPost 676"/>
    <s v="EUR"/>
    <n v="1952.91"/>
    <x v="0"/>
    <n v="88"/>
    <n v="171856.08000000002"/>
  </r>
  <r>
    <s v="GL000677"/>
    <x v="433"/>
    <s v="4000"/>
    <x v="0"/>
    <n v="0"/>
    <n v="0"/>
    <n v="4819.25"/>
    <n v="395178.5"/>
    <x v="5"/>
    <x v="0"/>
    <s v="AutoPost 677"/>
    <s v="USD"/>
    <n v="4819.25"/>
    <x v="0"/>
    <n v="82"/>
    <n v="395178.5"/>
  </r>
  <r>
    <s v="GL000678"/>
    <x v="472"/>
    <s v="6000"/>
    <x v="2"/>
    <n v="385.69"/>
    <n v="21598.639999999999"/>
    <n v="0"/>
    <n v="0"/>
    <x v="3"/>
    <x v="4"/>
    <s v="AutoPost 678"/>
    <s v="AUD"/>
    <n v="-385.69"/>
    <x v="2"/>
    <n v="56"/>
    <n v="-21598.639999999999"/>
  </r>
  <r>
    <s v="GL000679"/>
    <x v="267"/>
    <s v="5010"/>
    <x v="3"/>
    <n v="269.3"/>
    <n v="23698.400000000001"/>
    <n v="0"/>
    <n v="0"/>
    <x v="4"/>
    <x v="4"/>
    <s v="AutoPost 679"/>
    <s v="EUR"/>
    <n v="-269.3"/>
    <x v="2"/>
    <n v="88"/>
    <n v="-23698.400000000001"/>
  </r>
  <r>
    <s v="GL000680"/>
    <x v="265"/>
    <s v="4010"/>
    <x v="4"/>
    <n v="0"/>
    <n v="0"/>
    <n v="4910.29"/>
    <n v="505759.87"/>
    <x v="0"/>
    <x v="4"/>
    <s v="AutoPost 680"/>
    <s v="GBP"/>
    <n v="4910.29"/>
    <x v="0"/>
    <n v="103"/>
    <n v="505759.87"/>
  </r>
  <r>
    <s v="GL000681"/>
    <x v="207"/>
    <s v="4010"/>
    <x v="4"/>
    <n v="0"/>
    <n v="0"/>
    <n v="2866.16"/>
    <n v="160504.95999999999"/>
    <x v="4"/>
    <x v="3"/>
    <s v="AutoPost 681"/>
    <s v="AUD"/>
    <n v="2866.16"/>
    <x v="0"/>
    <n v="56"/>
    <n v="160504.95999999999"/>
  </r>
  <r>
    <s v="GL000682"/>
    <x v="126"/>
    <s v="5010"/>
    <x v="3"/>
    <n v="151.68"/>
    <n v="8494.08"/>
    <n v="0"/>
    <n v="0"/>
    <x v="2"/>
    <x v="3"/>
    <s v="AutoPost 682"/>
    <s v="AUD"/>
    <n v="-151.68"/>
    <x v="2"/>
    <n v="56"/>
    <n v="-8494.08"/>
  </r>
  <r>
    <s v="GL000683"/>
    <x v="473"/>
    <s v="4010"/>
    <x v="4"/>
    <n v="0"/>
    <n v="0"/>
    <n v="1246.53"/>
    <n v="102215.45999999999"/>
    <x v="2"/>
    <x v="2"/>
    <s v="AutoPost 683"/>
    <s v="USD"/>
    <n v="1246.53"/>
    <x v="0"/>
    <n v="82"/>
    <n v="102215.45999999999"/>
  </r>
  <r>
    <s v="GL000684"/>
    <x v="474"/>
    <s v="6000"/>
    <x v="2"/>
    <n v="1724.65"/>
    <n v="177638.95"/>
    <n v="0"/>
    <n v="0"/>
    <x v="4"/>
    <x v="0"/>
    <s v="AutoPost 684"/>
    <s v="GBP"/>
    <n v="-1724.65"/>
    <x v="2"/>
    <n v="103"/>
    <n v="-177638.95"/>
  </r>
  <r>
    <s v="GL000685"/>
    <x v="475"/>
    <s v="5010"/>
    <x v="3"/>
    <n v="1411.99"/>
    <n v="115783.18000000001"/>
    <n v="0"/>
    <n v="0"/>
    <x v="0"/>
    <x v="3"/>
    <s v="AutoPost 685"/>
    <s v="USD"/>
    <n v="-1411.99"/>
    <x v="2"/>
    <n v="82"/>
    <n v="-115783.18000000001"/>
  </r>
  <r>
    <s v="GL000686"/>
    <x v="476"/>
    <s v="5010"/>
    <x v="3"/>
    <n v="753.12"/>
    <n v="61755.840000000004"/>
    <n v="0"/>
    <n v="0"/>
    <x v="4"/>
    <x v="2"/>
    <s v="AutoPost 686"/>
    <s v="USD"/>
    <n v="-753.12"/>
    <x v="2"/>
    <n v="82"/>
    <n v="-61755.840000000004"/>
  </r>
  <r>
    <s v="GL000687"/>
    <x v="477"/>
    <s v="4000"/>
    <x v="0"/>
    <n v="0"/>
    <n v="0"/>
    <n v="3744.19"/>
    <n v="329488.72000000003"/>
    <x v="4"/>
    <x v="4"/>
    <s v="AutoPost 687"/>
    <s v="EUR"/>
    <n v="3744.19"/>
    <x v="0"/>
    <n v="88"/>
    <n v="329488.72000000003"/>
  </r>
  <r>
    <s v="GL000688"/>
    <x v="478"/>
    <s v="5000"/>
    <x v="1"/>
    <n v="906.55"/>
    <n v="55299.549999999996"/>
    <n v="0"/>
    <n v="0"/>
    <x v="0"/>
    <x v="3"/>
    <s v="AutoPost 688"/>
    <s v="CAD"/>
    <n v="-906.55"/>
    <x v="1"/>
    <n v="61"/>
    <n v="-55299.549999999996"/>
  </r>
  <r>
    <s v="GL000689"/>
    <x v="414"/>
    <s v="5010"/>
    <x v="3"/>
    <n v="215.69"/>
    <n v="12078.64"/>
    <n v="0"/>
    <n v="0"/>
    <x v="2"/>
    <x v="1"/>
    <s v="AutoPost 689"/>
    <s v="AUD"/>
    <n v="-215.69"/>
    <x v="2"/>
    <n v="56"/>
    <n v="-12078.64"/>
  </r>
  <r>
    <s v="GL000690"/>
    <x v="418"/>
    <s v="5000"/>
    <x v="1"/>
    <n v="1478.7"/>
    <n v="82807.199999999997"/>
    <n v="0"/>
    <n v="0"/>
    <x v="1"/>
    <x v="4"/>
    <s v="AutoPost 690"/>
    <s v="AUD"/>
    <n v="-1478.7"/>
    <x v="1"/>
    <n v="56"/>
    <n v="-82807.199999999997"/>
  </r>
  <r>
    <s v="GL000691"/>
    <x v="479"/>
    <s v="4000"/>
    <x v="0"/>
    <n v="0"/>
    <n v="0"/>
    <n v="3502.79"/>
    <n v="360787.37"/>
    <x v="5"/>
    <x v="0"/>
    <s v="AutoPost 691"/>
    <s v="GBP"/>
    <n v="3502.79"/>
    <x v="0"/>
    <n v="103"/>
    <n v="360787.37"/>
  </r>
  <r>
    <s v="GL000692"/>
    <x v="197"/>
    <s v="4000"/>
    <x v="0"/>
    <n v="0"/>
    <n v="0"/>
    <n v="2828.86"/>
    <n v="231966.52000000002"/>
    <x v="0"/>
    <x v="0"/>
    <s v="AutoPost 692"/>
    <s v="USD"/>
    <n v="2828.86"/>
    <x v="0"/>
    <n v="82"/>
    <n v="231966.52000000002"/>
  </r>
  <r>
    <s v="GL000693"/>
    <x v="24"/>
    <s v="6000"/>
    <x v="2"/>
    <n v="130.63999999999999"/>
    <n v="11496.32"/>
    <n v="0"/>
    <n v="0"/>
    <x v="4"/>
    <x v="0"/>
    <s v="AutoPost 693"/>
    <s v="EUR"/>
    <n v="-130.63999999999999"/>
    <x v="2"/>
    <n v="88"/>
    <n v="-11496.32"/>
  </r>
  <r>
    <s v="GL000694"/>
    <x v="480"/>
    <s v="6000"/>
    <x v="2"/>
    <n v="1824.18"/>
    <n v="111274.98000000001"/>
    <n v="0"/>
    <n v="0"/>
    <x v="2"/>
    <x v="1"/>
    <s v="AutoPost 694"/>
    <s v="CAD"/>
    <n v="-1824.18"/>
    <x v="2"/>
    <n v="61"/>
    <n v="-111274.98000000001"/>
  </r>
  <r>
    <s v="GL000695"/>
    <x v="481"/>
    <s v="4010"/>
    <x v="4"/>
    <n v="0"/>
    <n v="0"/>
    <n v="2401.06"/>
    <n v="211293.28"/>
    <x v="0"/>
    <x v="0"/>
    <s v="AutoPost 695"/>
    <s v="EUR"/>
    <n v="2401.06"/>
    <x v="0"/>
    <n v="88"/>
    <n v="211293.28"/>
  </r>
  <r>
    <s v="GL000696"/>
    <x v="482"/>
    <s v="4010"/>
    <x v="4"/>
    <n v="0"/>
    <n v="0"/>
    <n v="3086.33"/>
    <n v="271597.03999999998"/>
    <x v="1"/>
    <x v="2"/>
    <s v="AutoPost 696"/>
    <s v="EUR"/>
    <n v="3086.33"/>
    <x v="0"/>
    <n v="88"/>
    <n v="271597.03999999998"/>
  </r>
  <r>
    <s v="GL000697"/>
    <x v="111"/>
    <s v="5000"/>
    <x v="1"/>
    <n v="1546.69"/>
    <n v="159309.07"/>
    <n v="0"/>
    <n v="0"/>
    <x v="1"/>
    <x v="3"/>
    <s v="AutoPost 697"/>
    <s v="GBP"/>
    <n v="-1546.69"/>
    <x v="1"/>
    <n v="103"/>
    <n v="-159309.07"/>
  </r>
  <r>
    <s v="GL000698"/>
    <x v="483"/>
    <s v="4010"/>
    <x v="4"/>
    <n v="0"/>
    <n v="0"/>
    <n v="2135.0700000000002"/>
    <n v="175075.74000000002"/>
    <x v="2"/>
    <x v="1"/>
    <s v="AutoPost 698"/>
    <s v="USD"/>
    <n v="2135.0700000000002"/>
    <x v="0"/>
    <n v="82"/>
    <n v="175075.74000000002"/>
  </r>
  <r>
    <s v="GL000699"/>
    <x v="300"/>
    <s v="4000"/>
    <x v="0"/>
    <n v="0"/>
    <n v="0"/>
    <n v="337.27"/>
    <n v="29679.759999999998"/>
    <x v="4"/>
    <x v="3"/>
    <s v="AutoPost 699"/>
    <s v="EUR"/>
    <n v="337.27"/>
    <x v="0"/>
    <n v="88"/>
    <n v="29679.759999999998"/>
  </r>
  <r>
    <s v="GL000700"/>
    <x v="435"/>
    <s v="4010"/>
    <x v="4"/>
    <n v="0"/>
    <n v="0"/>
    <n v="4145.3100000000004"/>
    <n v="426966.93000000005"/>
    <x v="3"/>
    <x v="4"/>
    <s v="AutoPost 700"/>
    <s v="GBP"/>
    <n v="4145.3100000000004"/>
    <x v="0"/>
    <n v="103"/>
    <n v="426966.93000000005"/>
  </r>
  <r>
    <s v="GL000701"/>
    <x v="52"/>
    <s v="5010"/>
    <x v="3"/>
    <n v="322.43"/>
    <n v="19668.23"/>
    <n v="0"/>
    <n v="0"/>
    <x v="4"/>
    <x v="3"/>
    <s v="AutoPost 701"/>
    <s v="CAD"/>
    <n v="-322.43"/>
    <x v="2"/>
    <n v="61"/>
    <n v="-19668.23"/>
  </r>
  <r>
    <s v="GL000702"/>
    <x v="484"/>
    <s v="6000"/>
    <x v="2"/>
    <n v="1350.68"/>
    <n v="110755.76000000001"/>
    <n v="0"/>
    <n v="0"/>
    <x v="0"/>
    <x v="3"/>
    <s v="AutoPost 702"/>
    <s v="USD"/>
    <n v="-1350.68"/>
    <x v="2"/>
    <n v="82"/>
    <n v="-110755.76000000001"/>
  </r>
  <r>
    <s v="GL000703"/>
    <x v="485"/>
    <s v="6000"/>
    <x v="2"/>
    <n v="1038.71"/>
    <n v="91406.48000000001"/>
    <n v="0"/>
    <n v="0"/>
    <x v="2"/>
    <x v="1"/>
    <s v="AutoPost 703"/>
    <s v="EUR"/>
    <n v="-1038.71"/>
    <x v="2"/>
    <n v="88"/>
    <n v="-91406.48000000001"/>
  </r>
  <r>
    <s v="GL000704"/>
    <x v="486"/>
    <s v="5000"/>
    <x v="1"/>
    <n v="1455.61"/>
    <n v="128093.68"/>
    <n v="0"/>
    <n v="0"/>
    <x v="2"/>
    <x v="0"/>
    <s v="AutoPost 704"/>
    <s v="EUR"/>
    <n v="-1455.61"/>
    <x v="1"/>
    <n v="88"/>
    <n v="-128093.68"/>
  </r>
  <r>
    <s v="GL000705"/>
    <x v="487"/>
    <s v="6000"/>
    <x v="2"/>
    <n v="1723.07"/>
    <n v="177476.21"/>
    <n v="0"/>
    <n v="0"/>
    <x v="5"/>
    <x v="4"/>
    <s v="AutoPost 705"/>
    <s v="GBP"/>
    <n v="-1723.07"/>
    <x v="2"/>
    <n v="103"/>
    <n v="-177476.21"/>
  </r>
  <r>
    <s v="GL000706"/>
    <x v="7"/>
    <s v="4010"/>
    <x v="4"/>
    <n v="0"/>
    <n v="0"/>
    <n v="965.55"/>
    <n v="84968.4"/>
    <x v="0"/>
    <x v="1"/>
    <s v="AutoPost 706"/>
    <s v="EUR"/>
    <n v="965.55"/>
    <x v="0"/>
    <n v="88"/>
    <n v="84968.4"/>
  </r>
  <r>
    <s v="GL000707"/>
    <x v="488"/>
    <s v="4010"/>
    <x v="4"/>
    <n v="0"/>
    <n v="0"/>
    <n v="1927.89"/>
    <n v="198572.67"/>
    <x v="1"/>
    <x v="0"/>
    <s v="AutoPost 707"/>
    <s v="GBP"/>
    <n v="1927.89"/>
    <x v="0"/>
    <n v="103"/>
    <n v="198572.67"/>
  </r>
  <r>
    <s v="GL000708"/>
    <x v="489"/>
    <s v="5010"/>
    <x v="3"/>
    <n v="1789.3"/>
    <n v="157458.4"/>
    <n v="0"/>
    <n v="0"/>
    <x v="3"/>
    <x v="4"/>
    <s v="AutoPost 708"/>
    <s v="EUR"/>
    <n v="-1789.3"/>
    <x v="2"/>
    <n v="88"/>
    <n v="-157458.4"/>
  </r>
  <r>
    <s v="GL000709"/>
    <x v="490"/>
    <s v="4010"/>
    <x v="4"/>
    <n v="0"/>
    <n v="0"/>
    <n v="1155.8499999999999"/>
    <n v="70506.849999999991"/>
    <x v="4"/>
    <x v="4"/>
    <s v="AutoPost 709"/>
    <s v="CAD"/>
    <n v="1155.8499999999999"/>
    <x v="0"/>
    <n v="61"/>
    <n v="70506.849999999991"/>
  </r>
  <r>
    <s v="GL000710"/>
    <x v="132"/>
    <s v="4000"/>
    <x v="0"/>
    <n v="0"/>
    <n v="0"/>
    <n v="1701.37"/>
    <n v="139512.34"/>
    <x v="3"/>
    <x v="2"/>
    <s v="AutoPost 710"/>
    <s v="USD"/>
    <n v="1701.37"/>
    <x v="0"/>
    <n v="82"/>
    <n v="139512.34"/>
  </r>
  <r>
    <s v="GL000711"/>
    <x v="491"/>
    <s v="5010"/>
    <x v="3"/>
    <n v="706.44"/>
    <n v="57928.08"/>
    <n v="0"/>
    <n v="0"/>
    <x v="1"/>
    <x v="2"/>
    <s v="AutoPost 711"/>
    <s v="USD"/>
    <n v="-706.44"/>
    <x v="2"/>
    <n v="82"/>
    <n v="-57928.08"/>
  </r>
  <r>
    <s v="GL000712"/>
    <x v="492"/>
    <s v="4000"/>
    <x v="0"/>
    <n v="0"/>
    <n v="0"/>
    <n v="734.04"/>
    <n v="41106.239999999998"/>
    <x v="0"/>
    <x v="4"/>
    <s v="AutoPost 712"/>
    <s v="AUD"/>
    <n v="734.04"/>
    <x v="0"/>
    <n v="56"/>
    <n v="41106.239999999998"/>
  </r>
  <r>
    <s v="GL000713"/>
    <x v="493"/>
    <s v="5010"/>
    <x v="3"/>
    <n v="1551.77"/>
    <n v="86899.12"/>
    <n v="0"/>
    <n v="0"/>
    <x v="0"/>
    <x v="2"/>
    <s v="AutoPost 713"/>
    <s v="AUD"/>
    <n v="-1551.77"/>
    <x v="2"/>
    <n v="56"/>
    <n v="-86899.12"/>
  </r>
  <r>
    <s v="GL000714"/>
    <x v="137"/>
    <s v="6000"/>
    <x v="2"/>
    <n v="176.54"/>
    <n v="15535.519999999999"/>
    <n v="0"/>
    <n v="0"/>
    <x v="5"/>
    <x v="3"/>
    <s v="AutoPost 714"/>
    <s v="EUR"/>
    <n v="-176.54"/>
    <x v="2"/>
    <n v="88"/>
    <n v="-15535.519999999999"/>
  </r>
  <r>
    <s v="GL000715"/>
    <x v="79"/>
    <s v="4010"/>
    <x v="4"/>
    <n v="0"/>
    <n v="0"/>
    <n v="1019.92"/>
    <n v="57115.519999999997"/>
    <x v="2"/>
    <x v="1"/>
    <s v="AutoPost 715"/>
    <s v="AUD"/>
    <n v="1019.92"/>
    <x v="0"/>
    <n v="56"/>
    <n v="57115.519999999997"/>
  </r>
  <r>
    <s v="GL000716"/>
    <x v="494"/>
    <s v="6000"/>
    <x v="2"/>
    <n v="1858.28"/>
    <n v="152378.96"/>
    <n v="0"/>
    <n v="0"/>
    <x v="5"/>
    <x v="2"/>
    <s v="AutoPost 716"/>
    <s v="USD"/>
    <n v="-1858.28"/>
    <x v="2"/>
    <n v="82"/>
    <n v="-152378.96"/>
  </r>
  <r>
    <s v="GL000717"/>
    <x v="314"/>
    <s v="6000"/>
    <x v="2"/>
    <n v="682.74"/>
    <n v="55984.68"/>
    <n v="0"/>
    <n v="0"/>
    <x v="0"/>
    <x v="3"/>
    <s v="AutoPost 717"/>
    <s v="USD"/>
    <n v="-682.74"/>
    <x v="2"/>
    <n v="82"/>
    <n v="-55984.68"/>
  </r>
  <r>
    <s v="GL000718"/>
    <x v="495"/>
    <s v="6000"/>
    <x v="2"/>
    <n v="958.28"/>
    <n v="78578.959999999992"/>
    <n v="0"/>
    <n v="0"/>
    <x v="3"/>
    <x v="0"/>
    <s v="AutoPost 718"/>
    <s v="USD"/>
    <n v="-958.28"/>
    <x v="2"/>
    <n v="82"/>
    <n v="-78578.959999999992"/>
  </r>
  <r>
    <s v="GL000719"/>
    <x v="496"/>
    <s v="4010"/>
    <x v="4"/>
    <n v="0"/>
    <n v="0"/>
    <n v="3448.25"/>
    <n v="282756.5"/>
    <x v="4"/>
    <x v="4"/>
    <s v="AutoPost 719"/>
    <s v="USD"/>
    <n v="3448.25"/>
    <x v="0"/>
    <n v="82"/>
    <n v="282756.5"/>
  </r>
  <r>
    <s v="GL000720"/>
    <x v="497"/>
    <s v="5000"/>
    <x v="1"/>
    <n v="863.44"/>
    <n v="70802.080000000002"/>
    <n v="0"/>
    <n v="0"/>
    <x v="3"/>
    <x v="3"/>
    <s v="AutoPost 720"/>
    <s v="USD"/>
    <n v="-863.44"/>
    <x v="1"/>
    <n v="82"/>
    <n v="-70802.080000000002"/>
  </r>
  <r>
    <s v="GL000721"/>
    <x v="389"/>
    <s v="6000"/>
    <x v="2"/>
    <n v="1764.03"/>
    <n v="98785.68"/>
    <n v="0"/>
    <n v="0"/>
    <x v="1"/>
    <x v="0"/>
    <s v="AutoPost 721"/>
    <s v="AUD"/>
    <n v="-1764.03"/>
    <x v="2"/>
    <n v="56"/>
    <n v="-98785.68"/>
  </r>
  <r>
    <s v="GL000722"/>
    <x v="394"/>
    <s v="5010"/>
    <x v="3"/>
    <n v="1182.72"/>
    <n v="104079.36"/>
    <n v="0"/>
    <n v="0"/>
    <x v="4"/>
    <x v="4"/>
    <s v="AutoPost 722"/>
    <s v="EUR"/>
    <n v="-1182.72"/>
    <x v="2"/>
    <n v="88"/>
    <n v="-104079.36"/>
  </r>
  <r>
    <s v="GL000723"/>
    <x v="498"/>
    <s v="6000"/>
    <x v="2"/>
    <n v="1094.9100000000001"/>
    <n v="112775.73000000001"/>
    <n v="0"/>
    <n v="0"/>
    <x v="1"/>
    <x v="2"/>
    <s v="AutoPost 723"/>
    <s v="GBP"/>
    <n v="-1094.9100000000001"/>
    <x v="2"/>
    <n v="103"/>
    <n v="-112775.73000000001"/>
  </r>
  <r>
    <s v="GL000724"/>
    <x v="499"/>
    <s v="5010"/>
    <x v="3"/>
    <n v="889.16"/>
    <n v="91583.48"/>
    <n v="0"/>
    <n v="0"/>
    <x v="1"/>
    <x v="4"/>
    <s v="AutoPost 724"/>
    <s v="GBP"/>
    <n v="-889.16"/>
    <x v="2"/>
    <n v="103"/>
    <n v="-91583.48"/>
  </r>
  <r>
    <s v="GL000725"/>
    <x v="269"/>
    <s v="5000"/>
    <x v="1"/>
    <n v="1474.83"/>
    <n v="120936.06"/>
    <n v="0"/>
    <n v="0"/>
    <x v="1"/>
    <x v="3"/>
    <s v="AutoPost 725"/>
    <s v="USD"/>
    <n v="-1474.83"/>
    <x v="1"/>
    <n v="82"/>
    <n v="-120936.06"/>
  </r>
  <r>
    <s v="GL000726"/>
    <x v="271"/>
    <s v="5000"/>
    <x v="1"/>
    <n v="1846.14"/>
    <n v="112614.54000000001"/>
    <n v="0"/>
    <n v="0"/>
    <x v="1"/>
    <x v="1"/>
    <s v="AutoPost 726"/>
    <s v="CAD"/>
    <n v="-1846.14"/>
    <x v="1"/>
    <n v="61"/>
    <n v="-112614.54000000001"/>
  </r>
  <r>
    <s v="GL000727"/>
    <x v="203"/>
    <s v="4000"/>
    <x v="0"/>
    <n v="0"/>
    <n v="0"/>
    <n v="4903.1499999999996"/>
    <n v="274576.39999999997"/>
    <x v="2"/>
    <x v="2"/>
    <s v="AutoPost 727"/>
    <s v="AUD"/>
    <n v="4903.1499999999996"/>
    <x v="0"/>
    <n v="56"/>
    <n v="274576.39999999997"/>
  </r>
  <r>
    <s v="GL000728"/>
    <x v="500"/>
    <s v="4000"/>
    <x v="0"/>
    <n v="0"/>
    <n v="0"/>
    <n v="2093.2399999999998"/>
    <n v="117221.43999999999"/>
    <x v="5"/>
    <x v="4"/>
    <s v="AutoPost 728"/>
    <s v="AUD"/>
    <n v="2093.2399999999998"/>
    <x v="0"/>
    <n v="56"/>
    <n v="117221.43999999999"/>
  </r>
  <r>
    <s v="GL000729"/>
    <x v="501"/>
    <s v="6000"/>
    <x v="2"/>
    <n v="1171.3"/>
    <n v="71449.3"/>
    <n v="0"/>
    <n v="0"/>
    <x v="0"/>
    <x v="0"/>
    <s v="AutoPost 729"/>
    <s v="CAD"/>
    <n v="-1171.3"/>
    <x v="2"/>
    <n v="61"/>
    <n v="-71449.3"/>
  </r>
  <r>
    <s v="GL000730"/>
    <x v="502"/>
    <s v="5010"/>
    <x v="3"/>
    <n v="930.25"/>
    <n v="95815.75"/>
    <n v="0"/>
    <n v="0"/>
    <x v="2"/>
    <x v="0"/>
    <s v="AutoPost 730"/>
    <s v="GBP"/>
    <n v="-930.25"/>
    <x v="2"/>
    <n v="103"/>
    <n v="-95815.75"/>
  </r>
  <r>
    <s v="GL000731"/>
    <x v="503"/>
    <s v="4000"/>
    <x v="0"/>
    <n v="0"/>
    <n v="0"/>
    <n v="4977.82"/>
    <n v="303647.01999999996"/>
    <x v="2"/>
    <x v="2"/>
    <s v="AutoPost 731"/>
    <s v="CAD"/>
    <n v="4977.82"/>
    <x v="0"/>
    <n v="61"/>
    <n v="303647.01999999996"/>
  </r>
  <r>
    <s v="GL000732"/>
    <x v="131"/>
    <s v="5010"/>
    <x v="3"/>
    <n v="1937.34"/>
    <n v="108491.04"/>
    <n v="0"/>
    <n v="0"/>
    <x v="3"/>
    <x v="4"/>
    <s v="AutoPost 732"/>
    <s v="AUD"/>
    <n v="-1937.34"/>
    <x v="2"/>
    <n v="56"/>
    <n v="-108491.04"/>
  </r>
  <r>
    <s v="GL000733"/>
    <x v="504"/>
    <s v="4000"/>
    <x v="0"/>
    <n v="0"/>
    <n v="0"/>
    <n v="1978.42"/>
    <n v="174100.96000000002"/>
    <x v="3"/>
    <x v="4"/>
    <s v="AutoPost 733"/>
    <s v="EUR"/>
    <n v="1978.42"/>
    <x v="0"/>
    <n v="88"/>
    <n v="174100.96000000002"/>
  </r>
  <r>
    <s v="GL000734"/>
    <x v="505"/>
    <s v="6000"/>
    <x v="2"/>
    <n v="678.83"/>
    <n v="38014.480000000003"/>
    <n v="0"/>
    <n v="0"/>
    <x v="4"/>
    <x v="3"/>
    <s v="AutoPost 734"/>
    <s v="AUD"/>
    <n v="-678.83"/>
    <x v="2"/>
    <n v="56"/>
    <n v="-38014.480000000003"/>
  </r>
  <r>
    <s v="GL000735"/>
    <x v="13"/>
    <s v="4010"/>
    <x v="4"/>
    <n v="0"/>
    <n v="0"/>
    <n v="463.02"/>
    <n v="47691.06"/>
    <x v="5"/>
    <x v="0"/>
    <s v="AutoPost 735"/>
    <s v="GBP"/>
    <n v="463.02"/>
    <x v="0"/>
    <n v="103"/>
    <n v="47691.06"/>
  </r>
  <r>
    <s v="GL000736"/>
    <x v="506"/>
    <s v="5010"/>
    <x v="3"/>
    <n v="1296.07"/>
    <n v="72579.92"/>
    <n v="0"/>
    <n v="0"/>
    <x v="1"/>
    <x v="4"/>
    <s v="AutoPost 736"/>
    <s v="AUD"/>
    <n v="-1296.07"/>
    <x v="2"/>
    <n v="56"/>
    <n v="-72579.92"/>
  </r>
  <r>
    <s v="GL000737"/>
    <x v="436"/>
    <s v="4010"/>
    <x v="4"/>
    <n v="0"/>
    <n v="0"/>
    <n v="3270.5"/>
    <n v="287804"/>
    <x v="0"/>
    <x v="1"/>
    <s v="AutoPost 737"/>
    <s v="EUR"/>
    <n v="3270.5"/>
    <x v="0"/>
    <n v="88"/>
    <n v="287804"/>
  </r>
  <r>
    <s v="GL000738"/>
    <x v="507"/>
    <s v="4010"/>
    <x v="4"/>
    <n v="0"/>
    <n v="0"/>
    <n v="2188.77"/>
    <n v="133514.97"/>
    <x v="4"/>
    <x v="3"/>
    <s v="AutoPost 738"/>
    <s v="CAD"/>
    <n v="2188.77"/>
    <x v="0"/>
    <n v="61"/>
    <n v="133514.97"/>
  </r>
  <r>
    <s v="GL000739"/>
    <x v="467"/>
    <s v="5000"/>
    <x v="1"/>
    <n v="655.77"/>
    <n v="36723.119999999995"/>
    <n v="0"/>
    <n v="0"/>
    <x v="1"/>
    <x v="4"/>
    <s v="AutoPost 739"/>
    <s v="AUD"/>
    <n v="-655.77"/>
    <x v="1"/>
    <n v="56"/>
    <n v="-36723.119999999995"/>
  </r>
  <r>
    <s v="GL000740"/>
    <x v="420"/>
    <s v="6000"/>
    <x v="2"/>
    <n v="407.27"/>
    <n v="41948.81"/>
    <n v="0"/>
    <n v="0"/>
    <x v="4"/>
    <x v="3"/>
    <s v="AutoPost 740"/>
    <s v="GBP"/>
    <n v="-407.27"/>
    <x v="2"/>
    <n v="103"/>
    <n v="-41948.81"/>
  </r>
  <r>
    <s v="GL000741"/>
    <x v="508"/>
    <s v="5010"/>
    <x v="3"/>
    <n v="744.16"/>
    <n v="76648.479999999996"/>
    <n v="0"/>
    <n v="0"/>
    <x v="1"/>
    <x v="0"/>
    <s v="AutoPost 741"/>
    <s v="GBP"/>
    <n v="-744.16"/>
    <x v="2"/>
    <n v="103"/>
    <n v="-76648.479999999996"/>
  </r>
  <r>
    <s v="GL000742"/>
    <x v="378"/>
    <s v="4010"/>
    <x v="4"/>
    <n v="0"/>
    <n v="0"/>
    <n v="4474.66"/>
    <n v="460889.98"/>
    <x v="1"/>
    <x v="1"/>
    <s v="AutoPost 742"/>
    <s v="GBP"/>
    <n v="4474.66"/>
    <x v="0"/>
    <n v="103"/>
    <n v="460889.98"/>
  </r>
  <r>
    <s v="GL000743"/>
    <x v="509"/>
    <s v="5000"/>
    <x v="1"/>
    <n v="75.27"/>
    <n v="6623.7599999999993"/>
    <n v="0"/>
    <n v="0"/>
    <x v="5"/>
    <x v="2"/>
    <s v="AutoPost 743"/>
    <s v="EUR"/>
    <n v="-75.27"/>
    <x v="1"/>
    <n v="88"/>
    <n v="-6623.7599999999993"/>
  </r>
  <r>
    <s v="GL000744"/>
    <x v="236"/>
    <s v="5000"/>
    <x v="1"/>
    <n v="1164.26"/>
    <n v="102454.88"/>
    <n v="0"/>
    <n v="0"/>
    <x v="1"/>
    <x v="2"/>
    <s v="AutoPost 744"/>
    <s v="EUR"/>
    <n v="-1164.26"/>
    <x v="1"/>
    <n v="88"/>
    <n v="-102454.88"/>
  </r>
  <r>
    <s v="GL000745"/>
    <x v="435"/>
    <s v="5000"/>
    <x v="1"/>
    <n v="937.56"/>
    <n v="52503.360000000001"/>
    <n v="0"/>
    <n v="0"/>
    <x v="0"/>
    <x v="4"/>
    <s v="AutoPost 745"/>
    <s v="AUD"/>
    <n v="-937.56"/>
    <x v="1"/>
    <n v="56"/>
    <n v="-52503.360000000001"/>
  </r>
  <r>
    <s v="GL000746"/>
    <x v="510"/>
    <s v="4010"/>
    <x v="4"/>
    <n v="0"/>
    <n v="0"/>
    <n v="4164.95"/>
    <n v="428989.85"/>
    <x v="0"/>
    <x v="1"/>
    <s v="AutoPost 746"/>
    <s v="GBP"/>
    <n v="4164.95"/>
    <x v="0"/>
    <n v="103"/>
    <n v="428989.85"/>
  </r>
  <r>
    <s v="GL000747"/>
    <x v="267"/>
    <s v="4000"/>
    <x v="0"/>
    <n v="0"/>
    <n v="0"/>
    <n v="2820.1"/>
    <n v="290470.3"/>
    <x v="4"/>
    <x v="3"/>
    <s v="AutoPost 747"/>
    <s v="GBP"/>
    <n v="2820.1"/>
    <x v="0"/>
    <n v="103"/>
    <n v="290470.3"/>
  </r>
  <r>
    <s v="GL000748"/>
    <x v="511"/>
    <s v="4000"/>
    <x v="0"/>
    <n v="0"/>
    <n v="0"/>
    <n v="2983.93"/>
    <n v="167100.07999999999"/>
    <x v="2"/>
    <x v="0"/>
    <s v="AutoPost 748"/>
    <s v="AUD"/>
    <n v="2983.93"/>
    <x v="0"/>
    <n v="56"/>
    <n v="167100.07999999999"/>
  </r>
  <r>
    <s v="GL000749"/>
    <x v="512"/>
    <s v="5000"/>
    <x v="1"/>
    <n v="319.47000000000003"/>
    <n v="32905.410000000003"/>
    <n v="0"/>
    <n v="0"/>
    <x v="2"/>
    <x v="4"/>
    <s v="AutoPost 749"/>
    <s v="GBP"/>
    <n v="-319.47000000000003"/>
    <x v="1"/>
    <n v="103"/>
    <n v="-32905.410000000003"/>
  </r>
  <r>
    <s v="GL000750"/>
    <x v="259"/>
    <s v="4000"/>
    <x v="0"/>
    <n v="0"/>
    <n v="0"/>
    <n v="1222.08"/>
    <n v="100210.56"/>
    <x v="1"/>
    <x v="0"/>
    <s v="AutoPost 750"/>
    <s v="USD"/>
    <n v="1222.08"/>
    <x v="0"/>
    <n v="82"/>
    <n v="100210.56"/>
  </r>
  <r>
    <s v="GL000751"/>
    <x v="424"/>
    <s v="5010"/>
    <x v="3"/>
    <n v="199.77"/>
    <n v="11187.12"/>
    <n v="0"/>
    <n v="0"/>
    <x v="5"/>
    <x v="1"/>
    <s v="AutoPost 751"/>
    <s v="AUD"/>
    <n v="-199.77"/>
    <x v="2"/>
    <n v="56"/>
    <n v="-11187.12"/>
  </r>
  <r>
    <s v="GL000752"/>
    <x v="333"/>
    <s v="4000"/>
    <x v="0"/>
    <n v="0"/>
    <n v="0"/>
    <n v="4349.28"/>
    <n v="243559.67999999999"/>
    <x v="1"/>
    <x v="1"/>
    <s v="AutoPost 752"/>
    <s v="AUD"/>
    <n v="4349.28"/>
    <x v="0"/>
    <n v="56"/>
    <n v="243559.67999999999"/>
  </r>
  <r>
    <s v="GL000753"/>
    <x v="103"/>
    <s v="5010"/>
    <x v="3"/>
    <n v="1496.23"/>
    <n v="131668.24"/>
    <n v="0"/>
    <n v="0"/>
    <x v="2"/>
    <x v="4"/>
    <s v="AutoPost 753"/>
    <s v="EUR"/>
    <n v="-1496.23"/>
    <x v="2"/>
    <n v="88"/>
    <n v="-131668.24"/>
  </r>
  <r>
    <s v="GL000754"/>
    <x v="120"/>
    <s v="4010"/>
    <x v="4"/>
    <n v="0"/>
    <n v="0"/>
    <n v="324.7"/>
    <n v="28573.599999999999"/>
    <x v="0"/>
    <x v="1"/>
    <s v="AutoPost 754"/>
    <s v="EUR"/>
    <n v="324.7"/>
    <x v="0"/>
    <n v="88"/>
    <n v="28573.599999999999"/>
  </r>
  <r>
    <s v="GL000755"/>
    <x v="356"/>
    <s v="5000"/>
    <x v="1"/>
    <n v="1504.62"/>
    <n v="123378.84"/>
    <n v="0"/>
    <n v="0"/>
    <x v="0"/>
    <x v="3"/>
    <s v="AutoPost 755"/>
    <s v="USD"/>
    <n v="-1504.62"/>
    <x v="1"/>
    <n v="82"/>
    <n v="-123378.84"/>
  </r>
  <r>
    <s v="GL000756"/>
    <x v="513"/>
    <s v="4010"/>
    <x v="4"/>
    <n v="0"/>
    <n v="0"/>
    <n v="2507.58"/>
    <n v="140424.47999999998"/>
    <x v="5"/>
    <x v="1"/>
    <s v="AutoPost 756"/>
    <s v="AUD"/>
    <n v="2507.58"/>
    <x v="0"/>
    <n v="56"/>
    <n v="140424.47999999998"/>
  </r>
  <r>
    <s v="GL000757"/>
    <x v="375"/>
    <s v="5010"/>
    <x v="3"/>
    <n v="837.65"/>
    <n v="73713.2"/>
    <n v="0"/>
    <n v="0"/>
    <x v="1"/>
    <x v="3"/>
    <s v="AutoPost 757"/>
    <s v="EUR"/>
    <n v="-837.65"/>
    <x v="2"/>
    <n v="88"/>
    <n v="-73713.2"/>
  </r>
  <r>
    <s v="GL000758"/>
    <x v="514"/>
    <s v="6000"/>
    <x v="2"/>
    <n v="787.73"/>
    <n v="64593.86"/>
    <n v="0"/>
    <n v="0"/>
    <x v="0"/>
    <x v="1"/>
    <s v="AutoPost 758"/>
    <s v="USD"/>
    <n v="-787.73"/>
    <x v="2"/>
    <n v="82"/>
    <n v="-64593.86"/>
  </r>
  <r>
    <s v="GL000759"/>
    <x v="515"/>
    <s v="6000"/>
    <x v="2"/>
    <n v="910.72"/>
    <n v="51000.32"/>
    <n v="0"/>
    <n v="0"/>
    <x v="3"/>
    <x v="0"/>
    <s v="AutoPost 759"/>
    <s v="AUD"/>
    <n v="-910.72"/>
    <x v="2"/>
    <n v="56"/>
    <n v="-51000.32"/>
  </r>
  <r>
    <s v="GL000760"/>
    <x v="516"/>
    <s v="5010"/>
    <x v="3"/>
    <n v="1362.52"/>
    <n v="111726.64"/>
    <n v="0"/>
    <n v="0"/>
    <x v="3"/>
    <x v="0"/>
    <s v="AutoPost 760"/>
    <s v="USD"/>
    <n v="-1362.52"/>
    <x v="2"/>
    <n v="82"/>
    <n v="-111726.64"/>
  </r>
  <r>
    <s v="GL000761"/>
    <x v="124"/>
    <s v="5000"/>
    <x v="1"/>
    <n v="1261.48"/>
    <n v="103441.36"/>
    <n v="0"/>
    <n v="0"/>
    <x v="3"/>
    <x v="1"/>
    <s v="AutoPost 761"/>
    <s v="USD"/>
    <n v="-1261.48"/>
    <x v="1"/>
    <n v="82"/>
    <n v="-103441.36"/>
  </r>
  <r>
    <s v="GL000762"/>
    <x v="100"/>
    <s v="4010"/>
    <x v="4"/>
    <n v="0"/>
    <n v="0"/>
    <n v="3519.33"/>
    <n v="362490.99"/>
    <x v="4"/>
    <x v="2"/>
    <s v="AutoPost 762"/>
    <s v="GBP"/>
    <n v="3519.33"/>
    <x v="0"/>
    <n v="103"/>
    <n v="362490.99"/>
  </r>
  <r>
    <s v="GL000763"/>
    <x v="136"/>
    <s v="5000"/>
    <x v="1"/>
    <n v="1425.68"/>
    <n v="116905.76000000001"/>
    <n v="0"/>
    <n v="0"/>
    <x v="2"/>
    <x v="1"/>
    <s v="AutoPost 763"/>
    <s v="USD"/>
    <n v="-1425.68"/>
    <x v="1"/>
    <n v="82"/>
    <n v="-116905.76000000001"/>
  </r>
  <r>
    <s v="GL000764"/>
    <x v="437"/>
    <s v="4010"/>
    <x v="4"/>
    <n v="0"/>
    <n v="0"/>
    <n v="4831.59"/>
    <n v="294726.99"/>
    <x v="5"/>
    <x v="4"/>
    <s v="AutoPost 764"/>
    <s v="CAD"/>
    <n v="4831.59"/>
    <x v="0"/>
    <n v="61"/>
    <n v="294726.99"/>
  </r>
  <r>
    <s v="GL000765"/>
    <x v="307"/>
    <s v="4010"/>
    <x v="4"/>
    <n v="0"/>
    <n v="0"/>
    <n v="3282.7"/>
    <n v="183831.19999999998"/>
    <x v="4"/>
    <x v="0"/>
    <s v="AutoPost 765"/>
    <s v="AUD"/>
    <n v="3282.7"/>
    <x v="0"/>
    <n v="56"/>
    <n v="183831.19999999998"/>
  </r>
  <r>
    <s v="GL000766"/>
    <x v="517"/>
    <s v="5000"/>
    <x v="1"/>
    <n v="1789.76"/>
    <n v="100226.56"/>
    <n v="0"/>
    <n v="0"/>
    <x v="2"/>
    <x v="2"/>
    <s v="AutoPost 766"/>
    <s v="AUD"/>
    <n v="-1789.76"/>
    <x v="1"/>
    <n v="56"/>
    <n v="-100226.56"/>
  </r>
  <r>
    <s v="GL000767"/>
    <x v="431"/>
    <s v="5000"/>
    <x v="1"/>
    <n v="1557.62"/>
    <n v="137070.56"/>
    <n v="0"/>
    <n v="0"/>
    <x v="4"/>
    <x v="3"/>
    <s v="AutoPost 767"/>
    <s v="EUR"/>
    <n v="-1557.62"/>
    <x v="1"/>
    <n v="88"/>
    <n v="-137070.56"/>
  </r>
  <r>
    <s v="GL000768"/>
    <x v="419"/>
    <s v="4000"/>
    <x v="0"/>
    <n v="0"/>
    <n v="0"/>
    <n v="4262.2299999999996"/>
    <n v="375076.24"/>
    <x v="5"/>
    <x v="1"/>
    <s v="AutoPost 768"/>
    <s v="EUR"/>
    <n v="4262.2299999999996"/>
    <x v="0"/>
    <n v="88"/>
    <n v="375076.24"/>
  </r>
  <r>
    <s v="GL000769"/>
    <x v="505"/>
    <s v="5000"/>
    <x v="1"/>
    <n v="1754.04"/>
    <n v="154355.51999999999"/>
    <n v="0"/>
    <n v="0"/>
    <x v="3"/>
    <x v="3"/>
    <s v="AutoPost 769"/>
    <s v="EUR"/>
    <n v="-1754.04"/>
    <x v="1"/>
    <n v="88"/>
    <n v="-154355.51999999999"/>
  </r>
  <r>
    <s v="GL000770"/>
    <x v="518"/>
    <s v="5010"/>
    <x v="3"/>
    <n v="604.27"/>
    <n v="53175.759999999995"/>
    <n v="0"/>
    <n v="0"/>
    <x v="5"/>
    <x v="3"/>
    <s v="AutoPost 770"/>
    <s v="EUR"/>
    <n v="-604.27"/>
    <x v="2"/>
    <n v="88"/>
    <n v="-53175.759999999995"/>
  </r>
  <r>
    <s v="GL000771"/>
    <x v="393"/>
    <s v="5010"/>
    <x v="3"/>
    <n v="788.46"/>
    <n v="48096.060000000005"/>
    <n v="0"/>
    <n v="0"/>
    <x v="4"/>
    <x v="3"/>
    <s v="AutoPost 771"/>
    <s v="CAD"/>
    <n v="-788.46"/>
    <x v="2"/>
    <n v="61"/>
    <n v="-48096.060000000005"/>
  </r>
  <r>
    <s v="GL000772"/>
    <x v="519"/>
    <s v="4000"/>
    <x v="0"/>
    <n v="0"/>
    <n v="0"/>
    <n v="1493.92"/>
    <n v="122501.44"/>
    <x v="1"/>
    <x v="1"/>
    <s v="AutoPost 772"/>
    <s v="USD"/>
    <n v="1493.92"/>
    <x v="0"/>
    <n v="82"/>
    <n v="122501.44"/>
  </r>
  <r>
    <s v="GL000773"/>
    <x v="480"/>
    <s v="5000"/>
    <x v="1"/>
    <n v="588.44000000000005"/>
    <n v="35894.840000000004"/>
    <n v="0"/>
    <n v="0"/>
    <x v="3"/>
    <x v="1"/>
    <s v="AutoPost 773"/>
    <s v="CAD"/>
    <n v="-588.44000000000005"/>
    <x v="1"/>
    <n v="61"/>
    <n v="-35894.840000000004"/>
  </r>
  <r>
    <s v="GL000774"/>
    <x v="182"/>
    <s v="5000"/>
    <x v="1"/>
    <n v="1078.52"/>
    <n v="60397.119999999995"/>
    <n v="0"/>
    <n v="0"/>
    <x v="3"/>
    <x v="1"/>
    <s v="AutoPost 774"/>
    <s v="AUD"/>
    <n v="-1078.52"/>
    <x v="1"/>
    <n v="56"/>
    <n v="-60397.119999999995"/>
  </r>
  <r>
    <s v="GL000775"/>
    <x v="520"/>
    <s v="4010"/>
    <x v="4"/>
    <n v="0"/>
    <n v="0"/>
    <n v="4324.54"/>
    <n v="380559.52"/>
    <x v="2"/>
    <x v="0"/>
    <s v="AutoPost 775"/>
    <s v="EUR"/>
    <n v="4324.54"/>
    <x v="0"/>
    <n v="88"/>
    <n v="380559.52"/>
  </r>
  <r>
    <s v="GL000776"/>
    <x v="521"/>
    <s v="4010"/>
    <x v="4"/>
    <n v="0"/>
    <n v="0"/>
    <n v="2300.21"/>
    <n v="236921.63"/>
    <x v="4"/>
    <x v="1"/>
    <s v="AutoPost 776"/>
    <s v="GBP"/>
    <n v="2300.21"/>
    <x v="0"/>
    <n v="103"/>
    <n v="236921.63"/>
  </r>
  <r>
    <s v="GL000777"/>
    <x v="97"/>
    <s v="6000"/>
    <x v="2"/>
    <n v="446.19"/>
    <n v="45957.57"/>
    <n v="0"/>
    <n v="0"/>
    <x v="5"/>
    <x v="3"/>
    <s v="AutoPost 777"/>
    <s v="GBP"/>
    <n v="-446.19"/>
    <x v="2"/>
    <n v="103"/>
    <n v="-45957.57"/>
  </r>
  <r>
    <s v="GL000778"/>
    <x v="197"/>
    <s v="4000"/>
    <x v="0"/>
    <n v="0"/>
    <n v="0"/>
    <n v="1518.24"/>
    <n v="85021.440000000002"/>
    <x v="3"/>
    <x v="3"/>
    <s v="AutoPost 778"/>
    <s v="AUD"/>
    <n v="1518.24"/>
    <x v="0"/>
    <n v="56"/>
    <n v="85021.440000000002"/>
  </r>
  <r>
    <s v="GL000779"/>
    <x v="522"/>
    <s v="6000"/>
    <x v="2"/>
    <n v="1385.02"/>
    <n v="77561.119999999995"/>
    <n v="0"/>
    <n v="0"/>
    <x v="3"/>
    <x v="3"/>
    <s v="AutoPost 779"/>
    <s v="AUD"/>
    <n v="-1385.02"/>
    <x v="2"/>
    <n v="56"/>
    <n v="-77561.119999999995"/>
  </r>
  <r>
    <s v="GL000780"/>
    <x v="523"/>
    <s v="6000"/>
    <x v="2"/>
    <n v="1887.31"/>
    <n v="194392.93"/>
    <n v="0"/>
    <n v="0"/>
    <x v="3"/>
    <x v="0"/>
    <s v="AutoPost 780"/>
    <s v="GBP"/>
    <n v="-1887.31"/>
    <x v="2"/>
    <n v="103"/>
    <n v="-194392.93"/>
  </r>
  <r>
    <s v="GL000781"/>
    <x v="327"/>
    <s v="4000"/>
    <x v="0"/>
    <n v="0"/>
    <n v="0"/>
    <n v="4476.07"/>
    <n v="250659.91999999998"/>
    <x v="5"/>
    <x v="3"/>
    <s v="AutoPost 781"/>
    <s v="AUD"/>
    <n v="4476.07"/>
    <x v="0"/>
    <n v="56"/>
    <n v="250659.91999999998"/>
  </r>
  <r>
    <s v="GL000782"/>
    <x v="524"/>
    <s v="6000"/>
    <x v="2"/>
    <n v="170.41"/>
    <n v="13973.619999999999"/>
    <n v="0"/>
    <n v="0"/>
    <x v="5"/>
    <x v="3"/>
    <s v="AutoPost 782"/>
    <s v="USD"/>
    <n v="-170.41"/>
    <x v="2"/>
    <n v="82"/>
    <n v="-13973.619999999999"/>
  </r>
  <r>
    <s v="GL000783"/>
    <x v="525"/>
    <s v="5010"/>
    <x v="3"/>
    <n v="1650.02"/>
    <n v="169952.06"/>
    <n v="0"/>
    <n v="0"/>
    <x v="5"/>
    <x v="2"/>
    <s v="AutoPost 783"/>
    <s v="GBP"/>
    <n v="-1650.02"/>
    <x v="2"/>
    <n v="103"/>
    <n v="-169952.06"/>
  </r>
  <r>
    <s v="GL000784"/>
    <x v="67"/>
    <s v="4010"/>
    <x v="4"/>
    <n v="0"/>
    <n v="0"/>
    <n v="3235.44"/>
    <n v="181184.64000000001"/>
    <x v="0"/>
    <x v="0"/>
    <s v="AutoPost 784"/>
    <s v="AUD"/>
    <n v="3235.44"/>
    <x v="0"/>
    <n v="56"/>
    <n v="181184.64000000001"/>
  </r>
  <r>
    <s v="GL000785"/>
    <x v="526"/>
    <s v="5000"/>
    <x v="1"/>
    <n v="459.65"/>
    <n v="28038.649999999998"/>
    <n v="0"/>
    <n v="0"/>
    <x v="0"/>
    <x v="0"/>
    <s v="AutoPost 785"/>
    <s v="CAD"/>
    <n v="-459.65"/>
    <x v="1"/>
    <n v="61"/>
    <n v="-28038.649999999998"/>
  </r>
  <r>
    <s v="GL000786"/>
    <x v="482"/>
    <s v="5010"/>
    <x v="3"/>
    <n v="882.11"/>
    <n v="53808.71"/>
    <n v="0"/>
    <n v="0"/>
    <x v="5"/>
    <x v="3"/>
    <s v="AutoPost 786"/>
    <s v="CAD"/>
    <n v="-882.11"/>
    <x v="2"/>
    <n v="61"/>
    <n v="-53808.71"/>
  </r>
  <r>
    <s v="GL000787"/>
    <x v="171"/>
    <s v="6000"/>
    <x v="2"/>
    <n v="1023.17"/>
    <n v="105386.51"/>
    <n v="0"/>
    <n v="0"/>
    <x v="5"/>
    <x v="3"/>
    <s v="AutoPost 787"/>
    <s v="GBP"/>
    <n v="-1023.17"/>
    <x v="2"/>
    <n v="103"/>
    <n v="-105386.51"/>
  </r>
  <r>
    <s v="GL000788"/>
    <x v="527"/>
    <s v="5010"/>
    <x v="3"/>
    <n v="510.05"/>
    <n v="31113.05"/>
    <n v="0"/>
    <n v="0"/>
    <x v="3"/>
    <x v="0"/>
    <s v="AutoPost 788"/>
    <s v="CAD"/>
    <n v="-510.05"/>
    <x v="2"/>
    <n v="61"/>
    <n v="-31113.05"/>
  </r>
  <r>
    <s v="GL000789"/>
    <x v="528"/>
    <s v="4010"/>
    <x v="4"/>
    <n v="0"/>
    <n v="0"/>
    <n v="3848.25"/>
    <n v="215502"/>
    <x v="0"/>
    <x v="1"/>
    <s v="AutoPost 789"/>
    <s v="AUD"/>
    <n v="3848.25"/>
    <x v="0"/>
    <n v="56"/>
    <n v="215502"/>
  </r>
  <r>
    <s v="GL000790"/>
    <x v="245"/>
    <s v="5000"/>
    <x v="1"/>
    <n v="315.25"/>
    <n v="17654"/>
    <n v="0"/>
    <n v="0"/>
    <x v="3"/>
    <x v="3"/>
    <s v="AutoPost 790"/>
    <s v="AUD"/>
    <n v="-315.25"/>
    <x v="1"/>
    <n v="56"/>
    <n v="-17654"/>
  </r>
  <r>
    <s v="GL000791"/>
    <x v="266"/>
    <s v="4010"/>
    <x v="4"/>
    <n v="0"/>
    <n v="0"/>
    <n v="4030.96"/>
    <n v="330538.72000000003"/>
    <x v="5"/>
    <x v="1"/>
    <s v="AutoPost 791"/>
    <s v="USD"/>
    <n v="4030.96"/>
    <x v="0"/>
    <n v="82"/>
    <n v="330538.72000000003"/>
  </r>
  <r>
    <s v="GL000792"/>
    <x v="42"/>
    <s v="4000"/>
    <x v="0"/>
    <n v="0"/>
    <n v="0"/>
    <n v="1965.39"/>
    <n v="119888.79000000001"/>
    <x v="3"/>
    <x v="1"/>
    <s v="AutoPost 792"/>
    <s v="CAD"/>
    <n v="1965.39"/>
    <x v="0"/>
    <n v="61"/>
    <n v="119888.79000000001"/>
  </r>
  <r>
    <s v="GL000793"/>
    <x v="529"/>
    <s v="4010"/>
    <x v="4"/>
    <n v="0"/>
    <n v="0"/>
    <n v="3170.84"/>
    <n v="260008.88"/>
    <x v="4"/>
    <x v="4"/>
    <s v="AutoPost 793"/>
    <s v="USD"/>
    <n v="3170.84"/>
    <x v="0"/>
    <n v="82"/>
    <n v="260008.88"/>
  </r>
  <r>
    <s v="GL000794"/>
    <x v="207"/>
    <s v="4010"/>
    <x v="4"/>
    <n v="0"/>
    <n v="0"/>
    <n v="3010.78"/>
    <n v="246883.96000000002"/>
    <x v="3"/>
    <x v="1"/>
    <s v="AutoPost 794"/>
    <s v="USD"/>
    <n v="3010.78"/>
    <x v="0"/>
    <n v="82"/>
    <n v="246883.96000000002"/>
  </r>
  <r>
    <s v="GL000795"/>
    <x v="530"/>
    <s v="6000"/>
    <x v="2"/>
    <n v="1953.3"/>
    <n v="119151.3"/>
    <n v="0"/>
    <n v="0"/>
    <x v="4"/>
    <x v="1"/>
    <s v="AutoPost 795"/>
    <s v="CAD"/>
    <n v="-1953.3"/>
    <x v="2"/>
    <n v="61"/>
    <n v="-119151.3"/>
  </r>
  <r>
    <s v="GL000796"/>
    <x v="373"/>
    <s v="5010"/>
    <x v="3"/>
    <n v="1420.92"/>
    <n v="79571.520000000004"/>
    <n v="0"/>
    <n v="0"/>
    <x v="4"/>
    <x v="0"/>
    <s v="AutoPost 796"/>
    <s v="AUD"/>
    <n v="-1420.92"/>
    <x v="2"/>
    <n v="56"/>
    <n v="-79571.520000000004"/>
  </r>
  <r>
    <s v="GL000797"/>
    <x v="204"/>
    <s v="6000"/>
    <x v="2"/>
    <n v="203.96"/>
    <n v="16724.72"/>
    <n v="0"/>
    <n v="0"/>
    <x v="5"/>
    <x v="2"/>
    <s v="AutoPost 797"/>
    <s v="USD"/>
    <n v="-203.96"/>
    <x v="2"/>
    <n v="82"/>
    <n v="-16724.72"/>
  </r>
  <r>
    <s v="GL000798"/>
    <x v="531"/>
    <s v="4010"/>
    <x v="4"/>
    <n v="0"/>
    <n v="0"/>
    <n v="2860.2"/>
    <n v="174472.19999999998"/>
    <x v="3"/>
    <x v="1"/>
    <s v="AutoPost 798"/>
    <s v="CAD"/>
    <n v="2860.2"/>
    <x v="0"/>
    <n v="61"/>
    <n v="174472.19999999998"/>
  </r>
  <r>
    <s v="GL000799"/>
    <x v="186"/>
    <s v="5010"/>
    <x v="3"/>
    <n v="1363.92"/>
    <n v="83199.12000000001"/>
    <n v="0"/>
    <n v="0"/>
    <x v="5"/>
    <x v="1"/>
    <s v="AutoPost 799"/>
    <s v="CAD"/>
    <n v="-1363.92"/>
    <x v="2"/>
    <n v="61"/>
    <n v="-83199.12000000001"/>
  </r>
  <r>
    <s v="GL000800"/>
    <x v="487"/>
    <s v="4000"/>
    <x v="0"/>
    <n v="0"/>
    <n v="0"/>
    <n v="4449.82"/>
    <n v="271439.01999999996"/>
    <x v="3"/>
    <x v="1"/>
    <s v="AutoPost 800"/>
    <s v="CAD"/>
    <n v="4449.82"/>
    <x v="0"/>
    <n v="61"/>
    <n v="271439.01999999996"/>
  </r>
  <r>
    <s v="GL000801"/>
    <x v="532"/>
    <s v="5010"/>
    <x v="3"/>
    <n v="256.63"/>
    <n v="14371.279999999999"/>
    <n v="0"/>
    <n v="0"/>
    <x v="3"/>
    <x v="3"/>
    <s v="AutoPost 801"/>
    <s v="AUD"/>
    <n v="-256.63"/>
    <x v="2"/>
    <n v="56"/>
    <n v="-14371.279999999999"/>
  </r>
  <r>
    <s v="GL000802"/>
    <x v="265"/>
    <s v="4000"/>
    <x v="0"/>
    <n v="0"/>
    <n v="0"/>
    <n v="303.74"/>
    <n v="26729.120000000003"/>
    <x v="0"/>
    <x v="3"/>
    <s v="AutoPost 802"/>
    <s v="EUR"/>
    <n v="303.74"/>
    <x v="0"/>
    <n v="88"/>
    <n v="26729.120000000003"/>
  </r>
  <r>
    <s v="GL000803"/>
    <x v="410"/>
    <s v="5000"/>
    <x v="1"/>
    <n v="1181.69"/>
    <n v="121714.07"/>
    <n v="0"/>
    <n v="0"/>
    <x v="0"/>
    <x v="4"/>
    <s v="AutoPost 803"/>
    <s v="GBP"/>
    <n v="-1181.69"/>
    <x v="1"/>
    <n v="103"/>
    <n v="-121714.07"/>
  </r>
  <r>
    <s v="GL000804"/>
    <x v="533"/>
    <s v="4010"/>
    <x v="4"/>
    <n v="0"/>
    <n v="0"/>
    <n v="2568.02"/>
    <n v="143809.12"/>
    <x v="5"/>
    <x v="0"/>
    <s v="AutoPost 804"/>
    <s v="AUD"/>
    <n v="2568.02"/>
    <x v="0"/>
    <n v="56"/>
    <n v="143809.12"/>
  </r>
  <r>
    <s v="GL000805"/>
    <x v="263"/>
    <s v="5000"/>
    <x v="1"/>
    <n v="1567.28"/>
    <n v="87767.679999999993"/>
    <n v="0"/>
    <n v="0"/>
    <x v="3"/>
    <x v="4"/>
    <s v="AutoPost 805"/>
    <s v="AUD"/>
    <n v="-1567.28"/>
    <x v="1"/>
    <n v="56"/>
    <n v="-87767.679999999993"/>
  </r>
  <r>
    <s v="GL000806"/>
    <x v="440"/>
    <s v="4010"/>
    <x v="4"/>
    <n v="0"/>
    <n v="0"/>
    <n v="1614.33"/>
    <n v="166275.99"/>
    <x v="0"/>
    <x v="3"/>
    <s v="AutoPost 806"/>
    <s v="GBP"/>
    <n v="1614.33"/>
    <x v="0"/>
    <n v="103"/>
    <n v="166275.99"/>
  </r>
  <r>
    <s v="GL000807"/>
    <x v="534"/>
    <s v="6000"/>
    <x v="2"/>
    <n v="335.31"/>
    <n v="34536.93"/>
    <n v="0"/>
    <n v="0"/>
    <x v="0"/>
    <x v="0"/>
    <s v="AutoPost 807"/>
    <s v="GBP"/>
    <n v="-335.31"/>
    <x v="2"/>
    <n v="103"/>
    <n v="-34536.93"/>
  </r>
  <r>
    <s v="GL000808"/>
    <x v="126"/>
    <s v="5010"/>
    <x v="3"/>
    <n v="1491.54"/>
    <n v="122306.28"/>
    <n v="0"/>
    <n v="0"/>
    <x v="3"/>
    <x v="4"/>
    <s v="AutoPost 808"/>
    <s v="USD"/>
    <n v="-1491.54"/>
    <x v="2"/>
    <n v="82"/>
    <n v="-122306.28"/>
  </r>
  <r>
    <s v="GL000809"/>
    <x v="319"/>
    <s v="4010"/>
    <x v="4"/>
    <n v="0"/>
    <n v="0"/>
    <n v="2809.76"/>
    <n v="230400.32"/>
    <x v="4"/>
    <x v="1"/>
    <s v="AutoPost 809"/>
    <s v="USD"/>
    <n v="2809.76"/>
    <x v="0"/>
    <n v="82"/>
    <n v="230400.32"/>
  </r>
  <r>
    <s v="GL000810"/>
    <x v="535"/>
    <s v="4000"/>
    <x v="0"/>
    <n v="0"/>
    <n v="0"/>
    <n v="460.23"/>
    <n v="37738.86"/>
    <x v="2"/>
    <x v="3"/>
    <s v="AutoPost 810"/>
    <s v="USD"/>
    <n v="460.23"/>
    <x v="0"/>
    <n v="82"/>
    <n v="37738.86"/>
  </r>
  <r>
    <s v="GL000811"/>
    <x v="536"/>
    <s v="4010"/>
    <x v="4"/>
    <n v="0"/>
    <n v="0"/>
    <n v="2788.91"/>
    <n v="287257.73"/>
    <x v="5"/>
    <x v="3"/>
    <s v="AutoPost 811"/>
    <s v="GBP"/>
    <n v="2788.91"/>
    <x v="0"/>
    <n v="103"/>
    <n v="287257.73"/>
  </r>
  <r>
    <s v="GL000812"/>
    <x v="249"/>
    <s v="6000"/>
    <x v="2"/>
    <n v="695.92"/>
    <n v="71679.759999999995"/>
    <n v="0"/>
    <n v="0"/>
    <x v="1"/>
    <x v="2"/>
    <s v="AutoPost 812"/>
    <s v="GBP"/>
    <n v="-695.92"/>
    <x v="2"/>
    <n v="103"/>
    <n v="-71679.759999999995"/>
  </r>
  <r>
    <s v="GL000813"/>
    <x v="537"/>
    <s v="5010"/>
    <x v="3"/>
    <n v="1845.75"/>
    <n v="190112.25"/>
    <n v="0"/>
    <n v="0"/>
    <x v="0"/>
    <x v="3"/>
    <s v="AutoPost 813"/>
    <s v="GBP"/>
    <n v="-1845.75"/>
    <x v="2"/>
    <n v="103"/>
    <n v="-190112.25"/>
  </r>
  <r>
    <s v="GL000814"/>
    <x v="405"/>
    <s v="5000"/>
    <x v="1"/>
    <n v="892.42"/>
    <n v="54437.619999999995"/>
    <n v="0"/>
    <n v="0"/>
    <x v="4"/>
    <x v="0"/>
    <s v="AutoPost 814"/>
    <s v="CAD"/>
    <n v="-892.42"/>
    <x v="1"/>
    <n v="61"/>
    <n v="-54437.619999999995"/>
  </r>
  <r>
    <s v="GL000815"/>
    <x v="97"/>
    <s v="5010"/>
    <x v="3"/>
    <n v="1024.68"/>
    <n v="105542.04000000001"/>
    <n v="0"/>
    <n v="0"/>
    <x v="1"/>
    <x v="0"/>
    <s v="AutoPost 815"/>
    <s v="GBP"/>
    <n v="-1024.68"/>
    <x v="2"/>
    <n v="103"/>
    <n v="-105542.04000000001"/>
  </r>
  <r>
    <s v="GL000816"/>
    <x v="191"/>
    <s v="6000"/>
    <x v="2"/>
    <n v="927.04"/>
    <n v="56549.439999999995"/>
    <n v="0"/>
    <n v="0"/>
    <x v="3"/>
    <x v="3"/>
    <s v="AutoPost 816"/>
    <s v="CAD"/>
    <n v="-927.04"/>
    <x v="2"/>
    <n v="61"/>
    <n v="-56549.439999999995"/>
  </r>
  <r>
    <s v="GL000817"/>
    <x v="538"/>
    <s v="4000"/>
    <x v="0"/>
    <n v="0"/>
    <n v="0"/>
    <n v="3540.18"/>
    <n v="215950.97999999998"/>
    <x v="3"/>
    <x v="0"/>
    <s v="AutoPost 817"/>
    <s v="CAD"/>
    <n v="3540.18"/>
    <x v="0"/>
    <n v="61"/>
    <n v="215950.97999999998"/>
  </r>
  <r>
    <s v="GL000818"/>
    <x v="169"/>
    <s v="4010"/>
    <x v="4"/>
    <n v="0"/>
    <n v="0"/>
    <n v="4254.72"/>
    <n v="438236.16000000003"/>
    <x v="2"/>
    <x v="0"/>
    <s v="AutoPost 818"/>
    <s v="GBP"/>
    <n v="4254.72"/>
    <x v="0"/>
    <n v="103"/>
    <n v="438236.16000000003"/>
  </r>
  <r>
    <s v="GL000819"/>
    <x v="90"/>
    <s v="5010"/>
    <x v="3"/>
    <n v="1013.65"/>
    <n v="56764.4"/>
    <n v="0"/>
    <n v="0"/>
    <x v="0"/>
    <x v="3"/>
    <s v="AutoPost 819"/>
    <s v="AUD"/>
    <n v="-1013.65"/>
    <x v="2"/>
    <n v="56"/>
    <n v="-56764.4"/>
  </r>
  <r>
    <s v="GL000820"/>
    <x v="539"/>
    <s v="4010"/>
    <x v="4"/>
    <n v="0"/>
    <n v="0"/>
    <n v="2994.63"/>
    <n v="245559.66"/>
    <x v="2"/>
    <x v="3"/>
    <s v="AutoPost 820"/>
    <s v="USD"/>
    <n v="2994.63"/>
    <x v="0"/>
    <n v="82"/>
    <n v="245559.66"/>
  </r>
  <r>
    <s v="GL000821"/>
    <x v="167"/>
    <s v="4000"/>
    <x v="0"/>
    <n v="0"/>
    <n v="0"/>
    <n v="4094.14"/>
    <n v="335719.48"/>
    <x v="4"/>
    <x v="0"/>
    <s v="AutoPost 821"/>
    <s v="USD"/>
    <n v="4094.14"/>
    <x v="0"/>
    <n v="82"/>
    <n v="335719.48"/>
  </r>
  <r>
    <s v="GL000822"/>
    <x v="119"/>
    <s v="6000"/>
    <x v="2"/>
    <n v="784.89"/>
    <n v="43953.84"/>
    <n v="0"/>
    <n v="0"/>
    <x v="1"/>
    <x v="1"/>
    <s v="AutoPost 822"/>
    <s v="AUD"/>
    <n v="-784.89"/>
    <x v="2"/>
    <n v="56"/>
    <n v="-43953.84"/>
  </r>
  <r>
    <s v="GL000823"/>
    <x v="82"/>
    <s v="5000"/>
    <x v="1"/>
    <n v="219.41"/>
    <n v="12286.96"/>
    <n v="0"/>
    <n v="0"/>
    <x v="2"/>
    <x v="0"/>
    <s v="AutoPost 823"/>
    <s v="AUD"/>
    <n v="-219.41"/>
    <x v="1"/>
    <n v="56"/>
    <n v="-12286.96"/>
  </r>
  <r>
    <s v="GL000824"/>
    <x v="72"/>
    <s v="4000"/>
    <x v="0"/>
    <n v="0"/>
    <n v="0"/>
    <n v="1558.82"/>
    <n v="137176.16"/>
    <x v="4"/>
    <x v="3"/>
    <s v="AutoPost 824"/>
    <s v="EUR"/>
    <n v="1558.82"/>
    <x v="0"/>
    <n v="88"/>
    <n v="137176.16"/>
  </r>
  <r>
    <s v="GL000825"/>
    <x v="319"/>
    <s v="6000"/>
    <x v="2"/>
    <n v="723.9"/>
    <n v="44157.9"/>
    <n v="0"/>
    <n v="0"/>
    <x v="2"/>
    <x v="2"/>
    <s v="AutoPost 825"/>
    <s v="CAD"/>
    <n v="-723.9"/>
    <x v="2"/>
    <n v="61"/>
    <n v="-44157.9"/>
  </r>
  <r>
    <s v="GL000826"/>
    <x v="477"/>
    <s v="4010"/>
    <x v="4"/>
    <n v="0"/>
    <n v="0"/>
    <n v="2447.66"/>
    <n v="137068.96"/>
    <x v="5"/>
    <x v="1"/>
    <s v="AutoPost 826"/>
    <s v="AUD"/>
    <n v="2447.66"/>
    <x v="0"/>
    <n v="56"/>
    <n v="137068.96"/>
  </r>
  <r>
    <s v="GL000827"/>
    <x v="525"/>
    <s v="4000"/>
    <x v="0"/>
    <n v="0"/>
    <n v="0"/>
    <n v="1067.43"/>
    <n v="93933.840000000011"/>
    <x v="5"/>
    <x v="0"/>
    <s v="AutoPost 827"/>
    <s v="EUR"/>
    <n v="1067.43"/>
    <x v="0"/>
    <n v="88"/>
    <n v="93933.840000000011"/>
  </r>
  <r>
    <s v="GL000828"/>
    <x v="132"/>
    <s v="5010"/>
    <x v="3"/>
    <n v="977.48"/>
    <n v="54738.880000000005"/>
    <n v="0"/>
    <n v="0"/>
    <x v="1"/>
    <x v="3"/>
    <s v="AutoPost 828"/>
    <s v="AUD"/>
    <n v="-977.48"/>
    <x v="2"/>
    <n v="56"/>
    <n v="-54738.880000000005"/>
  </r>
  <r>
    <s v="GL000829"/>
    <x v="402"/>
    <s v="6000"/>
    <x v="2"/>
    <n v="1331.39"/>
    <n v="109173.98000000001"/>
    <n v="0"/>
    <n v="0"/>
    <x v="0"/>
    <x v="0"/>
    <s v="AutoPost 829"/>
    <s v="USD"/>
    <n v="-1331.39"/>
    <x v="2"/>
    <n v="82"/>
    <n v="-109173.98000000001"/>
  </r>
  <r>
    <s v="GL000830"/>
    <x v="540"/>
    <s v="4010"/>
    <x v="4"/>
    <n v="0"/>
    <n v="0"/>
    <n v="4756.54"/>
    <n v="418575.52"/>
    <x v="1"/>
    <x v="2"/>
    <s v="AutoPost 830"/>
    <s v="EUR"/>
    <n v="4756.54"/>
    <x v="0"/>
    <n v="88"/>
    <n v="418575.52"/>
  </r>
  <r>
    <s v="GL000831"/>
    <x v="541"/>
    <s v="5000"/>
    <x v="1"/>
    <n v="543"/>
    <n v="44526"/>
    <n v="0"/>
    <n v="0"/>
    <x v="2"/>
    <x v="1"/>
    <s v="AutoPost 831"/>
    <s v="USD"/>
    <n v="-543"/>
    <x v="1"/>
    <n v="82"/>
    <n v="-44526"/>
  </r>
  <r>
    <s v="GL000832"/>
    <x v="336"/>
    <s v="5010"/>
    <x v="3"/>
    <n v="635.02"/>
    <n v="38736.22"/>
    <n v="0"/>
    <n v="0"/>
    <x v="3"/>
    <x v="2"/>
    <s v="AutoPost 832"/>
    <s v="CAD"/>
    <n v="-635.02"/>
    <x v="2"/>
    <n v="61"/>
    <n v="-38736.22"/>
  </r>
  <r>
    <s v="GL000833"/>
    <x v="542"/>
    <s v="6000"/>
    <x v="2"/>
    <n v="1114.53"/>
    <n v="62413.68"/>
    <n v="0"/>
    <n v="0"/>
    <x v="3"/>
    <x v="1"/>
    <s v="AutoPost 833"/>
    <s v="AUD"/>
    <n v="-1114.53"/>
    <x v="2"/>
    <n v="56"/>
    <n v="-62413.68"/>
  </r>
  <r>
    <s v="GL000834"/>
    <x v="110"/>
    <s v="4000"/>
    <x v="0"/>
    <n v="0"/>
    <n v="0"/>
    <n v="1484.62"/>
    <n v="152915.85999999999"/>
    <x v="3"/>
    <x v="3"/>
    <s v="AutoPost 834"/>
    <s v="GBP"/>
    <n v="1484.62"/>
    <x v="0"/>
    <n v="103"/>
    <n v="152915.85999999999"/>
  </r>
  <r>
    <s v="GL000835"/>
    <x v="308"/>
    <s v="6000"/>
    <x v="2"/>
    <n v="742.51"/>
    <n v="76478.53"/>
    <n v="0"/>
    <n v="0"/>
    <x v="4"/>
    <x v="2"/>
    <s v="AutoPost 835"/>
    <s v="GBP"/>
    <n v="-742.51"/>
    <x v="2"/>
    <n v="103"/>
    <n v="-76478.53"/>
  </r>
  <r>
    <s v="GL000836"/>
    <x v="59"/>
    <s v="4000"/>
    <x v="0"/>
    <n v="0"/>
    <n v="0"/>
    <n v="3933.89"/>
    <n v="239967.28999999998"/>
    <x v="1"/>
    <x v="3"/>
    <s v="AutoPost 836"/>
    <s v="CAD"/>
    <n v="3933.89"/>
    <x v="0"/>
    <n v="61"/>
    <n v="239967.28999999998"/>
  </r>
  <r>
    <s v="GL000837"/>
    <x v="45"/>
    <s v="4010"/>
    <x v="4"/>
    <n v="0"/>
    <n v="0"/>
    <n v="4092.61"/>
    <n v="360149.68"/>
    <x v="5"/>
    <x v="2"/>
    <s v="AutoPost 837"/>
    <s v="EUR"/>
    <n v="4092.61"/>
    <x v="0"/>
    <n v="88"/>
    <n v="360149.68"/>
  </r>
  <r>
    <s v="GL000838"/>
    <x v="543"/>
    <s v="4010"/>
    <x v="4"/>
    <n v="0"/>
    <n v="0"/>
    <n v="4772.83"/>
    <n v="391372.06"/>
    <x v="3"/>
    <x v="2"/>
    <s v="AutoPost 838"/>
    <s v="USD"/>
    <n v="4772.83"/>
    <x v="0"/>
    <n v="82"/>
    <n v="391372.06"/>
  </r>
  <r>
    <s v="GL000839"/>
    <x v="544"/>
    <s v="5010"/>
    <x v="3"/>
    <n v="1965.5"/>
    <n v="161171"/>
    <n v="0"/>
    <n v="0"/>
    <x v="3"/>
    <x v="2"/>
    <s v="AutoPost 839"/>
    <s v="USD"/>
    <n v="-1965.5"/>
    <x v="2"/>
    <n v="82"/>
    <n v="-161171"/>
  </r>
  <r>
    <s v="GL000840"/>
    <x v="545"/>
    <s v="6000"/>
    <x v="2"/>
    <n v="1386.65"/>
    <n v="113705.3"/>
    <n v="0"/>
    <n v="0"/>
    <x v="4"/>
    <x v="1"/>
    <s v="AutoPost 840"/>
    <s v="USD"/>
    <n v="-1386.65"/>
    <x v="2"/>
    <n v="82"/>
    <n v="-113705.3"/>
  </r>
  <r>
    <s v="GL000841"/>
    <x v="246"/>
    <s v="4010"/>
    <x v="4"/>
    <n v="0"/>
    <n v="0"/>
    <n v="872.06"/>
    <n v="89822.18"/>
    <x v="1"/>
    <x v="0"/>
    <s v="AutoPost 841"/>
    <s v="GBP"/>
    <n v="872.06"/>
    <x v="0"/>
    <n v="103"/>
    <n v="89822.18"/>
  </r>
  <r>
    <s v="GL000842"/>
    <x v="316"/>
    <s v="5010"/>
    <x v="3"/>
    <n v="1801.16"/>
    <n v="158502.08000000002"/>
    <n v="0"/>
    <n v="0"/>
    <x v="5"/>
    <x v="4"/>
    <s v="AutoPost 842"/>
    <s v="EUR"/>
    <n v="-1801.16"/>
    <x v="2"/>
    <n v="88"/>
    <n v="-158502.08000000002"/>
  </r>
  <r>
    <s v="GL000843"/>
    <x v="531"/>
    <s v="5010"/>
    <x v="3"/>
    <n v="1990.94"/>
    <n v="111492.64"/>
    <n v="0"/>
    <n v="0"/>
    <x v="3"/>
    <x v="4"/>
    <s v="AutoPost 843"/>
    <s v="AUD"/>
    <n v="-1990.94"/>
    <x v="2"/>
    <n v="56"/>
    <n v="-111492.64"/>
  </r>
  <r>
    <s v="GL000844"/>
    <x v="182"/>
    <s v="4000"/>
    <x v="0"/>
    <n v="0"/>
    <n v="0"/>
    <n v="1372.78"/>
    <n v="76875.679999999993"/>
    <x v="1"/>
    <x v="2"/>
    <s v="AutoPost 844"/>
    <s v="AUD"/>
    <n v="1372.78"/>
    <x v="0"/>
    <n v="56"/>
    <n v="76875.679999999993"/>
  </r>
  <r>
    <s v="GL000845"/>
    <x v="360"/>
    <s v="5000"/>
    <x v="1"/>
    <n v="1600.28"/>
    <n v="131222.96"/>
    <n v="0"/>
    <n v="0"/>
    <x v="1"/>
    <x v="2"/>
    <s v="AutoPost 845"/>
    <s v="USD"/>
    <n v="-1600.28"/>
    <x v="1"/>
    <n v="82"/>
    <n v="-131222.96"/>
  </r>
  <r>
    <s v="GL000846"/>
    <x v="546"/>
    <s v="5010"/>
    <x v="3"/>
    <n v="618.05999999999995"/>
    <n v="37701.659999999996"/>
    <n v="0"/>
    <n v="0"/>
    <x v="4"/>
    <x v="0"/>
    <s v="AutoPost 846"/>
    <s v="CAD"/>
    <n v="-618.05999999999995"/>
    <x v="2"/>
    <n v="61"/>
    <n v="-37701.659999999996"/>
  </r>
  <r>
    <s v="GL000847"/>
    <x v="31"/>
    <s v="4000"/>
    <x v="0"/>
    <n v="0"/>
    <n v="0"/>
    <n v="3150.6"/>
    <n v="258349.19999999998"/>
    <x v="3"/>
    <x v="3"/>
    <s v="AutoPost 847"/>
    <s v="USD"/>
    <n v="3150.6"/>
    <x v="0"/>
    <n v="82"/>
    <n v="258349.19999999998"/>
  </r>
  <r>
    <s v="GL000848"/>
    <x v="509"/>
    <s v="6000"/>
    <x v="2"/>
    <n v="1288.25"/>
    <n v="113366"/>
    <n v="0"/>
    <n v="0"/>
    <x v="2"/>
    <x v="1"/>
    <s v="AutoPost 848"/>
    <s v="EUR"/>
    <n v="-1288.25"/>
    <x v="2"/>
    <n v="88"/>
    <n v="-113366"/>
  </r>
  <r>
    <s v="GL000849"/>
    <x v="217"/>
    <s v="5010"/>
    <x v="3"/>
    <n v="1629.27"/>
    <n v="99385.47"/>
    <n v="0"/>
    <n v="0"/>
    <x v="5"/>
    <x v="3"/>
    <s v="AutoPost 849"/>
    <s v="CAD"/>
    <n v="-1629.27"/>
    <x v="2"/>
    <n v="61"/>
    <n v="-99385.47"/>
  </r>
  <r>
    <s v="GL000850"/>
    <x v="405"/>
    <s v="5000"/>
    <x v="1"/>
    <n v="436.4"/>
    <n v="35784.799999999996"/>
    <n v="0"/>
    <n v="0"/>
    <x v="0"/>
    <x v="4"/>
    <s v="AutoPost 850"/>
    <s v="USD"/>
    <n v="-436.4"/>
    <x v="1"/>
    <n v="82"/>
    <n v="-35784.799999999996"/>
  </r>
  <r>
    <s v="GL000851"/>
    <x v="547"/>
    <s v="5010"/>
    <x v="3"/>
    <n v="186.27"/>
    <n v="10431.120000000001"/>
    <n v="0"/>
    <n v="0"/>
    <x v="1"/>
    <x v="2"/>
    <s v="AutoPost 851"/>
    <s v="AUD"/>
    <n v="-186.27"/>
    <x v="2"/>
    <n v="56"/>
    <n v="-10431.120000000001"/>
  </r>
  <r>
    <s v="GL000852"/>
    <x v="548"/>
    <s v="4000"/>
    <x v="0"/>
    <n v="0"/>
    <n v="0"/>
    <n v="3025.08"/>
    <n v="169404.47999999998"/>
    <x v="3"/>
    <x v="4"/>
    <s v="AutoPost 852"/>
    <s v="AUD"/>
    <n v="3025.08"/>
    <x v="0"/>
    <n v="56"/>
    <n v="169404.47999999998"/>
  </r>
  <r>
    <s v="GL000853"/>
    <x v="155"/>
    <s v="5000"/>
    <x v="1"/>
    <n v="793.16"/>
    <n v="65039.119999999995"/>
    <n v="0"/>
    <n v="0"/>
    <x v="4"/>
    <x v="3"/>
    <s v="AutoPost 853"/>
    <s v="USD"/>
    <n v="-793.16"/>
    <x v="1"/>
    <n v="82"/>
    <n v="-65039.119999999995"/>
  </r>
  <r>
    <s v="GL000854"/>
    <x v="549"/>
    <s v="5010"/>
    <x v="3"/>
    <n v="1753.87"/>
    <n v="98216.72"/>
    <n v="0"/>
    <n v="0"/>
    <x v="5"/>
    <x v="2"/>
    <s v="AutoPost 854"/>
    <s v="AUD"/>
    <n v="-1753.87"/>
    <x v="2"/>
    <n v="56"/>
    <n v="-98216.72"/>
  </r>
  <r>
    <s v="GL000855"/>
    <x v="550"/>
    <s v="4000"/>
    <x v="0"/>
    <n v="0"/>
    <n v="0"/>
    <n v="915.77"/>
    <n v="51283.119999999995"/>
    <x v="0"/>
    <x v="1"/>
    <s v="AutoPost 855"/>
    <s v="AUD"/>
    <n v="915.77"/>
    <x v="0"/>
    <n v="56"/>
    <n v="51283.119999999995"/>
  </r>
  <r>
    <s v="GL000856"/>
    <x v="551"/>
    <s v="5000"/>
    <x v="1"/>
    <n v="1083.5899999999999"/>
    <n v="88854.37999999999"/>
    <n v="0"/>
    <n v="0"/>
    <x v="0"/>
    <x v="1"/>
    <s v="AutoPost 856"/>
    <s v="USD"/>
    <n v="-1083.5899999999999"/>
    <x v="1"/>
    <n v="82"/>
    <n v="-88854.37999999999"/>
  </r>
  <r>
    <s v="GL000857"/>
    <x v="201"/>
    <s v="4010"/>
    <x v="4"/>
    <n v="0"/>
    <n v="0"/>
    <n v="889.07"/>
    <n v="78238.16"/>
    <x v="0"/>
    <x v="3"/>
    <s v="AutoPost 857"/>
    <s v="EUR"/>
    <n v="889.07"/>
    <x v="0"/>
    <n v="88"/>
    <n v="78238.16"/>
  </r>
  <r>
    <s v="GL000858"/>
    <x v="552"/>
    <s v="6000"/>
    <x v="2"/>
    <n v="1620.36"/>
    <n v="142591.67999999999"/>
    <n v="0"/>
    <n v="0"/>
    <x v="0"/>
    <x v="2"/>
    <s v="AutoPost 858"/>
    <s v="EUR"/>
    <n v="-1620.36"/>
    <x v="2"/>
    <n v="88"/>
    <n v="-142591.67999999999"/>
  </r>
  <r>
    <s v="GL000859"/>
    <x v="553"/>
    <s v="4000"/>
    <x v="0"/>
    <n v="0"/>
    <n v="0"/>
    <n v="549.91999999999996"/>
    <n v="56641.759999999995"/>
    <x v="4"/>
    <x v="1"/>
    <s v="AutoPost 859"/>
    <s v="GBP"/>
    <n v="549.91999999999996"/>
    <x v="0"/>
    <n v="103"/>
    <n v="56641.759999999995"/>
  </r>
  <r>
    <s v="GL000860"/>
    <x v="554"/>
    <s v="4010"/>
    <x v="4"/>
    <n v="0"/>
    <n v="0"/>
    <n v="4103.1000000000004"/>
    <n v="336454.2"/>
    <x v="2"/>
    <x v="2"/>
    <s v="AutoPost 860"/>
    <s v="USD"/>
    <n v="4103.1000000000004"/>
    <x v="0"/>
    <n v="82"/>
    <n v="336454.2"/>
  </r>
  <r>
    <s v="GL000861"/>
    <x v="364"/>
    <s v="5010"/>
    <x v="3"/>
    <n v="316.45"/>
    <n v="25948.899999999998"/>
    <n v="0"/>
    <n v="0"/>
    <x v="4"/>
    <x v="3"/>
    <s v="AutoPost 861"/>
    <s v="USD"/>
    <n v="-316.45"/>
    <x v="2"/>
    <n v="82"/>
    <n v="-25948.899999999998"/>
  </r>
  <r>
    <s v="GL000862"/>
    <x v="555"/>
    <s v="6000"/>
    <x v="2"/>
    <n v="1384.87"/>
    <n v="77552.72"/>
    <n v="0"/>
    <n v="0"/>
    <x v="1"/>
    <x v="3"/>
    <s v="AutoPost 862"/>
    <s v="AUD"/>
    <n v="-1384.87"/>
    <x v="2"/>
    <n v="56"/>
    <n v="-77552.72"/>
  </r>
  <r>
    <s v="GL000863"/>
    <x v="523"/>
    <s v="6000"/>
    <x v="2"/>
    <n v="932.11"/>
    <n v="96007.33"/>
    <n v="0"/>
    <n v="0"/>
    <x v="2"/>
    <x v="0"/>
    <s v="AutoPost 863"/>
    <s v="GBP"/>
    <n v="-932.11"/>
    <x v="2"/>
    <n v="103"/>
    <n v="-96007.33"/>
  </r>
  <r>
    <s v="GL000864"/>
    <x v="556"/>
    <s v="4000"/>
    <x v="0"/>
    <n v="0"/>
    <n v="0"/>
    <n v="2355.54"/>
    <n v="143687.94"/>
    <x v="5"/>
    <x v="2"/>
    <s v="AutoPost 864"/>
    <s v="CAD"/>
    <n v="2355.54"/>
    <x v="0"/>
    <n v="61"/>
    <n v="143687.94"/>
  </r>
  <r>
    <s v="GL000865"/>
    <x v="557"/>
    <s v="5000"/>
    <x v="1"/>
    <n v="1327.52"/>
    <n v="108856.64"/>
    <n v="0"/>
    <n v="0"/>
    <x v="5"/>
    <x v="2"/>
    <s v="AutoPost 865"/>
    <s v="USD"/>
    <n v="-1327.52"/>
    <x v="1"/>
    <n v="82"/>
    <n v="-108856.64"/>
  </r>
  <r>
    <s v="GL000866"/>
    <x v="558"/>
    <s v="6000"/>
    <x v="2"/>
    <n v="77.790000000000006"/>
    <n v="6378.7800000000007"/>
    <n v="0"/>
    <n v="0"/>
    <x v="3"/>
    <x v="3"/>
    <s v="AutoPost 866"/>
    <s v="USD"/>
    <n v="-77.790000000000006"/>
    <x v="2"/>
    <n v="82"/>
    <n v="-6378.7800000000007"/>
  </r>
  <r>
    <s v="GL000867"/>
    <x v="498"/>
    <s v="4000"/>
    <x v="0"/>
    <n v="0"/>
    <n v="0"/>
    <n v="2100.39"/>
    <n v="216340.16999999998"/>
    <x v="2"/>
    <x v="2"/>
    <s v="AutoPost 867"/>
    <s v="GBP"/>
    <n v="2100.39"/>
    <x v="0"/>
    <n v="103"/>
    <n v="216340.16999999998"/>
  </r>
  <r>
    <s v="GL000868"/>
    <x v="559"/>
    <s v="5010"/>
    <x v="3"/>
    <n v="882.8"/>
    <n v="49436.799999999996"/>
    <n v="0"/>
    <n v="0"/>
    <x v="5"/>
    <x v="2"/>
    <s v="AutoPost 868"/>
    <s v="AUD"/>
    <n v="-882.8"/>
    <x v="2"/>
    <n v="56"/>
    <n v="-49436.799999999996"/>
  </r>
  <r>
    <s v="GL000869"/>
    <x v="560"/>
    <s v="4010"/>
    <x v="4"/>
    <n v="0"/>
    <n v="0"/>
    <n v="3194.96"/>
    <n v="261986.72"/>
    <x v="4"/>
    <x v="0"/>
    <s v="AutoPost 869"/>
    <s v="USD"/>
    <n v="3194.96"/>
    <x v="0"/>
    <n v="82"/>
    <n v="261986.72"/>
  </r>
  <r>
    <s v="GL000870"/>
    <x v="250"/>
    <s v="6000"/>
    <x v="2"/>
    <n v="981.76"/>
    <n v="86394.880000000005"/>
    <n v="0"/>
    <n v="0"/>
    <x v="4"/>
    <x v="3"/>
    <s v="AutoPost 870"/>
    <s v="EUR"/>
    <n v="-981.76"/>
    <x v="2"/>
    <n v="88"/>
    <n v="-86394.880000000005"/>
  </r>
  <r>
    <s v="GL000871"/>
    <x v="131"/>
    <s v="4010"/>
    <x v="4"/>
    <n v="0"/>
    <n v="0"/>
    <n v="1322.78"/>
    <n v="108467.95999999999"/>
    <x v="1"/>
    <x v="3"/>
    <s v="AutoPost 871"/>
    <s v="USD"/>
    <n v="1322.78"/>
    <x v="0"/>
    <n v="82"/>
    <n v="108467.95999999999"/>
  </r>
  <r>
    <s v="GL000872"/>
    <x v="235"/>
    <s v="6000"/>
    <x v="2"/>
    <n v="508.47"/>
    <n v="41694.54"/>
    <n v="0"/>
    <n v="0"/>
    <x v="2"/>
    <x v="0"/>
    <s v="AutoPost 872"/>
    <s v="USD"/>
    <n v="-508.47"/>
    <x v="2"/>
    <n v="82"/>
    <n v="-41694.54"/>
  </r>
  <r>
    <s v="GL000873"/>
    <x v="561"/>
    <s v="6000"/>
    <x v="2"/>
    <n v="1587.23"/>
    <n v="88884.88"/>
    <n v="0"/>
    <n v="0"/>
    <x v="4"/>
    <x v="3"/>
    <s v="AutoPost 873"/>
    <s v="AUD"/>
    <n v="-1587.23"/>
    <x v="2"/>
    <n v="56"/>
    <n v="-88884.88"/>
  </r>
  <r>
    <s v="GL000874"/>
    <x v="562"/>
    <s v="4000"/>
    <x v="0"/>
    <n v="0"/>
    <n v="0"/>
    <n v="2067.5700000000002"/>
    <n v="212959.71000000002"/>
    <x v="4"/>
    <x v="4"/>
    <s v="AutoPost 874"/>
    <s v="GBP"/>
    <n v="2067.5700000000002"/>
    <x v="0"/>
    <n v="103"/>
    <n v="212959.71000000002"/>
  </r>
  <r>
    <s v="GL000875"/>
    <x v="232"/>
    <s v="4000"/>
    <x v="0"/>
    <n v="0"/>
    <n v="0"/>
    <n v="1379.98"/>
    <n v="84178.78"/>
    <x v="3"/>
    <x v="2"/>
    <s v="AutoPost 875"/>
    <s v="CAD"/>
    <n v="1379.98"/>
    <x v="0"/>
    <n v="61"/>
    <n v="84178.78"/>
  </r>
  <r>
    <s v="GL000876"/>
    <x v="110"/>
    <s v="4010"/>
    <x v="4"/>
    <n v="0"/>
    <n v="0"/>
    <n v="4346.96"/>
    <n v="265164.56"/>
    <x v="4"/>
    <x v="2"/>
    <s v="AutoPost 876"/>
    <s v="CAD"/>
    <n v="4346.96"/>
    <x v="0"/>
    <n v="61"/>
    <n v="265164.56"/>
  </r>
  <r>
    <s v="GL000877"/>
    <x v="563"/>
    <s v="4000"/>
    <x v="0"/>
    <n v="0"/>
    <n v="0"/>
    <n v="525.34"/>
    <n v="54110.020000000004"/>
    <x v="1"/>
    <x v="3"/>
    <s v="AutoPost 877"/>
    <s v="GBP"/>
    <n v="525.34"/>
    <x v="0"/>
    <n v="103"/>
    <n v="54110.020000000004"/>
  </r>
  <r>
    <s v="GL000878"/>
    <x v="564"/>
    <s v="5010"/>
    <x v="3"/>
    <n v="275.32"/>
    <n v="22576.239999999998"/>
    <n v="0"/>
    <n v="0"/>
    <x v="1"/>
    <x v="3"/>
    <s v="AutoPost 878"/>
    <s v="USD"/>
    <n v="-275.32"/>
    <x v="2"/>
    <n v="82"/>
    <n v="-22576.239999999998"/>
  </r>
  <r>
    <s v="GL000879"/>
    <x v="222"/>
    <s v="6000"/>
    <x v="2"/>
    <n v="1408.29"/>
    <n v="85905.69"/>
    <n v="0"/>
    <n v="0"/>
    <x v="0"/>
    <x v="1"/>
    <s v="AutoPost 879"/>
    <s v="CAD"/>
    <n v="-1408.29"/>
    <x v="2"/>
    <n v="61"/>
    <n v="-85905.69"/>
  </r>
  <r>
    <s v="GL000880"/>
    <x v="565"/>
    <s v="4010"/>
    <x v="4"/>
    <n v="0"/>
    <n v="0"/>
    <n v="2640.87"/>
    <n v="216551.34"/>
    <x v="2"/>
    <x v="0"/>
    <s v="AutoPost 880"/>
    <s v="USD"/>
    <n v="2640.87"/>
    <x v="0"/>
    <n v="82"/>
    <n v="216551.34"/>
  </r>
  <r>
    <s v="GL000881"/>
    <x v="509"/>
    <s v="4000"/>
    <x v="0"/>
    <n v="0"/>
    <n v="0"/>
    <n v="2978.56"/>
    <n v="306791.67999999999"/>
    <x v="5"/>
    <x v="3"/>
    <s v="AutoPost 881"/>
    <s v="GBP"/>
    <n v="2978.56"/>
    <x v="0"/>
    <n v="103"/>
    <n v="306791.67999999999"/>
  </r>
  <r>
    <s v="GL000882"/>
    <x v="7"/>
    <s v="5010"/>
    <x v="3"/>
    <n v="100.56"/>
    <n v="6134.16"/>
    <n v="0"/>
    <n v="0"/>
    <x v="1"/>
    <x v="0"/>
    <s v="AutoPost 882"/>
    <s v="CAD"/>
    <n v="-100.56"/>
    <x v="2"/>
    <n v="61"/>
    <n v="-6134.16"/>
  </r>
  <r>
    <s v="GL000883"/>
    <x v="566"/>
    <s v="5010"/>
    <x v="3"/>
    <n v="581.4"/>
    <n v="32558.399999999998"/>
    <n v="0"/>
    <n v="0"/>
    <x v="2"/>
    <x v="2"/>
    <s v="AutoPost 883"/>
    <s v="AUD"/>
    <n v="-581.4"/>
    <x v="2"/>
    <n v="56"/>
    <n v="-32558.399999999998"/>
  </r>
  <r>
    <s v="GL000884"/>
    <x v="209"/>
    <s v="6000"/>
    <x v="2"/>
    <n v="176.17"/>
    <n v="14445.939999999999"/>
    <n v="0"/>
    <n v="0"/>
    <x v="0"/>
    <x v="4"/>
    <s v="AutoPost 884"/>
    <s v="USD"/>
    <n v="-176.17"/>
    <x v="2"/>
    <n v="82"/>
    <n v="-14445.939999999999"/>
  </r>
  <r>
    <s v="GL000885"/>
    <x v="324"/>
    <s v="5010"/>
    <x v="3"/>
    <n v="482.67"/>
    <n v="39578.94"/>
    <n v="0"/>
    <n v="0"/>
    <x v="2"/>
    <x v="4"/>
    <s v="AutoPost 885"/>
    <s v="USD"/>
    <n v="-482.67"/>
    <x v="2"/>
    <n v="82"/>
    <n v="-39578.94"/>
  </r>
  <r>
    <s v="GL000886"/>
    <x v="96"/>
    <s v="6000"/>
    <x v="2"/>
    <n v="1072.33"/>
    <n v="110449.98999999999"/>
    <n v="0"/>
    <n v="0"/>
    <x v="5"/>
    <x v="4"/>
    <s v="AutoPost 886"/>
    <s v="GBP"/>
    <n v="-1072.33"/>
    <x v="2"/>
    <n v="103"/>
    <n v="-110449.98999999999"/>
  </r>
  <r>
    <s v="GL000887"/>
    <x v="133"/>
    <s v="4000"/>
    <x v="0"/>
    <n v="0"/>
    <n v="0"/>
    <n v="1700.49"/>
    <n v="149643.12"/>
    <x v="4"/>
    <x v="4"/>
    <s v="AutoPost 887"/>
    <s v="EUR"/>
    <n v="1700.49"/>
    <x v="0"/>
    <n v="88"/>
    <n v="149643.12"/>
  </r>
  <r>
    <s v="GL000888"/>
    <x v="316"/>
    <s v="5010"/>
    <x v="3"/>
    <n v="1915.1"/>
    <n v="168528.8"/>
    <n v="0"/>
    <n v="0"/>
    <x v="2"/>
    <x v="4"/>
    <s v="AutoPost 888"/>
    <s v="EUR"/>
    <n v="-1915.1"/>
    <x v="2"/>
    <n v="88"/>
    <n v="-168528.8"/>
  </r>
  <r>
    <s v="GL000889"/>
    <x v="499"/>
    <s v="5000"/>
    <x v="1"/>
    <n v="1632.24"/>
    <n v="99566.64"/>
    <n v="0"/>
    <n v="0"/>
    <x v="5"/>
    <x v="2"/>
    <s v="AutoPost 889"/>
    <s v="CAD"/>
    <n v="-1632.24"/>
    <x v="1"/>
    <n v="61"/>
    <n v="-99566.64"/>
  </r>
  <r>
    <s v="GL000890"/>
    <x v="314"/>
    <s v="4010"/>
    <x v="4"/>
    <n v="0"/>
    <n v="0"/>
    <n v="2334.77"/>
    <n v="240481.31"/>
    <x v="1"/>
    <x v="4"/>
    <s v="AutoPost 890"/>
    <s v="GBP"/>
    <n v="2334.77"/>
    <x v="0"/>
    <n v="103"/>
    <n v="240481.31"/>
  </r>
  <r>
    <s v="GL000891"/>
    <x v="132"/>
    <s v="4000"/>
    <x v="0"/>
    <n v="0"/>
    <n v="0"/>
    <n v="2655.46"/>
    <n v="161983.06"/>
    <x v="0"/>
    <x v="0"/>
    <s v="AutoPost 891"/>
    <s v="CAD"/>
    <n v="2655.46"/>
    <x v="0"/>
    <n v="61"/>
    <n v="161983.06"/>
  </r>
  <r>
    <s v="GL000892"/>
    <x v="567"/>
    <s v="4000"/>
    <x v="0"/>
    <n v="0"/>
    <n v="0"/>
    <n v="4082.31"/>
    <n v="334749.42"/>
    <x v="2"/>
    <x v="3"/>
    <s v="AutoPost 892"/>
    <s v="USD"/>
    <n v="4082.31"/>
    <x v="0"/>
    <n v="82"/>
    <n v="334749.42"/>
  </r>
  <r>
    <s v="GL000893"/>
    <x v="199"/>
    <s v="5010"/>
    <x v="3"/>
    <n v="1204.8499999999999"/>
    <n v="73495.849999999991"/>
    <n v="0"/>
    <n v="0"/>
    <x v="2"/>
    <x v="1"/>
    <s v="AutoPost 893"/>
    <s v="CAD"/>
    <n v="-1204.8499999999999"/>
    <x v="2"/>
    <n v="61"/>
    <n v="-73495.849999999991"/>
  </r>
  <r>
    <s v="GL000894"/>
    <x v="40"/>
    <s v="4000"/>
    <x v="0"/>
    <n v="0"/>
    <n v="0"/>
    <n v="4496.12"/>
    <n v="395658.56"/>
    <x v="1"/>
    <x v="1"/>
    <s v="AutoPost 894"/>
    <s v="EUR"/>
    <n v="4496.12"/>
    <x v="0"/>
    <n v="88"/>
    <n v="395658.56"/>
  </r>
  <r>
    <s v="GL000895"/>
    <x v="258"/>
    <s v="4010"/>
    <x v="4"/>
    <n v="0"/>
    <n v="0"/>
    <n v="2776.15"/>
    <n v="244301.2"/>
    <x v="2"/>
    <x v="4"/>
    <s v="AutoPost 895"/>
    <s v="EUR"/>
    <n v="2776.15"/>
    <x v="0"/>
    <n v="88"/>
    <n v="244301.2"/>
  </r>
  <r>
    <s v="GL000896"/>
    <x v="130"/>
    <s v="4010"/>
    <x v="4"/>
    <n v="0"/>
    <n v="0"/>
    <n v="3598.62"/>
    <n v="316678.56"/>
    <x v="4"/>
    <x v="2"/>
    <s v="AutoPost 896"/>
    <s v="EUR"/>
    <n v="3598.62"/>
    <x v="0"/>
    <n v="88"/>
    <n v="316678.56"/>
  </r>
  <r>
    <s v="GL000897"/>
    <x v="150"/>
    <s v="5010"/>
    <x v="3"/>
    <n v="1433.77"/>
    <n v="126171.76"/>
    <n v="0"/>
    <n v="0"/>
    <x v="0"/>
    <x v="0"/>
    <s v="AutoPost 897"/>
    <s v="EUR"/>
    <n v="-1433.77"/>
    <x v="2"/>
    <n v="88"/>
    <n v="-126171.76"/>
  </r>
  <r>
    <s v="GL000898"/>
    <x v="400"/>
    <s v="5010"/>
    <x v="3"/>
    <n v="244.58"/>
    <n v="13696.480000000001"/>
    <n v="0"/>
    <n v="0"/>
    <x v="0"/>
    <x v="2"/>
    <s v="AutoPost 898"/>
    <s v="AUD"/>
    <n v="-244.58"/>
    <x v="2"/>
    <n v="56"/>
    <n v="-13696.480000000001"/>
  </r>
  <r>
    <s v="GL000899"/>
    <x v="311"/>
    <s v="6000"/>
    <x v="2"/>
    <n v="958.53"/>
    <n v="53677.68"/>
    <n v="0"/>
    <n v="0"/>
    <x v="5"/>
    <x v="1"/>
    <s v="AutoPost 899"/>
    <s v="AUD"/>
    <n v="-958.53"/>
    <x v="2"/>
    <n v="56"/>
    <n v="-53677.68"/>
  </r>
  <r>
    <s v="GL000900"/>
    <x v="223"/>
    <s v="6000"/>
    <x v="2"/>
    <n v="1312.28"/>
    <n v="135164.84"/>
    <n v="0"/>
    <n v="0"/>
    <x v="2"/>
    <x v="0"/>
    <s v="AutoPost 900"/>
    <s v="GBP"/>
    <n v="-1312.28"/>
    <x v="2"/>
    <n v="103"/>
    <n v="-135164.84"/>
  </r>
  <r>
    <s v="GL000901"/>
    <x v="178"/>
    <s v="4000"/>
    <x v="0"/>
    <n v="0"/>
    <n v="0"/>
    <n v="4549.33"/>
    <n v="468580.99"/>
    <x v="5"/>
    <x v="0"/>
    <s v="AutoPost 901"/>
    <s v="GBP"/>
    <n v="4549.33"/>
    <x v="0"/>
    <n v="103"/>
    <n v="468580.99"/>
  </r>
  <r>
    <s v="GL000902"/>
    <x v="568"/>
    <s v="6000"/>
    <x v="2"/>
    <n v="1965.36"/>
    <n v="119886.95999999999"/>
    <n v="0"/>
    <n v="0"/>
    <x v="2"/>
    <x v="3"/>
    <s v="AutoPost 902"/>
    <s v="CAD"/>
    <n v="-1965.36"/>
    <x v="2"/>
    <n v="61"/>
    <n v="-119886.95999999999"/>
  </r>
  <r>
    <s v="GL000903"/>
    <x v="186"/>
    <s v="5010"/>
    <x v="3"/>
    <n v="769.49"/>
    <n v="79257.47"/>
    <n v="0"/>
    <n v="0"/>
    <x v="2"/>
    <x v="4"/>
    <s v="AutoPost 903"/>
    <s v="GBP"/>
    <n v="-769.49"/>
    <x v="2"/>
    <n v="103"/>
    <n v="-79257.47"/>
  </r>
  <r>
    <s v="GL000904"/>
    <x v="569"/>
    <s v="5000"/>
    <x v="1"/>
    <n v="743.08"/>
    <n v="76537.240000000005"/>
    <n v="0"/>
    <n v="0"/>
    <x v="4"/>
    <x v="2"/>
    <s v="AutoPost 904"/>
    <s v="GBP"/>
    <n v="-743.08"/>
    <x v="1"/>
    <n v="103"/>
    <n v="-76537.240000000005"/>
  </r>
  <r>
    <s v="GL000905"/>
    <x v="244"/>
    <s v="6000"/>
    <x v="2"/>
    <n v="586.1"/>
    <n v="35752.1"/>
    <n v="0"/>
    <n v="0"/>
    <x v="5"/>
    <x v="4"/>
    <s v="AutoPost 905"/>
    <s v="CAD"/>
    <n v="-586.1"/>
    <x v="2"/>
    <n v="61"/>
    <n v="-35752.1"/>
  </r>
  <r>
    <s v="GL000906"/>
    <x v="570"/>
    <s v="6000"/>
    <x v="2"/>
    <n v="1912.35"/>
    <n v="156812.69999999998"/>
    <n v="0"/>
    <n v="0"/>
    <x v="0"/>
    <x v="0"/>
    <s v="AutoPost 906"/>
    <s v="USD"/>
    <n v="-1912.35"/>
    <x v="2"/>
    <n v="82"/>
    <n v="-156812.69999999998"/>
  </r>
  <r>
    <s v="GL000907"/>
    <x v="571"/>
    <s v="6000"/>
    <x v="2"/>
    <n v="819.96"/>
    <n v="67236.72"/>
    <n v="0"/>
    <n v="0"/>
    <x v="3"/>
    <x v="1"/>
    <s v="AutoPost 907"/>
    <s v="USD"/>
    <n v="-819.96"/>
    <x v="2"/>
    <n v="82"/>
    <n v="-67236.72"/>
  </r>
  <r>
    <s v="GL000908"/>
    <x v="314"/>
    <s v="5000"/>
    <x v="1"/>
    <n v="1880.1"/>
    <n v="105285.59999999999"/>
    <n v="0"/>
    <n v="0"/>
    <x v="2"/>
    <x v="1"/>
    <s v="AutoPost 908"/>
    <s v="AUD"/>
    <n v="-1880.1"/>
    <x v="1"/>
    <n v="56"/>
    <n v="-105285.59999999999"/>
  </r>
  <r>
    <s v="GL000909"/>
    <x v="509"/>
    <s v="6000"/>
    <x v="2"/>
    <n v="1255.8499999999999"/>
    <n v="110514.79999999999"/>
    <n v="0"/>
    <n v="0"/>
    <x v="2"/>
    <x v="4"/>
    <s v="AutoPost 909"/>
    <s v="EUR"/>
    <n v="-1255.8499999999999"/>
    <x v="2"/>
    <n v="88"/>
    <n v="-110514.79999999999"/>
  </r>
  <r>
    <s v="GL000910"/>
    <x v="181"/>
    <s v="4010"/>
    <x v="4"/>
    <n v="0"/>
    <n v="0"/>
    <n v="3738.97"/>
    <n v="228077.16999999998"/>
    <x v="5"/>
    <x v="3"/>
    <s v="AutoPost 910"/>
    <s v="CAD"/>
    <n v="3738.97"/>
    <x v="0"/>
    <n v="61"/>
    <n v="228077.16999999998"/>
  </r>
  <r>
    <s v="GL000911"/>
    <x v="326"/>
    <s v="5000"/>
    <x v="1"/>
    <n v="50.19"/>
    <n v="4416.7199999999993"/>
    <n v="0"/>
    <n v="0"/>
    <x v="4"/>
    <x v="1"/>
    <s v="AutoPost 911"/>
    <s v="EUR"/>
    <n v="-50.19"/>
    <x v="1"/>
    <n v="88"/>
    <n v="-4416.7199999999993"/>
  </r>
  <r>
    <s v="GL000912"/>
    <x v="179"/>
    <s v="5010"/>
    <x v="3"/>
    <n v="608.52"/>
    <n v="53549.759999999995"/>
    <n v="0"/>
    <n v="0"/>
    <x v="0"/>
    <x v="1"/>
    <s v="AutoPost 912"/>
    <s v="EUR"/>
    <n v="-608.52"/>
    <x v="2"/>
    <n v="88"/>
    <n v="-53549.759999999995"/>
  </r>
  <r>
    <s v="GL000913"/>
    <x v="572"/>
    <s v="5010"/>
    <x v="3"/>
    <n v="287.52"/>
    <n v="23576.639999999999"/>
    <n v="0"/>
    <n v="0"/>
    <x v="4"/>
    <x v="4"/>
    <s v="AutoPost 913"/>
    <s v="USD"/>
    <n v="-287.52"/>
    <x v="2"/>
    <n v="82"/>
    <n v="-23576.639999999999"/>
  </r>
  <r>
    <s v="GL000914"/>
    <x v="567"/>
    <s v="6000"/>
    <x v="2"/>
    <n v="1749.98"/>
    <n v="106748.78"/>
    <n v="0"/>
    <n v="0"/>
    <x v="4"/>
    <x v="2"/>
    <s v="AutoPost 914"/>
    <s v="CAD"/>
    <n v="-1749.98"/>
    <x v="2"/>
    <n v="61"/>
    <n v="-106748.78"/>
  </r>
  <r>
    <s v="GL000915"/>
    <x v="573"/>
    <s v="5000"/>
    <x v="1"/>
    <n v="221.12"/>
    <n v="12382.720000000001"/>
    <n v="0"/>
    <n v="0"/>
    <x v="3"/>
    <x v="1"/>
    <s v="AutoPost 915"/>
    <s v="AUD"/>
    <n v="-221.12"/>
    <x v="1"/>
    <n v="56"/>
    <n v="-12382.720000000001"/>
  </r>
  <r>
    <s v="GL000916"/>
    <x v="421"/>
    <s v="5000"/>
    <x v="1"/>
    <n v="1012.53"/>
    <n v="61764.33"/>
    <n v="0"/>
    <n v="0"/>
    <x v="1"/>
    <x v="2"/>
    <s v="AutoPost 916"/>
    <s v="CAD"/>
    <n v="-1012.53"/>
    <x v="1"/>
    <n v="61"/>
    <n v="-61764.33"/>
  </r>
  <r>
    <s v="GL000917"/>
    <x v="541"/>
    <s v="4010"/>
    <x v="4"/>
    <n v="0"/>
    <n v="0"/>
    <n v="542.16999999999996"/>
    <n v="55843.509999999995"/>
    <x v="5"/>
    <x v="1"/>
    <s v="AutoPost 917"/>
    <s v="GBP"/>
    <n v="542.16999999999996"/>
    <x v="0"/>
    <n v="103"/>
    <n v="55843.509999999995"/>
  </r>
  <r>
    <s v="GL000918"/>
    <x v="185"/>
    <s v="5010"/>
    <x v="3"/>
    <n v="580.21"/>
    <n v="51058.48"/>
    <n v="0"/>
    <n v="0"/>
    <x v="0"/>
    <x v="4"/>
    <s v="AutoPost 918"/>
    <s v="EUR"/>
    <n v="-580.21"/>
    <x v="2"/>
    <n v="88"/>
    <n v="-51058.48"/>
  </r>
  <r>
    <s v="GL000919"/>
    <x v="313"/>
    <s v="5010"/>
    <x v="3"/>
    <n v="739.56"/>
    <n v="41415.360000000001"/>
    <n v="0"/>
    <n v="0"/>
    <x v="4"/>
    <x v="2"/>
    <s v="AutoPost 919"/>
    <s v="AUD"/>
    <n v="-739.56"/>
    <x v="2"/>
    <n v="56"/>
    <n v="-41415.360000000001"/>
  </r>
  <r>
    <s v="GL000920"/>
    <x v="574"/>
    <s v="5000"/>
    <x v="1"/>
    <n v="1657.23"/>
    <n v="92804.88"/>
    <n v="0"/>
    <n v="0"/>
    <x v="0"/>
    <x v="3"/>
    <s v="AutoPost 920"/>
    <s v="AUD"/>
    <n v="-1657.23"/>
    <x v="1"/>
    <n v="56"/>
    <n v="-92804.88"/>
  </r>
  <r>
    <s v="GL000921"/>
    <x v="575"/>
    <s v="6000"/>
    <x v="2"/>
    <n v="1181.06"/>
    <n v="72044.66"/>
    <n v="0"/>
    <n v="0"/>
    <x v="0"/>
    <x v="2"/>
    <s v="AutoPost 921"/>
    <s v="CAD"/>
    <n v="-1181.06"/>
    <x v="2"/>
    <n v="61"/>
    <n v="-72044.66"/>
  </r>
  <r>
    <s v="GL000922"/>
    <x v="241"/>
    <s v="5010"/>
    <x v="3"/>
    <n v="944.72"/>
    <n v="83135.360000000001"/>
    <n v="0"/>
    <n v="0"/>
    <x v="2"/>
    <x v="4"/>
    <s v="AutoPost 922"/>
    <s v="EUR"/>
    <n v="-944.72"/>
    <x v="2"/>
    <n v="88"/>
    <n v="-83135.360000000001"/>
  </r>
  <r>
    <s v="GL000923"/>
    <x v="113"/>
    <s v="4000"/>
    <x v="0"/>
    <n v="0"/>
    <n v="0"/>
    <n v="3496.47"/>
    <n v="286710.53999999998"/>
    <x v="3"/>
    <x v="3"/>
    <s v="AutoPost 923"/>
    <s v="USD"/>
    <n v="3496.47"/>
    <x v="0"/>
    <n v="82"/>
    <n v="286710.53999999998"/>
  </r>
  <r>
    <s v="GL000924"/>
    <x v="576"/>
    <s v="4000"/>
    <x v="0"/>
    <n v="0"/>
    <n v="0"/>
    <n v="389.32"/>
    <n v="31924.239999999998"/>
    <x v="2"/>
    <x v="0"/>
    <s v="AutoPost 924"/>
    <s v="USD"/>
    <n v="389.32"/>
    <x v="0"/>
    <n v="82"/>
    <n v="31924.239999999998"/>
  </r>
  <r>
    <s v="GL000925"/>
    <x v="271"/>
    <s v="4010"/>
    <x v="4"/>
    <n v="0"/>
    <n v="0"/>
    <n v="2071.73"/>
    <n v="213388.19"/>
    <x v="4"/>
    <x v="0"/>
    <s v="AutoPost 925"/>
    <s v="GBP"/>
    <n v="2071.73"/>
    <x v="0"/>
    <n v="103"/>
    <n v="213388.19"/>
  </r>
  <r>
    <s v="GL000926"/>
    <x v="121"/>
    <s v="5000"/>
    <x v="1"/>
    <n v="1719.48"/>
    <n v="104888.28"/>
    <n v="0"/>
    <n v="0"/>
    <x v="1"/>
    <x v="3"/>
    <s v="AutoPost 926"/>
    <s v="CAD"/>
    <n v="-1719.48"/>
    <x v="1"/>
    <n v="61"/>
    <n v="-104888.28"/>
  </r>
  <r>
    <s v="GL000927"/>
    <x v="577"/>
    <s v="6000"/>
    <x v="2"/>
    <n v="260.58"/>
    <n v="26839.739999999998"/>
    <n v="0"/>
    <n v="0"/>
    <x v="3"/>
    <x v="2"/>
    <s v="AutoPost 927"/>
    <s v="GBP"/>
    <n v="-260.58"/>
    <x v="2"/>
    <n v="103"/>
    <n v="-26839.739999999998"/>
  </r>
  <r>
    <s v="GL000928"/>
    <x v="46"/>
    <s v="5010"/>
    <x v="3"/>
    <n v="79.59"/>
    <n v="6526.38"/>
    <n v="0"/>
    <n v="0"/>
    <x v="0"/>
    <x v="1"/>
    <s v="AutoPost 928"/>
    <s v="USD"/>
    <n v="-79.59"/>
    <x v="2"/>
    <n v="82"/>
    <n v="-6526.38"/>
  </r>
  <r>
    <s v="GL000929"/>
    <x v="505"/>
    <s v="4010"/>
    <x v="4"/>
    <n v="0"/>
    <n v="0"/>
    <n v="2860.93"/>
    <n v="174516.72999999998"/>
    <x v="2"/>
    <x v="4"/>
    <s v="AutoPost 929"/>
    <s v="CAD"/>
    <n v="2860.93"/>
    <x v="0"/>
    <n v="61"/>
    <n v="174516.72999999998"/>
  </r>
  <r>
    <s v="GL000930"/>
    <x v="305"/>
    <s v="4010"/>
    <x v="4"/>
    <n v="0"/>
    <n v="0"/>
    <n v="4074.77"/>
    <n v="358579.76"/>
    <x v="3"/>
    <x v="1"/>
    <s v="AutoPost 930"/>
    <s v="EUR"/>
    <n v="4074.77"/>
    <x v="0"/>
    <n v="88"/>
    <n v="358579.76"/>
  </r>
  <r>
    <s v="GL000931"/>
    <x v="578"/>
    <s v="4010"/>
    <x v="4"/>
    <n v="0"/>
    <n v="0"/>
    <n v="4702.84"/>
    <n v="484392.52"/>
    <x v="4"/>
    <x v="3"/>
    <s v="AutoPost 931"/>
    <s v="GBP"/>
    <n v="4702.84"/>
    <x v="0"/>
    <n v="103"/>
    <n v="484392.52"/>
  </r>
  <r>
    <s v="GL000932"/>
    <x v="341"/>
    <s v="5010"/>
    <x v="3"/>
    <n v="920.32"/>
    <n v="80988.160000000003"/>
    <n v="0"/>
    <n v="0"/>
    <x v="2"/>
    <x v="0"/>
    <s v="AutoPost 932"/>
    <s v="EUR"/>
    <n v="-920.32"/>
    <x v="2"/>
    <n v="88"/>
    <n v="-80988.160000000003"/>
  </r>
  <r>
    <s v="GL000933"/>
    <x v="328"/>
    <s v="4010"/>
    <x v="4"/>
    <n v="0"/>
    <n v="0"/>
    <n v="1564.55"/>
    <n v="95437.55"/>
    <x v="2"/>
    <x v="4"/>
    <s v="AutoPost 933"/>
    <s v="CAD"/>
    <n v="1564.55"/>
    <x v="0"/>
    <n v="61"/>
    <n v="95437.55"/>
  </r>
  <r>
    <s v="GL000934"/>
    <x v="35"/>
    <s v="4010"/>
    <x v="4"/>
    <n v="0"/>
    <n v="0"/>
    <n v="2984.56"/>
    <n v="167135.35999999999"/>
    <x v="5"/>
    <x v="2"/>
    <s v="AutoPost 934"/>
    <s v="AUD"/>
    <n v="2984.56"/>
    <x v="0"/>
    <n v="56"/>
    <n v="167135.35999999999"/>
  </r>
  <r>
    <s v="GL000935"/>
    <x v="579"/>
    <s v="4010"/>
    <x v="4"/>
    <n v="0"/>
    <n v="0"/>
    <n v="4352.6000000000004"/>
    <n v="265508.60000000003"/>
    <x v="1"/>
    <x v="4"/>
    <s v="AutoPost 935"/>
    <s v="CAD"/>
    <n v="4352.6000000000004"/>
    <x v="0"/>
    <n v="61"/>
    <n v="265508.60000000003"/>
  </r>
  <r>
    <s v="GL000936"/>
    <x v="573"/>
    <s v="4010"/>
    <x v="4"/>
    <n v="0"/>
    <n v="0"/>
    <n v="1861.57"/>
    <n v="152648.74"/>
    <x v="5"/>
    <x v="0"/>
    <s v="AutoPost 936"/>
    <s v="USD"/>
    <n v="1861.57"/>
    <x v="0"/>
    <n v="82"/>
    <n v="152648.74"/>
  </r>
  <r>
    <s v="GL000937"/>
    <x v="23"/>
    <s v="4010"/>
    <x v="4"/>
    <n v="0"/>
    <n v="0"/>
    <n v="1431.79"/>
    <n v="87339.19"/>
    <x v="1"/>
    <x v="1"/>
    <s v="AutoPost 937"/>
    <s v="CAD"/>
    <n v="1431.79"/>
    <x v="0"/>
    <n v="61"/>
    <n v="87339.19"/>
  </r>
  <r>
    <s v="GL000938"/>
    <x v="73"/>
    <s v="4010"/>
    <x v="4"/>
    <n v="0"/>
    <n v="0"/>
    <n v="3515.1"/>
    <n v="196845.6"/>
    <x v="1"/>
    <x v="0"/>
    <s v="AutoPost 938"/>
    <s v="AUD"/>
    <n v="3515.1"/>
    <x v="0"/>
    <n v="56"/>
    <n v="196845.6"/>
  </r>
  <r>
    <s v="GL000939"/>
    <x v="141"/>
    <s v="5000"/>
    <x v="1"/>
    <n v="547.15"/>
    <n v="48149.2"/>
    <n v="0"/>
    <n v="0"/>
    <x v="0"/>
    <x v="0"/>
    <s v="AutoPost 939"/>
    <s v="EUR"/>
    <n v="-547.15"/>
    <x v="1"/>
    <n v="88"/>
    <n v="-48149.2"/>
  </r>
  <r>
    <s v="GL000940"/>
    <x v="580"/>
    <s v="4000"/>
    <x v="0"/>
    <n v="0"/>
    <n v="0"/>
    <n v="2941.46"/>
    <n v="164721.76"/>
    <x v="1"/>
    <x v="4"/>
    <s v="AutoPost 940"/>
    <s v="AUD"/>
    <n v="2941.46"/>
    <x v="0"/>
    <n v="56"/>
    <n v="164721.76"/>
  </r>
  <r>
    <s v="GL000941"/>
    <x v="53"/>
    <s v="6000"/>
    <x v="2"/>
    <n v="1900.12"/>
    <n v="155809.84"/>
    <n v="0"/>
    <n v="0"/>
    <x v="5"/>
    <x v="1"/>
    <s v="AutoPost 941"/>
    <s v="USD"/>
    <n v="-1900.12"/>
    <x v="2"/>
    <n v="82"/>
    <n v="-155809.84"/>
  </r>
  <r>
    <s v="GL000942"/>
    <x v="444"/>
    <s v="4010"/>
    <x v="4"/>
    <n v="0"/>
    <n v="0"/>
    <n v="1951.17"/>
    <n v="109265.52"/>
    <x v="0"/>
    <x v="2"/>
    <s v="AutoPost 942"/>
    <s v="AUD"/>
    <n v="1951.17"/>
    <x v="0"/>
    <n v="56"/>
    <n v="109265.52"/>
  </r>
  <r>
    <s v="GL000943"/>
    <x v="310"/>
    <s v="5000"/>
    <x v="1"/>
    <n v="1649.25"/>
    <n v="100604.25"/>
    <n v="0"/>
    <n v="0"/>
    <x v="4"/>
    <x v="3"/>
    <s v="AutoPost 943"/>
    <s v="CAD"/>
    <n v="-1649.25"/>
    <x v="1"/>
    <n v="61"/>
    <n v="-100604.25"/>
  </r>
  <r>
    <s v="GL000944"/>
    <x v="581"/>
    <s v="6000"/>
    <x v="2"/>
    <n v="770.2"/>
    <n v="43131.200000000004"/>
    <n v="0"/>
    <n v="0"/>
    <x v="2"/>
    <x v="3"/>
    <s v="AutoPost 944"/>
    <s v="AUD"/>
    <n v="-770.2"/>
    <x v="2"/>
    <n v="56"/>
    <n v="-43131.200000000004"/>
  </r>
  <r>
    <s v="GL000945"/>
    <x v="575"/>
    <s v="6000"/>
    <x v="2"/>
    <n v="202.11"/>
    <n v="11318.16"/>
    <n v="0"/>
    <n v="0"/>
    <x v="1"/>
    <x v="1"/>
    <s v="AutoPost 945"/>
    <s v="AUD"/>
    <n v="-202.11"/>
    <x v="2"/>
    <n v="56"/>
    <n v="-11318.16"/>
  </r>
  <r>
    <s v="GL000946"/>
    <x v="70"/>
    <s v="6000"/>
    <x v="2"/>
    <n v="1844.72"/>
    <n v="112527.92"/>
    <n v="0"/>
    <n v="0"/>
    <x v="3"/>
    <x v="0"/>
    <s v="AutoPost 946"/>
    <s v="CAD"/>
    <n v="-1844.72"/>
    <x v="2"/>
    <n v="61"/>
    <n v="-112527.92"/>
  </r>
  <r>
    <s v="GL000947"/>
    <x v="582"/>
    <s v="4010"/>
    <x v="4"/>
    <n v="0"/>
    <n v="0"/>
    <n v="1995.59"/>
    <n v="175611.91999999998"/>
    <x v="4"/>
    <x v="1"/>
    <s v="AutoPost 947"/>
    <s v="EUR"/>
    <n v="1995.59"/>
    <x v="0"/>
    <n v="88"/>
    <n v="175611.91999999998"/>
  </r>
  <r>
    <s v="GL000948"/>
    <x v="583"/>
    <s v="5000"/>
    <x v="1"/>
    <n v="1875.24"/>
    <n v="153769.68"/>
    <n v="0"/>
    <n v="0"/>
    <x v="1"/>
    <x v="0"/>
    <s v="AutoPost 948"/>
    <s v="USD"/>
    <n v="-1875.24"/>
    <x v="1"/>
    <n v="82"/>
    <n v="-153769.68"/>
  </r>
  <r>
    <s v="GL000949"/>
    <x v="252"/>
    <s v="5010"/>
    <x v="3"/>
    <n v="80.59"/>
    <n v="8300.77"/>
    <n v="0"/>
    <n v="0"/>
    <x v="0"/>
    <x v="2"/>
    <s v="AutoPost 949"/>
    <s v="GBP"/>
    <n v="-80.59"/>
    <x v="2"/>
    <n v="103"/>
    <n v="-8300.77"/>
  </r>
  <r>
    <s v="GL000950"/>
    <x v="584"/>
    <s v="5010"/>
    <x v="3"/>
    <n v="445.11"/>
    <n v="24926.16"/>
    <n v="0"/>
    <n v="0"/>
    <x v="2"/>
    <x v="1"/>
    <s v="AutoPost 950"/>
    <s v="AUD"/>
    <n v="-445.11"/>
    <x v="2"/>
    <n v="56"/>
    <n v="-24926.16"/>
  </r>
  <r>
    <s v="GL000951"/>
    <x v="88"/>
    <s v="4010"/>
    <x v="4"/>
    <n v="0"/>
    <n v="0"/>
    <n v="2882.01"/>
    <n v="236324.82"/>
    <x v="3"/>
    <x v="0"/>
    <s v="AutoPost 951"/>
    <s v="USD"/>
    <n v="2882.01"/>
    <x v="0"/>
    <n v="82"/>
    <n v="236324.82"/>
  </r>
  <r>
    <s v="GL000952"/>
    <x v="585"/>
    <s v="5000"/>
    <x v="1"/>
    <n v="788.01"/>
    <n v="81165.03"/>
    <n v="0"/>
    <n v="0"/>
    <x v="1"/>
    <x v="3"/>
    <s v="AutoPost 952"/>
    <s v="GBP"/>
    <n v="-788.01"/>
    <x v="1"/>
    <n v="103"/>
    <n v="-81165.03"/>
  </r>
  <r>
    <s v="GL000953"/>
    <x v="586"/>
    <s v="4010"/>
    <x v="4"/>
    <n v="0"/>
    <n v="0"/>
    <n v="1052.22"/>
    <n v="64185.42"/>
    <x v="2"/>
    <x v="3"/>
    <s v="AutoPost 953"/>
    <s v="CAD"/>
    <n v="1052.22"/>
    <x v="0"/>
    <n v="61"/>
    <n v="64185.42"/>
  </r>
  <r>
    <s v="GL000954"/>
    <x v="549"/>
    <s v="4010"/>
    <x v="4"/>
    <n v="0"/>
    <n v="0"/>
    <n v="583.57000000000005"/>
    <n v="47852.740000000005"/>
    <x v="0"/>
    <x v="1"/>
    <s v="AutoPost 954"/>
    <s v="USD"/>
    <n v="583.57000000000005"/>
    <x v="0"/>
    <n v="82"/>
    <n v="47852.740000000005"/>
  </r>
  <r>
    <s v="GL000955"/>
    <x v="587"/>
    <s v="5000"/>
    <x v="1"/>
    <n v="1472.38"/>
    <n v="120735.16"/>
    <n v="0"/>
    <n v="0"/>
    <x v="1"/>
    <x v="1"/>
    <s v="AutoPost 955"/>
    <s v="USD"/>
    <n v="-1472.38"/>
    <x v="1"/>
    <n v="82"/>
    <n v="-120735.16"/>
  </r>
  <r>
    <s v="GL000956"/>
    <x v="41"/>
    <s v="5000"/>
    <x v="1"/>
    <n v="1444.24"/>
    <n v="148756.72"/>
    <n v="0"/>
    <n v="0"/>
    <x v="4"/>
    <x v="1"/>
    <s v="AutoPost 956"/>
    <s v="GBP"/>
    <n v="-1444.24"/>
    <x v="1"/>
    <n v="103"/>
    <n v="-148756.72"/>
  </r>
  <r>
    <s v="GL000957"/>
    <x v="588"/>
    <s v="6000"/>
    <x v="2"/>
    <n v="746.97"/>
    <n v="61251.54"/>
    <n v="0"/>
    <n v="0"/>
    <x v="5"/>
    <x v="4"/>
    <s v="AutoPost 957"/>
    <s v="USD"/>
    <n v="-746.97"/>
    <x v="2"/>
    <n v="82"/>
    <n v="-61251.54"/>
  </r>
  <r>
    <s v="GL000958"/>
    <x v="589"/>
    <s v="5010"/>
    <x v="3"/>
    <n v="1912.71"/>
    <n v="107111.76000000001"/>
    <n v="0"/>
    <n v="0"/>
    <x v="5"/>
    <x v="3"/>
    <s v="AutoPost 958"/>
    <s v="AUD"/>
    <n v="-1912.71"/>
    <x v="2"/>
    <n v="56"/>
    <n v="-107111.76000000001"/>
  </r>
  <r>
    <s v="GL000959"/>
    <x v="590"/>
    <s v="6000"/>
    <x v="2"/>
    <n v="1714.13"/>
    <n v="104561.93000000001"/>
    <n v="0"/>
    <n v="0"/>
    <x v="0"/>
    <x v="0"/>
    <s v="AutoPost 959"/>
    <s v="CAD"/>
    <n v="-1714.13"/>
    <x v="2"/>
    <n v="61"/>
    <n v="-104561.93000000001"/>
  </r>
  <r>
    <s v="GL000960"/>
    <x v="72"/>
    <s v="5000"/>
    <x v="1"/>
    <n v="996.13"/>
    <n v="87659.44"/>
    <n v="0"/>
    <n v="0"/>
    <x v="2"/>
    <x v="3"/>
    <s v="AutoPost 960"/>
    <s v="EUR"/>
    <n v="-996.13"/>
    <x v="1"/>
    <n v="88"/>
    <n v="-87659.44"/>
  </r>
  <r>
    <s v="GL000961"/>
    <x v="456"/>
    <s v="5000"/>
    <x v="1"/>
    <n v="1735.24"/>
    <n v="105849.64"/>
    <n v="0"/>
    <n v="0"/>
    <x v="0"/>
    <x v="3"/>
    <s v="AutoPost 961"/>
    <s v="CAD"/>
    <n v="-1735.24"/>
    <x v="1"/>
    <n v="61"/>
    <n v="-105849.64"/>
  </r>
  <r>
    <s v="GL000962"/>
    <x v="93"/>
    <s v="6000"/>
    <x v="2"/>
    <n v="1782.36"/>
    <n v="108723.95999999999"/>
    <n v="0"/>
    <n v="0"/>
    <x v="1"/>
    <x v="3"/>
    <s v="AutoPost 962"/>
    <s v="CAD"/>
    <n v="-1782.36"/>
    <x v="2"/>
    <n v="61"/>
    <n v="-108723.95999999999"/>
  </r>
  <r>
    <s v="GL000963"/>
    <x v="350"/>
    <s v="5010"/>
    <x v="3"/>
    <n v="288.13"/>
    <n v="29677.39"/>
    <n v="0"/>
    <n v="0"/>
    <x v="0"/>
    <x v="1"/>
    <s v="AutoPost 963"/>
    <s v="GBP"/>
    <n v="-288.13"/>
    <x v="2"/>
    <n v="103"/>
    <n v="-29677.39"/>
  </r>
  <r>
    <s v="GL000964"/>
    <x v="546"/>
    <s v="6000"/>
    <x v="2"/>
    <n v="760.63"/>
    <n v="66935.44"/>
    <n v="0"/>
    <n v="0"/>
    <x v="4"/>
    <x v="4"/>
    <s v="AutoPost 964"/>
    <s v="EUR"/>
    <n v="-760.63"/>
    <x v="2"/>
    <n v="88"/>
    <n v="-66935.44"/>
  </r>
  <r>
    <s v="GL000965"/>
    <x v="591"/>
    <s v="4010"/>
    <x v="4"/>
    <n v="0"/>
    <n v="0"/>
    <n v="4555.41"/>
    <n v="469207.23"/>
    <x v="5"/>
    <x v="3"/>
    <s v="AutoPost 965"/>
    <s v="GBP"/>
    <n v="4555.41"/>
    <x v="0"/>
    <n v="103"/>
    <n v="469207.23"/>
  </r>
  <r>
    <s v="GL000966"/>
    <x v="592"/>
    <s v="4000"/>
    <x v="0"/>
    <n v="0"/>
    <n v="0"/>
    <n v="1864.27"/>
    <n v="152870.13999999998"/>
    <x v="1"/>
    <x v="0"/>
    <s v="AutoPost 966"/>
    <s v="USD"/>
    <n v="1864.27"/>
    <x v="0"/>
    <n v="82"/>
    <n v="152870.13999999998"/>
  </r>
  <r>
    <s v="GL000967"/>
    <x v="71"/>
    <s v="4010"/>
    <x v="4"/>
    <n v="0"/>
    <n v="0"/>
    <n v="705.16"/>
    <n v="57823.119999999995"/>
    <x v="2"/>
    <x v="3"/>
    <s v="AutoPost 967"/>
    <s v="USD"/>
    <n v="705.16"/>
    <x v="0"/>
    <n v="82"/>
    <n v="57823.119999999995"/>
  </r>
  <r>
    <s v="GL000968"/>
    <x v="232"/>
    <s v="4000"/>
    <x v="0"/>
    <n v="0"/>
    <n v="0"/>
    <n v="2558.2800000000002"/>
    <n v="156055.08000000002"/>
    <x v="1"/>
    <x v="0"/>
    <s v="AutoPost 968"/>
    <s v="CAD"/>
    <n v="2558.2800000000002"/>
    <x v="0"/>
    <n v="61"/>
    <n v="156055.08000000002"/>
  </r>
  <r>
    <s v="GL000969"/>
    <x v="582"/>
    <s v="4010"/>
    <x v="4"/>
    <n v="0"/>
    <n v="0"/>
    <n v="583.33000000000004"/>
    <n v="32666.480000000003"/>
    <x v="3"/>
    <x v="1"/>
    <s v="AutoPost 969"/>
    <s v="AUD"/>
    <n v="583.33000000000004"/>
    <x v="0"/>
    <n v="56"/>
    <n v="32666.480000000003"/>
  </r>
  <r>
    <s v="GL000970"/>
    <x v="593"/>
    <s v="4010"/>
    <x v="4"/>
    <n v="0"/>
    <n v="0"/>
    <n v="2126.6999999999998"/>
    <n v="174389.4"/>
    <x v="1"/>
    <x v="2"/>
    <s v="AutoPost 970"/>
    <s v="USD"/>
    <n v="2126.6999999999998"/>
    <x v="0"/>
    <n v="82"/>
    <n v="174389.4"/>
  </r>
  <r>
    <s v="GL000971"/>
    <x v="594"/>
    <s v="6000"/>
    <x v="2"/>
    <n v="409.25"/>
    <n v="24964.25"/>
    <n v="0"/>
    <n v="0"/>
    <x v="5"/>
    <x v="4"/>
    <s v="AutoPost 971"/>
    <s v="CAD"/>
    <n v="-409.25"/>
    <x v="2"/>
    <n v="61"/>
    <n v="-24964.25"/>
  </r>
  <r>
    <s v="GL000972"/>
    <x v="506"/>
    <s v="4010"/>
    <x v="4"/>
    <n v="0"/>
    <n v="0"/>
    <n v="546.70000000000005"/>
    <n v="48109.600000000006"/>
    <x v="0"/>
    <x v="4"/>
    <s v="AutoPost 972"/>
    <s v="EUR"/>
    <n v="546.70000000000005"/>
    <x v="0"/>
    <n v="88"/>
    <n v="48109.600000000006"/>
  </r>
  <r>
    <s v="GL000973"/>
    <x v="16"/>
    <s v="5010"/>
    <x v="3"/>
    <n v="1708.86"/>
    <n v="104240.45999999999"/>
    <n v="0"/>
    <n v="0"/>
    <x v="1"/>
    <x v="3"/>
    <s v="AutoPost 973"/>
    <s v="CAD"/>
    <n v="-1708.86"/>
    <x v="2"/>
    <n v="61"/>
    <n v="-104240.45999999999"/>
  </r>
  <r>
    <s v="GL000974"/>
    <x v="595"/>
    <s v="5000"/>
    <x v="1"/>
    <n v="1155.1300000000001"/>
    <n v="118978.39000000001"/>
    <n v="0"/>
    <n v="0"/>
    <x v="5"/>
    <x v="2"/>
    <s v="AutoPost 974"/>
    <s v="GBP"/>
    <n v="-1155.1300000000001"/>
    <x v="1"/>
    <n v="103"/>
    <n v="-118978.39000000001"/>
  </r>
  <r>
    <s v="GL000975"/>
    <x v="596"/>
    <s v="5010"/>
    <x v="3"/>
    <n v="906.36"/>
    <n v="50756.160000000003"/>
    <n v="0"/>
    <n v="0"/>
    <x v="2"/>
    <x v="1"/>
    <s v="AutoPost 975"/>
    <s v="AUD"/>
    <n v="-906.36"/>
    <x v="2"/>
    <n v="56"/>
    <n v="-50756.160000000003"/>
  </r>
  <r>
    <s v="GL000976"/>
    <x v="312"/>
    <s v="4000"/>
    <x v="0"/>
    <n v="0"/>
    <n v="0"/>
    <n v="1026.19"/>
    <n v="57466.64"/>
    <x v="3"/>
    <x v="1"/>
    <s v="AutoPost 976"/>
    <s v="AUD"/>
    <n v="1026.19"/>
    <x v="0"/>
    <n v="56"/>
    <n v="57466.64"/>
  </r>
  <r>
    <s v="GL000977"/>
    <x v="502"/>
    <s v="5010"/>
    <x v="3"/>
    <n v="1571.91"/>
    <n v="95886.510000000009"/>
    <n v="0"/>
    <n v="0"/>
    <x v="2"/>
    <x v="4"/>
    <s v="AutoPost 977"/>
    <s v="CAD"/>
    <n v="-1571.91"/>
    <x v="2"/>
    <n v="61"/>
    <n v="-95886.510000000009"/>
  </r>
  <r>
    <s v="GL000978"/>
    <x v="77"/>
    <s v="4000"/>
    <x v="0"/>
    <n v="0"/>
    <n v="0"/>
    <n v="504.44"/>
    <n v="41364.080000000002"/>
    <x v="5"/>
    <x v="1"/>
    <s v="AutoPost 978"/>
    <s v="USD"/>
    <n v="504.44"/>
    <x v="0"/>
    <n v="82"/>
    <n v="41364.080000000002"/>
  </r>
  <r>
    <s v="GL000979"/>
    <x v="336"/>
    <s v="4000"/>
    <x v="0"/>
    <n v="0"/>
    <n v="0"/>
    <n v="2486.2199999999998"/>
    <n v="256080.65999999997"/>
    <x v="2"/>
    <x v="4"/>
    <s v="AutoPost 979"/>
    <s v="GBP"/>
    <n v="2486.2199999999998"/>
    <x v="0"/>
    <n v="103"/>
    <n v="256080.65999999997"/>
  </r>
  <r>
    <s v="GL000980"/>
    <x v="147"/>
    <s v="5010"/>
    <x v="3"/>
    <n v="397.17"/>
    <n v="34950.959999999999"/>
    <n v="0"/>
    <n v="0"/>
    <x v="4"/>
    <x v="3"/>
    <s v="AutoPost 980"/>
    <s v="EUR"/>
    <n v="-397.17"/>
    <x v="2"/>
    <n v="88"/>
    <n v="-34950.959999999999"/>
  </r>
  <r>
    <s v="GL000981"/>
    <x v="210"/>
    <s v="5010"/>
    <x v="3"/>
    <n v="1558.38"/>
    <n v="160513.14000000001"/>
    <n v="0"/>
    <n v="0"/>
    <x v="4"/>
    <x v="3"/>
    <s v="AutoPost 981"/>
    <s v="GBP"/>
    <n v="-1558.38"/>
    <x v="2"/>
    <n v="103"/>
    <n v="-160513.14000000001"/>
  </r>
  <r>
    <s v="GL000982"/>
    <x v="564"/>
    <s v="4000"/>
    <x v="0"/>
    <n v="0"/>
    <n v="0"/>
    <n v="1902.31"/>
    <n v="155989.41999999998"/>
    <x v="3"/>
    <x v="2"/>
    <s v="AutoPost 982"/>
    <s v="USD"/>
    <n v="1902.31"/>
    <x v="0"/>
    <n v="82"/>
    <n v="155989.41999999998"/>
  </r>
  <r>
    <s v="GL000983"/>
    <x v="574"/>
    <s v="6000"/>
    <x v="2"/>
    <n v="330.31"/>
    <n v="29067.279999999999"/>
    <n v="0"/>
    <n v="0"/>
    <x v="3"/>
    <x v="2"/>
    <s v="AutoPost 983"/>
    <s v="EUR"/>
    <n v="-330.31"/>
    <x v="2"/>
    <n v="88"/>
    <n v="-29067.279999999999"/>
  </r>
  <r>
    <s v="GL000984"/>
    <x v="597"/>
    <s v="4010"/>
    <x v="4"/>
    <n v="0"/>
    <n v="0"/>
    <n v="369.23"/>
    <n v="20676.88"/>
    <x v="5"/>
    <x v="1"/>
    <s v="AutoPost 984"/>
    <s v="AUD"/>
    <n v="369.23"/>
    <x v="0"/>
    <n v="56"/>
    <n v="20676.88"/>
  </r>
  <r>
    <s v="GL000985"/>
    <x v="598"/>
    <s v="4010"/>
    <x v="4"/>
    <n v="0"/>
    <n v="0"/>
    <n v="2516.86"/>
    <n v="221483.68000000002"/>
    <x v="1"/>
    <x v="3"/>
    <s v="AutoPost 985"/>
    <s v="EUR"/>
    <n v="2516.86"/>
    <x v="0"/>
    <n v="88"/>
    <n v="221483.68000000002"/>
  </r>
  <r>
    <s v="GL000986"/>
    <x v="554"/>
    <s v="4010"/>
    <x v="4"/>
    <n v="0"/>
    <n v="0"/>
    <n v="2267.1999999999998"/>
    <n v="126963.19999999998"/>
    <x v="4"/>
    <x v="1"/>
    <s v="AutoPost 986"/>
    <s v="AUD"/>
    <n v="2267.1999999999998"/>
    <x v="0"/>
    <n v="56"/>
    <n v="126963.19999999998"/>
  </r>
  <r>
    <s v="GL000987"/>
    <x v="96"/>
    <s v="5000"/>
    <x v="1"/>
    <n v="270.42"/>
    <n v="16495.620000000003"/>
    <n v="0"/>
    <n v="0"/>
    <x v="2"/>
    <x v="0"/>
    <s v="AutoPost 987"/>
    <s v="CAD"/>
    <n v="-270.42"/>
    <x v="1"/>
    <n v="61"/>
    <n v="-16495.620000000003"/>
  </r>
  <r>
    <s v="GL000988"/>
    <x v="426"/>
    <s v="4000"/>
    <x v="0"/>
    <n v="0"/>
    <n v="0"/>
    <n v="1807.47"/>
    <n v="148212.54"/>
    <x v="4"/>
    <x v="3"/>
    <s v="AutoPost 988"/>
    <s v="USD"/>
    <n v="1807.47"/>
    <x v="0"/>
    <n v="82"/>
    <n v="148212.54"/>
  </r>
  <r>
    <s v="GL000989"/>
    <x v="193"/>
    <s v="5000"/>
    <x v="1"/>
    <n v="1404.46"/>
    <n v="85672.06"/>
    <n v="0"/>
    <n v="0"/>
    <x v="2"/>
    <x v="1"/>
    <s v="AutoPost 989"/>
    <s v="CAD"/>
    <n v="-1404.46"/>
    <x v="1"/>
    <n v="61"/>
    <n v="-85672.06"/>
  </r>
  <r>
    <s v="GL000990"/>
    <x v="94"/>
    <s v="6000"/>
    <x v="2"/>
    <n v="1628.38"/>
    <n v="99331.180000000008"/>
    <n v="0"/>
    <n v="0"/>
    <x v="5"/>
    <x v="0"/>
    <s v="AutoPost 990"/>
    <s v="CAD"/>
    <n v="-1628.38"/>
    <x v="2"/>
    <n v="61"/>
    <n v="-99331.180000000008"/>
  </r>
  <r>
    <s v="GL000991"/>
    <x v="380"/>
    <s v="5010"/>
    <x v="3"/>
    <n v="1593.21"/>
    <n v="140202.48000000001"/>
    <n v="0"/>
    <n v="0"/>
    <x v="1"/>
    <x v="3"/>
    <s v="AutoPost 991"/>
    <s v="EUR"/>
    <n v="-1593.21"/>
    <x v="2"/>
    <n v="88"/>
    <n v="-140202.48000000001"/>
  </r>
  <r>
    <s v="GL000992"/>
    <x v="84"/>
    <s v="4000"/>
    <x v="0"/>
    <n v="0"/>
    <n v="0"/>
    <n v="3100.79"/>
    <n v="189148.19"/>
    <x v="4"/>
    <x v="3"/>
    <s v="AutoPost 992"/>
    <s v="CAD"/>
    <n v="3100.79"/>
    <x v="0"/>
    <n v="61"/>
    <n v="189148.19"/>
  </r>
  <r>
    <s v="GL000993"/>
    <x v="599"/>
    <s v="5000"/>
    <x v="1"/>
    <n v="759.38"/>
    <n v="42525.279999999999"/>
    <n v="0"/>
    <n v="0"/>
    <x v="0"/>
    <x v="4"/>
    <s v="AutoPost 993"/>
    <s v="AUD"/>
    <n v="-759.38"/>
    <x v="1"/>
    <n v="56"/>
    <n v="-42525.279999999999"/>
  </r>
  <r>
    <s v="GL000994"/>
    <x v="600"/>
    <s v="6000"/>
    <x v="2"/>
    <n v="818.52"/>
    <n v="84307.56"/>
    <n v="0"/>
    <n v="0"/>
    <x v="0"/>
    <x v="0"/>
    <s v="AutoPost 994"/>
    <s v="GBP"/>
    <n v="-818.52"/>
    <x v="2"/>
    <n v="103"/>
    <n v="-84307.56"/>
  </r>
  <r>
    <s v="GL000995"/>
    <x v="601"/>
    <s v="6000"/>
    <x v="2"/>
    <n v="1003.28"/>
    <n v="56183.68"/>
    <n v="0"/>
    <n v="0"/>
    <x v="0"/>
    <x v="3"/>
    <s v="AutoPost 995"/>
    <s v="AUD"/>
    <n v="-1003.28"/>
    <x v="2"/>
    <n v="56"/>
    <n v="-56183.68"/>
  </r>
  <r>
    <s v="GL000996"/>
    <x v="29"/>
    <s v="4010"/>
    <x v="4"/>
    <n v="0"/>
    <n v="0"/>
    <n v="3683.5"/>
    <n v="302047"/>
    <x v="4"/>
    <x v="4"/>
    <s v="AutoPost 996"/>
    <s v="USD"/>
    <n v="3683.5"/>
    <x v="0"/>
    <n v="82"/>
    <n v="302047"/>
  </r>
  <r>
    <s v="GL000997"/>
    <x v="216"/>
    <s v="5010"/>
    <x v="3"/>
    <n v="1336.12"/>
    <n v="81503.319999999992"/>
    <n v="0"/>
    <n v="0"/>
    <x v="0"/>
    <x v="4"/>
    <s v="AutoPost 997"/>
    <s v="CAD"/>
    <n v="-1336.12"/>
    <x v="2"/>
    <n v="61"/>
    <n v="-81503.319999999992"/>
  </r>
  <r>
    <s v="GL000998"/>
    <x v="150"/>
    <s v="4000"/>
    <x v="0"/>
    <n v="0"/>
    <n v="0"/>
    <n v="142.47999999999999"/>
    <n v="14675.439999999999"/>
    <x v="4"/>
    <x v="4"/>
    <s v="AutoPost 998"/>
    <s v="GBP"/>
    <n v="142.47999999999999"/>
    <x v="0"/>
    <n v="103"/>
    <n v="14675.439999999999"/>
  </r>
  <r>
    <s v="GL000999"/>
    <x v="404"/>
    <s v="6000"/>
    <x v="2"/>
    <n v="225.03"/>
    <n v="13726.83"/>
    <n v="0"/>
    <n v="0"/>
    <x v="0"/>
    <x v="4"/>
    <s v="AutoPost 999"/>
    <s v="CAD"/>
    <n v="-225.03"/>
    <x v="2"/>
    <n v="61"/>
    <n v="-13726.83"/>
  </r>
  <r>
    <s v="GL001000"/>
    <x v="602"/>
    <s v="5000"/>
    <x v="1"/>
    <n v="1959.72"/>
    <n v="109744.32000000001"/>
    <n v="0"/>
    <n v="0"/>
    <x v="0"/>
    <x v="3"/>
    <s v="AutoPost 1000"/>
    <s v="AUD"/>
    <n v="-1959.72"/>
    <x v="1"/>
    <n v="56"/>
    <n v="-109744.32000000001"/>
  </r>
  <r>
    <s v="GL001001"/>
    <x v="327"/>
    <s v="6000"/>
    <x v="2"/>
    <n v="459.97"/>
    <n v="37717.54"/>
    <n v="0"/>
    <n v="0"/>
    <x v="0"/>
    <x v="4"/>
    <s v="AutoPost 1001"/>
    <s v="USD"/>
    <n v="-459.97"/>
    <x v="2"/>
    <n v="82"/>
    <n v="-37717.54"/>
  </r>
  <r>
    <s v="GL001002"/>
    <x v="603"/>
    <s v="4000"/>
    <x v="0"/>
    <n v="0"/>
    <n v="0"/>
    <n v="1518.16"/>
    <n v="124489.12000000001"/>
    <x v="2"/>
    <x v="0"/>
    <s v="AutoPost 1002"/>
    <s v="USD"/>
    <n v="1518.16"/>
    <x v="0"/>
    <n v="82"/>
    <n v="124489.12000000001"/>
  </r>
  <r>
    <s v="GL001003"/>
    <x v="604"/>
    <s v="6000"/>
    <x v="2"/>
    <n v="1278.1199999999999"/>
    <n v="112474.56"/>
    <n v="0"/>
    <n v="0"/>
    <x v="5"/>
    <x v="0"/>
    <s v="AutoPost 1003"/>
    <s v="EUR"/>
    <n v="-1278.1199999999999"/>
    <x v="2"/>
    <n v="88"/>
    <n v="-112474.56"/>
  </r>
  <r>
    <s v="GL001004"/>
    <x v="605"/>
    <s v="5000"/>
    <x v="1"/>
    <n v="1956.42"/>
    <n v="172164.96000000002"/>
    <n v="0"/>
    <n v="0"/>
    <x v="0"/>
    <x v="4"/>
    <s v="AutoPost 1004"/>
    <s v="EUR"/>
    <n v="-1956.42"/>
    <x v="1"/>
    <n v="88"/>
    <n v="-172164.96000000002"/>
  </r>
  <r>
    <s v="GL001005"/>
    <x v="505"/>
    <s v="5010"/>
    <x v="3"/>
    <n v="1816.11"/>
    <n v="187059.33"/>
    <n v="0"/>
    <n v="0"/>
    <x v="2"/>
    <x v="2"/>
    <s v="AutoPost 1005"/>
    <s v="GBP"/>
    <n v="-1816.11"/>
    <x v="2"/>
    <n v="103"/>
    <n v="-187059.33"/>
  </r>
  <r>
    <s v="GL001006"/>
    <x v="500"/>
    <s v="5000"/>
    <x v="1"/>
    <n v="1309.5"/>
    <n v="115236"/>
    <n v="0"/>
    <n v="0"/>
    <x v="4"/>
    <x v="1"/>
    <s v="AutoPost 1006"/>
    <s v="EUR"/>
    <n v="-1309.5"/>
    <x v="1"/>
    <n v="88"/>
    <n v="-115236"/>
  </r>
  <r>
    <s v="GL001007"/>
    <x v="606"/>
    <s v="5000"/>
    <x v="1"/>
    <n v="316.43"/>
    <n v="27845.84"/>
    <n v="0"/>
    <n v="0"/>
    <x v="2"/>
    <x v="4"/>
    <s v="AutoPost 1007"/>
    <s v="EUR"/>
    <n v="-316.43"/>
    <x v="1"/>
    <n v="88"/>
    <n v="-27845.84"/>
  </r>
  <r>
    <s v="GL001008"/>
    <x v="552"/>
    <s v="4000"/>
    <x v="0"/>
    <n v="0"/>
    <n v="0"/>
    <n v="4239.59"/>
    <n v="373083.92000000004"/>
    <x v="0"/>
    <x v="4"/>
    <s v="AutoPost 1008"/>
    <s v="EUR"/>
    <n v="4239.59"/>
    <x v="0"/>
    <n v="88"/>
    <n v="373083.92000000004"/>
  </r>
  <r>
    <s v="GL001009"/>
    <x v="200"/>
    <s v="5000"/>
    <x v="1"/>
    <n v="497.55"/>
    <n v="51247.65"/>
    <n v="0"/>
    <n v="0"/>
    <x v="0"/>
    <x v="1"/>
    <s v="AutoPost 1009"/>
    <s v="GBP"/>
    <n v="-497.55"/>
    <x v="1"/>
    <n v="103"/>
    <n v="-51247.65"/>
  </r>
  <r>
    <s v="GL001010"/>
    <x v="159"/>
    <s v="6000"/>
    <x v="2"/>
    <n v="1978.21"/>
    <n v="162213.22"/>
    <n v="0"/>
    <n v="0"/>
    <x v="1"/>
    <x v="0"/>
    <s v="AutoPost 1010"/>
    <s v="USD"/>
    <n v="-1978.21"/>
    <x v="2"/>
    <n v="82"/>
    <n v="-162213.22"/>
  </r>
  <r>
    <s v="GL001011"/>
    <x v="338"/>
    <s v="5000"/>
    <x v="1"/>
    <n v="1691.11"/>
    <n v="174184.33"/>
    <n v="0"/>
    <n v="0"/>
    <x v="2"/>
    <x v="1"/>
    <s v="AutoPost 1011"/>
    <s v="GBP"/>
    <n v="-1691.11"/>
    <x v="1"/>
    <n v="103"/>
    <n v="-174184.33"/>
  </r>
  <r>
    <s v="GL001012"/>
    <x v="7"/>
    <s v="4000"/>
    <x v="0"/>
    <n v="0"/>
    <n v="0"/>
    <n v="3238.48"/>
    <n v="333563.44"/>
    <x v="0"/>
    <x v="1"/>
    <s v="AutoPost 1012"/>
    <s v="GBP"/>
    <n v="3238.48"/>
    <x v="0"/>
    <n v="103"/>
    <n v="333563.44"/>
  </r>
  <r>
    <s v="GL001013"/>
    <x v="144"/>
    <s v="4010"/>
    <x v="4"/>
    <n v="0"/>
    <n v="0"/>
    <n v="2318.9699999999998"/>
    <n v="129862.31999999999"/>
    <x v="5"/>
    <x v="0"/>
    <s v="AutoPost 1013"/>
    <s v="AUD"/>
    <n v="2318.9699999999998"/>
    <x v="0"/>
    <n v="56"/>
    <n v="129862.31999999999"/>
  </r>
  <r>
    <s v="GL001014"/>
    <x v="607"/>
    <s v="5000"/>
    <x v="1"/>
    <n v="683.66"/>
    <n v="38284.959999999999"/>
    <n v="0"/>
    <n v="0"/>
    <x v="1"/>
    <x v="3"/>
    <s v="AutoPost 1014"/>
    <s v="AUD"/>
    <n v="-683.66"/>
    <x v="1"/>
    <n v="56"/>
    <n v="-38284.959999999999"/>
  </r>
  <r>
    <s v="GL001015"/>
    <x v="608"/>
    <s v="6000"/>
    <x v="2"/>
    <n v="1309.76"/>
    <n v="73346.559999999998"/>
    <n v="0"/>
    <n v="0"/>
    <x v="1"/>
    <x v="0"/>
    <s v="AutoPost 1015"/>
    <s v="AUD"/>
    <n v="-1309.76"/>
    <x v="2"/>
    <n v="56"/>
    <n v="-73346.559999999998"/>
  </r>
  <r>
    <s v="GL001016"/>
    <x v="540"/>
    <s v="6000"/>
    <x v="2"/>
    <n v="988.94"/>
    <n v="81093.08"/>
    <n v="0"/>
    <n v="0"/>
    <x v="5"/>
    <x v="3"/>
    <s v="AutoPost 1016"/>
    <s v="USD"/>
    <n v="-988.94"/>
    <x v="2"/>
    <n v="82"/>
    <n v="-81093.08"/>
  </r>
  <r>
    <s v="GL001017"/>
    <x v="581"/>
    <s v="4000"/>
    <x v="0"/>
    <n v="0"/>
    <n v="0"/>
    <n v="3981.75"/>
    <n v="222978"/>
    <x v="4"/>
    <x v="2"/>
    <s v="AutoPost 1017"/>
    <s v="AUD"/>
    <n v="3981.75"/>
    <x v="0"/>
    <n v="56"/>
    <n v="222978"/>
  </r>
  <r>
    <s v="GL001018"/>
    <x v="109"/>
    <s v="4010"/>
    <x v="4"/>
    <n v="0"/>
    <n v="0"/>
    <n v="4727.49"/>
    <n v="387654.18"/>
    <x v="4"/>
    <x v="1"/>
    <s v="AutoPost 1018"/>
    <s v="USD"/>
    <n v="4727.49"/>
    <x v="0"/>
    <n v="82"/>
    <n v="387654.18"/>
  </r>
  <r>
    <s v="GL001019"/>
    <x v="482"/>
    <s v="4000"/>
    <x v="0"/>
    <n v="0"/>
    <n v="0"/>
    <n v="4557.5600000000004"/>
    <n v="278011.16000000003"/>
    <x v="3"/>
    <x v="3"/>
    <s v="AutoPost 1019"/>
    <s v="CAD"/>
    <n v="4557.5600000000004"/>
    <x v="0"/>
    <n v="61"/>
    <n v="278011.16000000003"/>
  </r>
  <r>
    <s v="GL001020"/>
    <x v="502"/>
    <s v="5000"/>
    <x v="1"/>
    <n v="402.15"/>
    <n v="35389.199999999997"/>
    <n v="0"/>
    <n v="0"/>
    <x v="5"/>
    <x v="0"/>
    <s v="AutoPost 1020"/>
    <s v="EUR"/>
    <n v="-402.15"/>
    <x v="1"/>
    <n v="88"/>
    <n v="-35389.199999999997"/>
  </r>
  <r>
    <s v="GL001021"/>
    <x v="138"/>
    <s v="4000"/>
    <x v="0"/>
    <n v="0"/>
    <n v="0"/>
    <n v="1210.2"/>
    <n v="99236.400000000009"/>
    <x v="1"/>
    <x v="0"/>
    <s v="AutoPost 1021"/>
    <s v="USD"/>
    <n v="1210.2"/>
    <x v="0"/>
    <n v="82"/>
    <n v="99236.400000000009"/>
  </r>
  <r>
    <s v="GL001022"/>
    <x v="267"/>
    <s v="4000"/>
    <x v="0"/>
    <n v="0"/>
    <n v="0"/>
    <n v="256.32"/>
    <n v="15635.52"/>
    <x v="0"/>
    <x v="0"/>
    <s v="AutoPost 1022"/>
    <s v="CAD"/>
    <n v="256.32"/>
    <x v="0"/>
    <n v="61"/>
    <n v="15635.52"/>
  </r>
  <r>
    <s v="GL001023"/>
    <x v="446"/>
    <s v="5000"/>
    <x v="1"/>
    <n v="1493.77"/>
    <n v="91119.97"/>
    <n v="0"/>
    <n v="0"/>
    <x v="1"/>
    <x v="3"/>
    <s v="AutoPost 1023"/>
    <s v="CAD"/>
    <n v="-1493.77"/>
    <x v="1"/>
    <n v="61"/>
    <n v="-91119.97"/>
  </r>
  <r>
    <s v="GL001024"/>
    <x v="241"/>
    <s v="6000"/>
    <x v="2"/>
    <n v="1946.64"/>
    <n v="118745.04000000001"/>
    <n v="0"/>
    <n v="0"/>
    <x v="4"/>
    <x v="2"/>
    <s v="AutoPost 1024"/>
    <s v="CAD"/>
    <n v="-1946.64"/>
    <x v="2"/>
    <n v="61"/>
    <n v="-118745.04000000001"/>
  </r>
  <r>
    <s v="GL001025"/>
    <x v="155"/>
    <s v="4010"/>
    <x v="4"/>
    <n v="0"/>
    <n v="0"/>
    <n v="3890.34"/>
    <n v="217859.04"/>
    <x v="5"/>
    <x v="1"/>
    <s v="AutoPost 1025"/>
    <s v="AUD"/>
    <n v="3890.34"/>
    <x v="0"/>
    <n v="56"/>
    <n v="217859.04"/>
  </r>
  <r>
    <s v="GL001026"/>
    <x v="609"/>
    <s v="5010"/>
    <x v="3"/>
    <n v="1085.95"/>
    <n v="60813.200000000004"/>
    <n v="0"/>
    <n v="0"/>
    <x v="0"/>
    <x v="3"/>
    <s v="AutoPost 1026"/>
    <s v="AUD"/>
    <n v="-1085.95"/>
    <x v="2"/>
    <n v="56"/>
    <n v="-60813.200000000004"/>
  </r>
  <r>
    <s v="GL001027"/>
    <x v="610"/>
    <s v="6000"/>
    <x v="2"/>
    <n v="1425.4"/>
    <n v="79822.400000000009"/>
    <n v="0"/>
    <n v="0"/>
    <x v="1"/>
    <x v="1"/>
    <s v="AutoPost 1027"/>
    <s v="AUD"/>
    <n v="-1425.4"/>
    <x v="2"/>
    <n v="56"/>
    <n v="-79822.400000000009"/>
  </r>
  <r>
    <s v="GL001028"/>
    <x v="114"/>
    <s v="5010"/>
    <x v="3"/>
    <n v="910.93"/>
    <n v="93825.79"/>
    <n v="0"/>
    <n v="0"/>
    <x v="3"/>
    <x v="1"/>
    <s v="AutoPost 1028"/>
    <s v="GBP"/>
    <n v="-910.93"/>
    <x v="2"/>
    <n v="103"/>
    <n v="-93825.79"/>
  </r>
  <r>
    <s v="GL001029"/>
    <x v="316"/>
    <s v="6000"/>
    <x v="2"/>
    <n v="973.12"/>
    <n v="100231.36"/>
    <n v="0"/>
    <n v="0"/>
    <x v="2"/>
    <x v="4"/>
    <s v="AutoPost 1029"/>
    <s v="GBP"/>
    <n v="-973.12"/>
    <x v="2"/>
    <n v="103"/>
    <n v="-100231.36"/>
  </r>
  <r>
    <s v="GL001030"/>
    <x v="607"/>
    <s v="4010"/>
    <x v="4"/>
    <n v="0"/>
    <n v="0"/>
    <n v="3221.92"/>
    <n v="264197.44"/>
    <x v="0"/>
    <x v="2"/>
    <s v="AutoPost 1030"/>
    <s v="USD"/>
    <n v="3221.92"/>
    <x v="0"/>
    <n v="82"/>
    <n v="264197.44"/>
  </r>
  <r>
    <s v="GL001031"/>
    <x v="611"/>
    <s v="4010"/>
    <x v="4"/>
    <n v="0"/>
    <n v="0"/>
    <n v="4508.8599999999997"/>
    <n v="275040.45999999996"/>
    <x v="2"/>
    <x v="1"/>
    <s v="AutoPost 1031"/>
    <s v="CAD"/>
    <n v="4508.8599999999997"/>
    <x v="0"/>
    <n v="61"/>
    <n v="275040.45999999996"/>
  </r>
  <r>
    <s v="GL001032"/>
    <x v="175"/>
    <s v="4010"/>
    <x v="4"/>
    <n v="0"/>
    <n v="0"/>
    <n v="882.66"/>
    <n v="72378.12"/>
    <x v="3"/>
    <x v="2"/>
    <s v="AutoPost 1032"/>
    <s v="USD"/>
    <n v="882.66"/>
    <x v="0"/>
    <n v="82"/>
    <n v="72378.12"/>
  </r>
  <r>
    <s v="GL001033"/>
    <x v="45"/>
    <s v="6000"/>
    <x v="2"/>
    <n v="432.35"/>
    <n v="26373.350000000002"/>
    <n v="0"/>
    <n v="0"/>
    <x v="2"/>
    <x v="1"/>
    <s v="AutoPost 1033"/>
    <s v="CAD"/>
    <n v="-432.35"/>
    <x v="2"/>
    <n v="61"/>
    <n v="-26373.350000000002"/>
  </r>
  <r>
    <s v="GL001034"/>
    <x v="294"/>
    <s v="4000"/>
    <x v="0"/>
    <n v="0"/>
    <n v="0"/>
    <n v="1578.7"/>
    <n v="129453.40000000001"/>
    <x v="3"/>
    <x v="4"/>
    <s v="AutoPost 1034"/>
    <s v="USD"/>
    <n v="1578.7"/>
    <x v="0"/>
    <n v="82"/>
    <n v="129453.40000000001"/>
  </r>
  <r>
    <s v="GL001035"/>
    <x v="612"/>
    <s v="6000"/>
    <x v="2"/>
    <n v="880.83"/>
    <n v="90725.49"/>
    <n v="0"/>
    <n v="0"/>
    <x v="3"/>
    <x v="0"/>
    <s v="AutoPost 1035"/>
    <s v="GBP"/>
    <n v="-880.83"/>
    <x v="2"/>
    <n v="103"/>
    <n v="-90725.49"/>
  </r>
  <r>
    <s v="GL001036"/>
    <x v="613"/>
    <s v="4000"/>
    <x v="0"/>
    <n v="0"/>
    <n v="0"/>
    <n v="1378.62"/>
    <n v="77202.720000000001"/>
    <x v="2"/>
    <x v="0"/>
    <s v="AutoPost 1036"/>
    <s v="AUD"/>
    <n v="1378.62"/>
    <x v="0"/>
    <n v="56"/>
    <n v="77202.720000000001"/>
  </r>
  <r>
    <s v="GL001037"/>
    <x v="614"/>
    <s v="4000"/>
    <x v="0"/>
    <n v="0"/>
    <n v="0"/>
    <n v="1884.23"/>
    <n v="154506.86000000002"/>
    <x v="5"/>
    <x v="0"/>
    <s v="AutoPost 1037"/>
    <s v="USD"/>
    <n v="1884.23"/>
    <x v="0"/>
    <n v="82"/>
    <n v="154506.86000000002"/>
  </r>
  <r>
    <s v="GL001038"/>
    <x v="195"/>
    <s v="5000"/>
    <x v="1"/>
    <n v="398.06"/>
    <n v="41000.18"/>
    <n v="0"/>
    <n v="0"/>
    <x v="4"/>
    <x v="3"/>
    <s v="AutoPost 1038"/>
    <s v="GBP"/>
    <n v="-398.06"/>
    <x v="1"/>
    <n v="103"/>
    <n v="-41000.18"/>
  </r>
  <r>
    <s v="GL001039"/>
    <x v="615"/>
    <s v="6000"/>
    <x v="2"/>
    <n v="1030.76"/>
    <n v="90706.880000000005"/>
    <n v="0"/>
    <n v="0"/>
    <x v="2"/>
    <x v="0"/>
    <s v="AutoPost 1039"/>
    <s v="EUR"/>
    <n v="-1030.76"/>
    <x v="2"/>
    <n v="88"/>
    <n v="-90706.880000000005"/>
  </r>
  <r>
    <s v="GL001040"/>
    <x v="583"/>
    <s v="5010"/>
    <x v="3"/>
    <n v="1713"/>
    <n v="95928"/>
    <n v="0"/>
    <n v="0"/>
    <x v="4"/>
    <x v="3"/>
    <s v="AutoPost 1040"/>
    <s v="AUD"/>
    <n v="-1713"/>
    <x v="2"/>
    <n v="56"/>
    <n v="-95928"/>
  </r>
  <r>
    <s v="GL001041"/>
    <x v="415"/>
    <s v="4000"/>
    <x v="0"/>
    <n v="0"/>
    <n v="0"/>
    <n v="3214.89"/>
    <n v="180033.84"/>
    <x v="2"/>
    <x v="0"/>
    <s v="AutoPost 1041"/>
    <s v="AUD"/>
    <n v="3214.89"/>
    <x v="0"/>
    <n v="56"/>
    <n v="180033.84"/>
  </r>
  <r>
    <s v="GL001042"/>
    <x v="616"/>
    <s v="4000"/>
    <x v="0"/>
    <n v="0"/>
    <n v="0"/>
    <n v="284.06"/>
    <n v="15907.36"/>
    <x v="5"/>
    <x v="0"/>
    <s v="AutoPost 1042"/>
    <s v="AUD"/>
    <n v="284.06"/>
    <x v="0"/>
    <n v="56"/>
    <n v="15907.36"/>
  </r>
  <r>
    <s v="GL001043"/>
    <x v="617"/>
    <s v="4010"/>
    <x v="4"/>
    <n v="0"/>
    <n v="0"/>
    <n v="3835.49"/>
    <n v="395055.47"/>
    <x v="0"/>
    <x v="1"/>
    <s v="AutoPost 1043"/>
    <s v="GBP"/>
    <n v="3835.49"/>
    <x v="0"/>
    <n v="103"/>
    <n v="395055.47"/>
  </r>
  <r>
    <s v="GL001044"/>
    <x v="4"/>
    <s v="5000"/>
    <x v="1"/>
    <n v="357.85"/>
    <n v="36858.550000000003"/>
    <n v="0"/>
    <n v="0"/>
    <x v="1"/>
    <x v="2"/>
    <s v="AutoPost 1044"/>
    <s v="GBP"/>
    <n v="-357.85"/>
    <x v="1"/>
    <n v="103"/>
    <n v="-36858.550000000003"/>
  </r>
  <r>
    <s v="GL001045"/>
    <x v="246"/>
    <s v="4010"/>
    <x v="4"/>
    <n v="0"/>
    <n v="0"/>
    <n v="1435.58"/>
    <n v="147864.74"/>
    <x v="3"/>
    <x v="3"/>
    <s v="AutoPost 1045"/>
    <s v="GBP"/>
    <n v="1435.58"/>
    <x v="0"/>
    <n v="103"/>
    <n v="147864.74"/>
  </r>
  <r>
    <s v="GL001046"/>
    <x v="21"/>
    <s v="5000"/>
    <x v="1"/>
    <n v="163.47999999999999"/>
    <n v="9154.8799999999992"/>
    <n v="0"/>
    <n v="0"/>
    <x v="5"/>
    <x v="3"/>
    <s v="AutoPost 1046"/>
    <s v="AUD"/>
    <n v="-163.47999999999999"/>
    <x v="1"/>
    <n v="56"/>
    <n v="-9154.8799999999992"/>
  </r>
  <r>
    <s v="GL001047"/>
    <x v="95"/>
    <s v="5010"/>
    <x v="3"/>
    <n v="1586.3"/>
    <n v="96764.3"/>
    <n v="0"/>
    <n v="0"/>
    <x v="5"/>
    <x v="2"/>
    <s v="AutoPost 1047"/>
    <s v="CAD"/>
    <n v="-1586.3"/>
    <x v="2"/>
    <n v="61"/>
    <n v="-96764.3"/>
  </r>
  <r>
    <s v="GL001048"/>
    <x v="442"/>
    <s v="4010"/>
    <x v="4"/>
    <n v="0"/>
    <n v="0"/>
    <n v="1071.1300000000001"/>
    <n v="87832.66"/>
    <x v="1"/>
    <x v="3"/>
    <s v="AutoPost 1048"/>
    <s v="USD"/>
    <n v="1071.1300000000001"/>
    <x v="0"/>
    <n v="82"/>
    <n v="87832.66"/>
  </r>
  <r>
    <s v="GL001049"/>
    <x v="618"/>
    <s v="5010"/>
    <x v="3"/>
    <n v="1888.6"/>
    <n v="166196.79999999999"/>
    <n v="0"/>
    <n v="0"/>
    <x v="4"/>
    <x v="3"/>
    <s v="AutoPost 1049"/>
    <s v="EUR"/>
    <n v="-1888.6"/>
    <x v="2"/>
    <n v="88"/>
    <n v="-166196.79999999999"/>
  </r>
  <r>
    <s v="GL001050"/>
    <x v="619"/>
    <s v="6000"/>
    <x v="2"/>
    <n v="1396.76"/>
    <n v="114534.31999999999"/>
    <n v="0"/>
    <n v="0"/>
    <x v="1"/>
    <x v="3"/>
    <s v="AutoPost 1050"/>
    <s v="USD"/>
    <n v="-1396.76"/>
    <x v="2"/>
    <n v="82"/>
    <n v="-114534.31999999999"/>
  </r>
  <r>
    <s v="GL001051"/>
    <x v="620"/>
    <s v="4000"/>
    <x v="0"/>
    <n v="0"/>
    <n v="0"/>
    <n v="458.3"/>
    <n v="40330.400000000001"/>
    <x v="4"/>
    <x v="4"/>
    <s v="AutoPost 1051"/>
    <s v="EUR"/>
    <n v="458.3"/>
    <x v="0"/>
    <n v="88"/>
    <n v="40330.400000000001"/>
  </r>
  <r>
    <s v="GL001052"/>
    <x v="621"/>
    <s v="6000"/>
    <x v="2"/>
    <n v="1873.98"/>
    <n v="114312.78"/>
    <n v="0"/>
    <n v="0"/>
    <x v="2"/>
    <x v="0"/>
    <s v="AutoPost 1052"/>
    <s v="CAD"/>
    <n v="-1873.98"/>
    <x v="2"/>
    <n v="61"/>
    <n v="-114312.78"/>
  </r>
  <r>
    <s v="GL001053"/>
    <x v="622"/>
    <s v="4010"/>
    <x v="4"/>
    <n v="0"/>
    <n v="0"/>
    <n v="550.03"/>
    <n v="30801.68"/>
    <x v="2"/>
    <x v="4"/>
    <s v="AutoPost 1053"/>
    <s v="AUD"/>
    <n v="550.03"/>
    <x v="0"/>
    <n v="56"/>
    <n v="30801.68"/>
  </r>
  <r>
    <s v="GL001054"/>
    <x v="623"/>
    <s v="5010"/>
    <x v="3"/>
    <n v="1300.8599999999999"/>
    <n v="114475.68"/>
    <n v="0"/>
    <n v="0"/>
    <x v="5"/>
    <x v="1"/>
    <s v="AutoPost 1054"/>
    <s v="EUR"/>
    <n v="-1300.8599999999999"/>
    <x v="2"/>
    <n v="88"/>
    <n v="-114475.68"/>
  </r>
  <r>
    <s v="GL001055"/>
    <x v="243"/>
    <s v="6000"/>
    <x v="2"/>
    <n v="509.12"/>
    <n v="31056.32"/>
    <n v="0"/>
    <n v="0"/>
    <x v="5"/>
    <x v="1"/>
    <s v="AutoPost 1055"/>
    <s v="CAD"/>
    <n v="-509.12"/>
    <x v="2"/>
    <n v="61"/>
    <n v="-31056.32"/>
  </r>
  <r>
    <s v="GL001056"/>
    <x v="429"/>
    <s v="6000"/>
    <x v="2"/>
    <n v="1328.19"/>
    <n v="81019.59"/>
    <n v="0"/>
    <n v="0"/>
    <x v="4"/>
    <x v="0"/>
    <s v="AutoPost 1056"/>
    <s v="CAD"/>
    <n v="-1328.19"/>
    <x v="2"/>
    <n v="61"/>
    <n v="-81019.59"/>
  </r>
  <r>
    <s v="GL001057"/>
    <x v="381"/>
    <s v="4000"/>
    <x v="0"/>
    <n v="0"/>
    <n v="0"/>
    <n v="2455.5100000000002"/>
    <n v="137508.56"/>
    <x v="0"/>
    <x v="0"/>
    <s v="AutoPost 1057"/>
    <s v="AUD"/>
    <n v="2455.5100000000002"/>
    <x v="0"/>
    <n v="56"/>
    <n v="137508.56"/>
  </r>
  <r>
    <s v="GL001058"/>
    <x v="624"/>
    <s v="4000"/>
    <x v="0"/>
    <n v="0"/>
    <n v="0"/>
    <n v="723.85"/>
    <n v="59355.700000000004"/>
    <x v="5"/>
    <x v="0"/>
    <s v="AutoPost 1058"/>
    <s v="USD"/>
    <n v="723.85"/>
    <x v="0"/>
    <n v="82"/>
    <n v="59355.700000000004"/>
  </r>
  <r>
    <s v="GL001059"/>
    <x v="399"/>
    <s v="4010"/>
    <x v="4"/>
    <n v="0"/>
    <n v="0"/>
    <n v="544.42999999999995"/>
    <n v="33210.229999999996"/>
    <x v="1"/>
    <x v="0"/>
    <s v="AutoPost 1059"/>
    <s v="CAD"/>
    <n v="544.42999999999995"/>
    <x v="0"/>
    <n v="61"/>
    <n v="33210.229999999996"/>
  </r>
  <r>
    <s v="GL001060"/>
    <x v="625"/>
    <s v="5000"/>
    <x v="1"/>
    <n v="1812.2"/>
    <n v="186656.6"/>
    <n v="0"/>
    <n v="0"/>
    <x v="1"/>
    <x v="4"/>
    <s v="AutoPost 1060"/>
    <s v="GBP"/>
    <n v="-1812.2"/>
    <x v="1"/>
    <n v="103"/>
    <n v="-186656.6"/>
  </r>
  <r>
    <s v="GL001061"/>
    <x v="341"/>
    <s v="5010"/>
    <x v="3"/>
    <n v="1323.46"/>
    <n v="136316.38"/>
    <n v="0"/>
    <n v="0"/>
    <x v="2"/>
    <x v="4"/>
    <s v="AutoPost 1061"/>
    <s v="GBP"/>
    <n v="-1323.46"/>
    <x v="2"/>
    <n v="103"/>
    <n v="-136316.38"/>
  </r>
  <r>
    <s v="GL001062"/>
    <x v="626"/>
    <s v="5000"/>
    <x v="1"/>
    <n v="254.62"/>
    <n v="20878.84"/>
    <n v="0"/>
    <n v="0"/>
    <x v="0"/>
    <x v="1"/>
    <s v="AutoPost 1062"/>
    <s v="USD"/>
    <n v="-254.62"/>
    <x v="1"/>
    <n v="82"/>
    <n v="-20878.84"/>
  </r>
  <r>
    <s v="GL001063"/>
    <x v="264"/>
    <s v="5010"/>
    <x v="3"/>
    <n v="1198.8900000000001"/>
    <n v="123485.67000000001"/>
    <n v="0"/>
    <n v="0"/>
    <x v="5"/>
    <x v="1"/>
    <s v="AutoPost 1063"/>
    <s v="GBP"/>
    <n v="-1198.8900000000001"/>
    <x v="2"/>
    <n v="103"/>
    <n v="-123485.67000000001"/>
  </r>
  <r>
    <s v="GL001064"/>
    <x v="627"/>
    <s v="5010"/>
    <x v="3"/>
    <n v="556.48"/>
    <n v="57317.440000000002"/>
    <n v="0"/>
    <n v="0"/>
    <x v="3"/>
    <x v="4"/>
    <s v="AutoPost 1064"/>
    <s v="GBP"/>
    <n v="-556.48"/>
    <x v="2"/>
    <n v="103"/>
    <n v="-57317.440000000002"/>
  </r>
  <r>
    <s v="GL001065"/>
    <x v="438"/>
    <s v="4010"/>
    <x v="4"/>
    <n v="0"/>
    <n v="0"/>
    <n v="3204.3"/>
    <n v="195462.30000000002"/>
    <x v="5"/>
    <x v="4"/>
    <s v="AutoPost 1065"/>
    <s v="CAD"/>
    <n v="3204.3"/>
    <x v="0"/>
    <n v="61"/>
    <n v="195462.30000000002"/>
  </r>
  <r>
    <s v="GL001066"/>
    <x v="489"/>
    <s v="6000"/>
    <x v="2"/>
    <n v="322.5"/>
    <n v="28380"/>
    <n v="0"/>
    <n v="0"/>
    <x v="1"/>
    <x v="4"/>
    <s v="AutoPost 1066"/>
    <s v="EUR"/>
    <n v="-322.5"/>
    <x v="2"/>
    <n v="88"/>
    <n v="-28380"/>
  </r>
  <r>
    <s v="GL001067"/>
    <x v="549"/>
    <s v="6000"/>
    <x v="2"/>
    <n v="916.19"/>
    <n v="94367.57"/>
    <n v="0"/>
    <n v="0"/>
    <x v="5"/>
    <x v="3"/>
    <s v="AutoPost 1067"/>
    <s v="GBP"/>
    <n v="-916.19"/>
    <x v="2"/>
    <n v="103"/>
    <n v="-94367.57"/>
  </r>
  <r>
    <s v="GL001068"/>
    <x v="498"/>
    <s v="5010"/>
    <x v="3"/>
    <n v="202.58"/>
    <n v="11344.480000000001"/>
    <n v="0"/>
    <n v="0"/>
    <x v="5"/>
    <x v="3"/>
    <s v="AutoPost 1068"/>
    <s v="AUD"/>
    <n v="-202.58"/>
    <x v="2"/>
    <n v="56"/>
    <n v="-11344.480000000001"/>
  </r>
  <r>
    <s v="GL001069"/>
    <x v="628"/>
    <s v="4000"/>
    <x v="0"/>
    <n v="0"/>
    <n v="0"/>
    <n v="4558.3900000000003"/>
    <n v="401138.32"/>
    <x v="4"/>
    <x v="2"/>
    <s v="AutoPost 1069"/>
    <s v="EUR"/>
    <n v="4558.3900000000003"/>
    <x v="0"/>
    <n v="88"/>
    <n v="401138.32"/>
  </r>
  <r>
    <s v="GL001070"/>
    <x v="15"/>
    <s v="6000"/>
    <x v="2"/>
    <n v="962.74"/>
    <n v="78944.680000000008"/>
    <n v="0"/>
    <n v="0"/>
    <x v="1"/>
    <x v="4"/>
    <s v="AutoPost 1070"/>
    <s v="USD"/>
    <n v="-962.74"/>
    <x v="2"/>
    <n v="82"/>
    <n v="-78944.680000000008"/>
  </r>
  <r>
    <s v="GL001071"/>
    <x v="245"/>
    <s v="6000"/>
    <x v="2"/>
    <n v="996.08"/>
    <n v="87655.040000000008"/>
    <n v="0"/>
    <n v="0"/>
    <x v="1"/>
    <x v="4"/>
    <s v="AutoPost 1071"/>
    <s v="EUR"/>
    <n v="-996.08"/>
    <x v="2"/>
    <n v="88"/>
    <n v="-87655.040000000008"/>
  </r>
  <r>
    <s v="GL001072"/>
    <x v="629"/>
    <s v="6000"/>
    <x v="2"/>
    <n v="1399.67"/>
    <n v="85379.87000000001"/>
    <n v="0"/>
    <n v="0"/>
    <x v="4"/>
    <x v="4"/>
    <s v="AutoPost 1072"/>
    <s v="CAD"/>
    <n v="-1399.67"/>
    <x v="2"/>
    <n v="61"/>
    <n v="-85379.87000000001"/>
  </r>
  <r>
    <s v="GL001073"/>
    <x v="630"/>
    <s v="4010"/>
    <x v="4"/>
    <n v="0"/>
    <n v="0"/>
    <n v="1644.76"/>
    <n v="100330.36"/>
    <x v="1"/>
    <x v="0"/>
    <s v="AutoPost 1073"/>
    <s v="CAD"/>
    <n v="1644.76"/>
    <x v="0"/>
    <n v="61"/>
    <n v="100330.36"/>
  </r>
  <r>
    <s v="GL001074"/>
    <x v="631"/>
    <s v="5000"/>
    <x v="1"/>
    <n v="1049.23"/>
    <n v="58756.880000000005"/>
    <n v="0"/>
    <n v="0"/>
    <x v="0"/>
    <x v="0"/>
    <s v="AutoPost 1074"/>
    <s v="AUD"/>
    <n v="-1049.23"/>
    <x v="1"/>
    <n v="56"/>
    <n v="-58756.880000000005"/>
  </r>
  <r>
    <s v="GL001075"/>
    <x v="632"/>
    <s v="5000"/>
    <x v="1"/>
    <n v="1655.29"/>
    <n v="135733.78"/>
    <n v="0"/>
    <n v="0"/>
    <x v="1"/>
    <x v="0"/>
    <s v="AutoPost 1075"/>
    <s v="USD"/>
    <n v="-1655.29"/>
    <x v="1"/>
    <n v="82"/>
    <n v="-135733.78"/>
  </r>
  <r>
    <s v="GL001076"/>
    <x v="488"/>
    <s v="5010"/>
    <x v="3"/>
    <n v="1402.31"/>
    <n v="123403.28"/>
    <n v="0"/>
    <n v="0"/>
    <x v="5"/>
    <x v="4"/>
    <s v="AutoPost 1076"/>
    <s v="EUR"/>
    <n v="-1402.31"/>
    <x v="2"/>
    <n v="88"/>
    <n v="-123403.28"/>
  </r>
  <r>
    <s v="GL001077"/>
    <x v="541"/>
    <s v="5010"/>
    <x v="3"/>
    <n v="833.9"/>
    <n v="73383.199999999997"/>
    <n v="0"/>
    <n v="0"/>
    <x v="0"/>
    <x v="2"/>
    <s v="AutoPost 1077"/>
    <s v="EUR"/>
    <n v="-833.9"/>
    <x v="2"/>
    <n v="88"/>
    <n v="-73383.199999999997"/>
  </r>
  <r>
    <s v="GL001078"/>
    <x v="633"/>
    <s v="4000"/>
    <x v="0"/>
    <n v="0"/>
    <n v="0"/>
    <n v="3759.18"/>
    <n v="229309.97999999998"/>
    <x v="3"/>
    <x v="0"/>
    <s v="AutoPost 1078"/>
    <s v="CAD"/>
    <n v="3759.18"/>
    <x v="0"/>
    <n v="61"/>
    <n v="229309.97999999998"/>
  </r>
  <r>
    <s v="GL001079"/>
    <x v="453"/>
    <s v="6000"/>
    <x v="2"/>
    <n v="67.150000000000006"/>
    <n v="5506.3"/>
    <n v="0"/>
    <n v="0"/>
    <x v="3"/>
    <x v="1"/>
    <s v="AutoPost 1079"/>
    <s v="USD"/>
    <n v="-67.150000000000006"/>
    <x v="2"/>
    <n v="82"/>
    <n v="-5506.3"/>
  </r>
  <r>
    <s v="GL001080"/>
    <x v="620"/>
    <s v="5000"/>
    <x v="1"/>
    <n v="1138.3599999999999"/>
    <n v="69439.959999999992"/>
    <n v="0"/>
    <n v="0"/>
    <x v="5"/>
    <x v="2"/>
    <s v="AutoPost 1080"/>
    <s v="CAD"/>
    <n v="-1138.3599999999999"/>
    <x v="1"/>
    <n v="61"/>
    <n v="-69439.959999999992"/>
  </r>
  <r>
    <s v="GL001081"/>
    <x v="634"/>
    <s v="6000"/>
    <x v="2"/>
    <n v="1356.38"/>
    <n v="82739.180000000008"/>
    <n v="0"/>
    <n v="0"/>
    <x v="4"/>
    <x v="3"/>
    <s v="AutoPost 1081"/>
    <s v="CAD"/>
    <n v="-1356.38"/>
    <x v="2"/>
    <n v="61"/>
    <n v="-82739.180000000008"/>
  </r>
  <r>
    <s v="GL001082"/>
    <x v="610"/>
    <s v="5010"/>
    <x v="3"/>
    <n v="1770.21"/>
    <n v="182331.63"/>
    <n v="0"/>
    <n v="0"/>
    <x v="0"/>
    <x v="3"/>
    <s v="AutoPost 1082"/>
    <s v="GBP"/>
    <n v="-1770.21"/>
    <x v="2"/>
    <n v="103"/>
    <n v="-182331.63"/>
  </r>
  <r>
    <s v="GL001083"/>
    <x v="475"/>
    <s v="5000"/>
    <x v="1"/>
    <n v="1240.48"/>
    <n v="109162.24000000001"/>
    <n v="0"/>
    <n v="0"/>
    <x v="3"/>
    <x v="1"/>
    <s v="AutoPost 1083"/>
    <s v="EUR"/>
    <n v="-1240.48"/>
    <x v="1"/>
    <n v="88"/>
    <n v="-109162.24000000001"/>
  </r>
  <r>
    <s v="GL001084"/>
    <x v="493"/>
    <s v="5010"/>
    <x v="3"/>
    <n v="1870.74"/>
    <n v="104761.44"/>
    <n v="0"/>
    <n v="0"/>
    <x v="1"/>
    <x v="3"/>
    <s v="AutoPost 1084"/>
    <s v="AUD"/>
    <n v="-1870.74"/>
    <x v="2"/>
    <n v="56"/>
    <n v="-104761.44"/>
  </r>
  <r>
    <s v="GL001085"/>
    <x v="417"/>
    <s v="5010"/>
    <x v="3"/>
    <n v="1295.49"/>
    <n v="133435.47"/>
    <n v="0"/>
    <n v="0"/>
    <x v="0"/>
    <x v="3"/>
    <s v="AutoPost 1085"/>
    <s v="GBP"/>
    <n v="-1295.49"/>
    <x v="2"/>
    <n v="103"/>
    <n v="-133435.47"/>
  </r>
  <r>
    <s v="GL001086"/>
    <x v="489"/>
    <s v="5010"/>
    <x v="3"/>
    <n v="403.44"/>
    <n v="35502.720000000001"/>
    <n v="0"/>
    <n v="0"/>
    <x v="3"/>
    <x v="4"/>
    <s v="AutoPost 1086"/>
    <s v="EUR"/>
    <n v="-403.44"/>
    <x v="2"/>
    <n v="88"/>
    <n v="-35502.720000000001"/>
  </r>
  <r>
    <s v="GL001087"/>
    <x v="89"/>
    <s v="4010"/>
    <x v="4"/>
    <n v="0"/>
    <n v="0"/>
    <n v="298.58"/>
    <n v="16720.48"/>
    <x v="2"/>
    <x v="1"/>
    <s v="AutoPost 1087"/>
    <s v="AUD"/>
    <n v="298.58"/>
    <x v="0"/>
    <n v="56"/>
    <n v="16720.48"/>
  </r>
  <r>
    <s v="GL001088"/>
    <x v="635"/>
    <s v="4010"/>
    <x v="4"/>
    <n v="0"/>
    <n v="0"/>
    <n v="2967.77"/>
    <n v="305680.31"/>
    <x v="5"/>
    <x v="0"/>
    <s v="AutoPost 1088"/>
    <s v="GBP"/>
    <n v="2967.77"/>
    <x v="0"/>
    <n v="103"/>
    <n v="305680.31"/>
  </r>
  <r>
    <s v="GL001089"/>
    <x v="601"/>
    <s v="4010"/>
    <x v="4"/>
    <n v="0"/>
    <n v="0"/>
    <n v="322.85000000000002"/>
    <n v="26473.7"/>
    <x v="5"/>
    <x v="2"/>
    <s v="AutoPost 1089"/>
    <s v="USD"/>
    <n v="322.85000000000002"/>
    <x v="0"/>
    <n v="82"/>
    <n v="26473.7"/>
  </r>
  <r>
    <s v="GL001090"/>
    <x v="24"/>
    <s v="5010"/>
    <x v="3"/>
    <n v="1178.57"/>
    <n v="71892.76999999999"/>
    <n v="0"/>
    <n v="0"/>
    <x v="2"/>
    <x v="4"/>
    <s v="AutoPost 1090"/>
    <s v="CAD"/>
    <n v="-1178.57"/>
    <x v="2"/>
    <n v="61"/>
    <n v="-71892.76999999999"/>
  </r>
  <r>
    <s v="GL001091"/>
    <x v="636"/>
    <s v="5010"/>
    <x v="3"/>
    <n v="572.52"/>
    <n v="46946.64"/>
    <n v="0"/>
    <n v="0"/>
    <x v="5"/>
    <x v="3"/>
    <s v="AutoPost 1091"/>
    <s v="USD"/>
    <n v="-572.52"/>
    <x v="2"/>
    <n v="82"/>
    <n v="-46946.64"/>
  </r>
  <r>
    <s v="GL001092"/>
    <x v="637"/>
    <s v="4000"/>
    <x v="0"/>
    <n v="0"/>
    <n v="0"/>
    <n v="1038.25"/>
    <n v="106939.75"/>
    <x v="3"/>
    <x v="2"/>
    <s v="AutoPost 1092"/>
    <s v="GBP"/>
    <n v="1038.25"/>
    <x v="0"/>
    <n v="103"/>
    <n v="106939.75"/>
  </r>
  <r>
    <s v="GL001093"/>
    <x v="414"/>
    <s v="5010"/>
    <x v="3"/>
    <n v="54.75"/>
    <n v="5639.25"/>
    <n v="0"/>
    <n v="0"/>
    <x v="1"/>
    <x v="1"/>
    <s v="AutoPost 1093"/>
    <s v="GBP"/>
    <n v="-54.75"/>
    <x v="2"/>
    <n v="103"/>
    <n v="-5639.25"/>
  </r>
  <r>
    <s v="GL001094"/>
    <x v="638"/>
    <s v="5010"/>
    <x v="3"/>
    <n v="229.78"/>
    <n v="18841.96"/>
    <n v="0"/>
    <n v="0"/>
    <x v="3"/>
    <x v="1"/>
    <s v="AutoPost 1094"/>
    <s v="USD"/>
    <n v="-229.78"/>
    <x v="2"/>
    <n v="82"/>
    <n v="-18841.96"/>
  </r>
  <r>
    <s v="GL001095"/>
    <x v="639"/>
    <s v="5010"/>
    <x v="3"/>
    <n v="1195.8599999999999"/>
    <n v="72947.459999999992"/>
    <n v="0"/>
    <n v="0"/>
    <x v="5"/>
    <x v="1"/>
    <s v="AutoPost 1095"/>
    <s v="CAD"/>
    <n v="-1195.8599999999999"/>
    <x v="2"/>
    <n v="61"/>
    <n v="-72947.459999999992"/>
  </r>
  <r>
    <s v="GL001096"/>
    <x v="228"/>
    <s v="4000"/>
    <x v="0"/>
    <n v="0"/>
    <n v="0"/>
    <n v="183.89"/>
    <n v="10297.84"/>
    <x v="3"/>
    <x v="3"/>
    <s v="AutoPost 1096"/>
    <s v="AUD"/>
    <n v="183.89"/>
    <x v="0"/>
    <n v="56"/>
    <n v="10297.84"/>
  </r>
  <r>
    <s v="GL001097"/>
    <x v="640"/>
    <s v="5010"/>
    <x v="3"/>
    <n v="786.38"/>
    <n v="47969.18"/>
    <n v="0"/>
    <n v="0"/>
    <x v="4"/>
    <x v="3"/>
    <s v="AutoPost 1097"/>
    <s v="CAD"/>
    <n v="-786.38"/>
    <x v="2"/>
    <n v="61"/>
    <n v="-47969.18"/>
  </r>
  <r>
    <s v="GL001098"/>
    <x v="452"/>
    <s v="5010"/>
    <x v="3"/>
    <n v="352.55"/>
    <n v="31024.400000000001"/>
    <n v="0"/>
    <n v="0"/>
    <x v="2"/>
    <x v="3"/>
    <s v="AutoPost 1098"/>
    <s v="EUR"/>
    <n v="-352.55"/>
    <x v="2"/>
    <n v="88"/>
    <n v="-31024.400000000001"/>
  </r>
  <r>
    <s v="GL001099"/>
    <x v="641"/>
    <s v="6000"/>
    <x v="2"/>
    <n v="1814.7"/>
    <n v="148805.4"/>
    <n v="0"/>
    <n v="0"/>
    <x v="2"/>
    <x v="4"/>
    <s v="AutoPost 1099"/>
    <s v="USD"/>
    <n v="-1814.7"/>
    <x v="2"/>
    <n v="82"/>
    <n v="-148805.4"/>
  </r>
  <r>
    <s v="GL001100"/>
    <x v="154"/>
    <s v="4000"/>
    <x v="0"/>
    <n v="0"/>
    <n v="0"/>
    <n v="4099.41"/>
    <n v="336151.62"/>
    <x v="3"/>
    <x v="0"/>
    <s v="AutoPost 1100"/>
    <s v="USD"/>
    <n v="4099.41"/>
    <x v="0"/>
    <n v="82"/>
    <n v="336151.62"/>
  </r>
  <r>
    <s v="GL001101"/>
    <x v="642"/>
    <s v="4000"/>
    <x v="0"/>
    <n v="0"/>
    <n v="0"/>
    <n v="1953.74"/>
    <n v="201235.22"/>
    <x v="5"/>
    <x v="1"/>
    <s v="AutoPost 1101"/>
    <s v="GBP"/>
    <n v="1953.74"/>
    <x v="0"/>
    <n v="103"/>
    <n v="201235.22"/>
  </r>
  <r>
    <s v="GL001102"/>
    <x v="101"/>
    <s v="5000"/>
    <x v="1"/>
    <n v="242.28"/>
    <n v="19866.96"/>
    <n v="0"/>
    <n v="0"/>
    <x v="4"/>
    <x v="2"/>
    <s v="AutoPost 1102"/>
    <s v="USD"/>
    <n v="-242.28"/>
    <x v="1"/>
    <n v="82"/>
    <n v="-19866.96"/>
  </r>
  <r>
    <s v="GL001103"/>
    <x v="643"/>
    <s v="4010"/>
    <x v="4"/>
    <n v="0"/>
    <n v="0"/>
    <n v="3335.43"/>
    <n v="273505.26"/>
    <x v="5"/>
    <x v="3"/>
    <s v="AutoPost 1103"/>
    <s v="USD"/>
    <n v="3335.43"/>
    <x v="0"/>
    <n v="82"/>
    <n v="273505.26"/>
  </r>
  <r>
    <s v="GL001104"/>
    <x v="342"/>
    <s v="5010"/>
    <x v="3"/>
    <n v="831.33"/>
    <n v="50711.130000000005"/>
    <n v="0"/>
    <n v="0"/>
    <x v="5"/>
    <x v="3"/>
    <s v="AutoPost 1104"/>
    <s v="CAD"/>
    <n v="-831.33"/>
    <x v="2"/>
    <n v="61"/>
    <n v="-50711.130000000005"/>
  </r>
  <r>
    <s v="GL001105"/>
    <x v="13"/>
    <s v="4000"/>
    <x v="0"/>
    <n v="0"/>
    <n v="0"/>
    <n v="406.59"/>
    <n v="35779.919999999998"/>
    <x v="0"/>
    <x v="4"/>
    <s v="AutoPost 1105"/>
    <s v="EUR"/>
    <n v="406.59"/>
    <x v="0"/>
    <n v="88"/>
    <n v="35779.919999999998"/>
  </r>
  <r>
    <s v="GL001106"/>
    <x v="39"/>
    <s v="6000"/>
    <x v="2"/>
    <n v="1813.03"/>
    <n v="159546.63999999998"/>
    <n v="0"/>
    <n v="0"/>
    <x v="4"/>
    <x v="4"/>
    <s v="AutoPost 1106"/>
    <s v="EUR"/>
    <n v="-1813.03"/>
    <x v="2"/>
    <n v="88"/>
    <n v="-159546.63999999998"/>
  </r>
  <r>
    <s v="GL001107"/>
    <x v="240"/>
    <s v="4000"/>
    <x v="0"/>
    <n v="0"/>
    <n v="0"/>
    <n v="2019.11"/>
    <n v="113070.15999999999"/>
    <x v="1"/>
    <x v="1"/>
    <s v="AutoPost 1107"/>
    <s v="AUD"/>
    <n v="2019.11"/>
    <x v="0"/>
    <n v="56"/>
    <n v="113070.15999999999"/>
  </r>
  <r>
    <s v="GL001108"/>
    <x v="47"/>
    <s v="6000"/>
    <x v="2"/>
    <n v="1278.3800000000001"/>
    <n v="112497.44"/>
    <n v="0"/>
    <n v="0"/>
    <x v="1"/>
    <x v="3"/>
    <s v="AutoPost 1108"/>
    <s v="EUR"/>
    <n v="-1278.3800000000001"/>
    <x v="2"/>
    <n v="88"/>
    <n v="-112497.44"/>
  </r>
  <r>
    <s v="GL001109"/>
    <x v="278"/>
    <s v="4000"/>
    <x v="0"/>
    <n v="0"/>
    <n v="0"/>
    <n v="2058.58"/>
    <n v="125573.37999999999"/>
    <x v="4"/>
    <x v="1"/>
    <s v="AutoPost 1109"/>
    <s v="CAD"/>
    <n v="2058.58"/>
    <x v="0"/>
    <n v="61"/>
    <n v="125573.37999999999"/>
  </r>
  <r>
    <s v="GL001110"/>
    <x v="44"/>
    <s v="6000"/>
    <x v="2"/>
    <n v="1453.63"/>
    <n v="81403.28"/>
    <n v="0"/>
    <n v="0"/>
    <x v="0"/>
    <x v="2"/>
    <s v="AutoPost 1110"/>
    <s v="AUD"/>
    <n v="-1453.63"/>
    <x v="2"/>
    <n v="56"/>
    <n v="-81403.28"/>
  </r>
  <r>
    <s v="GL001111"/>
    <x v="298"/>
    <s v="4000"/>
    <x v="0"/>
    <n v="0"/>
    <n v="0"/>
    <n v="2233.0500000000002"/>
    <n v="125050.80000000002"/>
    <x v="4"/>
    <x v="1"/>
    <s v="AutoPost 1111"/>
    <s v="AUD"/>
    <n v="2233.0500000000002"/>
    <x v="0"/>
    <n v="56"/>
    <n v="125050.80000000002"/>
  </r>
  <r>
    <s v="GL001112"/>
    <x v="239"/>
    <s v="5010"/>
    <x v="3"/>
    <n v="836.69"/>
    <n v="46854.64"/>
    <n v="0"/>
    <n v="0"/>
    <x v="0"/>
    <x v="1"/>
    <s v="AutoPost 1112"/>
    <s v="AUD"/>
    <n v="-836.69"/>
    <x v="2"/>
    <n v="56"/>
    <n v="-46854.64"/>
  </r>
  <r>
    <s v="GL001113"/>
    <x v="644"/>
    <s v="4000"/>
    <x v="0"/>
    <n v="0"/>
    <n v="0"/>
    <n v="2173.0100000000002"/>
    <n v="223820.03000000003"/>
    <x v="3"/>
    <x v="3"/>
    <s v="AutoPost 1113"/>
    <s v="GBP"/>
    <n v="2173.0100000000002"/>
    <x v="0"/>
    <n v="103"/>
    <n v="223820.03000000003"/>
  </r>
  <r>
    <s v="GL001114"/>
    <x v="192"/>
    <s v="4000"/>
    <x v="0"/>
    <n v="0"/>
    <n v="0"/>
    <n v="3592.24"/>
    <n v="201165.44"/>
    <x v="4"/>
    <x v="2"/>
    <s v="AutoPost 1114"/>
    <s v="AUD"/>
    <n v="3592.24"/>
    <x v="0"/>
    <n v="56"/>
    <n v="201165.44"/>
  </r>
  <r>
    <s v="GL001115"/>
    <x v="72"/>
    <s v="5010"/>
    <x v="3"/>
    <n v="412.97"/>
    <n v="23126.32"/>
    <n v="0"/>
    <n v="0"/>
    <x v="5"/>
    <x v="2"/>
    <s v="AutoPost 1115"/>
    <s v="AUD"/>
    <n v="-412.97"/>
    <x v="2"/>
    <n v="56"/>
    <n v="-23126.32"/>
  </r>
  <r>
    <s v="GL001116"/>
    <x v="45"/>
    <s v="6000"/>
    <x v="2"/>
    <n v="732.61"/>
    <n v="41026.160000000003"/>
    <n v="0"/>
    <n v="0"/>
    <x v="4"/>
    <x v="1"/>
    <s v="AutoPost 1116"/>
    <s v="AUD"/>
    <n v="-732.61"/>
    <x v="2"/>
    <n v="56"/>
    <n v="-41026.160000000003"/>
  </r>
  <r>
    <s v="GL001117"/>
    <x v="645"/>
    <s v="4010"/>
    <x v="4"/>
    <n v="0"/>
    <n v="0"/>
    <n v="2538.6999999999998"/>
    <n v="261486.09999999998"/>
    <x v="0"/>
    <x v="4"/>
    <s v="AutoPost 1117"/>
    <s v="GBP"/>
    <n v="2538.6999999999998"/>
    <x v="0"/>
    <n v="103"/>
    <n v="261486.09999999998"/>
  </r>
  <r>
    <s v="GL001118"/>
    <x v="646"/>
    <s v="5010"/>
    <x v="3"/>
    <n v="436.55"/>
    <n v="44964.65"/>
    <n v="0"/>
    <n v="0"/>
    <x v="0"/>
    <x v="1"/>
    <s v="AutoPost 1118"/>
    <s v="GBP"/>
    <n v="-436.55"/>
    <x v="2"/>
    <n v="103"/>
    <n v="-44964.65"/>
  </r>
  <r>
    <s v="GL001119"/>
    <x v="85"/>
    <s v="5010"/>
    <x v="3"/>
    <n v="1687.08"/>
    <n v="102911.87999999999"/>
    <n v="0"/>
    <n v="0"/>
    <x v="5"/>
    <x v="3"/>
    <s v="AutoPost 1119"/>
    <s v="CAD"/>
    <n v="-1687.08"/>
    <x v="2"/>
    <n v="61"/>
    <n v="-102911.87999999999"/>
  </r>
  <r>
    <s v="GL001120"/>
    <x v="542"/>
    <s v="5000"/>
    <x v="1"/>
    <n v="1337.28"/>
    <n v="137739.84"/>
    <n v="0"/>
    <n v="0"/>
    <x v="1"/>
    <x v="2"/>
    <s v="AutoPost 1120"/>
    <s v="GBP"/>
    <n v="-1337.28"/>
    <x v="1"/>
    <n v="103"/>
    <n v="-137739.84"/>
  </r>
  <r>
    <s v="GL001121"/>
    <x v="212"/>
    <s v="4010"/>
    <x v="4"/>
    <n v="0"/>
    <n v="0"/>
    <n v="2049.4499999999998"/>
    <n v="125016.44999999998"/>
    <x v="4"/>
    <x v="1"/>
    <s v="AutoPost 1121"/>
    <s v="CAD"/>
    <n v="2049.4499999999998"/>
    <x v="0"/>
    <n v="61"/>
    <n v="125016.44999999998"/>
  </r>
  <r>
    <s v="GL001122"/>
    <x v="647"/>
    <s v="4010"/>
    <x v="4"/>
    <n v="0"/>
    <n v="0"/>
    <n v="760.5"/>
    <n v="46390.5"/>
    <x v="3"/>
    <x v="2"/>
    <s v="AutoPost 1122"/>
    <s v="CAD"/>
    <n v="760.5"/>
    <x v="0"/>
    <n v="61"/>
    <n v="46390.5"/>
  </r>
  <r>
    <s v="GL001123"/>
    <x v="123"/>
    <s v="6000"/>
    <x v="2"/>
    <n v="239.34"/>
    <n v="24652.02"/>
    <n v="0"/>
    <n v="0"/>
    <x v="1"/>
    <x v="4"/>
    <s v="AutoPost 1123"/>
    <s v="GBP"/>
    <n v="-239.34"/>
    <x v="2"/>
    <n v="103"/>
    <n v="-24652.02"/>
  </r>
  <r>
    <s v="GL001124"/>
    <x v="16"/>
    <s v="6000"/>
    <x v="2"/>
    <n v="882.43"/>
    <n v="77653.84"/>
    <n v="0"/>
    <n v="0"/>
    <x v="0"/>
    <x v="0"/>
    <s v="AutoPost 1124"/>
    <s v="EUR"/>
    <n v="-882.43"/>
    <x v="2"/>
    <n v="88"/>
    <n v="-77653.84"/>
  </r>
  <r>
    <s v="GL001125"/>
    <x v="224"/>
    <s v="4010"/>
    <x v="4"/>
    <n v="0"/>
    <n v="0"/>
    <n v="4016.46"/>
    <n v="353448.48"/>
    <x v="4"/>
    <x v="1"/>
    <s v="AutoPost 1125"/>
    <s v="EUR"/>
    <n v="4016.46"/>
    <x v="0"/>
    <n v="88"/>
    <n v="353448.48"/>
  </r>
  <r>
    <s v="GL001126"/>
    <x v="198"/>
    <s v="6000"/>
    <x v="2"/>
    <n v="1217.1199999999999"/>
    <n v="68158.720000000001"/>
    <n v="0"/>
    <n v="0"/>
    <x v="4"/>
    <x v="0"/>
    <s v="AutoPost 1126"/>
    <s v="AUD"/>
    <n v="-1217.1199999999999"/>
    <x v="2"/>
    <n v="56"/>
    <n v="-68158.720000000001"/>
  </r>
  <r>
    <s v="GL001127"/>
    <x v="286"/>
    <s v="4000"/>
    <x v="0"/>
    <n v="0"/>
    <n v="0"/>
    <n v="396.28"/>
    <n v="22191.68"/>
    <x v="0"/>
    <x v="3"/>
    <s v="AutoPost 1127"/>
    <s v="AUD"/>
    <n v="396.28"/>
    <x v="0"/>
    <n v="56"/>
    <n v="22191.68"/>
  </r>
  <r>
    <s v="GL001128"/>
    <x v="215"/>
    <s v="5010"/>
    <x v="3"/>
    <n v="682.65"/>
    <n v="70312.95"/>
    <n v="0"/>
    <n v="0"/>
    <x v="0"/>
    <x v="2"/>
    <s v="AutoPost 1128"/>
    <s v="GBP"/>
    <n v="-682.65"/>
    <x v="2"/>
    <n v="103"/>
    <n v="-70312.95"/>
  </r>
  <r>
    <s v="GL001129"/>
    <x v="648"/>
    <s v="5000"/>
    <x v="1"/>
    <n v="959.31"/>
    <n v="98808.93"/>
    <n v="0"/>
    <n v="0"/>
    <x v="0"/>
    <x v="1"/>
    <s v="AutoPost 1129"/>
    <s v="GBP"/>
    <n v="-959.31"/>
    <x v="1"/>
    <n v="103"/>
    <n v="-98808.93"/>
  </r>
  <r>
    <s v="GL001130"/>
    <x v="614"/>
    <s v="6000"/>
    <x v="2"/>
    <n v="431.95"/>
    <n v="35419.9"/>
    <n v="0"/>
    <n v="0"/>
    <x v="3"/>
    <x v="2"/>
    <s v="AutoPost 1130"/>
    <s v="USD"/>
    <n v="-431.95"/>
    <x v="2"/>
    <n v="82"/>
    <n v="-35419.9"/>
  </r>
  <r>
    <s v="GL001131"/>
    <x v="51"/>
    <s v="5000"/>
    <x v="1"/>
    <n v="274.33"/>
    <n v="16734.129999999997"/>
    <n v="0"/>
    <n v="0"/>
    <x v="4"/>
    <x v="2"/>
    <s v="AutoPost 1131"/>
    <s v="CAD"/>
    <n v="-274.33"/>
    <x v="1"/>
    <n v="61"/>
    <n v="-16734.129999999997"/>
  </r>
  <r>
    <s v="GL001132"/>
    <x v="649"/>
    <s v="4000"/>
    <x v="0"/>
    <n v="0"/>
    <n v="0"/>
    <n v="4439.8900000000003"/>
    <n v="390710.32"/>
    <x v="0"/>
    <x v="2"/>
    <s v="AutoPost 1132"/>
    <s v="EUR"/>
    <n v="4439.8900000000003"/>
    <x v="0"/>
    <n v="88"/>
    <n v="390710.32"/>
  </r>
  <r>
    <s v="GL001133"/>
    <x v="150"/>
    <s v="4010"/>
    <x v="4"/>
    <n v="0"/>
    <n v="0"/>
    <n v="1093.95"/>
    <n v="89703.900000000009"/>
    <x v="4"/>
    <x v="4"/>
    <s v="AutoPost 1133"/>
    <s v="USD"/>
    <n v="1093.95"/>
    <x v="0"/>
    <n v="82"/>
    <n v="89703.900000000009"/>
  </r>
  <r>
    <s v="GL001134"/>
    <x v="650"/>
    <s v="5000"/>
    <x v="1"/>
    <n v="900.67"/>
    <n v="50437.52"/>
    <n v="0"/>
    <n v="0"/>
    <x v="3"/>
    <x v="3"/>
    <s v="AutoPost 1134"/>
    <s v="AUD"/>
    <n v="-900.67"/>
    <x v="1"/>
    <n v="56"/>
    <n v="-50437.52"/>
  </r>
  <r>
    <s v="GL001135"/>
    <x v="341"/>
    <s v="4000"/>
    <x v="0"/>
    <n v="0"/>
    <n v="0"/>
    <n v="2284.31"/>
    <n v="127921.36"/>
    <x v="2"/>
    <x v="0"/>
    <s v="AutoPost 1135"/>
    <s v="AUD"/>
    <n v="2284.31"/>
    <x v="0"/>
    <n v="56"/>
    <n v="127921.36"/>
  </r>
  <r>
    <s v="GL001136"/>
    <x v="199"/>
    <s v="5000"/>
    <x v="1"/>
    <n v="1994.11"/>
    <n v="111670.15999999999"/>
    <n v="0"/>
    <n v="0"/>
    <x v="5"/>
    <x v="2"/>
    <s v="AutoPost 1136"/>
    <s v="AUD"/>
    <n v="-1994.11"/>
    <x v="1"/>
    <n v="56"/>
    <n v="-111670.15999999999"/>
  </r>
  <r>
    <s v="GL001137"/>
    <x v="651"/>
    <s v="5000"/>
    <x v="1"/>
    <n v="286.3"/>
    <n v="17464.3"/>
    <n v="0"/>
    <n v="0"/>
    <x v="3"/>
    <x v="3"/>
    <s v="AutoPost 1137"/>
    <s v="CAD"/>
    <n v="-286.3"/>
    <x v="1"/>
    <n v="61"/>
    <n v="-17464.3"/>
  </r>
  <r>
    <s v="GL001138"/>
    <x v="18"/>
    <s v="6000"/>
    <x v="2"/>
    <n v="1069.23"/>
    <n v="65223.03"/>
    <n v="0"/>
    <n v="0"/>
    <x v="5"/>
    <x v="2"/>
    <s v="AutoPost 1138"/>
    <s v="CAD"/>
    <n v="-1069.23"/>
    <x v="2"/>
    <n v="61"/>
    <n v="-65223.03"/>
  </r>
  <r>
    <s v="GL001139"/>
    <x v="392"/>
    <s v="6000"/>
    <x v="2"/>
    <n v="901.69"/>
    <n v="50494.64"/>
    <n v="0"/>
    <n v="0"/>
    <x v="1"/>
    <x v="0"/>
    <s v="AutoPost 1139"/>
    <s v="AUD"/>
    <n v="-901.69"/>
    <x v="2"/>
    <n v="56"/>
    <n v="-50494.64"/>
  </r>
  <r>
    <s v="GL001140"/>
    <x v="196"/>
    <s v="6000"/>
    <x v="2"/>
    <n v="1692.4"/>
    <n v="103236.40000000001"/>
    <n v="0"/>
    <n v="0"/>
    <x v="2"/>
    <x v="3"/>
    <s v="AutoPost 1140"/>
    <s v="CAD"/>
    <n v="-1692.4"/>
    <x v="2"/>
    <n v="61"/>
    <n v="-103236.40000000001"/>
  </r>
  <r>
    <s v="GL001141"/>
    <x v="265"/>
    <s v="4010"/>
    <x v="4"/>
    <n v="0"/>
    <n v="0"/>
    <n v="4894.3999999999996"/>
    <n v="401340.8"/>
    <x v="0"/>
    <x v="0"/>
    <s v="AutoPost 1141"/>
    <s v="USD"/>
    <n v="4894.3999999999996"/>
    <x v="0"/>
    <n v="82"/>
    <n v="401340.8"/>
  </r>
  <r>
    <s v="GL001142"/>
    <x v="652"/>
    <s v="5000"/>
    <x v="1"/>
    <n v="535.66999999999996"/>
    <n v="32675.87"/>
    <n v="0"/>
    <n v="0"/>
    <x v="0"/>
    <x v="0"/>
    <s v="AutoPost 1142"/>
    <s v="CAD"/>
    <n v="-535.66999999999996"/>
    <x v="1"/>
    <n v="61"/>
    <n v="-32675.87"/>
  </r>
  <r>
    <s v="GL001143"/>
    <x v="653"/>
    <s v="6000"/>
    <x v="2"/>
    <n v="1153.45"/>
    <n v="118805.35"/>
    <n v="0"/>
    <n v="0"/>
    <x v="5"/>
    <x v="2"/>
    <s v="AutoPost 1143"/>
    <s v="GBP"/>
    <n v="-1153.45"/>
    <x v="2"/>
    <n v="103"/>
    <n v="-118805.35"/>
  </r>
  <r>
    <s v="GL001144"/>
    <x v="378"/>
    <s v="4010"/>
    <x v="4"/>
    <n v="0"/>
    <n v="0"/>
    <n v="2523.88"/>
    <n v="141337.28"/>
    <x v="1"/>
    <x v="1"/>
    <s v="AutoPost 1144"/>
    <s v="AUD"/>
    <n v="2523.88"/>
    <x v="0"/>
    <n v="56"/>
    <n v="141337.28"/>
  </r>
  <r>
    <s v="GL001145"/>
    <x v="654"/>
    <s v="6000"/>
    <x v="2"/>
    <n v="621.37"/>
    <n v="54680.56"/>
    <n v="0"/>
    <n v="0"/>
    <x v="3"/>
    <x v="1"/>
    <s v="AutoPost 1145"/>
    <s v="EUR"/>
    <n v="-621.37"/>
    <x v="2"/>
    <n v="88"/>
    <n v="-54680.56"/>
  </r>
  <r>
    <s v="GL001146"/>
    <x v="111"/>
    <s v="5010"/>
    <x v="3"/>
    <n v="991.7"/>
    <n v="87269.6"/>
    <n v="0"/>
    <n v="0"/>
    <x v="1"/>
    <x v="0"/>
    <s v="AutoPost 1146"/>
    <s v="EUR"/>
    <n v="-991.7"/>
    <x v="2"/>
    <n v="88"/>
    <n v="-87269.6"/>
  </r>
  <r>
    <s v="GL001147"/>
    <x v="517"/>
    <s v="6000"/>
    <x v="2"/>
    <n v="1727.08"/>
    <n v="96716.479999999996"/>
    <n v="0"/>
    <n v="0"/>
    <x v="2"/>
    <x v="1"/>
    <s v="AutoPost 1147"/>
    <s v="AUD"/>
    <n v="-1727.08"/>
    <x v="2"/>
    <n v="56"/>
    <n v="-96716.479999999996"/>
  </r>
  <r>
    <s v="GL001148"/>
    <x v="617"/>
    <s v="6000"/>
    <x v="2"/>
    <n v="1518.91"/>
    <n v="85058.96"/>
    <n v="0"/>
    <n v="0"/>
    <x v="0"/>
    <x v="4"/>
    <s v="AutoPost 1148"/>
    <s v="AUD"/>
    <n v="-1518.91"/>
    <x v="2"/>
    <n v="56"/>
    <n v="-85058.96"/>
  </r>
  <r>
    <s v="GL001149"/>
    <x v="240"/>
    <s v="4000"/>
    <x v="0"/>
    <n v="0"/>
    <n v="0"/>
    <n v="1266.3499999999999"/>
    <n v="77247.349999999991"/>
    <x v="5"/>
    <x v="1"/>
    <s v="AutoPost 1149"/>
    <s v="CAD"/>
    <n v="1266.3499999999999"/>
    <x v="0"/>
    <n v="61"/>
    <n v="77247.349999999991"/>
  </r>
  <r>
    <s v="GL001150"/>
    <x v="357"/>
    <s v="4000"/>
    <x v="0"/>
    <n v="0"/>
    <n v="0"/>
    <n v="3886.29"/>
    <n v="400287.87"/>
    <x v="2"/>
    <x v="1"/>
    <s v="AutoPost 1150"/>
    <s v="GBP"/>
    <n v="3886.29"/>
    <x v="0"/>
    <n v="103"/>
    <n v="400287.87"/>
  </r>
  <r>
    <s v="GL001151"/>
    <x v="117"/>
    <s v="6000"/>
    <x v="2"/>
    <n v="584.9"/>
    <n v="51471.199999999997"/>
    <n v="0"/>
    <n v="0"/>
    <x v="2"/>
    <x v="2"/>
    <s v="AutoPost 1151"/>
    <s v="EUR"/>
    <n v="-584.9"/>
    <x v="2"/>
    <n v="88"/>
    <n v="-51471.199999999997"/>
  </r>
  <r>
    <s v="GL001152"/>
    <x v="241"/>
    <s v="5000"/>
    <x v="1"/>
    <n v="1212.48"/>
    <n v="106698.24000000001"/>
    <n v="0"/>
    <n v="0"/>
    <x v="4"/>
    <x v="1"/>
    <s v="AutoPost 1152"/>
    <s v="EUR"/>
    <n v="-1212.48"/>
    <x v="1"/>
    <n v="88"/>
    <n v="-106698.24000000001"/>
  </r>
  <r>
    <s v="GL001153"/>
    <x v="655"/>
    <s v="6000"/>
    <x v="2"/>
    <n v="1084.73"/>
    <n v="66168.53"/>
    <n v="0"/>
    <n v="0"/>
    <x v="0"/>
    <x v="4"/>
    <s v="AutoPost 1153"/>
    <s v="CAD"/>
    <n v="-1084.73"/>
    <x v="2"/>
    <n v="61"/>
    <n v="-66168.53"/>
  </r>
  <r>
    <s v="GL001154"/>
    <x v="656"/>
    <s v="6000"/>
    <x v="2"/>
    <n v="1218.47"/>
    <n v="125502.41"/>
    <n v="0"/>
    <n v="0"/>
    <x v="1"/>
    <x v="3"/>
    <s v="AutoPost 1154"/>
    <s v="GBP"/>
    <n v="-1218.47"/>
    <x v="2"/>
    <n v="103"/>
    <n v="-125502.41"/>
  </r>
  <r>
    <s v="GL001155"/>
    <x v="45"/>
    <s v="6000"/>
    <x v="2"/>
    <n v="134.03"/>
    <n v="8175.83"/>
    <n v="0"/>
    <n v="0"/>
    <x v="4"/>
    <x v="0"/>
    <s v="AutoPost 1155"/>
    <s v="CAD"/>
    <n v="-134.03"/>
    <x v="2"/>
    <n v="61"/>
    <n v="-8175.83"/>
  </r>
  <r>
    <s v="GL001156"/>
    <x v="657"/>
    <s v="5010"/>
    <x v="3"/>
    <n v="1961.58"/>
    <n v="160849.56"/>
    <n v="0"/>
    <n v="0"/>
    <x v="4"/>
    <x v="1"/>
    <s v="AutoPost 1156"/>
    <s v="USD"/>
    <n v="-1961.58"/>
    <x v="2"/>
    <n v="82"/>
    <n v="-160849.56"/>
  </r>
  <r>
    <s v="GL001157"/>
    <x v="18"/>
    <s v="6000"/>
    <x v="2"/>
    <n v="320.36"/>
    <n v="26269.52"/>
    <n v="0"/>
    <n v="0"/>
    <x v="5"/>
    <x v="3"/>
    <s v="AutoPost 1157"/>
    <s v="USD"/>
    <n v="-320.36"/>
    <x v="2"/>
    <n v="82"/>
    <n v="-26269.52"/>
  </r>
  <r>
    <s v="GL001158"/>
    <x v="365"/>
    <s v="5010"/>
    <x v="3"/>
    <n v="727.24"/>
    <n v="63997.120000000003"/>
    <n v="0"/>
    <n v="0"/>
    <x v="3"/>
    <x v="4"/>
    <s v="AutoPost 1158"/>
    <s v="EUR"/>
    <n v="-727.24"/>
    <x v="2"/>
    <n v="88"/>
    <n v="-63997.120000000003"/>
  </r>
  <r>
    <s v="GL001159"/>
    <x v="300"/>
    <s v="5000"/>
    <x v="1"/>
    <n v="334.7"/>
    <n v="29453.599999999999"/>
    <n v="0"/>
    <n v="0"/>
    <x v="5"/>
    <x v="2"/>
    <s v="AutoPost 1159"/>
    <s v="EUR"/>
    <n v="-334.7"/>
    <x v="1"/>
    <n v="88"/>
    <n v="-29453.599999999999"/>
  </r>
  <r>
    <s v="GL001160"/>
    <x v="658"/>
    <s v="6000"/>
    <x v="2"/>
    <n v="620.16999999999996"/>
    <n v="34729.519999999997"/>
    <n v="0"/>
    <n v="0"/>
    <x v="0"/>
    <x v="3"/>
    <s v="AutoPost 1160"/>
    <s v="AUD"/>
    <n v="-620.16999999999996"/>
    <x v="2"/>
    <n v="56"/>
    <n v="-34729.519999999997"/>
  </r>
  <r>
    <s v="GL001161"/>
    <x v="222"/>
    <s v="4010"/>
    <x v="4"/>
    <n v="0"/>
    <n v="0"/>
    <n v="2933.41"/>
    <n v="302141.23"/>
    <x v="0"/>
    <x v="0"/>
    <s v="AutoPost 1161"/>
    <s v="GBP"/>
    <n v="2933.41"/>
    <x v="0"/>
    <n v="103"/>
    <n v="302141.23"/>
  </r>
  <r>
    <s v="GL001162"/>
    <x v="615"/>
    <s v="4010"/>
    <x v="4"/>
    <n v="0"/>
    <n v="0"/>
    <n v="2103.91"/>
    <n v="128338.51"/>
    <x v="0"/>
    <x v="2"/>
    <s v="AutoPost 1162"/>
    <s v="CAD"/>
    <n v="2103.91"/>
    <x v="0"/>
    <n v="61"/>
    <n v="128338.51"/>
  </r>
  <r>
    <s v="GL001163"/>
    <x v="206"/>
    <s v="6000"/>
    <x v="2"/>
    <n v="626.96"/>
    <n v="64576.880000000005"/>
    <n v="0"/>
    <n v="0"/>
    <x v="5"/>
    <x v="4"/>
    <s v="AutoPost 1163"/>
    <s v="GBP"/>
    <n v="-626.96"/>
    <x v="2"/>
    <n v="103"/>
    <n v="-64576.880000000005"/>
  </r>
  <r>
    <s v="GL001164"/>
    <x v="659"/>
    <s v="4000"/>
    <x v="0"/>
    <n v="0"/>
    <n v="0"/>
    <n v="3001.97"/>
    <n v="246161.53999999998"/>
    <x v="2"/>
    <x v="3"/>
    <s v="AutoPost 1164"/>
    <s v="USD"/>
    <n v="3001.97"/>
    <x v="0"/>
    <n v="82"/>
    <n v="246161.53999999998"/>
  </r>
  <r>
    <s v="GL001165"/>
    <x v="135"/>
    <s v="5000"/>
    <x v="1"/>
    <n v="1130.18"/>
    <n v="116408.54000000001"/>
    <n v="0"/>
    <n v="0"/>
    <x v="5"/>
    <x v="3"/>
    <s v="AutoPost 1165"/>
    <s v="GBP"/>
    <n v="-1130.18"/>
    <x v="1"/>
    <n v="103"/>
    <n v="-116408.54000000001"/>
  </r>
  <r>
    <s v="GL001166"/>
    <x v="371"/>
    <s v="5010"/>
    <x v="3"/>
    <n v="1772.72"/>
    <n v="108135.92"/>
    <n v="0"/>
    <n v="0"/>
    <x v="3"/>
    <x v="0"/>
    <s v="AutoPost 1166"/>
    <s v="CAD"/>
    <n v="-1772.72"/>
    <x v="2"/>
    <n v="61"/>
    <n v="-108135.92"/>
  </r>
  <r>
    <s v="GL001167"/>
    <x v="241"/>
    <s v="5010"/>
    <x v="3"/>
    <n v="152.83000000000001"/>
    <n v="9322.630000000001"/>
    <n v="0"/>
    <n v="0"/>
    <x v="0"/>
    <x v="3"/>
    <s v="AutoPost 1167"/>
    <s v="CAD"/>
    <n v="-152.83000000000001"/>
    <x v="2"/>
    <n v="61"/>
    <n v="-9322.630000000001"/>
  </r>
  <r>
    <s v="GL001168"/>
    <x v="644"/>
    <s v="5000"/>
    <x v="1"/>
    <n v="954.94"/>
    <n v="84034.72"/>
    <n v="0"/>
    <n v="0"/>
    <x v="1"/>
    <x v="3"/>
    <s v="AutoPost 1168"/>
    <s v="EUR"/>
    <n v="-954.94"/>
    <x v="1"/>
    <n v="88"/>
    <n v="-84034.72"/>
  </r>
  <r>
    <s v="GL001169"/>
    <x v="67"/>
    <s v="4010"/>
    <x v="4"/>
    <n v="0"/>
    <n v="0"/>
    <n v="4418.1899999999996"/>
    <n v="269509.58999999997"/>
    <x v="2"/>
    <x v="2"/>
    <s v="AutoPost 1169"/>
    <s v="CAD"/>
    <n v="4418.1899999999996"/>
    <x v="0"/>
    <n v="61"/>
    <n v="269509.58999999997"/>
  </r>
  <r>
    <s v="GL001170"/>
    <x v="317"/>
    <s v="5010"/>
    <x v="3"/>
    <n v="1814.27"/>
    <n v="148770.13999999998"/>
    <n v="0"/>
    <n v="0"/>
    <x v="0"/>
    <x v="4"/>
    <s v="AutoPost 1170"/>
    <s v="USD"/>
    <n v="-1814.27"/>
    <x v="2"/>
    <n v="82"/>
    <n v="-148770.13999999998"/>
  </r>
  <r>
    <s v="GL001171"/>
    <x v="53"/>
    <s v="4000"/>
    <x v="0"/>
    <n v="0"/>
    <n v="0"/>
    <n v="815.4"/>
    <n v="71755.199999999997"/>
    <x v="5"/>
    <x v="4"/>
    <s v="AutoPost 1171"/>
    <s v="EUR"/>
    <n v="815.4"/>
    <x v="0"/>
    <n v="88"/>
    <n v="71755.199999999997"/>
  </r>
  <r>
    <s v="GL001172"/>
    <x v="343"/>
    <s v="5000"/>
    <x v="1"/>
    <n v="290.05"/>
    <n v="17693.05"/>
    <n v="0"/>
    <n v="0"/>
    <x v="3"/>
    <x v="2"/>
    <s v="AutoPost 1172"/>
    <s v="CAD"/>
    <n v="-290.05"/>
    <x v="1"/>
    <n v="61"/>
    <n v="-17693.05"/>
  </r>
  <r>
    <s v="GL001173"/>
    <x v="69"/>
    <s v="6000"/>
    <x v="2"/>
    <n v="1726.68"/>
    <n v="96694.080000000002"/>
    <n v="0"/>
    <n v="0"/>
    <x v="4"/>
    <x v="1"/>
    <s v="AutoPost 1173"/>
    <s v="AUD"/>
    <n v="-1726.68"/>
    <x v="2"/>
    <n v="56"/>
    <n v="-96694.080000000002"/>
  </r>
  <r>
    <s v="GL001174"/>
    <x v="440"/>
    <s v="4010"/>
    <x v="4"/>
    <n v="0"/>
    <n v="0"/>
    <n v="2724.33"/>
    <n v="280605.99"/>
    <x v="4"/>
    <x v="0"/>
    <s v="AutoPost 1174"/>
    <s v="GBP"/>
    <n v="2724.33"/>
    <x v="0"/>
    <n v="103"/>
    <n v="280605.99"/>
  </r>
  <r>
    <s v="GL001175"/>
    <x v="15"/>
    <s v="4010"/>
    <x v="4"/>
    <n v="0"/>
    <n v="0"/>
    <n v="517.76"/>
    <n v="31583.360000000001"/>
    <x v="3"/>
    <x v="4"/>
    <s v="AutoPost 1175"/>
    <s v="CAD"/>
    <n v="517.76"/>
    <x v="0"/>
    <n v="61"/>
    <n v="31583.360000000001"/>
  </r>
  <r>
    <s v="GL001176"/>
    <x v="660"/>
    <s v="5010"/>
    <x v="3"/>
    <n v="1718.84"/>
    <n v="96255.039999999994"/>
    <n v="0"/>
    <n v="0"/>
    <x v="2"/>
    <x v="3"/>
    <s v="AutoPost 1176"/>
    <s v="AUD"/>
    <n v="-1718.84"/>
    <x v="2"/>
    <n v="56"/>
    <n v="-96255.039999999994"/>
  </r>
  <r>
    <s v="GL001177"/>
    <x v="151"/>
    <s v="4000"/>
    <x v="0"/>
    <n v="0"/>
    <n v="0"/>
    <n v="3902.53"/>
    <n v="320007.46000000002"/>
    <x v="2"/>
    <x v="0"/>
    <s v="AutoPost 1177"/>
    <s v="USD"/>
    <n v="3902.53"/>
    <x v="0"/>
    <n v="82"/>
    <n v="320007.46000000002"/>
  </r>
  <r>
    <s v="GL001178"/>
    <x v="619"/>
    <s v="5000"/>
    <x v="1"/>
    <n v="820.59"/>
    <n v="72211.92"/>
    <n v="0"/>
    <n v="0"/>
    <x v="5"/>
    <x v="4"/>
    <s v="AutoPost 1178"/>
    <s v="EUR"/>
    <n v="-820.59"/>
    <x v="1"/>
    <n v="88"/>
    <n v="-72211.92"/>
  </r>
  <r>
    <s v="GL001179"/>
    <x v="365"/>
    <s v="6000"/>
    <x v="2"/>
    <n v="933.21"/>
    <n v="52259.76"/>
    <n v="0"/>
    <n v="0"/>
    <x v="2"/>
    <x v="4"/>
    <s v="AutoPost 1179"/>
    <s v="AUD"/>
    <n v="-933.21"/>
    <x v="2"/>
    <n v="56"/>
    <n v="-52259.76"/>
  </r>
  <r>
    <s v="GL001180"/>
    <x v="105"/>
    <s v="4010"/>
    <x v="4"/>
    <n v="0"/>
    <n v="0"/>
    <n v="581.76"/>
    <n v="35487.360000000001"/>
    <x v="2"/>
    <x v="2"/>
    <s v="AutoPost 1180"/>
    <s v="CAD"/>
    <n v="581.76"/>
    <x v="0"/>
    <n v="61"/>
    <n v="35487.360000000001"/>
  </r>
  <r>
    <s v="GL001181"/>
    <x v="300"/>
    <s v="4000"/>
    <x v="0"/>
    <n v="0"/>
    <n v="0"/>
    <n v="2858.3"/>
    <n v="294404.90000000002"/>
    <x v="1"/>
    <x v="4"/>
    <s v="AutoPost 1181"/>
    <s v="GBP"/>
    <n v="2858.3"/>
    <x v="0"/>
    <n v="103"/>
    <n v="294404.90000000002"/>
  </r>
  <r>
    <s v="GL001182"/>
    <x v="476"/>
    <s v="4010"/>
    <x v="4"/>
    <n v="0"/>
    <n v="0"/>
    <n v="1469.73"/>
    <n v="82304.88"/>
    <x v="3"/>
    <x v="0"/>
    <s v="AutoPost 1182"/>
    <s v="AUD"/>
    <n v="1469.73"/>
    <x v="0"/>
    <n v="56"/>
    <n v="82304.88"/>
  </r>
  <r>
    <s v="GL001183"/>
    <x v="661"/>
    <s v="4000"/>
    <x v="0"/>
    <n v="0"/>
    <n v="0"/>
    <n v="4440.72"/>
    <n v="457394.16000000003"/>
    <x v="0"/>
    <x v="3"/>
    <s v="AutoPost 1183"/>
    <s v="GBP"/>
    <n v="4440.72"/>
    <x v="0"/>
    <n v="103"/>
    <n v="457394.16000000003"/>
  </r>
  <r>
    <s v="GL001184"/>
    <x v="382"/>
    <s v="5010"/>
    <x v="3"/>
    <n v="1972.41"/>
    <n v="173572.08000000002"/>
    <n v="0"/>
    <n v="0"/>
    <x v="4"/>
    <x v="2"/>
    <s v="AutoPost 1184"/>
    <s v="EUR"/>
    <n v="-1972.41"/>
    <x v="2"/>
    <n v="88"/>
    <n v="-173572.08000000002"/>
  </r>
  <r>
    <s v="GL001185"/>
    <x v="282"/>
    <s v="4010"/>
    <x v="4"/>
    <n v="0"/>
    <n v="0"/>
    <n v="841.52"/>
    <n v="74053.759999999995"/>
    <x v="1"/>
    <x v="4"/>
    <s v="AutoPost 1185"/>
    <s v="EUR"/>
    <n v="841.52"/>
    <x v="0"/>
    <n v="88"/>
    <n v="74053.759999999995"/>
  </r>
  <r>
    <s v="GL001186"/>
    <x v="651"/>
    <s v="6000"/>
    <x v="2"/>
    <n v="316.14999999999998"/>
    <n v="19285.149999999998"/>
    <n v="0"/>
    <n v="0"/>
    <x v="3"/>
    <x v="4"/>
    <s v="AutoPost 1186"/>
    <s v="CAD"/>
    <n v="-316.14999999999998"/>
    <x v="2"/>
    <n v="61"/>
    <n v="-19285.149999999998"/>
  </r>
  <r>
    <s v="GL001187"/>
    <x v="662"/>
    <s v="5010"/>
    <x v="3"/>
    <n v="475.92"/>
    <n v="26651.52"/>
    <n v="0"/>
    <n v="0"/>
    <x v="5"/>
    <x v="4"/>
    <s v="AutoPost 1187"/>
    <s v="AUD"/>
    <n v="-475.92"/>
    <x v="2"/>
    <n v="56"/>
    <n v="-26651.52"/>
  </r>
  <r>
    <s v="GL001188"/>
    <x v="204"/>
    <s v="6000"/>
    <x v="2"/>
    <n v="1283.6099999999999"/>
    <n v="132211.82999999999"/>
    <n v="0"/>
    <n v="0"/>
    <x v="1"/>
    <x v="2"/>
    <s v="AutoPost 1188"/>
    <s v="GBP"/>
    <n v="-1283.6099999999999"/>
    <x v="2"/>
    <n v="103"/>
    <n v="-132211.82999999999"/>
  </r>
  <r>
    <s v="GL001189"/>
    <x v="663"/>
    <s v="4000"/>
    <x v="0"/>
    <n v="0"/>
    <n v="0"/>
    <n v="242.31"/>
    <n v="14780.91"/>
    <x v="1"/>
    <x v="4"/>
    <s v="AutoPost 1189"/>
    <s v="CAD"/>
    <n v="242.31"/>
    <x v="0"/>
    <n v="61"/>
    <n v="14780.91"/>
  </r>
  <r>
    <s v="GL001190"/>
    <x v="614"/>
    <s v="5000"/>
    <x v="1"/>
    <n v="309.44"/>
    <n v="27230.720000000001"/>
    <n v="0"/>
    <n v="0"/>
    <x v="1"/>
    <x v="3"/>
    <s v="AutoPost 1190"/>
    <s v="EUR"/>
    <n v="-309.44"/>
    <x v="1"/>
    <n v="88"/>
    <n v="-27230.720000000001"/>
  </r>
  <r>
    <s v="GL001191"/>
    <x v="578"/>
    <s v="6000"/>
    <x v="2"/>
    <n v="1158.3800000000001"/>
    <n v="119313.14000000001"/>
    <n v="0"/>
    <n v="0"/>
    <x v="0"/>
    <x v="0"/>
    <s v="AutoPost 1191"/>
    <s v="GBP"/>
    <n v="-1158.3800000000001"/>
    <x v="2"/>
    <n v="103"/>
    <n v="-119313.14000000001"/>
  </r>
  <r>
    <s v="GL001192"/>
    <x v="664"/>
    <s v="4010"/>
    <x v="4"/>
    <n v="0"/>
    <n v="0"/>
    <n v="1546.54"/>
    <n v="126816.28"/>
    <x v="0"/>
    <x v="3"/>
    <s v="AutoPost 1192"/>
    <s v="USD"/>
    <n v="1546.54"/>
    <x v="0"/>
    <n v="82"/>
    <n v="126816.28"/>
  </r>
  <r>
    <s v="GL001193"/>
    <x v="213"/>
    <s v="4010"/>
    <x v="4"/>
    <n v="0"/>
    <n v="0"/>
    <n v="4731.97"/>
    <n v="388021.54000000004"/>
    <x v="0"/>
    <x v="1"/>
    <s v="AutoPost 1193"/>
    <s v="USD"/>
    <n v="4731.97"/>
    <x v="0"/>
    <n v="82"/>
    <n v="388021.54000000004"/>
  </r>
  <r>
    <s v="GL001194"/>
    <x v="134"/>
    <s v="6000"/>
    <x v="2"/>
    <n v="825.81"/>
    <n v="67716.42"/>
    <n v="0"/>
    <n v="0"/>
    <x v="2"/>
    <x v="4"/>
    <s v="AutoPost 1194"/>
    <s v="USD"/>
    <n v="-825.81"/>
    <x v="2"/>
    <n v="82"/>
    <n v="-67716.42"/>
  </r>
  <r>
    <s v="GL001195"/>
    <x v="665"/>
    <s v="5010"/>
    <x v="3"/>
    <n v="811.62"/>
    <n v="49508.82"/>
    <n v="0"/>
    <n v="0"/>
    <x v="1"/>
    <x v="1"/>
    <s v="AutoPost 1195"/>
    <s v="CAD"/>
    <n v="-811.62"/>
    <x v="2"/>
    <n v="61"/>
    <n v="-49508.82"/>
  </r>
  <r>
    <s v="GL001196"/>
    <x v="400"/>
    <s v="6000"/>
    <x v="2"/>
    <n v="1792.82"/>
    <n v="147011.24"/>
    <n v="0"/>
    <n v="0"/>
    <x v="1"/>
    <x v="0"/>
    <s v="AutoPost 1196"/>
    <s v="USD"/>
    <n v="-1792.82"/>
    <x v="2"/>
    <n v="82"/>
    <n v="-147011.24"/>
  </r>
  <r>
    <s v="GL001197"/>
    <x v="666"/>
    <s v="4010"/>
    <x v="4"/>
    <n v="0"/>
    <n v="0"/>
    <n v="2374.8200000000002"/>
    <n v="194735.24000000002"/>
    <x v="1"/>
    <x v="1"/>
    <s v="AutoPost 1197"/>
    <s v="USD"/>
    <n v="2374.8200000000002"/>
    <x v="0"/>
    <n v="82"/>
    <n v="194735.24000000002"/>
  </r>
  <r>
    <s v="GL001198"/>
    <x v="575"/>
    <s v="4000"/>
    <x v="0"/>
    <n v="0"/>
    <n v="0"/>
    <n v="383.06"/>
    <n v="39455.18"/>
    <x v="3"/>
    <x v="4"/>
    <s v="AutoPost 1198"/>
    <s v="GBP"/>
    <n v="383.06"/>
    <x v="0"/>
    <n v="103"/>
    <n v="39455.18"/>
  </r>
  <r>
    <s v="GL001199"/>
    <x v="353"/>
    <s v="4010"/>
    <x v="4"/>
    <n v="0"/>
    <n v="0"/>
    <n v="3219.96"/>
    <n v="283356.48"/>
    <x v="4"/>
    <x v="4"/>
    <s v="AutoPost 1199"/>
    <s v="EUR"/>
    <n v="3219.96"/>
    <x v="0"/>
    <n v="88"/>
    <n v="283356.48"/>
  </r>
  <r>
    <s v="GL001200"/>
    <x v="667"/>
    <s v="4000"/>
    <x v="0"/>
    <n v="0"/>
    <n v="0"/>
    <n v="1105.3800000000001"/>
    <n v="61901.280000000006"/>
    <x v="0"/>
    <x v="1"/>
    <s v="AutoPost 1200"/>
    <s v="AUD"/>
    <n v="1105.3800000000001"/>
    <x v="0"/>
    <n v="56"/>
    <n v="61901.280000000006"/>
  </r>
  <r>
    <s v="GL001201"/>
    <x v="597"/>
    <s v="5010"/>
    <x v="3"/>
    <n v="600.28"/>
    <n v="36617.08"/>
    <n v="0"/>
    <n v="0"/>
    <x v="2"/>
    <x v="4"/>
    <s v="AutoPost 1201"/>
    <s v="CAD"/>
    <n v="-600.28"/>
    <x v="2"/>
    <n v="61"/>
    <n v="-36617.08"/>
  </r>
  <r>
    <s v="GL001202"/>
    <x v="559"/>
    <s v="4010"/>
    <x v="4"/>
    <n v="0"/>
    <n v="0"/>
    <n v="1634.89"/>
    <n v="91553.840000000011"/>
    <x v="4"/>
    <x v="4"/>
    <s v="AutoPost 1202"/>
    <s v="AUD"/>
    <n v="1634.89"/>
    <x v="0"/>
    <n v="56"/>
    <n v="91553.840000000011"/>
  </r>
  <r>
    <s v="GL001203"/>
    <x v="61"/>
    <s v="4010"/>
    <x v="4"/>
    <n v="0"/>
    <n v="0"/>
    <n v="2484.3000000000002"/>
    <n v="151542.30000000002"/>
    <x v="1"/>
    <x v="0"/>
    <s v="AutoPost 1203"/>
    <s v="CAD"/>
    <n v="2484.3000000000002"/>
    <x v="0"/>
    <n v="61"/>
    <n v="151542.30000000002"/>
  </r>
  <r>
    <s v="GL001204"/>
    <x v="479"/>
    <s v="4000"/>
    <x v="0"/>
    <n v="0"/>
    <n v="0"/>
    <n v="2824.53"/>
    <n v="290926.59000000003"/>
    <x v="4"/>
    <x v="0"/>
    <s v="AutoPost 1204"/>
    <s v="GBP"/>
    <n v="2824.53"/>
    <x v="0"/>
    <n v="103"/>
    <n v="290926.59000000003"/>
  </r>
  <r>
    <s v="GL001205"/>
    <x v="668"/>
    <s v="6000"/>
    <x v="2"/>
    <n v="269.73"/>
    <n v="15104.880000000001"/>
    <n v="0"/>
    <n v="0"/>
    <x v="1"/>
    <x v="1"/>
    <s v="AutoPost 1205"/>
    <s v="AUD"/>
    <n v="-269.73"/>
    <x v="2"/>
    <n v="56"/>
    <n v="-15104.880000000001"/>
  </r>
  <r>
    <s v="GL001206"/>
    <x v="605"/>
    <s v="5010"/>
    <x v="3"/>
    <n v="500.85"/>
    <n v="41069.700000000004"/>
    <n v="0"/>
    <n v="0"/>
    <x v="3"/>
    <x v="2"/>
    <s v="AutoPost 1206"/>
    <s v="USD"/>
    <n v="-500.85"/>
    <x v="2"/>
    <n v="82"/>
    <n v="-41069.700000000004"/>
  </r>
  <r>
    <s v="GL001207"/>
    <x v="237"/>
    <s v="4010"/>
    <x v="4"/>
    <n v="0"/>
    <n v="0"/>
    <n v="2600.9699999999998"/>
    <n v="267899.90999999997"/>
    <x v="2"/>
    <x v="1"/>
    <s v="AutoPost 1207"/>
    <s v="GBP"/>
    <n v="2600.9699999999998"/>
    <x v="0"/>
    <n v="103"/>
    <n v="267899.90999999997"/>
  </r>
  <r>
    <s v="GL001208"/>
    <x v="132"/>
    <s v="5000"/>
    <x v="1"/>
    <n v="1457.86"/>
    <n v="150159.57999999999"/>
    <n v="0"/>
    <n v="0"/>
    <x v="0"/>
    <x v="0"/>
    <s v="AutoPost 1208"/>
    <s v="GBP"/>
    <n v="-1457.86"/>
    <x v="1"/>
    <n v="103"/>
    <n v="-150159.57999999999"/>
  </r>
  <r>
    <s v="GL001209"/>
    <x v="494"/>
    <s v="4000"/>
    <x v="0"/>
    <n v="0"/>
    <n v="0"/>
    <n v="1378.84"/>
    <n v="77215.039999999994"/>
    <x v="4"/>
    <x v="2"/>
    <s v="AutoPost 1209"/>
    <s v="AUD"/>
    <n v="1378.84"/>
    <x v="0"/>
    <n v="56"/>
    <n v="77215.039999999994"/>
  </r>
  <r>
    <s v="GL001210"/>
    <x v="669"/>
    <s v="5010"/>
    <x v="3"/>
    <n v="1891.86"/>
    <n v="105944.15999999999"/>
    <n v="0"/>
    <n v="0"/>
    <x v="4"/>
    <x v="2"/>
    <s v="AutoPost 1210"/>
    <s v="AUD"/>
    <n v="-1891.86"/>
    <x v="2"/>
    <n v="56"/>
    <n v="-105944.15999999999"/>
  </r>
  <r>
    <s v="GL001211"/>
    <x v="464"/>
    <s v="4000"/>
    <x v="0"/>
    <n v="0"/>
    <n v="0"/>
    <n v="1330.12"/>
    <n v="74486.720000000001"/>
    <x v="3"/>
    <x v="2"/>
    <s v="AutoPost 1211"/>
    <s v="AUD"/>
    <n v="1330.12"/>
    <x v="0"/>
    <n v="56"/>
    <n v="74486.720000000001"/>
  </r>
  <r>
    <s v="GL001212"/>
    <x v="420"/>
    <s v="4010"/>
    <x v="4"/>
    <n v="0"/>
    <n v="0"/>
    <n v="695.86"/>
    <n v="38968.160000000003"/>
    <x v="2"/>
    <x v="4"/>
    <s v="AutoPost 1212"/>
    <s v="AUD"/>
    <n v="695.86"/>
    <x v="0"/>
    <n v="56"/>
    <n v="38968.160000000003"/>
  </r>
  <r>
    <s v="GL001213"/>
    <x v="670"/>
    <s v="5010"/>
    <x v="3"/>
    <n v="1628.31"/>
    <n v="167715.93"/>
    <n v="0"/>
    <n v="0"/>
    <x v="5"/>
    <x v="3"/>
    <s v="AutoPost 1213"/>
    <s v="GBP"/>
    <n v="-1628.31"/>
    <x v="2"/>
    <n v="103"/>
    <n v="-167715.93"/>
  </r>
  <r>
    <s v="GL001214"/>
    <x v="671"/>
    <s v="4000"/>
    <x v="0"/>
    <n v="0"/>
    <n v="0"/>
    <n v="4939.1400000000003"/>
    <n v="508731.42000000004"/>
    <x v="3"/>
    <x v="0"/>
    <s v="AutoPost 1214"/>
    <s v="GBP"/>
    <n v="4939.1400000000003"/>
    <x v="0"/>
    <n v="103"/>
    <n v="508731.42000000004"/>
  </r>
  <r>
    <s v="GL001215"/>
    <x v="634"/>
    <s v="5010"/>
    <x v="3"/>
    <n v="1884.45"/>
    <n v="105529.2"/>
    <n v="0"/>
    <n v="0"/>
    <x v="0"/>
    <x v="2"/>
    <s v="AutoPost 1215"/>
    <s v="AUD"/>
    <n v="-1884.45"/>
    <x v="2"/>
    <n v="56"/>
    <n v="-105529.2"/>
  </r>
  <r>
    <s v="GL001216"/>
    <x v="672"/>
    <s v="4010"/>
    <x v="4"/>
    <n v="0"/>
    <n v="0"/>
    <n v="2294.84"/>
    <n v="188176.88"/>
    <x v="2"/>
    <x v="4"/>
    <s v="AutoPost 1216"/>
    <s v="USD"/>
    <n v="2294.84"/>
    <x v="0"/>
    <n v="82"/>
    <n v="188176.88"/>
  </r>
  <r>
    <s v="GL001217"/>
    <x v="188"/>
    <s v="6000"/>
    <x v="2"/>
    <n v="701.24"/>
    <n v="57501.68"/>
    <n v="0"/>
    <n v="0"/>
    <x v="0"/>
    <x v="2"/>
    <s v="AutoPost 1217"/>
    <s v="USD"/>
    <n v="-701.24"/>
    <x v="2"/>
    <n v="82"/>
    <n v="-57501.68"/>
  </r>
  <r>
    <s v="GL001218"/>
    <x v="673"/>
    <s v="4000"/>
    <x v="0"/>
    <n v="0"/>
    <n v="0"/>
    <n v="1406.7"/>
    <n v="123789.6"/>
    <x v="0"/>
    <x v="3"/>
    <s v="AutoPost 1218"/>
    <s v="EUR"/>
    <n v="1406.7"/>
    <x v="0"/>
    <n v="88"/>
    <n v="123789.6"/>
  </r>
  <r>
    <s v="GL001219"/>
    <x v="665"/>
    <s v="6000"/>
    <x v="2"/>
    <n v="187.59"/>
    <n v="16507.920000000002"/>
    <n v="0"/>
    <n v="0"/>
    <x v="2"/>
    <x v="4"/>
    <s v="AutoPost 1219"/>
    <s v="EUR"/>
    <n v="-187.59"/>
    <x v="2"/>
    <n v="88"/>
    <n v="-16507.920000000002"/>
  </r>
  <r>
    <s v="GL001220"/>
    <x v="242"/>
    <s v="4000"/>
    <x v="0"/>
    <n v="0"/>
    <n v="0"/>
    <n v="1358.12"/>
    <n v="111365.84"/>
    <x v="4"/>
    <x v="1"/>
    <s v="AutoPost 1220"/>
    <s v="USD"/>
    <n v="1358.12"/>
    <x v="0"/>
    <n v="82"/>
    <n v="111365.84"/>
  </r>
  <r>
    <s v="GL001221"/>
    <x v="326"/>
    <s v="5000"/>
    <x v="1"/>
    <n v="695.83"/>
    <n v="42445.630000000005"/>
    <n v="0"/>
    <n v="0"/>
    <x v="5"/>
    <x v="2"/>
    <s v="AutoPost 1221"/>
    <s v="CAD"/>
    <n v="-695.83"/>
    <x v="1"/>
    <n v="61"/>
    <n v="-42445.630000000005"/>
  </r>
  <r>
    <s v="GL001222"/>
    <x v="460"/>
    <s v="5010"/>
    <x v="3"/>
    <n v="200.78"/>
    <n v="12247.58"/>
    <n v="0"/>
    <n v="0"/>
    <x v="5"/>
    <x v="2"/>
    <s v="AutoPost 1222"/>
    <s v="CAD"/>
    <n v="-200.78"/>
    <x v="2"/>
    <n v="61"/>
    <n v="-12247.58"/>
  </r>
  <r>
    <s v="GL001223"/>
    <x v="443"/>
    <s v="4000"/>
    <x v="0"/>
    <n v="0"/>
    <n v="0"/>
    <n v="2848.57"/>
    <n v="159519.92000000001"/>
    <x v="3"/>
    <x v="1"/>
    <s v="AutoPost 1223"/>
    <s v="AUD"/>
    <n v="2848.57"/>
    <x v="0"/>
    <n v="56"/>
    <n v="159519.92000000001"/>
  </r>
  <r>
    <s v="GL001224"/>
    <x v="168"/>
    <s v="5000"/>
    <x v="1"/>
    <n v="185.51"/>
    <n v="19107.53"/>
    <n v="0"/>
    <n v="0"/>
    <x v="0"/>
    <x v="2"/>
    <s v="AutoPost 1224"/>
    <s v="GBP"/>
    <n v="-185.51"/>
    <x v="1"/>
    <n v="103"/>
    <n v="-19107.53"/>
  </r>
  <r>
    <s v="GL001225"/>
    <x v="30"/>
    <s v="6000"/>
    <x v="2"/>
    <n v="935.9"/>
    <n v="57089.9"/>
    <n v="0"/>
    <n v="0"/>
    <x v="2"/>
    <x v="0"/>
    <s v="AutoPost 1225"/>
    <s v="CAD"/>
    <n v="-935.9"/>
    <x v="2"/>
    <n v="61"/>
    <n v="-57089.9"/>
  </r>
  <r>
    <s v="GL001226"/>
    <x v="545"/>
    <s v="5000"/>
    <x v="1"/>
    <n v="1358.9"/>
    <n v="111429.8"/>
    <n v="0"/>
    <n v="0"/>
    <x v="3"/>
    <x v="1"/>
    <s v="AutoPost 1226"/>
    <s v="USD"/>
    <n v="-1358.9"/>
    <x v="1"/>
    <n v="82"/>
    <n v="-111429.8"/>
  </r>
  <r>
    <s v="GL001227"/>
    <x v="71"/>
    <s v="5000"/>
    <x v="1"/>
    <n v="1242.6500000000001"/>
    <n v="101897.3"/>
    <n v="0"/>
    <n v="0"/>
    <x v="4"/>
    <x v="3"/>
    <s v="AutoPost 1227"/>
    <s v="USD"/>
    <n v="-1242.6500000000001"/>
    <x v="1"/>
    <n v="82"/>
    <n v="-101897.3"/>
  </r>
  <r>
    <s v="GL001228"/>
    <x v="158"/>
    <s v="4010"/>
    <x v="4"/>
    <n v="0"/>
    <n v="0"/>
    <n v="1524.63"/>
    <n v="93002.430000000008"/>
    <x v="5"/>
    <x v="3"/>
    <s v="AutoPost 1228"/>
    <s v="CAD"/>
    <n v="1524.63"/>
    <x v="0"/>
    <n v="61"/>
    <n v="93002.430000000008"/>
  </r>
  <r>
    <s v="GL001229"/>
    <x v="28"/>
    <s v="4010"/>
    <x v="4"/>
    <n v="0"/>
    <n v="0"/>
    <n v="1391.91"/>
    <n v="114136.62000000001"/>
    <x v="2"/>
    <x v="3"/>
    <s v="AutoPost 1229"/>
    <s v="USD"/>
    <n v="1391.91"/>
    <x v="0"/>
    <n v="82"/>
    <n v="114136.62000000001"/>
  </r>
  <r>
    <s v="GL001230"/>
    <x v="270"/>
    <s v="4000"/>
    <x v="0"/>
    <n v="0"/>
    <n v="0"/>
    <n v="3506.68"/>
    <n v="213907.47999999998"/>
    <x v="5"/>
    <x v="3"/>
    <s v="AutoPost 1230"/>
    <s v="CAD"/>
    <n v="3506.68"/>
    <x v="0"/>
    <n v="61"/>
    <n v="213907.47999999998"/>
  </r>
  <r>
    <s v="GL001231"/>
    <x v="280"/>
    <s v="5000"/>
    <x v="1"/>
    <n v="1331.89"/>
    <n v="137184.67000000001"/>
    <n v="0"/>
    <n v="0"/>
    <x v="4"/>
    <x v="2"/>
    <s v="AutoPost 1231"/>
    <s v="GBP"/>
    <n v="-1331.89"/>
    <x v="1"/>
    <n v="103"/>
    <n v="-137184.67000000001"/>
  </r>
  <r>
    <s v="GL001232"/>
    <x v="674"/>
    <s v="5000"/>
    <x v="1"/>
    <n v="674.31"/>
    <n v="69453.929999999993"/>
    <n v="0"/>
    <n v="0"/>
    <x v="1"/>
    <x v="0"/>
    <s v="AutoPost 1232"/>
    <s v="GBP"/>
    <n v="-674.31"/>
    <x v="1"/>
    <n v="103"/>
    <n v="-69453.929999999993"/>
  </r>
  <r>
    <s v="GL001233"/>
    <x v="675"/>
    <s v="4000"/>
    <x v="0"/>
    <n v="0"/>
    <n v="0"/>
    <n v="2570.4299999999998"/>
    <n v="226197.84"/>
    <x v="2"/>
    <x v="4"/>
    <s v="AutoPost 1233"/>
    <s v="EUR"/>
    <n v="2570.4299999999998"/>
    <x v="0"/>
    <n v="88"/>
    <n v="226197.84"/>
  </r>
  <r>
    <s v="GL001234"/>
    <x v="479"/>
    <s v="4010"/>
    <x v="4"/>
    <n v="0"/>
    <n v="0"/>
    <n v="1312.61"/>
    <n v="80069.209999999992"/>
    <x v="5"/>
    <x v="3"/>
    <s v="AutoPost 1234"/>
    <s v="CAD"/>
    <n v="1312.61"/>
    <x v="0"/>
    <n v="61"/>
    <n v="80069.209999999992"/>
  </r>
  <r>
    <s v="GL001235"/>
    <x v="279"/>
    <s v="5000"/>
    <x v="1"/>
    <n v="1101.82"/>
    <n v="113487.45999999999"/>
    <n v="0"/>
    <n v="0"/>
    <x v="1"/>
    <x v="1"/>
    <s v="AutoPost 1235"/>
    <s v="GBP"/>
    <n v="-1101.82"/>
    <x v="1"/>
    <n v="103"/>
    <n v="-113487.45999999999"/>
  </r>
  <r>
    <s v="GL001236"/>
    <x v="676"/>
    <s v="4000"/>
    <x v="0"/>
    <n v="0"/>
    <n v="0"/>
    <n v="143.81"/>
    <n v="8772.41"/>
    <x v="5"/>
    <x v="2"/>
    <s v="AutoPost 1236"/>
    <s v="CAD"/>
    <n v="143.81"/>
    <x v="0"/>
    <n v="61"/>
    <n v="8772.41"/>
  </r>
  <r>
    <s v="GL001237"/>
    <x v="26"/>
    <s v="4000"/>
    <x v="0"/>
    <n v="0"/>
    <n v="0"/>
    <n v="838.04"/>
    <n v="46930.239999999998"/>
    <x v="1"/>
    <x v="0"/>
    <s v="AutoPost 1237"/>
    <s v="AUD"/>
    <n v="838.04"/>
    <x v="0"/>
    <n v="56"/>
    <n v="46930.239999999998"/>
  </r>
  <r>
    <s v="GL001238"/>
    <x v="230"/>
    <s v="6000"/>
    <x v="2"/>
    <n v="1626.01"/>
    <n v="99186.61"/>
    <n v="0"/>
    <n v="0"/>
    <x v="2"/>
    <x v="4"/>
    <s v="AutoPost 1238"/>
    <s v="CAD"/>
    <n v="-1626.01"/>
    <x v="2"/>
    <n v="61"/>
    <n v="-99186.61"/>
  </r>
  <r>
    <s v="GL001239"/>
    <x v="677"/>
    <s v="5000"/>
    <x v="1"/>
    <n v="1394.34"/>
    <n v="122701.92"/>
    <n v="0"/>
    <n v="0"/>
    <x v="2"/>
    <x v="3"/>
    <s v="AutoPost 1239"/>
    <s v="EUR"/>
    <n v="-1394.34"/>
    <x v="1"/>
    <n v="88"/>
    <n v="-122701.92"/>
  </r>
  <r>
    <s v="GL001240"/>
    <x v="91"/>
    <s v="4010"/>
    <x v="4"/>
    <n v="0"/>
    <n v="0"/>
    <n v="1022.63"/>
    <n v="62380.43"/>
    <x v="0"/>
    <x v="4"/>
    <s v="AutoPost 1240"/>
    <s v="CAD"/>
    <n v="1022.63"/>
    <x v="0"/>
    <n v="61"/>
    <n v="62380.43"/>
  </r>
  <r>
    <s v="GL001241"/>
    <x v="251"/>
    <s v="5010"/>
    <x v="3"/>
    <n v="1757.53"/>
    <n v="181025.59"/>
    <n v="0"/>
    <n v="0"/>
    <x v="5"/>
    <x v="4"/>
    <s v="AutoPost 1241"/>
    <s v="GBP"/>
    <n v="-1757.53"/>
    <x v="2"/>
    <n v="103"/>
    <n v="-181025.59"/>
  </r>
  <r>
    <s v="GL001242"/>
    <x v="404"/>
    <s v="4000"/>
    <x v="0"/>
    <n v="0"/>
    <n v="0"/>
    <n v="1866.82"/>
    <n v="104541.92"/>
    <x v="2"/>
    <x v="0"/>
    <s v="AutoPost 1242"/>
    <s v="AUD"/>
    <n v="1866.82"/>
    <x v="0"/>
    <n v="56"/>
    <n v="104541.92"/>
  </r>
  <r>
    <s v="GL001243"/>
    <x v="36"/>
    <s v="6000"/>
    <x v="2"/>
    <n v="1791.42"/>
    <n v="157644.96000000002"/>
    <n v="0"/>
    <n v="0"/>
    <x v="3"/>
    <x v="4"/>
    <s v="AutoPost 1243"/>
    <s v="EUR"/>
    <n v="-1791.42"/>
    <x v="2"/>
    <n v="88"/>
    <n v="-157644.96000000002"/>
  </r>
  <r>
    <s v="GL001244"/>
    <x v="494"/>
    <s v="6000"/>
    <x v="2"/>
    <n v="1809.92"/>
    <n v="159272.96000000002"/>
    <n v="0"/>
    <n v="0"/>
    <x v="1"/>
    <x v="4"/>
    <s v="AutoPost 1244"/>
    <s v="EUR"/>
    <n v="-1809.92"/>
    <x v="2"/>
    <n v="88"/>
    <n v="-159272.96000000002"/>
  </r>
  <r>
    <s v="GL001245"/>
    <x v="25"/>
    <s v="4010"/>
    <x v="4"/>
    <n v="0"/>
    <n v="0"/>
    <n v="212.06"/>
    <n v="11875.36"/>
    <x v="0"/>
    <x v="0"/>
    <s v="AutoPost 1245"/>
    <s v="AUD"/>
    <n v="212.06"/>
    <x v="0"/>
    <n v="56"/>
    <n v="11875.36"/>
  </r>
  <r>
    <s v="GL001246"/>
    <x v="678"/>
    <s v="6000"/>
    <x v="2"/>
    <n v="227.05"/>
    <n v="12714.800000000001"/>
    <n v="0"/>
    <n v="0"/>
    <x v="1"/>
    <x v="3"/>
    <s v="AutoPost 1246"/>
    <s v="AUD"/>
    <n v="-227.05"/>
    <x v="2"/>
    <n v="56"/>
    <n v="-12714.800000000001"/>
  </r>
  <r>
    <s v="GL001247"/>
    <x v="88"/>
    <s v="4000"/>
    <x v="0"/>
    <n v="0"/>
    <n v="0"/>
    <n v="3603.35"/>
    <n v="371145.05"/>
    <x v="0"/>
    <x v="2"/>
    <s v="AutoPost 1247"/>
    <s v="GBP"/>
    <n v="3603.35"/>
    <x v="0"/>
    <n v="103"/>
    <n v="371145.05"/>
  </r>
  <r>
    <s v="GL001248"/>
    <x v="679"/>
    <s v="5000"/>
    <x v="1"/>
    <n v="185.67"/>
    <n v="16338.96"/>
    <n v="0"/>
    <n v="0"/>
    <x v="4"/>
    <x v="1"/>
    <s v="AutoPost 1248"/>
    <s v="EUR"/>
    <n v="-185.67"/>
    <x v="1"/>
    <n v="88"/>
    <n v="-16338.96"/>
  </r>
  <r>
    <s v="GL001249"/>
    <x v="680"/>
    <s v="4010"/>
    <x v="4"/>
    <n v="0"/>
    <n v="0"/>
    <n v="4699.12"/>
    <n v="413522.56"/>
    <x v="3"/>
    <x v="3"/>
    <s v="AutoPost 1249"/>
    <s v="EUR"/>
    <n v="4699.12"/>
    <x v="0"/>
    <n v="88"/>
    <n v="413522.56"/>
  </r>
  <r>
    <s v="GL001250"/>
    <x v="8"/>
    <s v="5010"/>
    <x v="3"/>
    <n v="1352.97"/>
    <n v="82531.17"/>
    <n v="0"/>
    <n v="0"/>
    <x v="3"/>
    <x v="0"/>
    <s v="AutoPost 1250"/>
    <s v="CAD"/>
    <n v="-1352.97"/>
    <x v="2"/>
    <n v="61"/>
    <n v="-82531.17"/>
  </r>
  <r>
    <s v="GL001251"/>
    <x v="54"/>
    <s v="5000"/>
    <x v="1"/>
    <n v="936.7"/>
    <n v="57138.700000000004"/>
    <n v="0"/>
    <n v="0"/>
    <x v="4"/>
    <x v="4"/>
    <s v="AutoPost 1251"/>
    <s v="CAD"/>
    <n v="-936.7"/>
    <x v="1"/>
    <n v="61"/>
    <n v="-57138.700000000004"/>
  </r>
  <r>
    <s v="GL001252"/>
    <x v="681"/>
    <s v="4000"/>
    <x v="0"/>
    <n v="0"/>
    <n v="0"/>
    <n v="3050.31"/>
    <n v="170817.36"/>
    <x v="4"/>
    <x v="2"/>
    <s v="AutoPost 1252"/>
    <s v="AUD"/>
    <n v="3050.31"/>
    <x v="0"/>
    <n v="56"/>
    <n v="170817.36"/>
  </r>
  <r>
    <s v="GL001253"/>
    <x v="682"/>
    <s v="6000"/>
    <x v="2"/>
    <n v="574.09"/>
    <n v="50519.920000000006"/>
    <n v="0"/>
    <n v="0"/>
    <x v="3"/>
    <x v="3"/>
    <s v="AutoPost 1253"/>
    <s v="EUR"/>
    <n v="-574.09"/>
    <x v="2"/>
    <n v="88"/>
    <n v="-50519.920000000006"/>
  </r>
  <r>
    <s v="GL001254"/>
    <x v="37"/>
    <s v="4000"/>
    <x v="0"/>
    <n v="0"/>
    <n v="0"/>
    <n v="3214.18"/>
    <n v="331060.53999999998"/>
    <x v="4"/>
    <x v="4"/>
    <s v="AutoPost 1254"/>
    <s v="GBP"/>
    <n v="3214.18"/>
    <x v="0"/>
    <n v="103"/>
    <n v="331060.53999999998"/>
  </r>
  <r>
    <s v="GL001255"/>
    <x v="571"/>
    <s v="5010"/>
    <x v="3"/>
    <n v="1415.06"/>
    <n v="79243.360000000001"/>
    <n v="0"/>
    <n v="0"/>
    <x v="5"/>
    <x v="0"/>
    <s v="AutoPost 1255"/>
    <s v="AUD"/>
    <n v="-1415.06"/>
    <x v="2"/>
    <n v="56"/>
    <n v="-79243.360000000001"/>
  </r>
  <r>
    <s v="GL001256"/>
    <x v="459"/>
    <s v="4000"/>
    <x v="0"/>
    <n v="0"/>
    <n v="0"/>
    <n v="3142.85"/>
    <n v="276570.8"/>
    <x v="3"/>
    <x v="4"/>
    <s v="AutoPost 1256"/>
    <s v="EUR"/>
    <n v="3142.85"/>
    <x v="0"/>
    <n v="88"/>
    <n v="276570.8"/>
  </r>
  <r>
    <s v="GL001257"/>
    <x v="294"/>
    <s v="6000"/>
    <x v="2"/>
    <n v="981.35"/>
    <n v="59862.35"/>
    <n v="0"/>
    <n v="0"/>
    <x v="3"/>
    <x v="3"/>
    <s v="AutoPost 1257"/>
    <s v="CAD"/>
    <n v="-981.35"/>
    <x v="2"/>
    <n v="61"/>
    <n v="-59862.35"/>
  </r>
  <r>
    <s v="GL001258"/>
    <x v="69"/>
    <s v="4000"/>
    <x v="0"/>
    <n v="0"/>
    <n v="0"/>
    <n v="2967.52"/>
    <n v="166181.12"/>
    <x v="0"/>
    <x v="3"/>
    <s v="AutoPost 1258"/>
    <s v="AUD"/>
    <n v="2967.52"/>
    <x v="0"/>
    <n v="56"/>
    <n v="166181.12"/>
  </r>
  <r>
    <s v="GL001259"/>
    <x v="346"/>
    <s v="4000"/>
    <x v="0"/>
    <n v="0"/>
    <n v="0"/>
    <n v="3250.84"/>
    <n v="334836.52"/>
    <x v="5"/>
    <x v="0"/>
    <s v="AutoPost 1259"/>
    <s v="GBP"/>
    <n v="3250.84"/>
    <x v="0"/>
    <n v="103"/>
    <n v="334836.52"/>
  </r>
  <r>
    <s v="GL001260"/>
    <x v="240"/>
    <s v="4000"/>
    <x v="0"/>
    <n v="0"/>
    <n v="0"/>
    <n v="2026.45"/>
    <n v="178327.6"/>
    <x v="0"/>
    <x v="2"/>
    <s v="AutoPost 1260"/>
    <s v="EUR"/>
    <n v="2026.45"/>
    <x v="0"/>
    <n v="88"/>
    <n v="178327.6"/>
  </r>
  <r>
    <s v="GL001261"/>
    <x v="644"/>
    <s v="5010"/>
    <x v="3"/>
    <n v="1199.5999999999999"/>
    <n v="105564.79999999999"/>
    <n v="0"/>
    <n v="0"/>
    <x v="2"/>
    <x v="2"/>
    <s v="AutoPost 1261"/>
    <s v="EUR"/>
    <n v="-1199.5999999999999"/>
    <x v="2"/>
    <n v="88"/>
    <n v="-105564.79999999999"/>
  </r>
  <r>
    <s v="GL001262"/>
    <x v="18"/>
    <s v="5000"/>
    <x v="1"/>
    <n v="816.81"/>
    <n v="71879.28"/>
    <n v="0"/>
    <n v="0"/>
    <x v="1"/>
    <x v="1"/>
    <s v="AutoPost 1262"/>
    <s v="EUR"/>
    <n v="-816.81"/>
    <x v="1"/>
    <n v="88"/>
    <n v="-71879.28"/>
  </r>
  <r>
    <s v="GL001263"/>
    <x v="568"/>
    <s v="4000"/>
    <x v="0"/>
    <n v="0"/>
    <n v="0"/>
    <n v="4074.11"/>
    <n v="248520.71000000002"/>
    <x v="1"/>
    <x v="2"/>
    <s v="AutoPost 1263"/>
    <s v="CAD"/>
    <n v="4074.11"/>
    <x v="0"/>
    <n v="61"/>
    <n v="248520.71000000002"/>
  </r>
  <r>
    <s v="GL001264"/>
    <x v="318"/>
    <s v="4000"/>
    <x v="0"/>
    <n v="0"/>
    <n v="0"/>
    <n v="720.36"/>
    <n v="43941.96"/>
    <x v="5"/>
    <x v="2"/>
    <s v="AutoPost 1264"/>
    <s v="CAD"/>
    <n v="720.36"/>
    <x v="0"/>
    <n v="61"/>
    <n v="43941.96"/>
  </r>
  <r>
    <s v="GL001265"/>
    <x v="640"/>
    <s v="5010"/>
    <x v="3"/>
    <n v="1279.52"/>
    <n v="78050.720000000001"/>
    <n v="0"/>
    <n v="0"/>
    <x v="2"/>
    <x v="2"/>
    <s v="AutoPost 1265"/>
    <s v="CAD"/>
    <n v="-1279.52"/>
    <x v="2"/>
    <n v="61"/>
    <n v="-78050.720000000001"/>
  </r>
  <r>
    <s v="GL001266"/>
    <x v="437"/>
    <s v="5000"/>
    <x v="1"/>
    <n v="1249.06"/>
    <n v="76192.66"/>
    <n v="0"/>
    <n v="0"/>
    <x v="1"/>
    <x v="3"/>
    <s v="AutoPost 1266"/>
    <s v="CAD"/>
    <n v="-1249.06"/>
    <x v="1"/>
    <n v="61"/>
    <n v="-76192.66"/>
  </r>
  <r>
    <s v="GL001267"/>
    <x v="216"/>
    <s v="4010"/>
    <x v="4"/>
    <n v="0"/>
    <n v="0"/>
    <n v="4456.47"/>
    <n v="392169.36000000004"/>
    <x v="0"/>
    <x v="2"/>
    <s v="AutoPost 1267"/>
    <s v="EUR"/>
    <n v="4456.47"/>
    <x v="0"/>
    <n v="88"/>
    <n v="392169.36000000004"/>
  </r>
  <r>
    <s v="GL001268"/>
    <x v="621"/>
    <s v="4000"/>
    <x v="0"/>
    <n v="0"/>
    <n v="0"/>
    <n v="3830.15"/>
    <n v="394505.45"/>
    <x v="0"/>
    <x v="1"/>
    <s v="AutoPost 1268"/>
    <s v="GBP"/>
    <n v="3830.15"/>
    <x v="0"/>
    <n v="103"/>
    <n v="394505.45"/>
  </r>
  <r>
    <s v="GL001269"/>
    <x v="128"/>
    <s v="4010"/>
    <x v="4"/>
    <n v="0"/>
    <n v="0"/>
    <n v="4835.12"/>
    <n v="270766.71999999997"/>
    <x v="5"/>
    <x v="2"/>
    <s v="AutoPost 1269"/>
    <s v="AUD"/>
    <n v="4835.12"/>
    <x v="0"/>
    <n v="56"/>
    <n v="270766.71999999997"/>
  </r>
  <r>
    <s v="GL001270"/>
    <x v="280"/>
    <s v="5000"/>
    <x v="1"/>
    <n v="1165.1300000000001"/>
    <n v="65247.280000000006"/>
    <n v="0"/>
    <n v="0"/>
    <x v="2"/>
    <x v="1"/>
    <s v="AutoPost 1270"/>
    <s v="AUD"/>
    <n v="-1165.1300000000001"/>
    <x v="1"/>
    <n v="56"/>
    <n v="-65247.280000000006"/>
  </r>
  <r>
    <s v="GL001271"/>
    <x v="392"/>
    <s v="4000"/>
    <x v="0"/>
    <n v="0"/>
    <n v="0"/>
    <n v="112.08"/>
    <n v="9190.56"/>
    <x v="1"/>
    <x v="4"/>
    <s v="AutoPost 1271"/>
    <s v="USD"/>
    <n v="112.08"/>
    <x v="0"/>
    <n v="82"/>
    <n v="9190.56"/>
  </r>
  <r>
    <s v="GL001272"/>
    <x v="595"/>
    <s v="4010"/>
    <x v="4"/>
    <n v="0"/>
    <n v="0"/>
    <n v="3589.18"/>
    <n v="200994.08"/>
    <x v="4"/>
    <x v="1"/>
    <s v="AutoPost 1272"/>
    <s v="AUD"/>
    <n v="3589.18"/>
    <x v="0"/>
    <n v="56"/>
    <n v="200994.08"/>
  </r>
  <r>
    <s v="GL001273"/>
    <x v="683"/>
    <s v="4000"/>
    <x v="0"/>
    <n v="0"/>
    <n v="0"/>
    <n v="1841.13"/>
    <n v="112308.93000000001"/>
    <x v="4"/>
    <x v="2"/>
    <s v="AutoPost 1273"/>
    <s v="CAD"/>
    <n v="1841.13"/>
    <x v="0"/>
    <n v="61"/>
    <n v="112308.93000000001"/>
  </r>
  <r>
    <s v="GL001274"/>
    <x v="165"/>
    <s v="5000"/>
    <x v="1"/>
    <n v="1321.13"/>
    <n v="136076.39000000001"/>
    <n v="0"/>
    <n v="0"/>
    <x v="4"/>
    <x v="1"/>
    <s v="AutoPost 1274"/>
    <s v="GBP"/>
    <n v="-1321.13"/>
    <x v="1"/>
    <n v="103"/>
    <n v="-136076.39000000001"/>
  </r>
  <r>
    <s v="GL001275"/>
    <x v="203"/>
    <s v="5010"/>
    <x v="3"/>
    <n v="501.83"/>
    <n v="30611.629999999997"/>
    <n v="0"/>
    <n v="0"/>
    <x v="5"/>
    <x v="4"/>
    <s v="AutoPost 1275"/>
    <s v="CAD"/>
    <n v="-501.83"/>
    <x v="2"/>
    <n v="61"/>
    <n v="-30611.629999999997"/>
  </r>
  <r>
    <s v="GL001276"/>
    <x v="251"/>
    <s v="5010"/>
    <x v="3"/>
    <n v="233.68"/>
    <n v="20563.84"/>
    <n v="0"/>
    <n v="0"/>
    <x v="5"/>
    <x v="2"/>
    <s v="AutoPost 1276"/>
    <s v="EUR"/>
    <n v="-233.68"/>
    <x v="2"/>
    <n v="88"/>
    <n v="-20563.84"/>
  </r>
  <r>
    <s v="GL001277"/>
    <x v="480"/>
    <s v="4010"/>
    <x v="4"/>
    <n v="0"/>
    <n v="0"/>
    <n v="4225.68"/>
    <n v="236638.08000000002"/>
    <x v="4"/>
    <x v="4"/>
    <s v="AutoPost 1277"/>
    <s v="AUD"/>
    <n v="4225.68"/>
    <x v="0"/>
    <n v="56"/>
    <n v="236638.08000000002"/>
  </r>
  <r>
    <s v="GL001278"/>
    <x v="568"/>
    <s v="5010"/>
    <x v="3"/>
    <n v="315.85000000000002"/>
    <n v="25899.7"/>
    <n v="0"/>
    <n v="0"/>
    <x v="3"/>
    <x v="3"/>
    <s v="AutoPost 1278"/>
    <s v="USD"/>
    <n v="-315.85000000000002"/>
    <x v="2"/>
    <n v="82"/>
    <n v="-25899.7"/>
  </r>
  <r>
    <s v="GL001279"/>
    <x v="59"/>
    <s v="6000"/>
    <x v="2"/>
    <n v="1999.52"/>
    <n v="175957.76000000001"/>
    <n v="0"/>
    <n v="0"/>
    <x v="5"/>
    <x v="3"/>
    <s v="AutoPost 1279"/>
    <s v="EUR"/>
    <n v="-1999.52"/>
    <x v="2"/>
    <n v="88"/>
    <n v="-175957.76000000001"/>
  </r>
  <r>
    <s v="GL001280"/>
    <x v="684"/>
    <s v="6000"/>
    <x v="2"/>
    <n v="770.08"/>
    <n v="46974.880000000005"/>
    <n v="0"/>
    <n v="0"/>
    <x v="5"/>
    <x v="4"/>
    <s v="AutoPost 1280"/>
    <s v="CAD"/>
    <n v="-770.08"/>
    <x v="2"/>
    <n v="61"/>
    <n v="-46974.880000000005"/>
  </r>
  <r>
    <s v="GL001281"/>
    <x v="685"/>
    <s v="4010"/>
    <x v="4"/>
    <n v="0"/>
    <n v="0"/>
    <n v="4953.53"/>
    <n v="510213.58999999997"/>
    <x v="5"/>
    <x v="0"/>
    <s v="AutoPost 1281"/>
    <s v="GBP"/>
    <n v="4953.53"/>
    <x v="0"/>
    <n v="103"/>
    <n v="510213.58999999997"/>
  </r>
  <r>
    <s v="GL001282"/>
    <x v="686"/>
    <s v="4010"/>
    <x v="4"/>
    <n v="0"/>
    <n v="0"/>
    <n v="1360.16"/>
    <n v="82969.760000000009"/>
    <x v="5"/>
    <x v="0"/>
    <s v="AutoPost 1282"/>
    <s v="CAD"/>
    <n v="1360.16"/>
    <x v="0"/>
    <n v="61"/>
    <n v="82969.760000000009"/>
  </r>
  <r>
    <s v="GL001283"/>
    <x v="399"/>
    <s v="5000"/>
    <x v="1"/>
    <n v="475.84"/>
    <n v="39018.879999999997"/>
    <n v="0"/>
    <n v="0"/>
    <x v="1"/>
    <x v="1"/>
    <s v="AutoPost 1283"/>
    <s v="USD"/>
    <n v="-475.84"/>
    <x v="1"/>
    <n v="82"/>
    <n v="-39018.879999999997"/>
  </r>
  <r>
    <s v="GL001284"/>
    <x v="655"/>
    <s v="5000"/>
    <x v="1"/>
    <n v="1211.1500000000001"/>
    <n v="73880.150000000009"/>
    <n v="0"/>
    <n v="0"/>
    <x v="5"/>
    <x v="3"/>
    <s v="AutoPost 1284"/>
    <s v="CAD"/>
    <n v="-1211.1500000000001"/>
    <x v="1"/>
    <n v="61"/>
    <n v="-73880.150000000009"/>
  </r>
  <r>
    <s v="GL001285"/>
    <x v="658"/>
    <s v="4010"/>
    <x v="4"/>
    <n v="0"/>
    <n v="0"/>
    <n v="2327.23"/>
    <n v="204796.24"/>
    <x v="0"/>
    <x v="2"/>
    <s v="AutoPost 1285"/>
    <s v="EUR"/>
    <n v="2327.23"/>
    <x v="0"/>
    <n v="88"/>
    <n v="204796.24"/>
  </r>
  <r>
    <s v="GL001286"/>
    <x v="621"/>
    <s v="6000"/>
    <x v="2"/>
    <n v="237.68"/>
    <n v="24481.040000000001"/>
    <n v="0"/>
    <n v="0"/>
    <x v="5"/>
    <x v="0"/>
    <s v="AutoPost 1286"/>
    <s v="GBP"/>
    <n v="-237.68"/>
    <x v="2"/>
    <n v="103"/>
    <n v="-24481.040000000001"/>
  </r>
  <r>
    <s v="GL001287"/>
    <x v="687"/>
    <s v="6000"/>
    <x v="2"/>
    <n v="1902.83"/>
    <n v="116072.62999999999"/>
    <n v="0"/>
    <n v="0"/>
    <x v="5"/>
    <x v="4"/>
    <s v="AutoPost 1287"/>
    <s v="CAD"/>
    <n v="-1902.83"/>
    <x v="2"/>
    <n v="61"/>
    <n v="-116072.62999999999"/>
  </r>
  <r>
    <s v="GL001288"/>
    <x v="468"/>
    <s v="4000"/>
    <x v="0"/>
    <n v="0"/>
    <n v="0"/>
    <n v="2447.1"/>
    <n v="137037.6"/>
    <x v="1"/>
    <x v="2"/>
    <s v="AutoPost 1288"/>
    <s v="AUD"/>
    <n v="2447.1"/>
    <x v="0"/>
    <n v="56"/>
    <n v="137037.6"/>
  </r>
  <r>
    <s v="GL001289"/>
    <x v="87"/>
    <s v="6000"/>
    <x v="2"/>
    <n v="520.39"/>
    <n v="42671.979999999996"/>
    <n v="0"/>
    <n v="0"/>
    <x v="5"/>
    <x v="3"/>
    <s v="AutoPost 1289"/>
    <s v="USD"/>
    <n v="-520.39"/>
    <x v="2"/>
    <n v="82"/>
    <n v="-42671.979999999996"/>
  </r>
  <r>
    <s v="GL001290"/>
    <x v="47"/>
    <s v="5010"/>
    <x v="3"/>
    <n v="1329.55"/>
    <n v="81102.55"/>
    <n v="0"/>
    <n v="0"/>
    <x v="4"/>
    <x v="4"/>
    <s v="AutoPost 1290"/>
    <s v="CAD"/>
    <n v="-1329.55"/>
    <x v="2"/>
    <n v="61"/>
    <n v="-81102.55"/>
  </r>
  <r>
    <s v="GL001291"/>
    <x v="688"/>
    <s v="6000"/>
    <x v="2"/>
    <n v="1991.48"/>
    <n v="205122.44"/>
    <n v="0"/>
    <n v="0"/>
    <x v="2"/>
    <x v="2"/>
    <s v="AutoPost 1291"/>
    <s v="GBP"/>
    <n v="-1991.48"/>
    <x v="2"/>
    <n v="103"/>
    <n v="-205122.44"/>
  </r>
  <r>
    <s v="GL001292"/>
    <x v="568"/>
    <s v="5000"/>
    <x v="1"/>
    <n v="637.88"/>
    <n v="52306.159999999996"/>
    <n v="0"/>
    <n v="0"/>
    <x v="0"/>
    <x v="1"/>
    <s v="AutoPost 1292"/>
    <s v="USD"/>
    <n v="-637.88"/>
    <x v="1"/>
    <n v="82"/>
    <n v="-52306.159999999996"/>
  </r>
  <r>
    <s v="GL001293"/>
    <x v="656"/>
    <s v="4000"/>
    <x v="0"/>
    <n v="0"/>
    <n v="0"/>
    <n v="175.56"/>
    <n v="10709.16"/>
    <x v="0"/>
    <x v="3"/>
    <s v="AutoPost 1293"/>
    <s v="CAD"/>
    <n v="175.56"/>
    <x v="0"/>
    <n v="61"/>
    <n v="10709.16"/>
  </r>
  <r>
    <s v="GL001294"/>
    <x v="364"/>
    <s v="6000"/>
    <x v="2"/>
    <n v="282.05"/>
    <n v="15794.800000000001"/>
    <n v="0"/>
    <n v="0"/>
    <x v="0"/>
    <x v="0"/>
    <s v="AutoPost 1294"/>
    <s v="AUD"/>
    <n v="-282.05"/>
    <x v="2"/>
    <n v="56"/>
    <n v="-15794.800000000001"/>
  </r>
  <r>
    <s v="GL001295"/>
    <x v="429"/>
    <s v="6000"/>
    <x v="2"/>
    <n v="1993.37"/>
    <n v="205317.11"/>
    <n v="0"/>
    <n v="0"/>
    <x v="3"/>
    <x v="1"/>
    <s v="AutoPost 1295"/>
    <s v="GBP"/>
    <n v="-1993.37"/>
    <x v="2"/>
    <n v="103"/>
    <n v="-205317.11"/>
  </r>
  <r>
    <s v="GL001296"/>
    <x v="689"/>
    <s v="6000"/>
    <x v="2"/>
    <n v="294.74"/>
    <n v="16505.440000000002"/>
    <n v="0"/>
    <n v="0"/>
    <x v="0"/>
    <x v="3"/>
    <s v="AutoPost 1296"/>
    <s v="AUD"/>
    <n v="-294.74"/>
    <x v="2"/>
    <n v="56"/>
    <n v="-16505.440000000002"/>
  </r>
  <r>
    <s v="GL001297"/>
    <x v="153"/>
    <s v="4000"/>
    <x v="0"/>
    <n v="0"/>
    <n v="0"/>
    <n v="763.55"/>
    <n v="67192.399999999994"/>
    <x v="1"/>
    <x v="0"/>
    <s v="AutoPost 1297"/>
    <s v="EUR"/>
    <n v="763.55"/>
    <x v="0"/>
    <n v="88"/>
    <n v="67192.399999999994"/>
  </r>
  <r>
    <s v="GL001298"/>
    <x v="438"/>
    <s v="4010"/>
    <x v="4"/>
    <n v="0"/>
    <n v="0"/>
    <n v="2502.91"/>
    <n v="257799.72999999998"/>
    <x v="4"/>
    <x v="3"/>
    <s v="AutoPost 1298"/>
    <s v="GBP"/>
    <n v="2502.91"/>
    <x v="0"/>
    <n v="103"/>
    <n v="257799.72999999998"/>
  </r>
  <r>
    <s v="GL001299"/>
    <x v="690"/>
    <s v="5010"/>
    <x v="3"/>
    <n v="468.89"/>
    <n v="26257.84"/>
    <n v="0"/>
    <n v="0"/>
    <x v="4"/>
    <x v="1"/>
    <s v="AutoPost 1299"/>
    <s v="AUD"/>
    <n v="-468.89"/>
    <x v="2"/>
    <n v="56"/>
    <n v="-26257.84"/>
  </r>
  <r>
    <s v="GL001300"/>
    <x v="98"/>
    <s v="6000"/>
    <x v="2"/>
    <n v="810.8"/>
    <n v="83512.399999999994"/>
    <n v="0"/>
    <n v="0"/>
    <x v="3"/>
    <x v="4"/>
    <s v="AutoPost 1300"/>
    <s v="GBP"/>
    <n v="-810.8"/>
    <x v="2"/>
    <n v="103"/>
    <n v="-83512.399999999994"/>
  </r>
  <r>
    <s v="GL001301"/>
    <x v="224"/>
    <s v="5000"/>
    <x v="1"/>
    <n v="1345.83"/>
    <n v="138620.49"/>
    <n v="0"/>
    <n v="0"/>
    <x v="2"/>
    <x v="1"/>
    <s v="AutoPost 1301"/>
    <s v="GBP"/>
    <n v="-1345.83"/>
    <x v="1"/>
    <n v="103"/>
    <n v="-138620.49"/>
  </r>
  <r>
    <s v="GL001302"/>
    <x v="255"/>
    <s v="4000"/>
    <x v="0"/>
    <n v="0"/>
    <n v="0"/>
    <n v="4443.21"/>
    <n v="248819.76"/>
    <x v="0"/>
    <x v="0"/>
    <s v="AutoPost 1302"/>
    <s v="AUD"/>
    <n v="4443.21"/>
    <x v="0"/>
    <n v="56"/>
    <n v="248819.76"/>
  </r>
  <r>
    <s v="GL001303"/>
    <x v="691"/>
    <s v="5010"/>
    <x v="3"/>
    <n v="780.61"/>
    <n v="43714.16"/>
    <n v="0"/>
    <n v="0"/>
    <x v="0"/>
    <x v="2"/>
    <s v="AutoPost 1303"/>
    <s v="AUD"/>
    <n v="-780.61"/>
    <x v="2"/>
    <n v="56"/>
    <n v="-43714.16"/>
  </r>
  <r>
    <s v="GL001304"/>
    <x v="692"/>
    <s v="4010"/>
    <x v="4"/>
    <n v="0"/>
    <n v="0"/>
    <n v="2988.59"/>
    <n v="307824.77"/>
    <x v="2"/>
    <x v="1"/>
    <s v="AutoPost 1304"/>
    <s v="GBP"/>
    <n v="2988.59"/>
    <x v="0"/>
    <n v="103"/>
    <n v="307824.77"/>
  </r>
  <r>
    <s v="GL001305"/>
    <x v="693"/>
    <s v="5010"/>
    <x v="3"/>
    <n v="1463.55"/>
    <n v="89276.55"/>
    <n v="0"/>
    <n v="0"/>
    <x v="3"/>
    <x v="0"/>
    <s v="AutoPost 1305"/>
    <s v="CAD"/>
    <n v="-1463.55"/>
    <x v="2"/>
    <n v="61"/>
    <n v="-89276.55"/>
  </r>
  <r>
    <s v="GL001306"/>
    <x v="694"/>
    <s v="4010"/>
    <x v="4"/>
    <n v="0"/>
    <n v="0"/>
    <n v="790.68"/>
    <n v="81440.039999999994"/>
    <x v="1"/>
    <x v="0"/>
    <s v="AutoPost 1306"/>
    <s v="GBP"/>
    <n v="790.68"/>
    <x v="0"/>
    <n v="103"/>
    <n v="81440.039999999994"/>
  </r>
  <r>
    <s v="GL001307"/>
    <x v="695"/>
    <s v="4000"/>
    <x v="0"/>
    <n v="0"/>
    <n v="0"/>
    <n v="3083.05"/>
    <n v="271308.40000000002"/>
    <x v="0"/>
    <x v="1"/>
    <s v="AutoPost 1307"/>
    <s v="EUR"/>
    <n v="3083.05"/>
    <x v="0"/>
    <n v="88"/>
    <n v="271308.40000000002"/>
  </r>
  <r>
    <s v="GL001308"/>
    <x v="277"/>
    <s v="5010"/>
    <x v="3"/>
    <n v="473.43"/>
    <n v="26512.080000000002"/>
    <n v="0"/>
    <n v="0"/>
    <x v="0"/>
    <x v="3"/>
    <s v="AutoPost 1308"/>
    <s v="AUD"/>
    <n v="-473.43"/>
    <x v="2"/>
    <n v="56"/>
    <n v="-26512.080000000002"/>
  </r>
  <r>
    <s v="GL001309"/>
    <x v="696"/>
    <s v="4010"/>
    <x v="4"/>
    <n v="0"/>
    <n v="0"/>
    <n v="4614.12"/>
    <n v="406042.56"/>
    <x v="3"/>
    <x v="1"/>
    <s v="AutoPost 1309"/>
    <s v="EUR"/>
    <n v="4614.12"/>
    <x v="0"/>
    <n v="88"/>
    <n v="406042.56"/>
  </r>
  <r>
    <s v="GL001310"/>
    <x v="93"/>
    <s v="5010"/>
    <x v="3"/>
    <n v="1506.71"/>
    <n v="91909.31"/>
    <n v="0"/>
    <n v="0"/>
    <x v="2"/>
    <x v="1"/>
    <s v="AutoPost 1310"/>
    <s v="CAD"/>
    <n v="-1506.71"/>
    <x v="2"/>
    <n v="61"/>
    <n v="-91909.31"/>
  </r>
  <r>
    <s v="GL001311"/>
    <x v="155"/>
    <s v="6000"/>
    <x v="2"/>
    <n v="874.3"/>
    <n v="90052.9"/>
    <n v="0"/>
    <n v="0"/>
    <x v="0"/>
    <x v="1"/>
    <s v="AutoPost 1311"/>
    <s v="GBP"/>
    <n v="-874.3"/>
    <x v="2"/>
    <n v="103"/>
    <n v="-90052.9"/>
  </r>
  <r>
    <s v="GL001312"/>
    <x v="697"/>
    <s v="5010"/>
    <x v="3"/>
    <n v="770.81"/>
    <n v="63206.42"/>
    <n v="0"/>
    <n v="0"/>
    <x v="2"/>
    <x v="4"/>
    <s v="AutoPost 1312"/>
    <s v="USD"/>
    <n v="-770.81"/>
    <x v="2"/>
    <n v="82"/>
    <n v="-63206.42"/>
  </r>
  <r>
    <s v="GL001313"/>
    <x v="205"/>
    <s v="5000"/>
    <x v="1"/>
    <n v="916.64"/>
    <n v="51331.839999999997"/>
    <n v="0"/>
    <n v="0"/>
    <x v="2"/>
    <x v="0"/>
    <s v="AutoPost 1313"/>
    <s v="AUD"/>
    <n v="-916.64"/>
    <x v="1"/>
    <n v="56"/>
    <n v="-51331.839999999997"/>
  </r>
  <r>
    <s v="GL001314"/>
    <x v="698"/>
    <s v="5000"/>
    <x v="1"/>
    <n v="1378.77"/>
    <n v="77211.12"/>
    <n v="0"/>
    <n v="0"/>
    <x v="4"/>
    <x v="0"/>
    <s v="AutoPost 1314"/>
    <s v="AUD"/>
    <n v="-1378.77"/>
    <x v="1"/>
    <n v="56"/>
    <n v="-77211.12"/>
  </r>
  <r>
    <s v="GL001315"/>
    <x v="649"/>
    <s v="5010"/>
    <x v="3"/>
    <n v="1403.4"/>
    <n v="78590.400000000009"/>
    <n v="0"/>
    <n v="0"/>
    <x v="3"/>
    <x v="1"/>
    <s v="AutoPost 1315"/>
    <s v="AUD"/>
    <n v="-1403.4"/>
    <x v="2"/>
    <n v="56"/>
    <n v="-78590.400000000009"/>
  </r>
  <r>
    <s v="GL001316"/>
    <x v="598"/>
    <s v="5000"/>
    <x v="1"/>
    <n v="710.78"/>
    <n v="43357.58"/>
    <n v="0"/>
    <n v="0"/>
    <x v="4"/>
    <x v="0"/>
    <s v="AutoPost 1316"/>
    <s v="CAD"/>
    <n v="-710.78"/>
    <x v="1"/>
    <n v="61"/>
    <n v="-43357.58"/>
  </r>
  <r>
    <s v="GL001317"/>
    <x v="544"/>
    <s v="4010"/>
    <x v="4"/>
    <n v="0"/>
    <n v="0"/>
    <n v="2077.61"/>
    <n v="170364.02000000002"/>
    <x v="0"/>
    <x v="1"/>
    <s v="AutoPost 1317"/>
    <s v="USD"/>
    <n v="2077.61"/>
    <x v="0"/>
    <n v="82"/>
    <n v="170364.02000000002"/>
  </r>
  <r>
    <s v="GL001318"/>
    <x v="699"/>
    <s v="4000"/>
    <x v="0"/>
    <n v="0"/>
    <n v="0"/>
    <n v="2075.2600000000002"/>
    <n v="170171.32"/>
    <x v="1"/>
    <x v="0"/>
    <s v="AutoPost 1318"/>
    <s v="USD"/>
    <n v="2075.2600000000002"/>
    <x v="0"/>
    <n v="82"/>
    <n v="170171.32"/>
  </r>
  <r>
    <s v="GL001319"/>
    <x v="700"/>
    <s v="5000"/>
    <x v="1"/>
    <n v="955.82"/>
    <n v="98449.46"/>
    <n v="0"/>
    <n v="0"/>
    <x v="2"/>
    <x v="2"/>
    <s v="AutoPost 1319"/>
    <s v="GBP"/>
    <n v="-955.82"/>
    <x v="1"/>
    <n v="103"/>
    <n v="-98449.46"/>
  </r>
  <r>
    <s v="GL001320"/>
    <x v="212"/>
    <s v="5000"/>
    <x v="1"/>
    <n v="1924.14"/>
    <n v="117372.54000000001"/>
    <n v="0"/>
    <n v="0"/>
    <x v="3"/>
    <x v="4"/>
    <s v="AutoPost 1320"/>
    <s v="CAD"/>
    <n v="-1924.14"/>
    <x v="1"/>
    <n v="61"/>
    <n v="-117372.54000000001"/>
  </r>
  <r>
    <s v="GL001321"/>
    <x v="701"/>
    <s v="4010"/>
    <x v="4"/>
    <n v="0"/>
    <n v="0"/>
    <n v="4238.9799999999996"/>
    <n v="373030.24"/>
    <x v="5"/>
    <x v="0"/>
    <s v="AutoPost 1321"/>
    <s v="EUR"/>
    <n v="4238.9799999999996"/>
    <x v="0"/>
    <n v="88"/>
    <n v="373030.24"/>
  </r>
  <r>
    <s v="GL001322"/>
    <x v="194"/>
    <s v="5010"/>
    <x v="3"/>
    <n v="1471.95"/>
    <n v="151610.85"/>
    <n v="0"/>
    <n v="0"/>
    <x v="1"/>
    <x v="2"/>
    <s v="AutoPost 1322"/>
    <s v="GBP"/>
    <n v="-1471.95"/>
    <x v="2"/>
    <n v="103"/>
    <n v="-151610.85"/>
  </r>
  <r>
    <s v="GL001323"/>
    <x v="67"/>
    <s v="4010"/>
    <x v="4"/>
    <n v="0"/>
    <n v="0"/>
    <n v="1269.44"/>
    <n v="71088.639999999999"/>
    <x v="0"/>
    <x v="3"/>
    <s v="AutoPost 1323"/>
    <s v="AUD"/>
    <n v="1269.44"/>
    <x v="0"/>
    <n v="56"/>
    <n v="71088.639999999999"/>
  </r>
  <r>
    <s v="GL001324"/>
    <x v="702"/>
    <s v="5000"/>
    <x v="1"/>
    <n v="97.3"/>
    <n v="5448.8"/>
    <n v="0"/>
    <n v="0"/>
    <x v="5"/>
    <x v="0"/>
    <s v="AutoPost 1324"/>
    <s v="AUD"/>
    <n v="-97.3"/>
    <x v="1"/>
    <n v="56"/>
    <n v="-5448.8"/>
  </r>
  <r>
    <s v="GL001325"/>
    <x v="703"/>
    <s v="6000"/>
    <x v="2"/>
    <n v="557.66"/>
    <n v="45728.119999999995"/>
    <n v="0"/>
    <n v="0"/>
    <x v="5"/>
    <x v="0"/>
    <s v="AutoPost 1325"/>
    <s v="USD"/>
    <n v="-557.66"/>
    <x v="2"/>
    <n v="82"/>
    <n v="-45728.119999999995"/>
  </r>
  <r>
    <s v="GL001326"/>
    <x v="704"/>
    <s v="5010"/>
    <x v="3"/>
    <n v="1380.55"/>
    <n v="77310.8"/>
    <n v="0"/>
    <n v="0"/>
    <x v="1"/>
    <x v="2"/>
    <s v="AutoPost 1326"/>
    <s v="AUD"/>
    <n v="-1380.55"/>
    <x v="2"/>
    <n v="56"/>
    <n v="-77310.8"/>
  </r>
  <r>
    <s v="GL001327"/>
    <x v="495"/>
    <s v="5000"/>
    <x v="1"/>
    <n v="606.16"/>
    <n v="33944.959999999999"/>
    <n v="0"/>
    <n v="0"/>
    <x v="1"/>
    <x v="3"/>
    <s v="AutoPost 1327"/>
    <s v="AUD"/>
    <n v="-606.16"/>
    <x v="1"/>
    <n v="56"/>
    <n v="-33944.959999999999"/>
  </r>
  <r>
    <s v="GL001328"/>
    <x v="480"/>
    <s v="6000"/>
    <x v="2"/>
    <n v="1885.28"/>
    <n v="115002.08"/>
    <n v="0"/>
    <n v="0"/>
    <x v="3"/>
    <x v="1"/>
    <s v="AutoPost 1328"/>
    <s v="CAD"/>
    <n v="-1885.28"/>
    <x v="2"/>
    <n v="61"/>
    <n v="-115002.08"/>
  </r>
  <r>
    <s v="GL001329"/>
    <x v="705"/>
    <s v="5010"/>
    <x v="3"/>
    <n v="1731.77"/>
    <n v="105637.97"/>
    <n v="0"/>
    <n v="0"/>
    <x v="3"/>
    <x v="2"/>
    <s v="AutoPost 1329"/>
    <s v="CAD"/>
    <n v="-1731.77"/>
    <x v="2"/>
    <n v="61"/>
    <n v="-105637.97"/>
  </r>
  <r>
    <s v="GL001330"/>
    <x v="168"/>
    <s v="5000"/>
    <x v="1"/>
    <n v="394.02"/>
    <n v="40584.06"/>
    <n v="0"/>
    <n v="0"/>
    <x v="1"/>
    <x v="0"/>
    <s v="AutoPost 1330"/>
    <s v="GBP"/>
    <n v="-394.02"/>
    <x v="1"/>
    <n v="103"/>
    <n v="-40584.06"/>
  </r>
  <r>
    <s v="GL001331"/>
    <x v="30"/>
    <s v="4000"/>
    <x v="0"/>
    <n v="0"/>
    <n v="0"/>
    <n v="687.07"/>
    <n v="41911.270000000004"/>
    <x v="1"/>
    <x v="1"/>
    <s v="AutoPost 1331"/>
    <s v="CAD"/>
    <n v="687.07"/>
    <x v="0"/>
    <n v="61"/>
    <n v="41911.270000000004"/>
  </r>
  <r>
    <s v="GL001332"/>
    <x v="422"/>
    <s v="4010"/>
    <x v="4"/>
    <n v="0"/>
    <n v="0"/>
    <n v="4603.0200000000004"/>
    <n v="474111.06000000006"/>
    <x v="3"/>
    <x v="1"/>
    <s v="AutoPost 1332"/>
    <s v="GBP"/>
    <n v="4603.0200000000004"/>
    <x v="0"/>
    <n v="103"/>
    <n v="474111.06000000006"/>
  </r>
  <r>
    <s v="GL001333"/>
    <x v="129"/>
    <s v="6000"/>
    <x v="2"/>
    <n v="675.05"/>
    <n v="55354.1"/>
    <n v="0"/>
    <n v="0"/>
    <x v="3"/>
    <x v="2"/>
    <s v="AutoPost 1333"/>
    <s v="USD"/>
    <n v="-675.05"/>
    <x v="2"/>
    <n v="82"/>
    <n v="-55354.1"/>
  </r>
  <r>
    <s v="GL001334"/>
    <x v="706"/>
    <s v="5000"/>
    <x v="1"/>
    <n v="1487.83"/>
    <n v="83318.48"/>
    <n v="0"/>
    <n v="0"/>
    <x v="2"/>
    <x v="3"/>
    <s v="AutoPost 1334"/>
    <s v="AUD"/>
    <n v="-1487.83"/>
    <x v="1"/>
    <n v="56"/>
    <n v="-83318.48"/>
  </r>
  <r>
    <s v="GL001335"/>
    <x v="707"/>
    <s v="6000"/>
    <x v="2"/>
    <n v="792.43"/>
    <n v="81620.289999999994"/>
    <n v="0"/>
    <n v="0"/>
    <x v="4"/>
    <x v="1"/>
    <s v="AutoPost 1335"/>
    <s v="GBP"/>
    <n v="-792.43"/>
    <x v="2"/>
    <n v="103"/>
    <n v="-81620.289999999994"/>
  </r>
  <r>
    <s v="GL001336"/>
    <x v="708"/>
    <s v="4000"/>
    <x v="0"/>
    <n v="0"/>
    <n v="0"/>
    <n v="1819.9"/>
    <n v="187449.7"/>
    <x v="1"/>
    <x v="3"/>
    <s v="AutoPost 1336"/>
    <s v="GBP"/>
    <n v="1819.9"/>
    <x v="0"/>
    <n v="103"/>
    <n v="187449.7"/>
  </r>
  <r>
    <s v="GL001337"/>
    <x v="450"/>
    <s v="5000"/>
    <x v="1"/>
    <n v="1966.73"/>
    <n v="202573.19"/>
    <n v="0"/>
    <n v="0"/>
    <x v="2"/>
    <x v="1"/>
    <s v="AutoPost 1337"/>
    <s v="GBP"/>
    <n v="-1966.73"/>
    <x v="1"/>
    <n v="103"/>
    <n v="-202573.19"/>
  </r>
  <r>
    <s v="GL001338"/>
    <x v="333"/>
    <s v="4010"/>
    <x v="4"/>
    <n v="0"/>
    <n v="0"/>
    <n v="1355.21"/>
    <n v="82667.81"/>
    <x v="5"/>
    <x v="4"/>
    <s v="AutoPost 1338"/>
    <s v="CAD"/>
    <n v="1355.21"/>
    <x v="0"/>
    <n v="61"/>
    <n v="82667.81"/>
  </r>
  <r>
    <s v="GL001339"/>
    <x v="593"/>
    <s v="4010"/>
    <x v="4"/>
    <n v="0"/>
    <n v="0"/>
    <n v="4992.45"/>
    <n v="304539.45"/>
    <x v="1"/>
    <x v="0"/>
    <s v="AutoPost 1339"/>
    <s v="CAD"/>
    <n v="4992.45"/>
    <x v="0"/>
    <n v="61"/>
    <n v="304539.45"/>
  </r>
  <r>
    <s v="GL001340"/>
    <x v="50"/>
    <s v="5000"/>
    <x v="1"/>
    <n v="1949.81"/>
    <n v="171583.28"/>
    <n v="0"/>
    <n v="0"/>
    <x v="1"/>
    <x v="3"/>
    <s v="AutoPost 1340"/>
    <s v="EUR"/>
    <n v="-1949.81"/>
    <x v="1"/>
    <n v="88"/>
    <n v="-171583.28"/>
  </r>
  <r>
    <s v="GL001341"/>
    <x v="87"/>
    <s v="5010"/>
    <x v="3"/>
    <n v="733.3"/>
    <n v="64530.399999999994"/>
    <n v="0"/>
    <n v="0"/>
    <x v="1"/>
    <x v="1"/>
    <s v="AutoPost 1341"/>
    <s v="EUR"/>
    <n v="-733.3"/>
    <x v="2"/>
    <n v="88"/>
    <n v="-64530.399999999994"/>
  </r>
  <r>
    <s v="GL001342"/>
    <x v="148"/>
    <s v="5000"/>
    <x v="1"/>
    <n v="1405.39"/>
    <n v="115241.98000000001"/>
    <n v="0"/>
    <n v="0"/>
    <x v="0"/>
    <x v="0"/>
    <s v="AutoPost 1342"/>
    <s v="USD"/>
    <n v="-1405.39"/>
    <x v="1"/>
    <n v="82"/>
    <n v="-115241.98000000001"/>
  </r>
  <r>
    <s v="GL001343"/>
    <x v="677"/>
    <s v="4000"/>
    <x v="0"/>
    <n v="0"/>
    <n v="0"/>
    <n v="599.19000000000005"/>
    <n v="52728.72"/>
    <x v="0"/>
    <x v="4"/>
    <s v="AutoPost 1343"/>
    <s v="EUR"/>
    <n v="599.19000000000005"/>
    <x v="0"/>
    <n v="88"/>
    <n v="52728.72"/>
  </r>
  <r>
    <s v="GL001344"/>
    <x v="217"/>
    <s v="4010"/>
    <x v="4"/>
    <n v="0"/>
    <n v="0"/>
    <n v="872.03"/>
    <n v="89819.09"/>
    <x v="5"/>
    <x v="2"/>
    <s v="AutoPost 1344"/>
    <s v="GBP"/>
    <n v="872.03"/>
    <x v="0"/>
    <n v="103"/>
    <n v="89819.09"/>
  </r>
  <r>
    <s v="GL001345"/>
    <x v="472"/>
    <s v="4000"/>
    <x v="0"/>
    <n v="0"/>
    <n v="0"/>
    <n v="3873.21"/>
    <n v="216899.76"/>
    <x v="2"/>
    <x v="2"/>
    <s v="AutoPost 1345"/>
    <s v="AUD"/>
    <n v="3873.21"/>
    <x v="0"/>
    <n v="56"/>
    <n v="216899.76"/>
  </r>
  <r>
    <s v="GL001346"/>
    <x v="253"/>
    <s v="5010"/>
    <x v="3"/>
    <n v="122.84"/>
    <n v="10072.880000000001"/>
    <n v="0"/>
    <n v="0"/>
    <x v="2"/>
    <x v="4"/>
    <s v="AutoPost 1346"/>
    <s v="USD"/>
    <n v="-122.84"/>
    <x v="2"/>
    <n v="82"/>
    <n v="-10072.880000000001"/>
  </r>
  <r>
    <s v="GL001347"/>
    <x v="709"/>
    <s v="4010"/>
    <x v="4"/>
    <n v="0"/>
    <n v="0"/>
    <n v="1039.28"/>
    <n v="91456.639999999999"/>
    <x v="5"/>
    <x v="4"/>
    <s v="AutoPost 1347"/>
    <s v="EUR"/>
    <n v="1039.28"/>
    <x v="0"/>
    <n v="88"/>
    <n v="91456.639999999999"/>
  </r>
  <r>
    <s v="GL001348"/>
    <x v="710"/>
    <s v="4010"/>
    <x v="4"/>
    <n v="0"/>
    <n v="0"/>
    <n v="1214.51"/>
    <n v="125094.53"/>
    <x v="3"/>
    <x v="4"/>
    <s v="AutoPost 1348"/>
    <s v="GBP"/>
    <n v="1214.51"/>
    <x v="0"/>
    <n v="103"/>
    <n v="125094.53"/>
  </r>
  <r>
    <s v="GL001349"/>
    <x v="711"/>
    <s v="5010"/>
    <x v="3"/>
    <n v="1318.81"/>
    <n v="73853.36"/>
    <n v="0"/>
    <n v="0"/>
    <x v="3"/>
    <x v="2"/>
    <s v="AutoPost 1349"/>
    <s v="AUD"/>
    <n v="-1318.81"/>
    <x v="2"/>
    <n v="56"/>
    <n v="-73853.36"/>
  </r>
  <r>
    <s v="GL001350"/>
    <x v="584"/>
    <s v="4010"/>
    <x v="4"/>
    <n v="0"/>
    <n v="0"/>
    <n v="3395.3"/>
    <n v="349715.9"/>
    <x v="1"/>
    <x v="1"/>
    <s v="AutoPost 1350"/>
    <s v="GBP"/>
    <n v="3395.3"/>
    <x v="0"/>
    <n v="103"/>
    <n v="349715.9"/>
  </r>
  <r>
    <s v="GL001351"/>
    <x v="712"/>
    <s v="6000"/>
    <x v="2"/>
    <n v="1554.18"/>
    <n v="87034.08"/>
    <n v="0"/>
    <n v="0"/>
    <x v="5"/>
    <x v="1"/>
    <s v="AutoPost 1351"/>
    <s v="AUD"/>
    <n v="-1554.18"/>
    <x v="2"/>
    <n v="56"/>
    <n v="-87034.08"/>
  </r>
  <r>
    <s v="GL001352"/>
    <x v="713"/>
    <s v="4000"/>
    <x v="0"/>
    <n v="0"/>
    <n v="0"/>
    <n v="4613.7"/>
    <n v="378323.39999999997"/>
    <x v="0"/>
    <x v="1"/>
    <s v="AutoPost 1352"/>
    <s v="USD"/>
    <n v="4613.7"/>
    <x v="0"/>
    <n v="82"/>
    <n v="378323.39999999997"/>
  </r>
  <r>
    <s v="GL001353"/>
    <x v="173"/>
    <s v="5010"/>
    <x v="3"/>
    <n v="803.03"/>
    <n v="48984.83"/>
    <n v="0"/>
    <n v="0"/>
    <x v="4"/>
    <x v="3"/>
    <s v="AutoPost 1353"/>
    <s v="CAD"/>
    <n v="-803.03"/>
    <x v="2"/>
    <n v="61"/>
    <n v="-48984.83"/>
  </r>
  <r>
    <s v="GL001354"/>
    <x v="432"/>
    <s v="5010"/>
    <x v="3"/>
    <n v="1564.19"/>
    <n v="95415.59"/>
    <n v="0"/>
    <n v="0"/>
    <x v="0"/>
    <x v="3"/>
    <s v="AutoPost 1354"/>
    <s v="CAD"/>
    <n v="-1564.19"/>
    <x v="2"/>
    <n v="61"/>
    <n v="-95415.59"/>
  </r>
  <r>
    <s v="GL001355"/>
    <x v="377"/>
    <s v="6000"/>
    <x v="2"/>
    <n v="1942.89"/>
    <n v="159316.98000000001"/>
    <n v="0"/>
    <n v="0"/>
    <x v="0"/>
    <x v="4"/>
    <s v="AutoPost 1355"/>
    <s v="USD"/>
    <n v="-1942.89"/>
    <x v="2"/>
    <n v="82"/>
    <n v="-159316.98000000001"/>
  </r>
  <r>
    <s v="GL001356"/>
    <x v="510"/>
    <s v="4000"/>
    <x v="0"/>
    <n v="0"/>
    <n v="0"/>
    <n v="4122.6000000000004"/>
    <n v="424627.80000000005"/>
    <x v="2"/>
    <x v="3"/>
    <s v="AutoPost 1356"/>
    <s v="GBP"/>
    <n v="4122.6000000000004"/>
    <x v="0"/>
    <n v="103"/>
    <n v="424627.80000000005"/>
  </r>
  <r>
    <s v="GL001357"/>
    <x v="94"/>
    <s v="4010"/>
    <x v="4"/>
    <n v="0"/>
    <n v="0"/>
    <n v="3139.71"/>
    <n v="276294.48"/>
    <x v="2"/>
    <x v="4"/>
    <s v="AutoPost 1357"/>
    <s v="EUR"/>
    <n v="3139.71"/>
    <x v="0"/>
    <n v="88"/>
    <n v="276294.48"/>
  </r>
  <r>
    <s v="GL001358"/>
    <x v="325"/>
    <s v="5010"/>
    <x v="3"/>
    <n v="168.07"/>
    <n v="10252.27"/>
    <n v="0"/>
    <n v="0"/>
    <x v="1"/>
    <x v="0"/>
    <s v="AutoPost 1358"/>
    <s v="CAD"/>
    <n v="-168.07"/>
    <x v="2"/>
    <n v="61"/>
    <n v="-10252.27"/>
  </r>
  <r>
    <s v="GL001359"/>
    <x v="714"/>
    <s v="4000"/>
    <x v="0"/>
    <n v="0"/>
    <n v="0"/>
    <n v="2067.23"/>
    <n v="212924.69"/>
    <x v="2"/>
    <x v="3"/>
    <s v="AutoPost 1359"/>
    <s v="GBP"/>
    <n v="2067.23"/>
    <x v="0"/>
    <n v="103"/>
    <n v="212924.69"/>
  </r>
  <r>
    <s v="GL001360"/>
    <x v="715"/>
    <s v="5010"/>
    <x v="3"/>
    <n v="364.93"/>
    <n v="29924.260000000002"/>
    <n v="0"/>
    <n v="0"/>
    <x v="5"/>
    <x v="3"/>
    <s v="AutoPost 1360"/>
    <s v="USD"/>
    <n v="-364.93"/>
    <x v="2"/>
    <n v="82"/>
    <n v="-29924.260000000002"/>
  </r>
  <r>
    <s v="GL001361"/>
    <x v="248"/>
    <s v="5000"/>
    <x v="1"/>
    <n v="488.16"/>
    <n v="50280.480000000003"/>
    <n v="0"/>
    <n v="0"/>
    <x v="3"/>
    <x v="0"/>
    <s v="AutoPost 1361"/>
    <s v="GBP"/>
    <n v="-488.16"/>
    <x v="1"/>
    <n v="103"/>
    <n v="-50280.480000000003"/>
  </r>
  <r>
    <s v="GL001362"/>
    <x v="620"/>
    <s v="5000"/>
    <x v="1"/>
    <n v="506.43"/>
    <n v="41527.26"/>
    <n v="0"/>
    <n v="0"/>
    <x v="5"/>
    <x v="4"/>
    <s v="AutoPost 1362"/>
    <s v="USD"/>
    <n v="-506.43"/>
    <x v="1"/>
    <n v="82"/>
    <n v="-41527.26"/>
  </r>
  <r>
    <s v="GL001363"/>
    <x v="545"/>
    <s v="5000"/>
    <x v="1"/>
    <n v="517.6"/>
    <n v="45548.800000000003"/>
    <n v="0"/>
    <n v="0"/>
    <x v="1"/>
    <x v="2"/>
    <s v="AutoPost 1363"/>
    <s v="EUR"/>
    <n v="-517.6"/>
    <x v="1"/>
    <n v="88"/>
    <n v="-45548.800000000003"/>
  </r>
  <r>
    <s v="GL001364"/>
    <x v="56"/>
    <s v="6000"/>
    <x v="2"/>
    <n v="846.47"/>
    <n v="47402.32"/>
    <n v="0"/>
    <n v="0"/>
    <x v="2"/>
    <x v="3"/>
    <s v="AutoPost 1364"/>
    <s v="AUD"/>
    <n v="-846.47"/>
    <x v="2"/>
    <n v="56"/>
    <n v="-47402.32"/>
  </r>
  <r>
    <s v="GL001365"/>
    <x v="23"/>
    <s v="4010"/>
    <x v="4"/>
    <n v="0"/>
    <n v="0"/>
    <n v="998.83"/>
    <n v="81904.06"/>
    <x v="5"/>
    <x v="4"/>
    <s v="AutoPost 1365"/>
    <s v="USD"/>
    <n v="998.83"/>
    <x v="0"/>
    <n v="82"/>
    <n v="81904.06"/>
  </r>
  <r>
    <s v="GL001366"/>
    <x v="259"/>
    <s v="5010"/>
    <x v="3"/>
    <n v="714.9"/>
    <n v="73634.7"/>
    <n v="0"/>
    <n v="0"/>
    <x v="0"/>
    <x v="0"/>
    <s v="AutoPost 1366"/>
    <s v="GBP"/>
    <n v="-714.9"/>
    <x v="2"/>
    <n v="103"/>
    <n v="-73634.7"/>
  </r>
  <r>
    <s v="GL001367"/>
    <x v="371"/>
    <s v="4010"/>
    <x v="4"/>
    <n v="0"/>
    <n v="0"/>
    <n v="1049.58"/>
    <n v="58776.479999999996"/>
    <x v="2"/>
    <x v="0"/>
    <s v="AutoPost 1367"/>
    <s v="AUD"/>
    <n v="1049.58"/>
    <x v="0"/>
    <n v="56"/>
    <n v="58776.479999999996"/>
  </r>
  <r>
    <s v="GL001368"/>
    <x v="155"/>
    <s v="5010"/>
    <x v="3"/>
    <n v="1962.1"/>
    <n v="160892.19999999998"/>
    <n v="0"/>
    <n v="0"/>
    <x v="0"/>
    <x v="4"/>
    <s v="AutoPost 1368"/>
    <s v="USD"/>
    <n v="-1962.1"/>
    <x v="2"/>
    <n v="82"/>
    <n v="-160892.19999999998"/>
  </r>
  <r>
    <s v="GL001369"/>
    <x v="582"/>
    <s v="5000"/>
    <x v="1"/>
    <n v="773.23"/>
    <n v="47167.03"/>
    <n v="0"/>
    <n v="0"/>
    <x v="5"/>
    <x v="1"/>
    <s v="AutoPost 1369"/>
    <s v="CAD"/>
    <n v="-773.23"/>
    <x v="1"/>
    <n v="61"/>
    <n v="-47167.03"/>
  </r>
  <r>
    <s v="GL001370"/>
    <x v="238"/>
    <s v="5010"/>
    <x v="3"/>
    <n v="485.53"/>
    <n v="50009.59"/>
    <n v="0"/>
    <n v="0"/>
    <x v="3"/>
    <x v="0"/>
    <s v="AutoPost 1370"/>
    <s v="GBP"/>
    <n v="-485.53"/>
    <x v="2"/>
    <n v="103"/>
    <n v="-50009.59"/>
  </r>
  <r>
    <s v="GL001371"/>
    <x v="631"/>
    <s v="4010"/>
    <x v="4"/>
    <n v="0"/>
    <n v="0"/>
    <n v="586.21"/>
    <n v="51586.48"/>
    <x v="3"/>
    <x v="2"/>
    <s v="AutoPost 1371"/>
    <s v="EUR"/>
    <n v="586.21"/>
    <x v="0"/>
    <n v="88"/>
    <n v="51586.48"/>
  </r>
  <r>
    <s v="GL001372"/>
    <x v="716"/>
    <s v="4000"/>
    <x v="0"/>
    <n v="0"/>
    <n v="0"/>
    <n v="1624.21"/>
    <n v="167293.63"/>
    <x v="3"/>
    <x v="3"/>
    <s v="AutoPost 1372"/>
    <s v="GBP"/>
    <n v="1624.21"/>
    <x v="0"/>
    <n v="103"/>
    <n v="167293.63"/>
  </r>
  <r>
    <s v="GL001373"/>
    <x v="717"/>
    <s v="5010"/>
    <x v="3"/>
    <n v="680.82"/>
    <n v="55827.240000000005"/>
    <n v="0"/>
    <n v="0"/>
    <x v="5"/>
    <x v="4"/>
    <s v="AutoPost 1373"/>
    <s v="USD"/>
    <n v="-680.82"/>
    <x v="2"/>
    <n v="82"/>
    <n v="-55827.240000000005"/>
  </r>
  <r>
    <s v="GL001374"/>
    <x v="427"/>
    <s v="6000"/>
    <x v="2"/>
    <n v="167.34"/>
    <n v="13721.880000000001"/>
    <n v="0"/>
    <n v="0"/>
    <x v="3"/>
    <x v="2"/>
    <s v="AutoPost 1374"/>
    <s v="USD"/>
    <n v="-167.34"/>
    <x v="2"/>
    <n v="82"/>
    <n v="-13721.880000000001"/>
  </r>
  <r>
    <s v="GL001375"/>
    <x v="158"/>
    <s v="4000"/>
    <x v="0"/>
    <n v="0"/>
    <n v="0"/>
    <n v="1929.16"/>
    <n v="169766.08000000002"/>
    <x v="3"/>
    <x v="3"/>
    <s v="AutoPost 1375"/>
    <s v="EUR"/>
    <n v="1929.16"/>
    <x v="0"/>
    <n v="88"/>
    <n v="169766.08000000002"/>
  </r>
  <r>
    <s v="GL001376"/>
    <x v="384"/>
    <s v="5010"/>
    <x v="3"/>
    <n v="400.54"/>
    <n v="35247.520000000004"/>
    <n v="0"/>
    <n v="0"/>
    <x v="3"/>
    <x v="2"/>
    <s v="AutoPost 1376"/>
    <s v="EUR"/>
    <n v="-400.54"/>
    <x v="2"/>
    <n v="88"/>
    <n v="-35247.520000000004"/>
  </r>
  <r>
    <s v="GL001377"/>
    <x v="207"/>
    <s v="4010"/>
    <x v="4"/>
    <n v="0"/>
    <n v="0"/>
    <n v="1657.49"/>
    <n v="170721.47"/>
    <x v="5"/>
    <x v="2"/>
    <s v="AutoPost 1377"/>
    <s v="GBP"/>
    <n v="1657.49"/>
    <x v="0"/>
    <n v="103"/>
    <n v="170721.47"/>
  </r>
  <r>
    <s v="GL001378"/>
    <x v="463"/>
    <s v="4000"/>
    <x v="0"/>
    <n v="0"/>
    <n v="0"/>
    <n v="1718.15"/>
    <n v="176969.45"/>
    <x v="0"/>
    <x v="3"/>
    <s v="AutoPost 1378"/>
    <s v="GBP"/>
    <n v="1718.15"/>
    <x v="0"/>
    <n v="103"/>
    <n v="176969.45"/>
  </r>
  <r>
    <s v="GL001379"/>
    <x v="219"/>
    <s v="4010"/>
    <x v="4"/>
    <n v="0"/>
    <n v="0"/>
    <n v="3216.06"/>
    <n v="196179.66"/>
    <x v="4"/>
    <x v="4"/>
    <s v="AutoPost 1379"/>
    <s v="CAD"/>
    <n v="3216.06"/>
    <x v="0"/>
    <n v="61"/>
    <n v="196179.66"/>
  </r>
  <r>
    <s v="GL001380"/>
    <x v="718"/>
    <s v="4010"/>
    <x v="4"/>
    <n v="0"/>
    <n v="0"/>
    <n v="3406.43"/>
    <n v="190760.08"/>
    <x v="2"/>
    <x v="4"/>
    <s v="AutoPost 1380"/>
    <s v="AUD"/>
    <n v="3406.43"/>
    <x v="0"/>
    <n v="56"/>
    <n v="190760.08"/>
  </r>
  <r>
    <s v="GL001381"/>
    <x v="716"/>
    <s v="6000"/>
    <x v="2"/>
    <n v="1047.53"/>
    <n v="85897.459999999992"/>
    <n v="0"/>
    <n v="0"/>
    <x v="4"/>
    <x v="3"/>
    <s v="AutoPost 1381"/>
    <s v="USD"/>
    <n v="-1047.53"/>
    <x v="2"/>
    <n v="82"/>
    <n v="-85897.459999999992"/>
  </r>
  <r>
    <s v="GL001382"/>
    <x v="289"/>
    <s v="5010"/>
    <x v="3"/>
    <n v="129.62"/>
    <n v="11406.560000000001"/>
    <n v="0"/>
    <n v="0"/>
    <x v="4"/>
    <x v="0"/>
    <s v="AutoPost 1382"/>
    <s v="EUR"/>
    <n v="-129.62"/>
    <x v="2"/>
    <n v="88"/>
    <n v="-11406.560000000001"/>
  </r>
  <r>
    <s v="GL001383"/>
    <x v="719"/>
    <s v="4010"/>
    <x v="4"/>
    <n v="0"/>
    <n v="0"/>
    <n v="2334.75"/>
    <n v="130746"/>
    <x v="2"/>
    <x v="3"/>
    <s v="AutoPost 1383"/>
    <s v="AUD"/>
    <n v="2334.75"/>
    <x v="0"/>
    <n v="56"/>
    <n v="130746"/>
  </r>
  <r>
    <s v="GL001384"/>
    <x v="242"/>
    <s v="6000"/>
    <x v="2"/>
    <n v="1023.61"/>
    <n v="105431.83"/>
    <n v="0"/>
    <n v="0"/>
    <x v="0"/>
    <x v="1"/>
    <s v="AutoPost 1384"/>
    <s v="GBP"/>
    <n v="-1023.61"/>
    <x v="2"/>
    <n v="103"/>
    <n v="-105431.83"/>
  </r>
  <r>
    <s v="GL001385"/>
    <x v="293"/>
    <s v="5010"/>
    <x v="3"/>
    <n v="182.89"/>
    <n v="18837.669999999998"/>
    <n v="0"/>
    <n v="0"/>
    <x v="3"/>
    <x v="1"/>
    <s v="AutoPost 1385"/>
    <s v="GBP"/>
    <n v="-182.89"/>
    <x v="2"/>
    <n v="103"/>
    <n v="-18837.669999999998"/>
  </r>
  <r>
    <s v="GL001386"/>
    <x v="494"/>
    <s v="6000"/>
    <x v="2"/>
    <n v="229.97"/>
    <n v="23686.91"/>
    <n v="0"/>
    <n v="0"/>
    <x v="0"/>
    <x v="1"/>
    <s v="AutoPost 1386"/>
    <s v="GBP"/>
    <n v="-229.97"/>
    <x v="2"/>
    <n v="103"/>
    <n v="-23686.91"/>
  </r>
  <r>
    <s v="GL001387"/>
    <x v="184"/>
    <s v="6000"/>
    <x v="2"/>
    <n v="1443.86"/>
    <n v="118396.51999999999"/>
    <n v="0"/>
    <n v="0"/>
    <x v="3"/>
    <x v="4"/>
    <s v="AutoPost 1387"/>
    <s v="USD"/>
    <n v="-1443.86"/>
    <x v="2"/>
    <n v="82"/>
    <n v="-118396.51999999999"/>
  </r>
  <r>
    <s v="GL001388"/>
    <x v="720"/>
    <s v="4010"/>
    <x v="4"/>
    <n v="0"/>
    <n v="0"/>
    <n v="1270.57"/>
    <n v="71151.92"/>
    <x v="2"/>
    <x v="1"/>
    <s v="AutoPost 1388"/>
    <s v="AUD"/>
    <n v="1270.57"/>
    <x v="0"/>
    <n v="56"/>
    <n v="71151.92"/>
  </r>
  <r>
    <s v="GL001389"/>
    <x v="378"/>
    <s v="4010"/>
    <x v="4"/>
    <n v="0"/>
    <n v="0"/>
    <n v="1310.5899999999999"/>
    <n v="79945.989999999991"/>
    <x v="5"/>
    <x v="4"/>
    <s v="AutoPost 1389"/>
    <s v="CAD"/>
    <n v="1310.5899999999999"/>
    <x v="0"/>
    <n v="61"/>
    <n v="79945.989999999991"/>
  </r>
  <r>
    <s v="GL001390"/>
    <x v="13"/>
    <s v="4010"/>
    <x v="4"/>
    <n v="0"/>
    <n v="0"/>
    <n v="3868.62"/>
    <n v="216642.72"/>
    <x v="5"/>
    <x v="4"/>
    <s v="AutoPost 1390"/>
    <s v="AUD"/>
    <n v="3868.62"/>
    <x v="0"/>
    <n v="56"/>
    <n v="216642.72"/>
  </r>
  <r>
    <s v="GL001391"/>
    <x v="641"/>
    <s v="4000"/>
    <x v="0"/>
    <n v="0"/>
    <n v="0"/>
    <n v="138.43"/>
    <n v="14258.29"/>
    <x v="1"/>
    <x v="0"/>
    <s v="AutoPost 1391"/>
    <s v="GBP"/>
    <n v="138.43"/>
    <x v="0"/>
    <n v="103"/>
    <n v="14258.29"/>
  </r>
  <r>
    <s v="GL001392"/>
    <x v="721"/>
    <s v="5000"/>
    <x v="1"/>
    <n v="1749.68"/>
    <n v="153971.84"/>
    <n v="0"/>
    <n v="0"/>
    <x v="1"/>
    <x v="3"/>
    <s v="AutoPost 1392"/>
    <s v="EUR"/>
    <n v="-1749.68"/>
    <x v="1"/>
    <n v="88"/>
    <n v="-153971.84"/>
  </r>
  <r>
    <s v="GL001393"/>
    <x v="553"/>
    <s v="4010"/>
    <x v="4"/>
    <n v="0"/>
    <n v="0"/>
    <n v="4955.21"/>
    <n v="436058.48"/>
    <x v="2"/>
    <x v="3"/>
    <s v="AutoPost 1393"/>
    <s v="EUR"/>
    <n v="4955.21"/>
    <x v="0"/>
    <n v="88"/>
    <n v="436058.48"/>
  </r>
  <r>
    <s v="GL001394"/>
    <x v="469"/>
    <s v="5010"/>
    <x v="3"/>
    <n v="1030.07"/>
    <n v="62834.27"/>
    <n v="0"/>
    <n v="0"/>
    <x v="1"/>
    <x v="1"/>
    <s v="AutoPost 1394"/>
    <s v="CAD"/>
    <n v="-1030.07"/>
    <x v="2"/>
    <n v="61"/>
    <n v="-62834.27"/>
  </r>
  <r>
    <s v="GL001395"/>
    <x v="46"/>
    <s v="6000"/>
    <x v="2"/>
    <n v="1552.9"/>
    <n v="159948.70000000001"/>
    <n v="0"/>
    <n v="0"/>
    <x v="1"/>
    <x v="1"/>
    <s v="AutoPost 1395"/>
    <s v="GBP"/>
    <n v="-1552.9"/>
    <x v="2"/>
    <n v="103"/>
    <n v="-159948.70000000001"/>
  </r>
  <r>
    <s v="GL001396"/>
    <x v="722"/>
    <s v="5000"/>
    <x v="1"/>
    <n v="1837.1"/>
    <n v="150642.19999999998"/>
    <n v="0"/>
    <n v="0"/>
    <x v="1"/>
    <x v="0"/>
    <s v="AutoPost 1396"/>
    <s v="USD"/>
    <n v="-1837.1"/>
    <x v="1"/>
    <n v="82"/>
    <n v="-150642.19999999998"/>
  </r>
  <r>
    <s v="GL001397"/>
    <x v="533"/>
    <s v="4000"/>
    <x v="0"/>
    <n v="0"/>
    <n v="0"/>
    <n v="3838.99"/>
    <n v="214983.44"/>
    <x v="1"/>
    <x v="1"/>
    <s v="AutoPost 1397"/>
    <s v="AUD"/>
    <n v="3838.99"/>
    <x v="0"/>
    <n v="56"/>
    <n v="214983.44"/>
  </r>
  <r>
    <s v="GL001398"/>
    <x v="134"/>
    <s v="6000"/>
    <x v="2"/>
    <n v="1204.07"/>
    <n v="105958.15999999999"/>
    <n v="0"/>
    <n v="0"/>
    <x v="1"/>
    <x v="3"/>
    <s v="AutoPost 1398"/>
    <s v="EUR"/>
    <n v="-1204.07"/>
    <x v="2"/>
    <n v="88"/>
    <n v="-105958.15999999999"/>
  </r>
  <r>
    <s v="GL001399"/>
    <x v="112"/>
    <s v="5010"/>
    <x v="3"/>
    <n v="1122.26"/>
    <n v="62846.559999999998"/>
    <n v="0"/>
    <n v="0"/>
    <x v="2"/>
    <x v="0"/>
    <s v="AutoPost 1399"/>
    <s v="AUD"/>
    <n v="-1122.26"/>
    <x v="2"/>
    <n v="56"/>
    <n v="-62846.559999999998"/>
  </r>
  <r>
    <s v="GL001400"/>
    <x v="723"/>
    <s v="5010"/>
    <x v="3"/>
    <n v="633.59"/>
    <n v="38648.990000000005"/>
    <n v="0"/>
    <n v="0"/>
    <x v="3"/>
    <x v="1"/>
    <s v="AutoPost 1400"/>
    <s v="CAD"/>
    <n v="-633.59"/>
    <x v="2"/>
    <n v="61"/>
    <n v="-38648.990000000005"/>
  </r>
  <r>
    <s v="GL001401"/>
    <x v="93"/>
    <s v="4010"/>
    <x v="4"/>
    <n v="0"/>
    <n v="0"/>
    <n v="4074.33"/>
    <n v="334095.06"/>
    <x v="2"/>
    <x v="4"/>
    <s v="AutoPost 1401"/>
    <s v="USD"/>
    <n v="4074.33"/>
    <x v="0"/>
    <n v="82"/>
    <n v="334095.06"/>
  </r>
  <r>
    <s v="GL001402"/>
    <x v="502"/>
    <s v="6000"/>
    <x v="2"/>
    <n v="340.22"/>
    <n v="35042.660000000003"/>
    <n v="0"/>
    <n v="0"/>
    <x v="5"/>
    <x v="2"/>
    <s v="AutoPost 1402"/>
    <s v="GBP"/>
    <n v="-340.22"/>
    <x v="2"/>
    <n v="103"/>
    <n v="-35042.660000000003"/>
  </r>
  <r>
    <s v="GL001403"/>
    <x v="272"/>
    <s v="6000"/>
    <x v="2"/>
    <n v="1891.61"/>
    <n v="166461.68"/>
    <n v="0"/>
    <n v="0"/>
    <x v="0"/>
    <x v="0"/>
    <s v="AutoPost 1403"/>
    <s v="EUR"/>
    <n v="-1891.61"/>
    <x v="2"/>
    <n v="88"/>
    <n v="-166461.68"/>
  </r>
  <r>
    <s v="GL001404"/>
    <x v="248"/>
    <s v="5000"/>
    <x v="1"/>
    <n v="1998.5"/>
    <n v="175868"/>
    <n v="0"/>
    <n v="0"/>
    <x v="3"/>
    <x v="3"/>
    <s v="AutoPost 1404"/>
    <s v="EUR"/>
    <n v="-1998.5"/>
    <x v="1"/>
    <n v="88"/>
    <n v="-175868"/>
  </r>
  <r>
    <s v="GL001405"/>
    <x v="163"/>
    <s v="4000"/>
    <x v="0"/>
    <n v="0"/>
    <n v="0"/>
    <n v="2567.37"/>
    <n v="225928.56"/>
    <x v="3"/>
    <x v="2"/>
    <s v="AutoPost 1405"/>
    <s v="EUR"/>
    <n v="2567.37"/>
    <x v="0"/>
    <n v="88"/>
    <n v="225928.56"/>
  </r>
  <r>
    <s v="GL001406"/>
    <x v="683"/>
    <s v="5000"/>
    <x v="1"/>
    <n v="1097.98"/>
    <n v="96622.24"/>
    <n v="0"/>
    <n v="0"/>
    <x v="5"/>
    <x v="4"/>
    <s v="AutoPost 1406"/>
    <s v="EUR"/>
    <n v="-1097.98"/>
    <x v="1"/>
    <n v="88"/>
    <n v="-96622.24"/>
  </r>
  <r>
    <s v="GL001407"/>
    <x v="447"/>
    <s v="6000"/>
    <x v="2"/>
    <n v="443.66"/>
    <n v="45696.98"/>
    <n v="0"/>
    <n v="0"/>
    <x v="3"/>
    <x v="2"/>
    <s v="AutoPost 1407"/>
    <s v="GBP"/>
    <n v="-443.66"/>
    <x v="2"/>
    <n v="103"/>
    <n v="-45696.98"/>
  </r>
  <r>
    <s v="GL001408"/>
    <x v="658"/>
    <s v="5000"/>
    <x v="1"/>
    <n v="225.89"/>
    <n v="12649.84"/>
    <n v="0"/>
    <n v="0"/>
    <x v="1"/>
    <x v="2"/>
    <s v="AutoPost 1408"/>
    <s v="AUD"/>
    <n v="-225.89"/>
    <x v="1"/>
    <n v="56"/>
    <n v="-12649.84"/>
  </r>
  <r>
    <s v="GL001409"/>
    <x v="3"/>
    <s v="5000"/>
    <x v="1"/>
    <n v="90.95"/>
    <n v="7457.9000000000005"/>
    <n v="0"/>
    <n v="0"/>
    <x v="3"/>
    <x v="3"/>
    <s v="AutoPost 1409"/>
    <s v="USD"/>
    <n v="-90.95"/>
    <x v="1"/>
    <n v="82"/>
    <n v="-7457.9000000000005"/>
  </r>
  <r>
    <s v="GL001410"/>
    <x v="642"/>
    <s v="4010"/>
    <x v="4"/>
    <n v="0"/>
    <n v="0"/>
    <n v="4806.1400000000003"/>
    <n v="422940.32"/>
    <x v="3"/>
    <x v="4"/>
    <s v="AutoPost 1410"/>
    <s v="EUR"/>
    <n v="4806.1400000000003"/>
    <x v="0"/>
    <n v="88"/>
    <n v="422940.32"/>
  </r>
  <r>
    <s v="GL001411"/>
    <x v="123"/>
    <s v="4010"/>
    <x v="4"/>
    <n v="0"/>
    <n v="0"/>
    <n v="2397.21"/>
    <n v="246912.63"/>
    <x v="5"/>
    <x v="3"/>
    <s v="AutoPost 1411"/>
    <s v="GBP"/>
    <n v="2397.21"/>
    <x v="0"/>
    <n v="103"/>
    <n v="246912.63"/>
  </r>
  <r>
    <s v="GL001412"/>
    <x v="448"/>
    <s v="4010"/>
    <x v="4"/>
    <n v="0"/>
    <n v="0"/>
    <n v="1164.68"/>
    <n v="95503.760000000009"/>
    <x v="0"/>
    <x v="3"/>
    <s v="AutoPost 1412"/>
    <s v="USD"/>
    <n v="1164.68"/>
    <x v="0"/>
    <n v="82"/>
    <n v="95503.760000000009"/>
  </r>
  <r>
    <s v="GL001413"/>
    <x v="337"/>
    <s v="4000"/>
    <x v="0"/>
    <n v="0"/>
    <n v="0"/>
    <n v="4994.2"/>
    <n v="304646.2"/>
    <x v="3"/>
    <x v="3"/>
    <s v="AutoPost 1413"/>
    <s v="CAD"/>
    <n v="4994.2"/>
    <x v="0"/>
    <n v="61"/>
    <n v="304646.2"/>
  </r>
  <r>
    <s v="GL001414"/>
    <x v="526"/>
    <s v="4010"/>
    <x v="4"/>
    <n v="0"/>
    <n v="0"/>
    <n v="127.25"/>
    <n v="7762.25"/>
    <x v="4"/>
    <x v="1"/>
    <s v="AutoPost 1414"/>
    <s v="CAD"/>
    <n v="127.25"/>
    <x v="0"/>
    <n v="61"/>
    <n v="7762.25"/>
  </r>
  <r>
    <s v="GL001415"/>
    <x v="588"/>
    <s v="5010"/>
    <x v="3"/>
    <n v="1383.8"/>
    <n v="84411.8"/>
    <n v="0"/>
    <n v="0"/>
    <x v="5"/>
    <x v="3"/>
    <s v="AutoPost 1415"/>
    <s v="CAD"/>
    <n v="-1383.8"/>
    <x v="2"/>
    <n v="61"/>
    <n v="-84411.8"/>
  </r>
  <r>
    <s v="GL001416"/>
    <x v="121"/>
    <s v="4010"/>
    <x v="4"/>
    <n v="0"/>
    <n v="0"/>
    <n v="4604.16"/>
    <n v="474228.47999999998"/>
    <x v="4"/>
    <x v="3"/>
    <s v="AutoPost 1416"/>
    <s v="GBP"/>
    <n v="4604.16"/>
    <x v="0"/>
    <n v="103"/>
    <n v="474228.47999999998"/>
  </r>
  <r>
    <s v="GL001417"/>
    <x v="174"/>
    <s v="4000"/>
    <x v="0"/>
    <n v="0"/>
    <n v="0"/>
    <n v="4835.3"/>
    <n v="498035.9"/>
    <x v="2"/>
    <x v="4"/>
    <s v="AutoPost 1417"/>
    <s v="GBP"/>
    <n v="4835.3"/>
    <x v="0"/>
    <n v="103"/>
    <n v="498035.9"/>
  </r>
  <r>
    <s v="GL001418"/>
    <x v="724"/>
    <s v="4010"/>
    <x v="4"/>
    <n v="0"/>
    <n v="0"/>
    <n v="1057.72"/>
    <n v="64520.92"/>
    <x v="4"/>
    <x v="0"/>
    <s v="AutoPost 1418"/>
    <s v="CAD"/>
    <n v="1057.72"/>
    <x v="0"/>
    <n v="61"/>
    <n v="64520.92"/>
  </r>
  <r>
    <s v="GL001419"/>
    <x v="625"/>
    <s v="5010"/>
    <x v="3"/>
    <n v="1394.77"/>
    <n v="85080.97"/>
    <n v="0"/>
    <n v="0"/>
    <x v="0"/>
    <x v="4"/>
    <s v="AutoPost 1419"/>
    <s v="CAD"/>
    <n v="-1394.77"/>
    <x v="2"/>
    <n v="61"/>
    <n v="-85080.97"/>
  </r>
  <r>
    <s v="GL001420"/>
    <x v="619"/>
    <s v="5000"/>
    <x v="1"/>
    <n v="803.08"/>
    <n v="44972.480000000003"/>
    <n v="0"/>
    <n v="0"/>
    <x v="4"/>
    <x v="2"/>
    <s v="AutoPost 1420"/>
    <s v="AUD"/>
    <n v="-803.08"/>
    <x v="1"/>
    <n v="56"/>
    <n v="-44972.480000000003"/>
  </r>
  <r>
    <s v="GL001421"/>
    <x v="725"/>
    <s v="6000"/>
    <x v="2"/>
    <n v="500.5"/>
    <n v="30530.5"/>
    <n v="0"/>
    <n v="0"/>
    <x v="0"/>
    <x v="0"/>
    <s v="AutoPost 1421"/>
    <s v="CAD"/>
    <n v="-500.5"/>
    <x v="2"/>
    <n v="61"/>
    <n v="-30530.5"/>
  </r>
  <r>
    <s v="GL001422"/>
    <x v="117"/>
    <s v="5010"/>
    <x v="3"/>
    <n v="413.05"/>
    <n v="42544.15"/>
    <n v="0"/>
    <n v="0"/>
    <x v="5"/>
    <x v="2"/>
    <s v="AutoPost 1422"/>
    <s v="GBP"/>
    <n v="-413.05"/>
    <x v="2"/>
    <n v="103"/>
    <n v="-42544.15"/>
  </r>
  <r>
    <s v="GL001423"/>
    <x v="726"/>
    <s v="5000"/>
    <x v="1"/>
    <n v="1483.66"/>
    <n v="130562.08"/>
    <n v="0"/>
    <n v="0"/>
    <x v="3"/>
    <x v="1"/>
    <s v="AutoPost 1423"/>
    <s v="EUR"/>
    <n v="-1483.66"/>
    <x v="1"/>
    <n v="88"/>
    <n v="-130562.08"/>
  </r>
  <r>
    <s v="GL001424"/>
    <x v="511"/>
    <s v="5010"/>
    <x v="3"/>
    <n v="1752.32"/>
    <n v="106891.51999999999"/>
    <n v="0"/>
    <n v="0"/>
    <x v="0"/>
    <x v="2"/>
    <s v="AutoPost 1424"/>
    <s v="CAD"/>
    <n v="-1752.32"/>
    <x v="2"/>
    <n v="61"/>
    <n v="-106891.51999999999"/>
  </r>
  <r>
    <s v="GL001425"/>
    <x v="607"/>
    <s v="4000"/>
    <x v="0"/>
    <n v="0"/>
    <n v="0"/>
    <n v="1556.95"/>
    <n v="94973.95"/>
    <x v="3"/>
    <x v="4"/>
    <s v="AutoPost 1425"/>
    <s v="CAD"/>
    <n v="1556.95"/>
    <x v="0"/>
    <n v="61"/>
    <n v="94973.95"/>
  </r>
  <r>
    <s v="GL001426"/>
    <x v="727"/>
    <s v="5010"/>
    <x v="3"/>
    <n v="1162.76"/>
    <n v="70928.36"/>
    <n v="0"/>
    <n v="0"/>
    <x v="5"/>
    <x v="3"/>
    <s v="AutoPost 1426"/>
    <s v="CAD"/>
    <n v="-1162.76"/>
    <x v="2"/>
    <n v="61"/>
    <n v="-70928.36"/>
  </r>
  <r>
    <s v="GL001427"/>
    <x v="728"/>
    <s v="4000"/>
    <x v="0"/>
    <n v="0"/>
    <n v="0"/>
    <n v="3293.95"/>
    <n v="200930.94999999998"/>
    <x v="4"/>
    <x v="3"/>
    <s v="AutoPost 1427"/>
    <s v="CAD"/>
    <n v="3293.95"/>
    <x v="0"/>
    <n v="61"/>
    <n v="200930.94999999998"/>
  </r>
  <r>
    <s v="GL001428"/>
    <x v="277"/>
    <s v="5010"/>
    <x v="3"/>
    <n v="949.79"/>
    <n v="97828.37"/>
    <n v="0"/>
    <n v="0"/>
    <x v="0"/>
    <x v="4"/>
    <s v="AutoPost 1428"/>
    <s v="GBP"/>
    <n v="-949.79"/>
    <x v="2"/>
    <n v="103"/>
    <n v="-97828.37"/>
  </r>
  <r>
    <s v="GL001429"/>
    <x v="616"/>
    <s v="4010"/>
    <x v="4"/>
    <n v="0"/>
    <n v="0"/>
    <n v="536.59"/>
    <n v="44000.380000000005"/>
    <x v="0"/>
    <x v="4"/>
    <s v="AutoPost 1429"/>
    <s v="USD"/>
    <n v="536.59"/>
    <x v="0"/>
    <n v="82"/>
    <n v="44000.380000000005"/>
  </r>
  <r>
    <s v="GL001430"/>
    <x v="729"/>
    <s v="4000"/>
    <x v="0"/>
    <n v="0"/>
    <n v="0"/>
    <n v="352.44"/>
    <n v="21498.84"/>
    <x v="4"/>
    <x v="2"/>
    <s v="AutoPost 1430"/>
    <s v="CAD"/>
    <n v="352.44"/>
    <x v="0"/>
    <n v="61"/>
    <n v="21498.84"/>
  </r>
  <r>
    <s v="GL001431"/>
    <x v="730"/>
    <s v="5000"/>
    <x v="1"/>
    <n v="479.39"/>
    <n v="42186.32"/>
    <n v="0"/>
    <n v="0"/>
    <x v="0"/>
    <x v="0"/>
    <s v="AutoPost 1431"/>
    <s v="EUR"/>
    <n v="-479.39"/>
    <x v="1"/>
    <n v="88"/>
    <n v="-42186.32"/>
  </r>
  <r>
    <s v="GL001432"/>
    <x v="236"/>
    <s v="6000"/>
    <x v="2"/>
    <n v="875.44"/>
    <n v="71786.080000000002"/>
    <n v="0"/>
    <n v="0"/>
    <x v="1"/>
    <x v="0"/>
    <s v="AutoPost 1432"/>
    <s v="USD"/>
    <n v="-875.44"/>
    <x v="2"/>
    <n v="82"/>
    <n v="-71786.080000000002"/>
  </r>
  <r>
    <s v="GL001433"/>
    <x v="731"/>
    <s v="5000"/>
    <x v="1"/>
    <n v="726.79"/>
    <n v="74859.37"/>
    <n v="0"/>
    <n v="0"/>
    <x v="5"/>
    <x v="1"/>
    <s v="AutoPost 1433"/>
    <s v="GBP"/>
    <n v="-726.79"/>
    <x v="1"/>
    <n v="103"/>
    <n v="-74859.37"/>
  </r>
  <r>
    <s v="GL001434"/>
    <x v="347"/>
    <s v="4010"/>
    <x v="4"/>
    <n v="0"/>
    <n v="0"/>
    <n v="3492.12"/>
    <n v="286353.83999999997"/>
    <x v="1"/>
    <x v="0"/>
    <s v="AutoPost 1434"/>
    <s v="USD"/>
    <n v="3492.12"/>
    <x v="0"/>
    <n v="82"/>
    <n v="286353.83999999997"/>
  </r>
  <r>
    <s v="GL001435"/>
    <x v="256"/>
    <s v="5010"/>
    <x v="3"/>
    <n v="868.34"/>
    <n v="71203.88"/>
    <n v="0"/>
    <n v="0"/>
    <x v="1"/>
    <x v="2"/>
    <s v="AutoPost 1435"/>
    <s v="USD"/>
    <n v="-868.34"/>
    <x v="2"/>
    <n v="82"/>
    <n v="-71203.88"/>
  </r>
  <r>
    <s v="GL001436"/>
    <x v="732"/>
    <s v="4000"/>
    <x v="0"/>
    <n v="0"/>
    <n v="0"/>
    <n v="1610.63"/>
    <n v="98248.430000000008"/>
    <x v="4"/>
    <x v="0"/>
    <s v="AutoPost 1436"/>
    <s v="CAD"/>
    <n v="1610.63"/>
    <x v="0"/>
    <n v="61"/>
    <n v="98248.430000000008"/>
  </r>
  <r>
    <s v="GL001437"/>
    <x v="717"/>
    <s v="6000"/>
    <x v="2"/>
    <n v="1429.61"/>
    <n v="125805.68"/>
    <n v="0"/>
    <n v="0"/>
    <x v="1"/>
    <x v="1"/>
    <s v="AutoPost 1437"/>
    <s v="EUR"/>
    <n v="-1429.61"/>
    <x v="2"/>
    <n v="88"/>
    <n v="-125805.68"/>
  </r>
  <r>
    <s v="GL001438"/>
    <x v="196"/>
    <s v="5000"/>
    <x v="1"/>
    <n v="918.99"/>
    <n v="80871.12"/>
    <n v="0"/>
    <n v="0"/>
    <x v="4"/>
    <x v="3"/>
    <s v="AutoPost 1438"/>
    <s v="EUR"/>
    <n v="-918.99"/>
    <x v="1"/>
    <n v="88"/>
    <n v="-80871.12"/>
  </r>
  <r>
    <s v="GL001439"/>
    <x v="273"/>
    <s v="5010"/>
    <x v="3"/>
    <n v="189.23"/>
    <n v="16652.239999999998"/>
    <n v="0"/>
    <n v="0"/>
    <x v="1"/>
    <x v="4"/>
    <s v="AutoPost 1439"/>
    <s v="EUR"/>
    <n v="-189.23"/>
    <x v="2"/>
    <n v="88"/>
    <n v="-16652.239999999998"/>
  </r>
  <r>
    <s v="GL001440"/>
    <x v="733"/>
    <s v="4010"/>
    <x v="4"/>
    <n v="0"/>
    <n v="0"/>
    <n v="4553.74"/>
    <n v="373406.68"/>
    <x v="2"/>
    <x v="0"/>
    <s v="AutoPost 1440"/>
    <s v="USD"/>
    <n v="4553.74"/>
    <x v="0"/>
    <n v="82"/>
    <n v="373406.68"/>
  </r>
  <r>
    <s v="GL001441"/>
    <x v="83"/>
    <s v="4010"/>
    <x v="4"/>
    <n v="0"/>
    <n v="0"/>
    <n v="224.69"/>
    <n v="12582.64"/>
    <x v="5"/>
    <x v="3"/>
    <s v="AutoPost 1441"/>
    <s v="AUD"/>
    <n v="224.69"/>
    <x v="0"/>
    <n v="56"/>
    <n v="12582.64"/>
  </r>
  <r>
    <s v="GL001442"/>
    <x v="47"/>
    <s v="5000"/>
    <x v="1"/>
    <n v="1447.98"/>
    <n v="149141.94"/>
    <n v="0"/>
    <n v="0"/>
    <x v="4"/>
    <x v="3"/>
    <s v="AutoPost 1442"/>
    <s v="GBP"/>
    <n v="-1447.98"/>
    <x v="1"/>
    <n v="103"/>
    <n v="-149141.94"/>
  </r>
  <r>
    <s v="GL001443"/>
    <x v="363"/>
    <s v="6000"/>
    <x v="2"/>
    <n v="1846.98"/>
    <n v="151452.36000000002"/>
    <n v="0"/>
    <n v="0"/>
    <x v="1"/>
    <x v="2"/>
    <s v="AutoPost 1443"/>
    <s v="USD"/>
    <n v="-1846.98"/>
    <x v="2"/>
    <n v="82"/>
    <n v="-151452.36000000002"/>
  </r>
  <r>
    <s v="GL001444"/>
    <x v="629"/>
    <s v="5010"/>
    <x v="3"/>
    <n v="1709.33"/>
    <n v="104269.12999999999"/>
    <n v="0"/>
    <n v="0"/>
    <x v="2"/>
    <x v="1"/>
    <s v="AutoPost 1444"/>
    <s v="CAD"/>
    <n v="-1709.33"/>
    <x v="2"/>
    <n v="61"/>
    <n v="-104269.12999999999"/>
  </r>
  <r>
    <s v="GL001445"/>
    <x v="702"/>
    <s v="4010"/>
    <x v="4"/>
    <n v="0"/>
    <n v="0"/>
    <n v="4210.6499999999996"/>
    <n v="370537.19999999995"/>
    <x v="1"/>
    <x v="0"/>
    <s v="AutoPost 1445"/>
    <s v="EUR"/>
    <n v="4210.6499999999996"/>
    <x v="0"/>
    <n v="88"/>
    <n v="370537.19999999995"/>
  </r>
  <r>
    <s v="GL001446"/>
    <x v="734"/>
    <s v="5010"/>
    <x v="3"/>
    <n v="1733.89"/>
    <n v="152582.32"/>
    <n v="0"/>
    <n v="0"/>
    <x v="3"/>
    <x v="0"/>
    <s v="AutoPost 1446"/>
    <s v="EUR"/>
    <n v="-1733.89"/>
    <x v="2"/>
    <n v="88"/>
    <n v="-152582.32"/>
  </r>
  <r>
    <s v="GL001447"/>
    <x v="279"/>
    <s v="4000"/>
    <x v="0"/>
    <n v="0"/>
    <n v="0"/>
    <n v="4741"/>
    <n v="388762"/>
    <x v="2"/>
    <x v="1"/>
    <s v="AutoPost 1447"/>
    <s v="USD"/>
    <n v="4741"/>
    <x v="0"/>
    <n v="82"/>
    <n v="388762"/>
  </r>
  <r>
    <s v="GL001448"/>
    <x v="677"/>
    <s v="6000"/>
    <x v="2"/>
    <n v="1800.94"/>
    <n v="158482.72"/>
    <n v="0"/>
    <n v="0"/>
    <x v="5"/>
    <x v="0"/>
    <s v="AutoPost 1448"/>
    <s v="EUR"/>
    <n v="-1800.94"/>
    <x v="2"/>
    <n v="88"/>
    <n v="-158482.72"/>
  </r>
  <r>
    <s v="GL001449"/>
    <x v="735"/>
    <s v="6000"/>
    <x v="2"/>
    <n v="1648.82"/>
    <n v="92333.92"/>
    <n v="0"/>
    <n v="0"/>
    <x v="2"/>
    <x v="4"/>
    <s v="AutoPost 1449"/>
    <s v="AUD"/>
    <n v="-1648.82"/>
    <x v="2"/>
    <n v="56"/>
    <n v="-92333.92"/>
  </r>
  <r>
    <s v="GL001450"/>
    <x v="69"/>
    <s v="4010"/>
    <x v="4"/>
    <n v="0"/>
    <n v="0"/>
    <n v="174.57"/>
    <n v="14314.74"/>
    <x v="5"/>
    <x v="0"/>
    <s v="AutoPost 1450"/>
    <s v="USD"/>
    <n v="174.57"/>
    <x v="0"/>
    <n v="82"/>
    <n v="14314.74"/>
  </r>
  <r>
    <s v="GL001451"/>
    <x v="397"/>
    <s v="6000"/>
    <x v="2"/>
    <n v="302.02999999999997"/>
    <n v="26578.639999999999"/>
    <n v="0"/>
    <n v="0"/>
    <x v="1"/>
    <x v="3"/>
    <s v="AutoPost 1451"/>
    <s v="EUR"/>
    <n v="-302.02999999999997"/>
    <x v="2"/>
    <n v="88"/>
    <n v="-26578.639999999999"/>
  </r>
  <r>
    <s v="GL001452"/>
    <x v="501"/>
    <s v="6000"/>
    <x v="2"/>
    <n v="226.75"/>
    <n v="13831.75"/>
    <n v="0"/>
    <n v="0"/>
    <x v="1"/>
    <x v="1"/>
    <s v="AutoPost 1452"/>
    <s v="CAD"/>
    <n v="-226.75"/>
    <x v="2"/>
    <n v="61"/>
    <n v="-13831.75"/>
  </r>
  <r>
    <s v="GL001453"/>
    <x v="4"/>
    <s v="4010"/>
    <x v="4"/>
    <n v="0"/>
    <n v="0"/>
    <n v="3167.06"/>
    <n v="177355.36"/>
    <x v="0"/>
    <x v="2"/>
    <s v="AutoPost 1453"/>
    <s v="AUD"/>
    <n v="3167.06"/>
    <x v="0"/>
    <n v="56"/>
    <n v="177355.36"/>
  </r>
  <r>
    <s v="GL001454"/>
    <x v="516"/>
    <s v="5000"/>
    <x v="1"/>
    <n v="1135.3699999999999"/>
    <n v="63580.719999999994"/>
    <n v="0"/>
    <n v="0"/>
    <x v="3"/>
    <x v="4"/>
    <s v="AutoPost 1454"/>
    <s v="AUD"/>
    <n v="-1135.3699999999999"/>
    <x v="1"/>
    <n v="56"/>
    <n v="-63580.719999999994"/>
  </r>
  <r>
    <s v="GL001455"/>
    <x v="736"/>
    <s v="6000"/>
    <x v="2"/>
    <n v="418.07"/>
    <n v="25502.27"/>
    <n v="0"/>
    <n v="0"/>
    <x v="5"/>
    <x v="4"/>
    <s v="AutoPost 1455"/>
    <s v="CAD"/>
    <n v="-418.07"/>
    <x v="2"/>
    <n v="61"/>
    <n v="-25502.27"/>
  </r>
  <r>
    <s v="GL001456"/>
    <x v="169"/>
    <s v="4000"/>
    <x v="0"/>
    <n v="0"/>
    <n v="0"/>
    <n v="3400.48"/>
    <n v="190426.88"/>
    <x v="0"/>
    <x v="4"/>
    <s v="AutoPost 1456"/>
    <s v="AUD"/>
    <n v="3400.48"/>
    <x v="0"/>
    <n v="56"/>
    <n v="190426.88"/>
  </r>
  <r>
    <s v="GL001457"/>
    <x v="413"/>
    <s v="5000"/>
    <x v="1"/>
    <n v="67.56"/>
    <n v="6958.68"/>
    <n v="0"/>
    <n v="0"/>
    <x v="5"/>
    <x v="0"/>
    <s v="AutoPost 1457"/>
    <s v="GBP"/>
    <n v="-67.56"/>
    <x v="1"/>
    <n v="103"/>
    <n v="-6958.68"/>
  </r>
  <r>
    <s v="GL001458"/>
    <x v="68"/>
    <s v="4000"/>
    <x v="0"/>
    <n v="0"/>
    <n v="0"/>
    <n v="2980.92"/>
    <n v="166931.52000000002"/>
    <x v="3"/>
    <x v="2"/>
    <s v="AutoPost 1458"/>
    <s v="AUD"/>
    <n v="2980.92"/>
    <x v="0"/>
    <n v="56"/>
    <n v="166931.52000000002"/>
  </r>
  <r>
    <s v="GL001459"/>
    <x v="665"/>
    <s v="5010"/>
    <x v="3"/>
    <n v="1093.1300000000001"/>
    <n v="89636.66"/>
    <n v="0"/>
    <n v="0"/>
    <x v="2"/>
    <x v="3"/>
    <s v="AutoPost 1459"/>
    <s v="USD"/>
    <n v="-1093.1300000000001"/>
    <x v="2"/>
    <n v="82"/>
    <n v="-89636.66"/>
  </r>
  <r>
    <s v="GL001460"/>
    <x v="100"/>
    <s v="4010"/>
    <x v="4"/>
    <n v="0"/>
    <n v="0"/>
    <n v="3048.03"/>
    <n v="185929.83000000002"/>
    <x v="4"/>
    <x v="4"/>
    <s v="AutoPost 1460"/>
    <s v="CAD"/>
    <n v="3048.03"/>
    <x v="0"/>
    <n v="61"/>
    <n v="185929.83000000002"/>
  </r>
  <r>
    <s v="GL001461"/>
    <x v="736"/>
    <s v="6000"/>
    <x v="2"/>
    <n v="1020.63"/>
    <n v="57155.28"/>
    <n v="0"/>
    <n v="0"/>
    <x v="3"/>
    <x v="2"/>
    <s v="AutoPost 1461"/>
    <s v="AUD"/>
    <n v="-1020.63"/>
    <x v="2"/>
    <n v="56"/>
    <n v="-57155.28"/>
  </r>
  <r>
    <s v="GL001462"/>
    <x v="737"/>
    <s v="5010"/>
    <x v="3"/>
    <n v="1162.8900000000001"/>
    <n v="119777.67000000001"/>
    <n v="0"/>
    <n v="0"/>
    <x v="0"/>
    <x v="0"/>
    <s v="AutoPost 1462"/>
    <s v="GBP"/>
    <n v="-1162.8900000000001"/>
    <x v="2"/>
    <n v="103"/>
    <n v="-119777.67000000001"/>
  </r>
  <r>
    <s v="GL001463"/>
    <x v="219"/>
    <s v="5000"/>
    <x v="1"/>
    <n v="783.53"/>
    <n v="80703.59"/>
    <n v="0"/>
    <n v="0"/>
    <x v="5"/>
    <x v="1"/>
    <s v="AutoPost 1463"/>
    <s v="GBP"/>
    <n v="-783.53"/>
    <x v="1"/>
    <n v="103"/>
    <n v="-80703.59"/>
  </r>
  <r>
    <s v="GL001464"/>
    <x v="738"/>
    <s v="4000"/>
    <x v="0"/>
    <n v="0"/>
    <n v="0"/>
    <n v="3125.16"/>
    <n v="275014.07999999996"/>
    <x v="0"/>
    <x v="3"/>
    <s v="AutoPost 1464"/>
    <s v="EUR"/>
    <n v="3125.16"/>
    <x v="0"/>
    <n v="88"/>
    <n v="275014.07999999996"/>
  </r>
  <r>
    <s v="GL001465"/>
    <x v="618"/>
    <s v="5000"/>
    <x v="1"/>
    <n v="1578.71"/>
    <n v="138926.48000000001"/>
    <n v="0"/>
    <n v="0"/>
    <x v="4"/>
    <x v="1"/>
    <s v="AutoPost 1465"/>
    <s v="EUR"/>
    <n v="-1578.71"/>
    <x v="1"/>
    <n v="88"/>
    <n v="-138926.48000000001"/>
  </r>
  <r>
    <s v="GL001466"/>
    <x v="33"/>
    <s v="4000"/>
    <x v="0"/>
    <n v="0"/>
    <n v="0"/>
    <n v="4453.8"/>
    <n v="365211.60000000003"/>
    <x v="4"/>
    <x v="2"/>
    <s v="AutoPost 1466"/>
    <s v="USD"/>
    <n v="4453.8"/>
    <x v="0"/>
    <n v="82"/>
    <n v="365211.60000000003"/>
  </r>
  <r>
    <s v="GL001467"/>
    <x v="298"/>
    <s v="4000"/>
    <x v="0"/>
    <n v="0"/>
    <n v="0"/>
    <n v="4929.5200000000004"/>
    <n v="507740.56000000006"/>
    <x v="5"/>
    <x v="2"/>
    <s v="AutoPost 1467"/>
    <s v="GBP"/>
    <n v="4929.5200000000004"/>
    <x v="0"/>
    <n v="103"/>
    <n v="507740.56000000006"/>
  </r>
  <r>
    <s v="GL001468"/>
    <x v="288"/>
    <s v="5000"/>
    <x v="1"/>
    <n v="537.51"/>
    <n v="55363.53"/>
    <n v="0"/>
    <n v="0"/>
    <x v="4"/>
    <x v="2"/>
    <s v="AutoPost 1468"/>
    <s v="GBP"/>
    <n v="-537.51"/>
    <x v="1"/>
    <n v="103"/>
    <n v="-55363.53"/>
  </r>
  <r>
    <s v="GL001469"/>
    <x v="496"/>
    <s v="5000"/>
    <x v="1"/>
    <n v="554.87"/>
    <n v="57151.61"/>
    <n v="0"/>
    <n v="0"/>
    <x v="3"/>
    <x v="1"/>
    <s v="AutoPost 1469"/>
    <s v="GBP"/>
    <n v="-554.87"/>
    <x v="1"/>
    <n v="103"/>
    <n v="-57151.61"/>
  </r>
  <r>
    <s v="GL001470"/>
    <x v="609"/>
    <s v="4010"/>
    <x v="4"/>
    <n v="0"/>
    <n v="0"/>
    <n v="4941.29"/>
    <n v="276712.24"/>
    <x v="3"/>
    <x v="3"/>
    <s v="AutoPost 1470"/>
    <s v="AUD"/>
    <n v="4941.29"/>
    <x v="0"/>
    <n v="56"/>
    <n v="276712.24"/>
  </r>
  <r>
    <s v="GL001471"/>
    <x v="320"/>
    <s v="5000"/>
    <x v="1"/>
    <n v="1427.31"/>
    <n v="125603.28"/>
    <n v="0"/>
    <n v="0"/>
    <x v="1"/>
    <x v="3"/>
    <s v="AutoPost 1471"/>
    <s v="EUR"/>
    <n v="-1427.31"/>
    <x v="1"/>
    <n v="88"/>
    <n v="-125603.28"/>
  </r>
  <r>
    <s v="GL001472"/>
    <x v="218"/>
    <s v="4000"/>
    <x v="0"/>
    <n v="0"/>
    <n v="0"/>
    <n v="1063.56"/>
    <n v="93593.279999999999"/>
    <x v="4"/>
    <x v="4"/>
    <s v="AutoPost 1472"/>
    <s v="EUR"/>
    <n v="1063.56"/>
    <x v="0"/>
    <n v="88"/>
    <n v="93593.279999999999"/>
  </r>
  <r>
    <s v="GL001473"/>
    <x v="472"/>
    <s v="6000"/>
    <x v="2"/>
    <n v="665.12"/>
    <n v="40572.32"/>
    <n v="0"/>
    <n v="0"/>
    <x v="3"/>
    <x v="3"/>
    <s v="AutoPost 1473"/>
    <s v="CAD"/>
    <n v="-665.12"/>
    <x v="2"/>
    <n v="61"/>
    <n v="-40572.32"/>
  </r>
  <r>
    <s v="GL001474"/>
    <x v="283"/>
    <s v="4000"/>
    <x v="0"/>
    <n v="0"/>
    <n v="0"/>
    <n v="185.76"/>
    <n v="15232.32"/>
    <x v="3"/>
    <x v="1"/>
    <s v="AutoPost 1474"/>
    <s v="USD"/>
    <n v="185.76"/>
    <x v="0"/>
    <n v="82"/>
    <n v="15232.32"/>
  </r>
  <r>
    <s v="GL001475"/>
    <x v="352"/>
    <s v="4010"/>
    <x v="4"/>
    <n v="0"/>
    <n v="0"/>
    <n v="278.45999999999998"/>
    <n v="15593.759999999998"/>
    <x v="3"/>
    <x v="2"/>
    <s v="AutoPost 1475"/>
    <s v="AUD"/>
    <n v="278.45999999999998"/>
    <x v="0"/>
    <n v="56"/>
    <n v="15593.759999999998"/>
  </r>
  <r>
    <s v="GL001476"/>
    <x v="348"/>
    <s v="4000"/>
    <x v="0"/>
    <n v="0"/>
    <n v="0"/>
    <n v="4294.84"/>
    <n v="261985.24000000002"/>
    <x v="3"/>
    <x v="0"/>
    <s v="AutoPost 1476"/>
    <s v="CAD"/>
    <n v="4294.84"/>
    <x v="0"/>
    <n v="61"/>
    <n v="261985.24000000002"/>
  </r>
  <r>
    <s v="GL001477"/>
    <x v="3"/>
    <s v="5010"/>
    <x v="3"/>
    <n v="1675.83"/>
    <n v="137418.06"/>
    <n v="0"/>
    <n v="0"/>
    <x v="0"/>
    <x v="2"/>
    <s v="AutoPost 1477"/>
    <s v="USD"/>
    <n v="-1675.83"/>
    <x v="2"/>
    <n v="82"/>
    <n v="-137418.06"/>
  </r>
  <r>
    <s v="GL001478"/>
    <x v="510"/>
    <s v="5010"/>
    <x v="3"/>
    <n v="658.13"/>
    <n v="67787.39"/>
    <n v="0"/>
    <n v="0"/>
    <x v="2"/>
    <x v="0"/>
    <s v="AutoPost 1478"/>
    <s v="GBP"/>
    <n v="-658.13"/>
    <x v="2"/>
    <n v="103"/>
    <n v="-67787.39"/>
  </r>
  <r>
    <s v="GL001479"/>
    <x v="504"/>
    <s v="6000"/>
    <x v="2"/>
    <n v="1615.35"/>
    <n v="98536.349999999991"/>
    <n v="0"/>
    <n v="0"/>
    <x v="2"/>
    <x v="0"/>
    <s v="AutoPost 1479"/>
    <s v="CAD"/>
    <n v="-1615.35"/>
    <x v="2"/>
    <n v="61"/>
    <n v="-98536.349999999991"/>
  </r>
  <r>
    <s v="GL001480"/>
    <x v="583"/>
    <s v="4010"/>
    <x v="4"/>
    <n v="0"/>
    <n v="0"/>
    <n v="4040.21"/>
    <n v="246452.81"/>
    <x v="3"/>
    <x v="3"/>
    <s v="AutoPost 1480"/>
    <s v="CAD"/>
    <n v="4040.21"/>
    <x v="0"/>
    <n v="61"/>
    <n v="246452.81"/>
  </r>
  <r>
    <s v="GL001481"/>
    <x v="238"/>
    <s v="4000"/>
    <x v="0"/>
    <n v="0"/>
    <n v="0"/>
    <n v="1080.5"/>
    <n v="95084"/>
    <x v="0"/>
    <x v="4"/>
    <s v="AutoPost 1481"/>
    <s v="EUR"/>
    <n v="1080.5"/>
    <x v="0"/>
    <n v="88"/>
    <n v="95084"/>
  </r>
  <r>
    <s v="GL001482"/>
    <x v="509"/>
    <s v="6000"/>
    <x v="2"/>
    <n v="1674.78"/>
    <n v="147380.63999999998"/>
    <n v="0"/>
    <n v="0"/>
    <x v="4"/>
    <x v="2"/>
    <s v="AutoPost 1482"/>
    <s v="EUR"/>
    <n v="-1674.78"/>
    <x v="2"/>
    <n v="88"/>
    <n v="-147380.63999999998"/>
  </r>
  <r>
    <s v="GL001483"/>
    <x v="349"/>
    <s v="5010"/>
    <x v="3"/>
    <n v="959.69"/>
    <n v="78694.58"/>
    <n v="0"/>
    <n v="0"/>
    <x v="5"/>
    <x v="1"/>
    <s v="AutoPost 1483"/>
    <s v="USD"/>
    <n v="-959.69"/>
    <x v="2"/>
    <n v="82"/>
    <n v="-78694.58"/>
  </r>
  <r>
    <s v="GL001484"/>
    <x v="129"/>
    <s v="5000"/>
    <x v="1"/>
    <n v="1883.44"/>
    <n v="105472.64"/>
    <n v="0"/>
    <n v="0"/>
    <x v="4"/>
    <x v="4"/>
    <s v="AutoPost 1484"/>
    <s v="AUD"/>
    <n v="-1883.44"/>
    <x v="1"/>
    <n v="56"/>
    <n v="-105472.64"/>
  </r>
  <r>
    <s v="GL001485"/>
    <x v="127"/>
    <s v="4000"/>
    <x v="0"/>
    <n v="0"/>
    <n v="0"/>
    <n v="1071.33"/>
    <n v="87849.06"/>
    <x v="4"/>
    <x v="4"/>
    <s v="AutoPost 1485"/>
    <s v="USD"/>
    <n v="1071.33"/>
    <x v="0"/>
    <n v="82"/>
    <n v="87849.06"/>
  </r>
  <r>
    <s v="GL001486"/>
    <x v="8"/>
    <s v="4010"/>
    <x v="4"/>
    <n v="0"/>
    <n v="0"/>
    <n v="3543.57"/>
    <n v="290572.74"/>
    <x v="5"/>
    <x v="4"/>
    <s v="AutoPost 1486"/>
    <s v="USD"/>
    <n v="3543.57"/>
    <x v="0"/>
    <n v="82"/>
    <n v="290572.74"/>
  </r>
  <r>
    <s v="GL001487"/>
    <x v="20"/>
    <s v="5000"/>
    <x v="1"/>
    <n v="489.81"/>
    <n v="27429.360000000001"/>
    <n v="0"/>
    <n v="0"/>
    <x v="1"/>
    <x v="4"/>
    <s v="AutoPost 1487"/>
    <s v="AUD"/>
    <n v="-489.81"/>
    <x v="1"/>
    <n v="56"/>
    <n v="-27429.360000000001"/>
  </r>
  <r>
    <s v="GL001488"/>
    <x v="518"/>
    <s v="5010"/>
    <x v="3"/>
    <n v="505.72"/>
    <n v="30848.920000000002"/>
    <n v="0"/>
    <n v="0"/>
    <x v="4"/>
    <x v="3"/>
    <s v="AutoPost 1488"/>
    <s v="CAD"/>
    <n v="-505.72"/>
    <x v="2"/>
    <n v="61"/>
    <n v="-30848.920000000002"/>
  </r>
  <r>
    <s v="GL001489"/>
    <x v="275"/>
    <s v="5010"/>
    <x v="3"/>
    <n v="178.76"/>
    <n v="15730.88"/>
    <n v="0"/>
    <n v="0"/>
    <x v="5"/>
    <x v="4"/>
    <s v="AutoPost 1489"/>
    <s v="EUR"/>
    <n v="-178.76"/>
    <x v="2"/>
    <n v="88"/>
    <n v="-15730.88"/>
  </r>
  <r>
    <s v="GL001490"/>
    <x v="111"/>
    <s v="6000"/>
    <x v="2"/>
    <n v="495.06"/>
    <n v="50991.18"/>
    <n v="0"/>
    <n v="0"/>
    <x v="4"/>
    <x v="0"/>
    <s v="AutoPost 1490"/>
    <s v="GBP"/>
    <n v="-495.06"/>
    <x v="2"/>
    <n v="103"/>
    <n v="-50991.18"/>
  </r>
  <r>
    <s v="GL001491"/>
    <x v="739"/>
    <s v="4010"/>
    <x v="4"/>
    <n v="0"/>
    <n v="0"/>
    <n v="309.72000000000003"/>
    <n v="31901.160000000003"/>
    <x v="0"/>
    <x v="4"/>
    <s v="AutoPost 1491"/>
    <s v="GBP"/>
    <n v="309.72000000000003"/>
    <x v="0"/>
    <n v="103"/>
    <n v="31901.160000000003"/>
  </r>
  <r>
    <s v="GL001492"/>
    <x v="32"/>
    <s v="5010"/>
    <x v="3"/>
    <n v="1106.6600000000001"/>
    <n v="61972.960000000006"/>
    <n v="0"/>
    <n v="0"/>
    <x v="2"/>
    <x v="0"/>
    <s v="AutoPost 1492"/>
    <s v="AUD"/>
    <n v="-1106.6600000000001"/>
    <x v="2"/>
    <n v="56"/>
    <n v="-61972.960000000006"/>
  </r>
  <r>
    <s v="GL001493"/>
    <x v="561"/>
    <s v="4010"/>
    <x v="4"/>
    <n v="0"/>
    <n v="0"/>
    <n v="4204.9399999999996"/>
    <n v="256501.33999999997"/>
    <x v="5"/>
    <x v="2"/>
    <s v="AutoPost 1493"/>
    <s v="CAD"/>
    <n v="4204.9399999999996"/>
    <x v="0"/>
    <n v="61"/>
    <n v="256501.33999999997"/>
  </r>
  <r>
    <s v="GL001494"/>
    <x v="648"/>
    <s v="6000"/>
    <x v="2"/>
    <n v="850.43"/>
    <n v="51876.229999999996"/>
    <n v="0"/>
    <n v="0"/>
    <x v="0"/>
    <x v="2"/>
    <s v="AutoPost 1494"/>
    <s v="CAD"/>
    <n v="-850.43"/>
    <x v="2"/>
    <n v="61"/>
    <n v="-51876.229999999996"/>
  </r>
  <r>
    <s v="GL001495"/>
    <x v="567"/>
    <s v="4000"/>
    <x v="0"/>
    <n v="0"/>
    <n v="0"/>
    <n v="4145.32"/>
    <n v="426967.95999999996"/>
    <x v="5"/>
    <x v="4"/>
    <s v="AutoPost 1495"/>
    <s v="GBP"/>
    <n v="4145.32"/>
    <x v="0"/>
    <n v="103"/>
    <n v="426967.95999999996"/>
  </r>
  <r>
    <s v="GL001496"/>
    <x v="282"/>
    <s v="5010"/>
    <x v="3"/>
    <n v="1312.14"/>
    <n v="80040.540000000008"/>
    <n v="0"/>
    <n v="0"/>
    <x v="3"/>
    <x v="2"/>
    <s v="AutoPost 1496"/>
    <s v="CAD"/>
    <n v="-1312.14"/>
    <x v="2"/>
    <n v="61"/>
    <n v="-80040.540000000008"/>
  </r>
  <r>
    <s v="GL001497"/>
    <x v="189"/>
    <s v="5010"/>
    <x v="3"/>
    <n v="1270.1400000000001"/>
    <n v="130824.42000000001"/>
    <n v="0"/>
    <n v="0"/>
    <x v="1"/>
    <x v="3"/>
    <s v="AutoPost 1497"/>
    <s v="GBP"/>
    <n v="-1270.1400000000001"/>
    <x v="2"/>
    <n v="103"/>
    <n v="-130824.42000000001"/>
  </r>
  <r>
    <s v="GL001498"/>
    <x v="226"/>
    <s v="5000"/>
    <x v="1"/>
    <n v="1891.12"/>
    <n v="194785.36"/>
    <n v="0"/>
    <n v="0"/>
    <x v="1"/>
    <x v="3"/>
    <s v="AutoPost 1498"/>
    <s v="GBP"/>
    <n v="-1891.12"/>
    <x v="1"/>
    <n v="103"/>
    <n v="-194785.36"/>
  </r>
  <r>
    <s v="GL001499"/>
    <x v="170"/>
    <s v="4000"/>
    <x v="0"/>
    <n v="0"/>
    <n v="0"/>
    <n v="4859.24"/>
    <n v="500501.72"/>
    <x v="4"/>
    <x v="2"/>
    <s v="AutoPost 1499"/>
    <s v="GBP"/>
    <n v="4859.24"/>
    <x v="0"/>
    <n v="103"/>
    <n v="500501.72"/>
  </r>
  <r>
    <s v="GL001500"/>
    <x v="81"/>
    <s v="4000"/>
    <x v="0"/>
    <n v="0"/>
    <n v="0"/>
    <n v="2711.83"/>
    <n v="279318.49"/>
    <x v="4"/>
    <x v="3"/>
    <s v="AutoPost 1500"/>
    <s v="GBP"/>
    <n v="2711.83"/>
    <x v="0"/>
    <n v="103"/>
    <n v="279318.49"/>
  </r>
  <r>
    <s v="GL001501"/>
    <x v="73"/>
    <s v="6000"/>
    <x v="2"/>
    <n v="648.23"/>
    <n v="39542.03"/>
    <n v="0"/>
    <n v="0"/>
    <x v="1"/>
    <x v="1"/>
    <s v="AutoPost 1501"/>
    <s v="CAD"/>
    <n v="-648.23"/>
    <x v="2"/>
    <n v="61"/>
    <n v="-39542.03"/>
  </r>
  <r>
    <s v="GL001502"/>
    <x v="285"/>
    <s v="4010"/>
    <x v="4"/>
    <n v="0"/>
    <n v="0"/>
    <n v="3468.1"/>
    <n v="305192.8"/>
    <x v="3"/>
    <x v="1"/>
    <s v="AutoPost 1502"/>
    <s v="EUR"/>
    <n v="3468.1"/>
    <x v="0"/>
    <n v="88"/>
    <n v="305192.8"/>
  </r>
  <r>
    <s v="GL001503"/>
    <x v="160"/>
    <s v="4010"/>
    <x v="4"/>
    <n v="0"/>
    <n v="0"/>
    <n v="252.83"/>
    <n v="15422.630000000001"/>
    <x v="3"/>
    <x v="2"/>
    <s v="AutoPost 1503"/>
    <s v="CAD"/>
    <n v="252.83"/>
    <x v="0"/>
    <n v="61"/>
    <n v="15422.630000000001"/>
  </r>
  <r>
    <s v="GL001504"/>
    <x v="12"/>
    <s v="5010"/>
    <x v="3"/>
    <n v="1268.1099999999999"/>
    <n v="77354.709999999992"/>
    <n v="0"/>
    <n v="0"/>
    <x v="1"/>
    <x v="4"/>
    <s v="AutoPost 1504"/>
    <s v="CAD"/>
    <n v="-1268.1099999999999"/>
    <x v="2"/>
    <n v="61"/>
    <n v="-77354.709999999992"/>
  </r>
  <r>
    <s v="GL001505"/>
    <x v="316"/>
    <s v="5000"/>
    <x v="1"/>
    <n v="574.22"/>
    <n v="32156.32"/>
    <n v="0"/>
    <n v="0"/>
    <x v="3"/>
    <x v="1"/>
    <s v="AutoPost 1505"/>
    <s v="AUD"/>
    <n v="-574.22"/>
    <x v="1"/>
    <n v="56"/>
    <n v="-32156.32"/>
  </r>
  <r>
    <s v="GL001506"/>
    <x v="197"/>
    <s v="5010"/>
    <x v="3"/>
    <n v="406.62"/>
    <n v="35782.559999999998"/>
    <n v="0"/>
    <n v="0"/>
    <x v="1"/>
    <x v="4"/>
    <s v="AutoPost 1506"/>
    <s v="EUR"/>
    <n v="-406.62"/>
    <x v="2"/>
    <n v="88"/>
    <n v="-35782.559999999998"/>
  </r>
  <r>
    <s v="GL001507"/>
    <x v="397"/>
    <s v="4010"/>
    <x v="4"/>
    <n v="0"/>
    <n v="0"/>
    <n v="4055.84"/>
    <n v="417751.52"/>
    <x v="5"/>
    <x v="4"/>
    <s v="AutoPost 1507"/>
    <s v="GBP"/>
    <n v="4055.84"/>
    <x v="0"/>
    <n v="103"/>
    <n v="417751.52"/>
  </r>
  <r>
    <s v="GL001508"/>
    <x v="675"/>
    <s v="4000"/>
    <x v="0"/>
    <n v="0"/>
    <n v="0"/>
    <n v="3804.94"/>
    <n v="391908.82"/>
    <x v="0"/>
    <x v="4"/>
    <s v="AutoPost 1508"/>
    <s v="GBP"/>
    <n v="3804.94"/>
    <x v="0"/>
    <n v="103"/>
    <n v="391908.82"/>
  </r>
  <r>
    <s v="GL001509"/>
    <x v="740"/>
    <s v="4000"/>
    <x v="0"/>
    <n v="0"/>
    <n v="0"/>
    <n v="2037.61"/>
    <n v="114106.15999999999"/>
    <x v="5"/>
    <x v="2"/>
    <s v="AutoPost 1509"/>
    <s v="AUD"/>
    <n v="2037.61"/>
    <x v="0"/>
    <n v="56"/>
    <n v="114106.15999999999"/>
  </r>
  <r>
    <s v="GL001510"/>
    <x v="19"/>
    <s v="5000"/>
    <x v="1"/>
    <n v="1702.53"/>
    <n v="175360.59"/>
    <n v="0"/>
    <n v="0"/>
    <x v="2"/>
    <x v="4"/>
    <s v="AutoPost 1510"/>
    <s v="GBP"/>
    <n v="-1702.53"/>
    <x v="1"/>
    <n v="103"/>
    <n v="-175360.59"/>
  </r>
  <r>
    <s v="GL001511"/>
    <x v="721"/>
    <s v="4000"/>
    <x v="0"/>
    <n v="0"/>
    <n v="0"/>
    <n v="829.97"/>
    <n v="68057.540000000008"/>
    <x v="4"/>
    <x v="1"/>
    <s v="AutoPost 1511"/>
    <s v="USD"/>
    <n v="829.97"/>
    <x v="0"/>
    <n v="82"/>
    <n v="68057.540000000008"/>
  </r>
  <r>
    <s v="GL001512"/>
    <x v="302"/>
    <s v="4000"/>
    <x v="0"/>
    <n v="0"/>
    <n v="0"/>
    <n v="4946.1000000000004"/>
    <n v="276981.60000000003"/>
    <x v="1"/>
    <x v="0"/>
    <s v="AutoPost 1512"/>
    <s v="AUD"/>
    <n v="4946.1000000000004"/>
    <x v="0"/>
    <n v="56"/>
    <n v="276981.60000000003"/>
  </r>
  <r>
    <s v="GL001513"/>
    <x v="741"/>
    <s v="4000"/>
    <x v="0"/>
    <n v="0"/>
    <n v="0"/>
    <n v="2736.74"/>
    <n v="153257.44"/>
    <x v="1"/>
    <x v="2"/>
    <s v="AutoPost 1513"/>
    <s v="AUD"/>
    <n v="2736.74"/>
    <x v="0"/>
    <n v="56"/>
    <n v="153257.44"/>
  </r>
  <r>
    <s v="GL001514"/>
    <x v="343"/>
    <s v="6000"/>
    <x v="2"/>
    <n v="1372.85"/>
    <n v="141403.54999999999"/>
    <n v="0"/>
    <n v="0"/>
    <x v="2"/>
    <x v="0"/>
    <s v="AutoPost 1514"/>
    <s v="GBP"/>
    <n v="-1372.85"/>
    <x v="2"/>
    <n v="103"/>
    <n v="-141403.54999999999"/>
  </r>
  <r>
    <s v="GL001515"/>
    <x v="353"/>
    <s v="5010"/>
    <x v="3"/>
    <n v="1842.13"/>
    <n v="103159.28"/>
    <n v="0"/>
    <n v="0"/>
    <x v="2"/>
    <x v="3"/>
    <s v="AutoPost 1515"/>
    <s v="AUD"/>
    <n v="-1842.13"/>
    <x v="2"/>
    <n v="56"/>
    <n v="-103159.28"/>
  </r>
  <r>
    <s v="GL001516"/>
    <x v="742"/>
    <s v="4000"/>
    <x v="0"/>
    <n v="0"/>
    <n v="0"/>
    <n v="4447.99"/>
    <n v="249087.44"/>
    <x v="0"/>
    <x v="1"/>
    <s v="AutoPost 1516"/>
    <s v="AUD"/>
    <n v="4447.99"/>
    <x v="0"/>
    <n v="56"/>
    <n v="249087.44"/>
  </r>
  <r>
    <s v="GL001517"/>
    <x v="638"/>
    <s v="4010"/>
    <x v="4"/>
    <n v="0"/>
    <n v="0"/>
    <n v="758.28"/>
    <n v="78102.84"/>
    <x v="5"/>
    <x v="1"/>
    <s v="AutoPost 1517"/>
    <s v="GBP"/>
    <n v="758.28"/>
    <x v="0"/>
    <n v="103"/>
    <n v="78102.84"/>
  </r>
  <r>
    <s v="GL001518"/>
    <x v="70"/>
    <s v="4000"/>
    <x v="0"/>
    <n v="0"/>
    <n v="0"/>
    <n v="934.01"/>
    <n v="82192.88"/>
    <x v="1"/>
    <x v="0"/>
    <s v="AutoPost 1518"/>
    <s v="EUR"/>
    <n v="934.01"/>
    <x v="0"/>
    <n v="88"/>
    <n v="82192.88"/>
  </r>
  <r>
    <s v="GL001519"/>
    <x v="569"/>
    <s v="5010"/>
    <x v="3"/>
    <n v="1161.7"/>
    <n v="70863.7"/>
    <n v="0"/>
    <n v="0"/>
    <x v="2"/>
    <x v="4"/>
    <s v="AutoPost 1519"/>
    <s v="CAD"/>
    <n v="-1161.7"/>
    <x v="2"/>
    <n v="61"/>
    <n v="-70863.7"/>
  </r>
  <r>
    <s v="GL001520"/>
    <x v="737"/>
    <s v="5010"/>
    <x v="3"/>
    <n v="1276.22"/>
    <n v="104650.04000000001"/>
    <n v="0"/>
    <n v="0"/>
    <x v="0"/>
    <x v="0"/>
    <s v="AutoPost 1520"/>
    <s v="USD"/>
    <n v="-1276.22"/>
    <x v="2"/>
    <n v="82"/>
    <n v="-104650.04000000001"/>
  </r>
  <r>
    <s v="GL001521"/>
    <x v="743"/>
    <s v="5000"/>
    <x v="1"/>
    <n v="383.71"/>
    <n v="31464.219999999998"/>
    <n v="0"/>
    <n v="0"/>
    <x v="3"/>
    <x v="4"/>
    <s v="AutoPost 1521"/>
    <s v="USD"/>
    <n v="-383.71"/>
    <x v="1"/>
    <n v="82"/>
    <n v="-31464.219999999998"/>
  </r>
  <r>
    <s v="GL001522"/>
    <x v="744"/>
    <s v="4000"/>
    <x v="0"/>
    <n v="0"/>
    <n v="0"/>
    <n v="3468.9"/>
    <n v="305263.2"/>
    <x v="1"/>
    <x v="0"/>
    <s v="AutoPost 1522"/>
    <s v="EUR"/>
    <n v="3468.9"/>
    <x v="0"/>
    <n v="88"/>
    <n v="305263.2"/>
  </r>
  <r>
    <s v="GL001523"/>
    <x v="122"/>
    <s v="5000"/>
    <x v="1"/>
    <n v="1158.8"/>
    <n v="95021.599999999991"/>
    <n v="0"/>
    <n v="0"/>
    <x v="5"/>
    <x v="1"/>
    <s v="AutoPost 1523"/>
    <s v="USD"/>
    <n v="-1158.8"/>
    <x v="1"/>
    <n v="82"/>
    <n v="-95021.599999999991"/>
  </r>
  <r>
    <s v="GL001524"/>
    <x v="93"/>
    <s v="4000"/>
    <x v="0"/>
    <n v="0"/>
    <n v="0"/>
    <n v="2396.8000000000002"/>
    <n v="146204.80000000002"/>
    <x v="2"/>
    <x v="3"/>
    <s v="AutoPost 1524"/>
    <s v="CAD"/>
    <n v="2396.8000000000002"/>
    <x v="0"/>
    <n v="61"/>
    <n v="146204.80000000002"/>
  </r>
  <r>
    <s v="GL001525"/>
    <x v="182"/>
    <s v="4010"/>
    <x v="4"/>
    <n v="0"/>
    <n v="0"/>
    <n v="2827.95"/>
    <n v="231891.9"/>
    <x v="4"/>
    <x v="3"/>
    <s v="AutoPost 1525"/>
    <s v="USD"/>
    <n v="2827.95"/>
    <x v="0"/>
    <n v="82"/>
    <n v="231891.9"/>
  </r>
  <r>
    <s v="GL001526"/>
    <x v="153"/>
    <s v="6000"/>
    <x v="2"/>
    <n v="1359.89"/>
    <n v="140068.67000000001"/>
    <n v="0"/>
    <n v="0"/>
    <x v="0"/>
    <x v="4"/>
    <s v="AutoPost 1526"/>
    <s v="GBP"/>
    <n v="-1359.89"/>
    <x v="2"/>
    <n v="103"/>
    <n v="-140068.67000000001"/>
  </r>
  <r>
    <s v="GL001527"/>
    <x v="530"/>
    <s v="4000"/>
    <x v="0"/>
    <n v="0"/>
    <n v="0"/>
    <n v="663.19"/>
    <n v="54381.58"/>
    <x v="5"/>
    <x v="4"/>
    <s v="AutoPost 1527"/>
    <s v="USD"/>
    <n v="663.19"/>
    <x v="0"/>
    <n v="82"/>
    <n v="54381.58"/>
  </r>
  <r>
    <s v="GL001528"/>
    <x v="49"/>
    <s v="5010"/>
    <x v="3"/>
    <n v="1878.74"/>
    <n v="193510.22"/>
    <n v="0"/>
    <n v="0"/>
    <x v="1"/>
    <x v="1"/>
    <s v="AutoPost 1528"/>
    <s v="GBP"/>
    <n v="-1878.74"/>
    <x v="2"/>
    <n v="103"/>
    <n v="-193510.22"/>
  </r>
  <r>
    <s v="GL001529"/>
    <x v="210"/>
    <s v="5000"/>
    <x v="1"/>
    <n v="741.28"/>
    <n v="76351.839999999997"/>
    <n v="0"/>
    <n v="0"/>
    <x v="1"/>
    <x v="3"/>
    <s v="AutoPost 1529"/>
    <s v="GBP"/>
    <n v="-741.28"/>
    <x v="1"/>
    <n v="103"/>
    <n v="-76351.839999999997"/>
  </r>
  <r>
    <s v="GL001530"/>
    <x v="368"/>
    <s v="4000"/>
    <x v="0"/>
    <n v="0"/>
    <n v="0"/>
    <n v="1824.31"/>
    <n v="160539.28"/>
    <x v="1"/>
    <x v="3"/>
    <s v="AutoPost 1530"/>
    <s v="EUR"/>
    <n v="1824.31"/>
    <x v="0"/>
    <n v="88"/>
    <n v="160539.28"/>
  </r>
  <r>
    <s v="GL001531"/>
    <x v="723"/>
    <s v="4010"/>
    <x v="4"/>
    <n v="0"/>
    <n v="0"/>
    <n v="4296.04"/>
    <n v="240578.24"/>
    <x v="1"/>
    <x v="1"/>
    <s v="AutoPost 1531"/>
    <s v="AUD"/>
    <n v="4296.04"/>
    <x v="0"/>
    <n v="56"/>
    <n v="240578.24"/>
  </r>
  <r>
    <s v="GL001532"/>
    <x v="463"/>
    <s v="5010"/>
    <x v="3"/>
    <n v="1969.36"/>
    <n v="120130.95999999999"/>
    <n v="0"/>
    <n v="0"/>
    <x v="2"/>
    <x v="0"/>
    <s v="AutoPost 1532"/>
    <s v="CAD"/>
    <n v="-1969.36"/>
    <x v="2"/>
    <n v="61"/>
    <n v="-120130.95999999999"/>
  </r>
  <r>
    <s v="GL001533"/>
    <x v="710"/>
    <s v="5010"/>
    <x v="3"/>
    <n v="980.89"/>
    <n v="86318.319999999992"/>
    <n v="0"/>
    <n v="0"/>
    <x v="5"/>
    <x v="0"/>
    <s v="AutoPost 1533"/>
    <s v="EUR"/>
    <n v="-980.89"/>
    <x v="2"/>
    <n v="88"/>
    <n v="-86318.319999999992"/>
  </r>
  <r>
    <s v="GL001534"/>
    <x v="184"/>
    <s v="6000"/>
    <x v="2"/>
    <n v="618.26"/>
    <n v="50697.32"/>
    <n v="0"/>
    <n v="0"/>
    <x v="2"/>
    <x v="4"/>
    <s v="AutoPost 1534"/>
    <s v="USD"/>
    <n v="-618.26"/>
    <x v="2"/>
    <n v="82"/>
    <n v="-50697.32"/>
  </r>
  <r>
    <s v="GL001535"/>
    <x v="622"/>
    <s v="5010"/>
    <x v="3"/>
    <n v="665.47"/>
    <n v="58561.36"/>
    <n v="0"/>
    <n v="0"/>
    <x v="2"/>
    <x v="0"/>
    <s v="AutoPost 1535"/>
    <s v="EUR"/>
    <n v="-665.47"/>
    <x v="2"/>
    <n v="88"/>
    <n v="-58561.36"/>
  </r>
  <r>
    <s v="GL001536"/>
    <x v="59"/>
    <s v="5000"/>
    <x v="1"/>
    <n v="982.03"/>
    <n v="101149.09"/>
    <n v="0"/>
    <n v="0"/>
    <x v="4"/>
    <x v="4"/>
    <s v="AutoPost 1536"/>
    <s v="GBP"/>
    <n v="-982.03"/>
    <x v="1"/>
    <n v="103"/>
    <n v="-101149.09"/>
  </r>
  <r>
    <s v="GL001537"/>
    <x v="745"/>
    <s v="5000"/>
    <x v="1"/>
    <n v="339.89"/>
    <n v="19033.84"/>
    <n v="0"/>
    <n v="0"/>
    <x v="4"/>
    <x v="4"/>
    <s v="AutoPost 1537"/>
    <s v="AUD"/>
    <n v="-339.89"/>
    <x v="1"/>
    <n v="56"/>
    <n v="-19033.84"/>
  </r>
  <r>
    <s v="GL001538"/>
    <x v="19"/>
    <s v="5010"/>
    <x v="3"/>
    <n v="535.34"/>
    <n v="29979.040000000001"/>
    <n v="0"/>
    <n v="0"/>
    <x v="1"/>
    <x v="3"/>
    <s v="AutoPost 1538"/>
    <s v="AUD"/>
    <n v="-535.34"/>
    <x v="2"/>
    <n v="56"/>
    <n v="-29979.040000000001"/>
  </r>
  <r>
    <s v="GL001539"/>
    <x v="318"/>
    <s v="5010"/>
    <x v="3"/>
    <n v="1582.13"/>
    <n v="96509.930000000008"/>
    <n v="0"/>
    <n v="0"/>
    <x v="2"/>
    <x v="3"/>
    <s v="AutoPost 1539"/>
    <s v="CAD"/>
    <n v="-1582.13"/>
    <x v="2"/>
    <n v="61"/>
    <n v="-96509.930000000008"/>
  </r>
  <r>
    <s v="GL001540"/>
    <x v="110"/>
    <s v="5000"/>
    <x v="1"/>
    <n v="350.21"/>
    <n v="36071.629999999997"/>
    <n v="0"/>
    <n v="0"/>
    <x v="4"/>
    <x v="2"/>
    <s v="AutoPost 1540"/>
    <s v="GBP"/>
    <n v="-350.21"/>
    <x v="1"/>
    <n v="103"/>
    <n v="-36071.629999999997"/>
  </r>
  <r>
    <s v="GL001541"/>
    <x v="195"/>
    <s v="5000"/>
    <x v="1"/>
    <n v="889.68"/>
    <n v="49822.079999999994"/>
    <n v="0"/>
    <n v="0"/>
    <x v="3"/>
    <x v="1"/>
    <s v="AutoPost 1541"/>
    <s v="AUD"/>
    <n v="-889.68"/>
    <x v="1"/>
    <n v="56"/>
    <n v="-49822.079999999994"/>
  </r>
  <r>
    <s v="GL001542"/>
    <x v="348"/>
    <s v="5000"/>
    <x v="1"/>
    <n v="1155.53"/>
    <n v="64709.68"/>
    <n v="0"/>
    <n v="0"/>
    <x v="1"/>
    <x v="2"/>
    <s v="AutoPost 1542"/>
    <s v="AUD"/>
    <n v="-1155.53"/>
    <x v="1"/>
    <n v="56"/>
    <n v="-64709.68"/>
  </r>
  <r>
    <s v="GL001543"/>
    <x v="305"/>
    <s v="4010"/>
    <x v="4"/>
    <n v="0"/>
    <n v="0"/>
    <n v="827.97"/>
    <n v="67893.540000000008"/>
    <x v="0"/>
    <x v="3"/>
    <s v="AutoPost 1543"/>
    <s v="USD"/>
    <n v="827.97"/>
    <x v="0"/>
    <n v="82"/>
    <n v="67893.540000000008"/>
  </r>
  <r>
    <s v="GL001544"/>
    <x v="746"/>
    <s v="4010"/>
    <x v="4"/>
    <n v="0"/>
    <n v="0"/>
    <n v="2525.69"/>
    <n v="222260.72"/>
    <x v="3"/>
    <x v="4"/>
    <s v="AutoPost 1544"/>
    <s v="EUR"/>
    <n v="2525.69"/>
    <x v="0"/>
    <n v="88"/>
    <n v="222260.72"/>
  </r>
  <r>
    <s v="GL001545"/>
    <x v="217"/>
    <s v="5000"/>
    <x v="1"/>
    <n v="1395.73"/>
    <n v="143760.19"/>
    <n v="0"/>
    <n v="0"/>
    <x v="4"/>
    <x v="0"/>
    <s v="AutoPost 1545"/>
    <s v="GBP"/>
    <n v="-1395.73"/>
    <x v="1"/>
    <n v="103"/>
    <n v="-143760.19"/>
  </r>
  <r>
    <s v="GL001546"/>
    <x v="14"/>
    <s v="4010"/>
    <x v="4"/>
    <n v="0"/>
    <n v="0"/>
    <n v="1888.44"/>
    <n v="194509.32"/>
    <x v="4"/>
    <x v="0"/>
    <s v="AutoPost 1546"/>
    <s v="GBP"/>
    <n v="1888.44"/>
    <x v="0"/>
    <n v="103"/>
    <n v="194509.32"/>
  </r>
  <r>
    <s v="GL001547"/>
    <x v="515"/>
    <s v="4010"/>
    <x v="4"/>
    <n v="0"/>
    <n v="0"/>
    <n v="718.52"/>
    <n v="43829.72"/>
    <x v="2"/>
    <x v="2"/>
    <s v="AutoPost 1547"/>
    <s v="CAD"/>
    <n v="718.52"/>
    <x v="0"/>
    <n v="61"/>
    <n v="43829.72"/>
  </r>
  <r>
    <s v="GL001548"/>
    <x v="270"/>
    <s v="6000"/>
    <x v="2"/>
    <n v="378.77"/>
    <n v="39013.31"/>
    <n v="0"/>
    <n v="0"/>
    <x v="4"/>
    <x v="0"/>
    <s v="AutoPost 1548"/>
    <s v="GBP"/>
    <n v="-378.77"/>
    <x v="2"/>
    <n v="103"/>
    <n v="-39013.31"/>
  </r>
  <r>
    <s v="GL001549"/>
    <x v="455"/>
    <s v="6000"/>
    <x v="2"/>
    <n v="1317.88"/>
    <n v="80390.680000000008"/>
    <n v="0"/>
    <n v="0"/>
    <x v="5"/>
    <x v="1"/>
    <s v="AutoPost 1549"/>
    <s v="CAD"/>
    <n v="-1317.88"/>
    <x v="2"/>
    <n v="61"/>
    <n v="-80390.680000000008"/>
  </r>
  <r>
    <s v="GL001550"/>
    <x v="209"/>
    <s v="5000"/>
    <x v="1"/>
    <n v="636.6"/>
    <n v="56020.800000000003"/>
    <n v="0"/>
    <n v="0"/>
    <x v="4"/>
    <x v="2"/>
    <s v="AutoPost 1550"/>
    <s v="EUR"/>
    <n v="-636.6"/>
    <x v="1"/>
    <n v="88"/>
    <n v="-56020.800000000003"/>
  </r>
  <r>
    <s v="GL001551"/>
    <x v="747"/>
    <s v="4000"/>
    <x v="0"/>
    <n v="0"/>
    <n v="0"/>
    <n v="4170.5"/>
    <n v="367004"/>
    <x v="2"/>
    <x v="4"/>
    <s v="AutoPost 1551"/>
    <s v="EUR"/>
    <n v="4170.5"/>
    <x v="0"/>
    <n v="88"/>
    <n v="367004"/>
  </r>
  <r>
    <s v="GL001552"/>
    <x v="196"/>
    <s v="4000"/>
    <x v="0"/>
    <n v="0"/>
    <n v="0"/>
    <n v="1923.84"/>
    <n v="117354.23999999999"/>
    <x v="5"/>
    <x v="4"/>
    <s v="AutoPost 1552"/>
    <s v="CAD"/>
    <n v="1923.84"/>
    <x v="0"/>
    <n v="61"/>
    <n v="117354.23999999999"/>
  </r>
  <r>
    <s v="GL001553"/>
    <x v="160"/>
    <s v="6000"/>
    <x v="2"/>
    <n v="736.29"/>
    <n v="44913.689999999995"/>
    <n v="0"/>
    <n v="0"/>
    <x v="0"/>
    <x v="2"/>
    <s v="AutoPost 1553"/>
    <s v="CAD"/>
    <n v="-736.29"/>
    <x v="2"/>
    <n v="61"/>
    <n v="-44913.689999999995"/>
  </r>
  <r>
    <s v="GL001554"/>
    <x v="748"/>
    <s v="4010"/>
    <x v="4"/>
    <n v="0"/>
    <n v="0"/>
    <n v="4712.88"/>
    <n v="263921.28000000003"/>
    <x v="5"/>
    <x v="3"/>
    <s v="AutoPost 1554"/>
    <s v="AUD"/>
    <n v="4712.88"/>
    <x v="0"/>
    <n v="56"/>
    <n v="263921.28000000003"/>
  </r>
  <r>
    <s v="GL001555"/>
    <x v="465"/>
    <s v="4010"/>
    <x v="4"/>
    <n v="0"/>
    <n v="0"/>
    <n v="2946.82"/>
    <n v="165021.92000000001"/>
    <x v="4"/>
    <x v="2"/>
    <s v="AutoPost 1555"/>
    <s v="AUD"/>
    <n v="2946.82"/>
    <x v="0"/>
    <n v="56"/>
    <n v="165021.92000000001"/>
  </r>
  <r>
    <s v="GL001556"/>
    <x v="228"/>
    <s v="6000"/>
    <x v="2"/>
    <n v="1985.74"/>
    <n v="111201.44"/>
    <n v="0"/>
    <n v="0"/>
    <x v="0"/>
    <x v="1"/>
    <s v="AutoPost 1556"/>
    <s v="AUD"/>
    <n v="-1985.74"/>
    <x v="2"/>
    <n v="56"/>
    <n v="-111201.44"/>
  </r>
  <r>
    <s v="GL001557"/>
    <x v="350"/>
    <s v="5000"/>
    <x v="1"/>
    <n v="1835.61"/>
    <n v="150520.01999999999"/>
    <n v="0"/>
    <n v="0"/>
    <x v="0"/>
    <x v="3"/>
    <s v="AutoPost 1557"/>
    <s v="USD"/>
    <n v="-1835.61"/>
    <x v="1"/>
    <n v="82"/>
    <n v="-150520.01999999999"/>
  </r>
  <r>
    <s v="GL001558"/>
    <x v="376"/>
    <s v="5000"/>
    <x v="1"/>
    <n v="509.51"/>
    <n v="31080.11"/>
    <n v="0"/>
    <n v="0"/>
    <x v="4"/>
    <x v="4"/>
    <s v="AutoPost 1558"/>
    <s v="CAD"/>
    <n v="-509.51"/>
    <x v="1"/>
    <n v="61"/>
    <n v="-31080.11"/>
  </r>
  <r>
    <s v="GL001559"/>
    <x v="78"/>
    <s v="4010"/>
    <x v="4"/>
    <n v="0"/>
    <n v="0"/>
    <n v="573.51"/>
    <n v="47027.82"/>
    <x v="4"/>
    <x v="0"/>
    <s v="AutoPost 1559"/>
    <s v="USD"/>
    <n v="573.51"/>
    <x v="0"/>
    <n v="82"/>
    <n v="47027.82"/>
  </r>
  <r>
    <s v="GL001560"/>
    <x v="627"/>
    <s v="4000"/>
    <x v="0"/>
    <n v="0"/>
    <n v="0"/>
    <n v="3740.72"/>
    <n v="306739.03999999998"/>
    <x v="3"/>
    <x v="1"/>
    <s v="AutoPost 1560"/>
    <s v="USD"/>
    <n v="3740.72"/>
    <x v="0"/>
    <n v="82"/>
    <n v="306739.03999999998"/>
  </r>
  <r>
    <s v="GL001561"/>
    <x v="592"/>
    <s v="5000"/>
    <x v="1"/>
    <n v="1930.33"/>
    <n v="117750.12999999999"/>
    <n v="0"/>
    <n v="0"/>
    <x v="2"/>
    <x v="4"/>
    <s v="AutoPost 1561"/>
    <s v="CAD"/>
    <n v="-1930.33"/>
    <x v="1"/>
    <n v="61"/>
    <n v="-117750.12999999999"/>
  </r>
  <r>
    <s v="GL001562"/>
    <x v="116"/>
    <s v="5010"/>
    <x v="3"/>
    <n v="1936.61"/>
    <n v="170421.68"/>
    <n v="0"/>
    <n v="0"/>
    <x v="4"/>
    <x v="1"/>
    <s v="AutoPost 1562"/>
    <s v="EUR"/>
    <n v="-1936.61"/>
    <x v="2"/>
    <n v="88"/>
    <n v="-170421.68"/>
  </r>
  <r>
    <s v="GL001563"/>
    <x v="749"/>
    <s v="4000"/>
    <x v="0"/>
    <n v="0"/>
    <n v="0"/>
    <n v="3625.02"/>
    <n v="221126.22"/>
    <x v="4"/>
    <x v="4"/>
    <s v="AutoPost 1563"/>
    <s v="CAD"/>
    <n v="3625.02"/>
    <x v="0"/>
    <n v="61"/>
    <n v="221126.22"/>
  </r>
  <r>
    <s v="GL001564"/>
    <x v="241"/>
    <s v="4000"/>
    <x v="0"/>
    <n v="0"/>
    <n v="0"/>
    <n v="3348.1"/>
    <n v="294632.8"/>
    <x v="3"/>
    <x v="0"/>
    <s v="AutoPost 1564"/>
    <s v="EUR"/>
    <n v="3348.1"/>
    <x v="0"/>
    <n v="88"/>
    <n v="294632.8"/>
  </r>
  <r>
    <s v="GL001565"/>
    <x v="750"/>
    <s v="5010"/>
    <x v="3"/>
    <n v="760.59"/>
    <n v="46395.990000000005"/>
    <n v="0"/>
    <n v="0"/>
    <x v="1"/>
    <x v="2"/>
    <s v="AutoPost 1565"/>
    <s v="CAD"/>
    <n v="-760.59"/>
    <x v="2"/>
    <n v="61"/>
    <n v="-46395.990000000005"/>
  </r>
  <r>
    <s v="GL001566"/>
    <x v="29"/>
    <s v="4010"/>
    <x v="4"/>
    <n v="0"/>
    <n v="0"/>
    <n v="3208.4"/>
    <n v="282339.20000000001"/>
    <x v="3"/>
    <x v="0"/>
    <s v="AutoPost 1566"/>
    <s v="EUR"/>
    <n v="3208.4"/>
    <x v="0"/>
    <n v="88"/>
    <n v="282339.20000000001"/>
  </r>
  <r>
    <s v="GL001567"/>
    <x v="751"/>
    <s v="6000"/>
    <x v="2"/>
    <n v="420.76"/>
    <n v="43338.28"/>
    <n v="0"/>
    <n v="0"/>
    <x v="3"/>
    <x v="1"/>
    <s v="AutoPost 1567"/>
    <s v="GBP"/>
    <n v="-420.76"/>
    <x v="2"/>
    <n v="103"/>
    <n v="-43338.28"/>
  </r>
  <r>
    <s v="GL001568"/>
    <x v="658"/>
    <s v="5010"/>
    <x v="3"/>
    <n v="1497.64"/>
    <n v="122806.48000000001"/>
    <n v="0"/>
    <n v="0"/>
    <x v="1"/>
    <x v="2"/>
    <s v="AutoPost 1568"/>
    <s v="USD"/>
    <n v="-1497.64"/>
    <x v="2"/>
    <n v="82"/>
    <n v="-122806.48000000001"/>
  </r>
  <r>
    <s v="GL001569"/>
    <x v="705"/>
    <s v="4010"/>
    <x v="4"/>
    <n v="0"/>
    <n v="0"/>
    <n v="3033.61"/>
    <n v="312461.83"/>
    <x v="1"/>
    <x v="4"/>
    <s v="AutoPost 1569"/>
    <s v="GBP"/>
    <n v="3033.61"/>
    <x v="0"/>
    <n v="103"/>
    <n v="312461.83"/>
  </r>
  <r>
    <s v="GL001570"/>
    <x v="657"/>
    <s v="4000"/>
    <x v="0"/>
    <n v="0"/>
    <n v="0"/>
    <n v="1502.06"/>
    <n v="84115.36"/>
    <x v="2"/>
    <x v="1"/>
    <s v="AutoPost 1570"/>
    <s v="AUD"/>
    <n v="1502.06"/>
    <x v="0"/>
    <n v="56"/>
    <n v="84115.36"/>
  </r>
  <r>
    <s v="GL001571"/>
    <x v="589"/>
    <s v="5000"/>
    <x v="1"/>
    <n v="532.65"/>
    <n v="54862.95"/>
    <n v="0"/>
    <n v="0"/>
    <x v="2"/>
    <x v="2"/>
    <s v="AutoPost 1571"/>
    <s v="GBP"/>
    <n v="-532.65"/>
    <x v="1"/>
    <n v="103"/>
    <n v="-54862.95"/>
  </r>
  <r>
    <s v="GL001572"/>
    <x v="147"/>
    <s v="4010"/>
    <x v="4"/>
    <n v="0"/>
    <n v="0"/>
    <n v="4109.07"/>
    <n v="230107.91999999998"/>
    <x v="0"/>
    <x v="4"/>
    <s v="AutoPost 1572"/>
    <s v="AUD"/>
    <n v="4109.07"/>
    <x v="0"/>
    <n v="56"/>
    <n v="230107.91999999998"/>
  </r>
  <r>
    <s v="GL001573"/>
    <x v="15"/>
    <s v="4000"/>
    <x v="0"/>
    <n v="0"/>
    <n v="0"/>
    <n v="3235.61"/>
    <n v="181194.16"/>
    <x v="2"/>
    <x v="0"/>
    <s v="AutoPost 1573"/>
    <s v="AUD"/>
    <n v="3235.61"/>
    <x v="0"/>
    <n v="56"/>
    <n v="181194.16"/>
  </r>
  <r>
    <s v="GL001574"/>
    <x v="165"/>
    <s v="5000"/>
    <x v="1"/>
    <n v="1836.46"/>
    <n v="150589.72"/>
    <n v="0"/>
    <n v="0"/>
    <x v="3"/>
    <x v="0"/>
    <s v="AutoPost 1574"/>
    <s v="USD"/>
    <n v="-1836.46"/>
    <x v="1"/>
    <n v="82"/>
    <n v="-150589.72"/>
  </r>
  <r>
    <s v="GL001575"/>
    <x v="551"/>
    <s v="6000"/>
    <x v="2"/>
    <n v="1120.92"/>
    <n v="68376.12000000001"/>
    <n v="0"/>
    <n v="0"/>
    <x v="4"/>
    <x v="1"/>
    <s v="AutoPost 1575"/>
    <s v="CAD"/>
    <n v="-1120.92"/>
    <x v="2"/>
    <n v="61"/>
    <n v="-68376.12000000001"/>
  </r>
  <r>
    <s v="GL001576"/>
    <x v="744"/>
    <s v="4010"/>
    <x v="4"/>
    <n v="0"/>
    <n v="0"/>
    <n v="4622.21"/>
    <n v="379021.22000000003"/>
    <x v="2"/>
    <x v="2"/>
    <s v="AutoPost 1576"/>
    <s v="USD"/>
    <n v="4622.21"/>
    <x v="0"/>
    <n v="82"/>
    <n v="379021.22000000003"/>
  </r>
  <r>
    <s v="GL001577"/>
    <x v="351"/>
    <s v="5010"/>
    <x v="3"/>
    <n v="1067.19"/>
    <n v="87509.58"/>
    <n v="0"/>
    <n v="0"/>
    <x v="1"/>
    <x v="2"/>
    <s v="AutoPost 1577"/>
    <s v="USD"/>
    <n v="-1067.19"/>
    <x v="2"/>
    <n v="82"/>
    <n v="-87509.58"/>
  </r>
  <r>
    <s v="GL001578"/>
    <x v="137"/>
    <s v="5010"/>
    <x v="3"/>
    <n v="1712.89"/>
    <n v="104486.29000000001"/>
    <n v="0"/>
    <n v="0"/>
    <x v="5"/>
    <x v="4"/>
    <s v="AutoPost 1578"/>
    <s v="CAD"/>
    <n v="-1712.89"/>
    <x v="2"/>
    <n v="61"/>
    <n v="-104486.29000000001"/>
  </r>
  <r>
    <s v="GL001579"/>
    <x v="230"/>
    <s v="5010"/>
    <x v="3"/>
    <n v="857.16"/>
    <n v="48000.959999999999"/>
    <n v="0"/>
    <n v="0"/>
    <x v="1"/>
    <x v="4"/>
    <s v="AutoPost 1579"/>
    <s v="AUD"/>
    <n v="-857.16"/>
    <x v="2"/>
    <n v="56"/>
    <n v="-48000.959999999999"/>
  </r>
  <r>
    <s v="GL001580"/>
    <x v="51"/>
    <s v="4010"/>
    <x v="4"/>
    <n v="0"/>
    <n v="0"/>
    <n v="1913.45"/>
    <n v="197085.35"/>
    <x v="5"/>
    <x v="1"/>
    <s v="AutoPost 1580"/>
    <s v="GBP"/>
    <n v="1913.45"/>
    <x v="0"/>
    <n v="103"/>
    <n v="197085.35"/>
  </r>
  <r>
    <s v="GL001581"/>
    <x v="183"/>
    <s v="5000"/>
    <x v="1"/>
    <n v="1307.6099999999999"/>
    <n v="134683.82999999999"/>
    <n v="0"/>
    <n v="0"/>
    <x v="1"/>
    <x v="3"/>
    <s v="AutoPost 1581"/>
    <s v="GBP"/>
    <n v="-1307.6099999999999"/>
    <x v="1"/>
    <n v="103"/>
    <n v="-134683.82999999999"/>
  </r>
  <r>
    <s v="GL001582"/>
    <x v="465"/>
    <s v="4000"/>
    <x v="0"/>
    <n v="0"/>
    <n v="0"/>
    <n v="1128.51"/>
    <n v="63196.56"/>
    <x v="5"/>
    <x v="4"/>
    <s v="AutoPost 1582"/>
    <s v="AUD"/>
    <n v="1128.51"/>
    <x v="0"/>
    <n v="56"/>
    <n v="63196.56"/>
  </r>
  <r>
    <s v="GL001583"/>
    <x v="152"/>
    <s v="4000"/>
    <x v="0"/>
    <n v="0"/>
    <n v="0"/>
    <n v="1933.41"/>
    <n v="117938.01000000001"/>
    <x v="5"/>
    <x v="1"/>
    <s v="AutoPost 1583"/>
    <s v="CAD"/>
    <n v="1933.41"/>
    <x v="0"/>
    <n v="61"/>
    <n v="117938.01000000001"/>
  </r>
  <r>
    <s v="GL001584"/>
    <x v="752"/>
    <s v="5010"/>
    <x v="3"/>
    <n v="203.77"/>
    <n v="12429.970000000001"/>
    <n v="0"/>
    <n v="0"/>
    <x v="5"/>
    <x v="2"/>
    <s v="AutoPost 1584"/>
    <s v="CAD"/>
    <n v="-203.77"/>
    <x v="2"/>
    <n v="61"/>
    <n v="-12429.970000000001"/>
  </r>
  <r>
    <s v="GL001585"/>
    <x v="59"/>
    <s v="4010"/>
    <x v="4"/>
    <n v="0"/>
    <n v="0"/>
    <n v="3874.96"/>
    <n v="317746.72000000003"/>
    <x v="4"/>
    <x v="1"/>
    <s v="AutoPost 1585"/>
    <s v="USD"/>
    <n v="3874.96"/>
    <x v="0"/>
    <n v="82"/>
    <n v="317746.72000000003"/>
  </r>
  <r>
    <s v="GL001586"/>
    <x v="753"/>
    <s v="5010"/>
    <x v="3"/>
    <n v="369.39"/>
    <n v="30289.98"/>
    <n v="0"/>
    <n v="0"/>
    <x v="2"/>
    <x v="4"/>
    <s v="AutoPost 1586"/>
    <s v="USD"/>
    <n v="-369.39"/>
    <x v="2"/>
    <n v="82"/>
    <n v="-30289.98"/>
  </r>
  <r>
    <s v="GL001587"/>
    <x v="385"/>
    <s v="4000"/>
    <x v="0"/>
    <n v="0"/>
    <n v="0"/>
    <n v="4685.3599999999997"/>
    <n v="285806.95999999996"/>
    <x v="5"/>
    <x v="3"/>
    <s v="AutoPost 1587"/>
    <s v="CAD"/>
    <n v="4685.3599999999997"/>
    <x v="0"/>
    <n v="61"/>
    <n v="285806.95999999996"/>
  </r>
  <r>
    <s v="GL001588"/>
    <x v="631"/>
    <s v="6000"/>
    <x v="2"/>
    <n v="1614.34"/>
    <n v="132375.88"/>
    <n v="0"/>
    <n v="0"/>
    <x v="0"/>
    <x v="2"/>
    <s v="AutoPost 1588"/>
    <s v="USD"/>
    <n v="-1614.34"/>
    <x v="2"/>
    <n v="82"/>
    <n v="-132375.88"/>
  </r>
  <r>
    <s v="GL001589"/>
    <x v="221"/>
    <s v="6000"/>
    <x v="2"/>
    <n v="1072.1199999999999"/>
    <n v="87913.84"/>
    <n v="0"/>
    <n v="0"/>
    <x v="3"/>
    <x v="4"/>
    <s v="AutoPost 1589"/>
    <s v="USD"/>
    <n v="-1072.1199999999999"/>
    <x v="2"/>
    <n v="82"/>
    <n v="-87913.84"/>
  </r>
  <r>
    <s v="GL001590"/>
    <x v="592"/>
    <s v="5000"/>
    <x v="1"/>
    <n v="889.83"/>
    <n v="78305.040000000008"/>
    <n v="0"/>
    <n v="0"/>
    <x v="1"/>
    <x v="1"/>
    <s v="AutoPost 1590"/>
    <s v="EUR"/>
    <n v="-889.83"/>
    <x v="1"/>
    <n v="88"/>
    <n v="-78305.040000000008"/>
  </r>
  <r>
    <s v="GL001591"/>
    <x v="754"/>
    <s v="4000"/>
    <x v="0"/>
    <n v="0"/>
    <n v="0"/>
    <n v="174.81"/>
    <n v="10663.41"/>
    <x v="0"/>
    <x v="4"/>
    <s v="AutoPost 1591"/>
    <s v="CAD"/>
    <n v="174.81"/>
    <x v="0"/>
    <n v="61"/>
    <n v="10663.41"/>
  </r>
  <r>
    <s v="GL001592"/>
    <x v="723"/>
    <s v="4010"/>
    <x v="4"/>
    <n v="0"/>
    <n v="0"/>
    <n v="3155.54"/>
    <n v="176710.24"/>
    <x v="4"/>
    <x v="1"/>
    <s v="AutoPost 1592"/>
    <s v="AUD"/>
    <n v="3155.54"/>
    <x v="0"/>
    <n v="56"/>
    <n v="176710.24"/>
  </r>
  <r>
    <s v="GL001593"/>
    <x v="62"/>
    <s v="4010"/>
    <x v="4"/>
    <n v="0"/>
    <n v="0"/>
    <n v="1925.54"/>
    <n v="107830.23999999999"/>
    <x v="1"/>
    <x v="1"/>
    <s v="AutoPost 1593"/>
    <s v="AUD"/>
    <n v="1925.54"/>
    <x v="0"/>
    <n v="56"/>
    <n v="107830.23999999999"/>
  </r>
  <r>
    <s v="GL001594"/>
    <x v="451"/>
    <s v="6000"/>
    <x v="2"/>
    <n v="1203.3399999999999"/>
    <n v="98673.87999999999"/>
    <n v="0"/>
    <n v="0"/>
    <x v="3"/>
    <x v="2"/>
    <s v="AutoPost 1594"/>
    <s v="USD"/>
    <n v="-1203.3399999999999"/>
    <x v="2"/>
    <n v="82"/>
    <n v="-98673.87999999999"/>
  </r>
  <r>
    <s v="GL001595"/>
    <x v="650"/>
    <s v="6000"/>
    <x v="2"/>
    <n v="1776.59"/>
    <n v="156339.91999999998"/>
    <n v="0"/>
    <n v="0"/>
    <x v="3"/>
    <x v="2"/>
    <s v="AutoPost 1595"/>
    <s v="EUR"/>
    <n v="-1776.59"/>
    <x v="2"/>
    <n v="88"/>
    <n v="-156339.91999999998"/>
  </r>
  <r>
    <s v="GL001596"/>
    <x v="722"/>
    <s v="5000"/>
    <x v="1"/>
    <n v="1588.81"/>
    <n v="130282.42"/>
    <n v="0"/>
    <n v="0"/>
    <x v="2"/>
    <x v="0"/>
    <s v="AutoPost 1596"/>
    <s v="USD"/>
    <n v="-1588.81"/>
    <x v="1"/>
    <n v="82"/>
    <n v="-130282.42"/>
  </r>
  <r>
    <s v="GL001597"/>
    <x v="69"/>
    <s v="5000"/>
    <x v="1"/>
    <n v="1229.26"/>
    <n v="108174.88"/>
    <n v="0"/>
    <n v="0"/>
    <x v="3"/>
    <x v="1"/>
    <s v="AutoPost 1597"/>
    <s v="EUR"/>
    <n v="-1229.26"/>
    <x v="1"/>
    <n v="88"/>
    <n v="-108174.88"/>
  </r>
  <r>
    <s v="GL001598"/>
    <x v="126"/>
    <s v="4000"/>
    <x v="0"/>
    <n v="0"/>
    <n v="0"/>
    <n v="3867.59"/>
    <n v="340347.92000000004"/>
    <x v="2"/>
    <x v="3"/>
    <s v="AutoPost 1598"/>
    <s v="EUR"/>
    <n v="3867.59"/>
    <x v="0"/>
    <n v="88"/>
    <n v="340347.92000000004"/>
  </r>
  <r>
    <s v="GL001599"/>
    <x v="53"/>
    <s v="6000"/>
    <x v="2"/>
    <n v="615.80999999999995"/>
    <n v="54191.28"/>
    <n v="0"/>
    <n v="0"/>
    <x v="1"/>
    <x v="4"/>
    <s v="AutoPost 1599"/>
    <s v="EUR"/>
    <n v="-615.80999999999995"/>
    <x v="2"/>
    <n v="88"/>
    <n v="-54191.28"/>
  </r>
  <r>
    <s v="GL001600"/>
    <x v="445"/>
    <s v="5010"/>
    <x v="3"/>
    <n v="1182.17"/>
    <n v="96937.94"/>
    <n v="0"/>
    <n v="0"/>
    <x v="4"/>
    <x v="2"/>
    <s v="AutoPost 1600"/>
    <s v="USD"/>
    <n v="-1182.17"/>
    <x v="2"/>
    <n v="82"/>
    <n v="-96937.94"/>
  </r>
  <r>
    <s v="GL001601"/>
    <x v="231"/>
    <s v="4000"/>
    <x v="0"/>
    <n v="0"/>
    <n v="0"/>
    <n v="4084.9"/>
    <n v="228754.4"/>
    <x v="4"/>
    <x v="2"/>
    <s v="AutoPost 1601"/>
    <s v="AUD"/>
    <n v="4084.9"/>
    <x v="0"/>
    <n v="56"/>
    <n v="228754.4"/>
  </r>
  <r>
    <s v="GL001602"/>
    <x v="116"/>
    <s v="4000"/>
    <x v="0"/>
    <n v="0"/>
    <n v="0"/>
    <n v="2694.28"/>
    <n v="164351.08000000002"/>
    <x v="2"/>
    <x v="1"/>
    <s v="AutoPost 1602"/>
    <s v="CAD"/>
    <n v="2694.28"/>
    <x v="0"/>
    <n v="61"/>
    <n v="164351.08000000002"/>
  </r>
  <r>
    <s v="GL001603"/>
    <x v="429"/>
    <s v="4000"/>
    <x v="0"/>
    <n v="0"/>
    <n v="0"/>
    <n v="3550.01"/>
    <n v="365651.03"/>
    <x v="4"/>
    <x v="3"/>
    <s v="AutoPost 1603"/>
    <s v="GBP"/>
    <n v="3550.01"/>
    <x v="0"/>
    <n v="103"/>
    <n v="365651.03"/>
  </r>
  <r>
    <s v="GL001604"/>
    <x v="217"/>
    <s v="4000"/>
    <x v="0"/>
    <n v="0"/>
    <n v="0"/>
    <n v="2395.19"/>
    <n v="146106.59"/>
    <x v="5"/>
    <x v="4"/>
    <s v="AutoPost 1604"/>
    <s v="CAD"/>
    <n v="2395.19"/>
    <x v="0"/>
    <n v="61"/>
    <n v="146106.59"/>
  </r>
  <r>
    <s v="GL001605"/>
    <x v="465"/>
    <s v="5000"/>
    <x v="1"/>
    <n v="1009.87"/>
    <n v="82809.34"/>
    <n v="0"/>
    <n v="0"/>
    <x v="4"/>
    <x v="1"/>
    <s v="AutoPost 1605"/>
    <s v="USD"/>
    <n v="-1009.87"/>
    <x v="1"/>
    <n v="82"/>
    <n v="-82809.34"/>
  </r>
  <r>
    <s v="GL001606"/>
    <x v="755"/>
    <s v="5010"/>
    <x v="3"/>
    <n v="1792.26"/>
    <n v="184602.78"/>
    <n v="0"/>
    <n v="0"/>
    <x v="0"/>
    <x v="0"/>
    <s v="AutoPost 1606"/>
    <s v="GBP"/>
    <n v="-1792.26"/>
    <x v="2"/>
    <n v="103"/>
    <n v="-184602.78"/>
  </r>
  <r>
    <s v="GL001607"/>
    <x v="176"/>
    <s v="5000"/>
    <x v="1"/>
    <n v="1834.84"/>
    <n v="102751.03999999999"/>
    <n v="0"/>
    <n v="0"/>
    <x v="2"/>
    <x v="0"/>
    <s v="AutoPost 1607"/>
    <s v="AUD"/>
    <n v="-1834.84"/>
    <x v="1"/>
    <n v="56"/>
    <n v="-102751.03999999999"/>
  </r>
  <r>
    <s v="GL001608"/>
    <x v="756"/>
    <s v="4010"/>
    <x v="4"/>
    <n v="0"/>
    <n v="0"/>
    <n v="4316.42"/>
    <n v="241719.52000000002"/>
    <x v="1"/>
    <x v="4"/>
    <s v="AutoPost 1608"/>
    <s v="AUD"/>
    <n v="4316.42"/>
    <x v="0"/>
    <n v="56"/>
    <n v="241719.52000000002"/>
  </r>
  <r>
    <s v="GL001609"/>
    <x v="602"/>
    <s v="5010"/>
    <x v="3"/>
    <n v="427.92"/>
    <n v="35089.440000000002"/>
    <n v="0"/>
    <n v="0"/>
    <x v="4"/>
    <x v="2"/>
    <s v="AutoPost 1609"/>
    <s v="USD"/>
    <n v="-427.92"/>
    <x v="2"/>
    <n v="82"/>
    <n v="-35089.440000000002"/>
  </r>
  <r>
    <s v="GL001610"/>
    <x v="261"/>
    <s v="4010"/>
    <x v="4"/>
    <n v="0"/>
    <n v="0"/>
    <n v="881.32"/>
    <n v="49353.920000000006"/>
    <x v="5"/>
    <x v="4"/>
    <s v="AutoPost 1610"/>
    <s v="AUD"/>
    <n v="881.32"/>
    <x v="0"/>
    <n v="56"/>
    <n v="49353.920000000006"/>
  </r>
  <r>
    <s v="GL001611"/>
    <x v="757"/>
    <s v="6000"/>
    <x v="2"/>
    <n v="896.81"/>
    <n v="50221.36"/>
    <n v="0"/>
    <n v="0"/>
    <x v="5"/>
    <x v="2"/>
    <s v="AutoPost 1611"/>
    <s v="AUD"/>
    <n v="-896.81"/>
    <x v="2"/>
    <n v="56"/>
    <n v="-50221.36"/>
  </r>
  <r>
    <s v="GL001612"/>
    <x v="758"/>
    <s v="6000"/>
    <x v="2"/>
    <n v="1292.1400000000001"/>
    <n v="105955.48000000001"/>
    <n v="0"/>
    <n v="0"/>
    <x v="1"/>
    <x v="0"/>
    <s v="AutoPost 1612"/>
    <s v="USD"/>
    <n v="-1292.1400000000001"/>
    <x v="2"/>
    <n v="82"/>
    <n v="-105955.48000000001"/>
  </r>
  <r>
    <s v="GL001613"/>
    <x v="605"/>
    <s v="5000"/>
    <x v="1"/>
    <n v="1720"/>
    <n v="104920"/>
    <n v="0"/>
    <n v="0"/>
    <x v="2"/>
    <x v="4"/>
    <s v="AutoPost 1613"/>
    <s v="CAD"/>
    <n v="-1720"/>
    <x v="1"/>
    <n v="61"/>
    <n v="-104920"/>
  </r>
  <r>
    <s v="GL001614"/>
    <x v="526"/>
    <s v="6000"/>
    <x v="2"/>
    <n v="210.81"/>
    <n v="18551.28"/>
    <n v="0"/>
    <n v="0"/>
    <x v="4"/>
    <x v="3"/>
    <s v="AutoPost 1614"/>
    <s v="EUR"/>
    <n v="-210.81"/>
    <x v="2"/>
    <n v="88"/>
    <n v="-18551.28"/>
  </r>
  <r>
    <s v="GL001615"/>
    <x v="409"/>
    <s v="4000"/>
    <x v="0"/>
    <n v="0"/>
    <n v="0"/>
    <n v="3145.99"/>
    <n v="324036.96999999997"/>
    <x v="2"/>
    <x v="2"/>
    <s v="AutoPost 1615"/>
    <s v="GBP"/>
    <n v="3145.99"/>
    <x v="0"/>
    <n v="103"/>
    <n v="324036.96999999997"/>
  </r>
  <r>
    <s v="GL001616"/>
    <x v="569"/>
    <s v="4000"/>
    <x v="0"/>
    <n v="0"/>
    <n v="0"/>
    <n v="4897.22"/>
    <n v="430955.36000000004"/>
    <x v="3"/>
    <x v="4"/>
    <s v="AutoPost 1616"/>
    <s v="EUR"/>
    <n v="4897.22"/>
    <x v="0"/>
    <n v="88"/>
    <n v="430955.36000000004"/>
  </r>
  <r>
    <s v="GL001617"/>
    <x v="213"/>
    <s v="5010"/>
    <x v="3"/>
    <n v="1035.58"/>
    <n v="57992.479999999996"/>
    <n v="0"/>
    <n v="0"/>
    <x v="5"/>
    <x v="2"/>
    <s v="AutoPost 1617"/>
    <s v="AUD"/>
    <n v="-1035.58"/>
    <x v="2"/>
    <n v="56"/>
    <n v="-57992.479999999996"/>
  </r>
  <r>
    <s v="GL001618"/>
    <x v="650"/>
    <s v="5010"/>
    <x v="3"/>
    <n v="883.62"/>
    <n v="49482.720000000001"/>
    <n v="0"/>
    <n v="0"/>
    <x v="2"/>
    <x v="3"/>
    <s v="AutoPost 1618"/>
    <s v="AUD"/>
    <n v="-883.62"/>
    <x v="2"/>
    <n v="56"/>
    <n v="-49482.720000000001"/>
  </r>
  <r>
    <s v="GL001619"/>
    <x v="270"/>
    <s v="4010"/>
    <x v="4"/>
    <n v="0"/>
    <n v="0"/>
    <n v="1908.36"/>
    <n v="196561.08"/>
    <x v="5"/>
    <x v="0"/>
    <s v="AutoPost 1619"/>
    <s v="GBP"/>
    <n v="1908.36"/>
    <x v="0"/>
    <n v="103"/>
    <n v="196561.08"/>
  </r>
  <r>
    <s v="GL001620"/>
    <x v="132"/>
    <s v="4010"/>
    <x v="4"/>
    <n v="0"/>
    <n v="0"/>
    <n v="145.24"/>
    <n v="14959.720000000001"/>
    <x v="5"/>
    <x v="2"/>
    <s v="AutoPost 1620"/>
    <s v="GBP"/>
    <n v="145.24"/>
    <x v="0"/>
    <n v="103"/>
    <n v="14959.720000000001"/>
  </r>
  <r>
    <s v="GL001621"/>
    <x v="690"/>
    <s v="4010"/>
    <x v="4"/>
    <n v="0"/>
    <n v="0"/>
    <n v="527.38"/>
    <n v="32170.18"/>
    <x v="0"/>
    <x v="2"/>
    <s v="AutoPost 1621"/>
    <s v="CAD"/>
    <n v="527.38"/>
    <x v="0"/>
    <n v="61"/>
    <n v="32170.18"/>
  </r>
  <r>
    <s v="GL001622"/>
    <x v="759"/>
    <s v="4000"/>
    <x v="0"/>
    <n v="0"/>
    <n v="0"/>
    <n v="3715.39"/>
    <n v="326954.32"/>
    <x v="4"/>
    <x v="0"/>
    <s v="AutoPost 1622"/>
    <s v="EUR"/>
    <n v="3715.39"/>
    <x v="0"/>
    <n v="88"/>
    <n v="326954.32"/>
  </r>
  <r>
    <s v="GL001623"/>
    <x v="760"/>
    <s v="5000"/>
    <x v="1"/>
    <n v="870.5"/>
    <n v="48748"/>
    <n v="0"/>
    <n v="0"/>
    <x v="4"/>
    <x v="3"/>
    <s v="AutoPost 1623"/>
    <s v="AUD"/>
    <n v="-870.5"/>
    <x v="1"/>
    <n v="56"/>
    <n v="-48748"/>
  </r>
  <r>
    <s v="GL001624"/>
    <x v="522"/>
    <s v="5010"/>
    <x v="3"/>
    <n v="1992.58"/>
    <n v="205235.74"/>
    <n v="0"/>
    <n v="0"/>
    <x v="2"/>
    <x v="0"/>
    <s v="AutoPost 1624"/>
    <s v="GBP"/>
    <n v="-1992.58"/>
    <x v="2"/>
    <n v="103"/>
    <n v="-205235.74"/>
  </r>
  <r>
    <s v="GL001625"/>
    <x v="76"/>
    <s v="5010"/>
    <x v="3"/>
    <n v="1466.95"/>
    <n v="120289.90000000001"/>
    <n v="0"/>
    <n v="0"/>
    <x v="5"/>
    <x v="1"/>
    <s v="AutoPost 1625"/>
    <s v="USD"/>
    <n v="-1466.95"/>
    <x v="2"/>
    <n v="82"/>
    <n v="-120289.90000000001"/>
  </r>
  <r>
    <s v="GL001626"/>
    <x v="761"/>
    <s v="5000"/>
    <x v="1"/>
    <n v="480.18"/>
    <n v="42255.840000000004"/>
    <n v="0"/>
    <n v="0"/>
    <x v="1"/>
    <x v="2"/>
    <s v="AutoPost 1626"/>
    <s v="EUR"/>
    <n v="-480.18"/>
    <x v="1"/>
    <n v="88"/>
    <n v="-42255.840000000004"/>
  </r>
  <r>
    <s v="GL001627"/>
    <x v="762"/>
    <s v="4010"/>
    <x v="4"/>
    <n v="0"/>
    <n v="0"/>
    <n v="4296.88"/>
    <n v="240625.28"/>
    <x v="4"/>
    <x v="0"/>
    <s v="AutoPost 1627"/>
    <s v="AUD"/>
    <n v="4296.88"/>
    <x v="0"/>
    <n v="56"/>
    <n v="240625.28"/>
  </r>
  <r>
    <s v="GL001628"/>
    <x v="492"/>
    <s v="5000"/>
    <x v="1"/>
    <n v="123.85"/>
    <n v="6935.5999999999995"/>
    <n v="0"/>
    <n v="0"/>
    <x v="3"/>
    <x v="0"/>
    <s v="AutoPost 1628"/>
    <s v="AUD"/>
    <n v="-123.85"/>
    <x v="1"/>
    <n v="56"/>
    <n v="-6935.5999999999995"/>
  </r>
  <r>
    <s v="GL001629"/>
    <x v="408"/>
    <s v="6000"/>
    <x v="2"/>
    <n v="1528.6"/>
    <n v="125345.2"/>
    <n v="0"/>
    <n v="0"/>
    <x v="0"/>
    <x v="4"/>
    <s v="AutoPost 1629"/>
    <s v="USD"/>
    <n v="-1528.6"/>
    <x v="2"/>
    <n v="82"/>
    <n v="-125345.2"/>
  </r>
  <r>
    <s v="GL001630"/>
    <x v="616"/>
    <s v="5010"/>
    <x v="3"/>
    <n v="1408.83"/>
    <n v="115524.06"/>
    <n v="0"/>
    <n v="0"/>
    <x v="0"/>
    <x v="4"/>
    <s v="AutoPost 1630"/>
    <s v="USD"/>
    <n v="-1408.83"/>
    <x v="2"/>
    <n v="82"/>
    <n v="-115524.06"/>
  </r>
  <r>
    <s v="GL001631"/>
    <x v="262"/>
    <s v="6000"/>
    <x v="2"/>
    <n v="472.82"/>
    <n v="48700.46"/>
    <n v="0"/>
    <n v="0"/>
    <x v="2"/>
    <x v="2"/>
    <s v="AutoPost 1631"/>
    <s v="GBP"/>
    <n v="-472.82"/>
    <x v="2"/>
    <n v="103"/>
    <n v="-48700.46"/>
  </r>
  <r>
    <s v="GL001632"/>
    <x v="78"/>
    <s v="6000"/>
    <x v="2"/>
    <n v="826.92"/>
    <n v="85172.76"/>
    <n v="0"/>
    <n v="0"/>
    <x v="0"/>
    <x v="2"/>
    <s v="AutoPost 1632"/>
    <s v="GBP"/>
    <n v="-826.92"/>
    <x v="2"/>
    <n v="103"/>
    <n v="-85172.76"/>
  </r>
  <r>
    <s v="GL001633"/>
    <x v="763"/>
    <s v="6000"/>
    <x v="2"/>
    <n v="882.2"/>
    <n v="49403.200000000004"/>
    <n v="0"/>
    <n v="0"/>
    <x v="3"/>
    <x v="4"/>
    <s v="AutoPost 1633"/>
    <s v="AUD"/>
    <n v="-882.2"/>
    <x v="2"/>
    <n v="56"/>
    <n v="-49403.200000000004"/>
  </r>
  <r>
    <s v="GL001634"/>
    <x v="123"/>
    <s v="6000"/>
    <x v="2"/>
    <n v="1244.05"/>
    <n v="128137.15"/>
    <n v="0"/>
    <n v="0"/>
    <x v="4"/>
    <x v="0"/>
    <s v="AutoPost 1634"/>
    <s v="GBP"/>
    <n v="-1244.05"/>
    <x v="2"/>
    <n v="103"/>
    <n v="-128137.15"/>
  </r>
  <r>
    <s v="GL001635"/>
    <x v="132"/>
    <s v="4000"/>
    <x v="0"/>
    <n v="0"/>
    <n v="0"/>
    <n v="2017.86"/>
    <n v="123089.45999999999"/>
    <x v="1"/>
    <x v="0"/>
    <s v="AutoPost 1635"/>
    <s v="CAD"/>
    <n v="2017.86"/>
    <x v="0"/>
    <n v="61"/>
    <n v="123089.45999999999"/>
  </r>
  <r>
    <s v="GL001636"/>
    <x v="146"/>
    <s v="5010"/>
    <x v="3"/>
    <n v="1845.02"/>
    <n v="112546.22"/>
    <n v="0"/>
    <n v="0"/>
    <x v="4"/>
    <x v="3"/>
    <s v="AutoPost 1636"/>
    <s v="CAD"/>
    <n v="-1845.02"/>
    <x v="2"/>
    <n v="61"/>
    <n v="-112546.22"/>
  </r>
  <r>
    <s v="GL001637"/>
    <x v="29"/>
    <s v="4000"/>
    <x v="0"/>
    <n v="0"/>
    <n v="0"/>
    <n v="1184.05"/>
    <n v="66306.8"/>
    <x v="5"/>
    <x v="2"/>
    <s v="AutoPost 1637"/>
    <s v="AUD"/>
    <n v="1184.05"/>
    <x v="0"/>
    <n v="56"/>
    <n v="66306.8"/>
  </r>
  <r>
    <s v="GL001638"/>
    <x v="7"/>
    <s v="5000"/>
    <x v="1"/>
    <n v="1165.1400000000001"/>
    <n v="65247.840000000004"/>
    <n v="0"/>
    <n v="0"/>
    <x v="1"/>
    <x v="4"/>
    <s v="AutoPost 1638"/>
    <s v="AUD"/>
    <n v="-1165.1400000000001"/>
    <x v="1"/>
    <n v="56"/>
    <n v="-65247.840000000004"/>
  </r>
  <r>
    <s v="GL001639"/>
    <x v="357"/>
    <s v="5000"/>
    <x v="1"/>
    <n v="641.08000000000004"/>
    <n v="56415.040000000001"/>
    <n v="0"/>
    <n v="0"/>
    <x v="0"/>
    <x v="3"/>
    <s v="AutoPost 1639"/>
    <s v="EUR"/>
    <n v="-641.08000000000004"/>
    <x v="1"/>
    <n v="88"/>
    <n v="-56415.040000000001"/>
  </r>
  <r>
    <s v="GL001640"/>
    <x v="141"/>
    <s v="5010"/>
    <x v="3"/>
    <n v="194.16"/>
    <n v="11843.76"/>
    <n v="0"/>
    <n v="0"/>
    <x v="5"/>
    <x v="2"/>
    <s v="AutoPost 1640"/>
    <s v="CAD"/>
    <n v="-194.16"/>
    <x v="2"/>
    <n v="61"/>
    <n v="-11843.76"/>
  </r>
  <r>
    <s v="GL001641"/>
    <x v="585"/>
    <s v="6000"/>
    <x v="2"/>
    <n v="262.33999999999997"/>
    <n v="23085.919999999998"/>
    <n v="0"/>
    <n v="0"/>
    <x v="4"/>
    <x v="2"/>
    <s v="AutoPost 1641"/>
    <s v="EUR"/>
    <n v="-262.33999999999997"/>
    <x v="2"/>
    <n v="88"/>
    <n v="-23085.919999999998"/>
  </r>
  <r>
    <s v="GL001642"/>
    <x v="755"/>
    <s v="5010"/>
    <x v="3"/>
    <n v="1269.67"/>
    <n v="77449.87000000001"/>
    <n v="0"/>
    <n v="0"/>
    <x v="2"/>
    <x v="3"/>
    <s v="AutoPost 1642"/>
    <s v="CAD"/>
    <n v="-1269.67"/>
    <x v="2"/>
    <n v="61"/>
    <n v="-77449.87000000001"/>
  </r>
  <r>
    <s v="GL001643"/>
    <x v="764"/>
    <s v="4000"/>
    <x v="0"/>
    <n v="0"/>
    <n v="0"/>
    <n v="1736.08"/>
    <n v="178816.24"/>
    <x v="1"/>
    <x v="3"/>
    <s v="AutoPost 1643"/>
    <s v="GBP"/>
    <n v="1736.08"/>
    <x v="0"/>
    <n v="103"/>
    <n v="178816.24"/>
  </r>
  <r>
    <s v="GL001644"/>
    <x v="747"/>
    <s v="5010"/>
    <x v="3"/>
    <n v="418.98"/>
    <n v="25557.780000000002"/>
    <n v="0"/>
    <n v="0"/>
    <x v="3"/>
    <x v="2"/>
    <s v="AutoPost 1644"/>
    <s v="CAD"/>
    <n v="-418.98"/>
    <x v="2"/>
    <n v="61"/>
    <n v="-25557.780000000002"/>
  </r>
  <r>
    <s v="GL001645"/>
    <x v="168"/>
    <s v="5010"/>
    <x v="3"/>
    <n v="1106.24"/>
    <n v="90711.680000000008"/>
    <n v="0"/>
    <n v="0"/>
    <x v="4"/>
    <x v="4"/>
    <s v="AutoPost 1645"/>
    <s v="USD"/>
    <n v="-1106.24"/>
    <x v="2"/>
    <n v="82"/>
    <n v="-90711.680000000008"/>
  </r>
  <r>
    <s v="GL001646"/>
    <x v="765"/>
    <s v="4010"/>
    <x v="4"/>
    <n v="0"/>
    <n v="0"/>
    <n v="3037.2"/>
    <n v="312831.59999999998"/>
    <x v="4"/>
    <x v="3"/>
    <s v="AutoPost 1646"/>
    <s v="GBP"/>
    <n v="3037.2"/>
    <x v="0"/>
    <n v="103"/>
    <n v="312831.59999999998"/>
  </r>
  <r>
    <s v="GL001647"/>
    <x v="620"/>
    <s v="4000"/>
    <x v="0"/>
    <n v="0"/>
    <n v="0"/>
    <n v="4063.27"/>
    <n v="418516.81"/>
    <x v="5"/>
    <x v="0"/>
    <s v="AutoPost 1647"/>
    <s v="GBP"/>
    <n v="4063.27"/>
    <x v="0"/>
    <n v="103"/>
    <n v="418516.81"/>
  </r>
  <r>
    <s v="GL001648"/>
    <x v="725"/>
    <s v="6000"/>
    <x v="2"/>
    <n v="1920.87"/>
    <n v="107568.72"/>
    <n v="0"/>
    <n v="0"/>
    <x v="4"/>
    <x v="1"/>
    <s v="AutoPost 1648"/>
    <s v="AUD"/>
    <n v="-1920.87"/>
    <x v="2"/>
    <n v="56"/>
    <n v="-107568.72"/>
  </r>
  <r>
    <s v="GL001649"/>
    <x v="597"/>
    <s v="6000"/>
    <x v="2"/>
    <n v="1167.74"/>
    <n v="120277.22"/>
    <n v="0"/>
    <n v="0"/>
    <x v="4"/>
    <x v="2"/>
    <s v="AutoPost 1649"/>
    <s v="GBP"/>
    <n v="-1167.74"/>
    <x v="2"/>
    <n v="103"/>
    <n v="-120277.22"/>
  </r>
  <r>
    <s v="GL001650"/>
    <x v="683"/>
    <s v="5000"/>
    <x v="1"/>
    <n v="686.31"/>
    <n v="56277.42"/>
    <n v="0"/>
    <n v="0"/>
    <x v="4"/>
    <x v="2"/>
    <s v="AutoPost 1650"/>
    <s v="USD"/>
    <n v="-686.31"/>
    <x v="1"/>
    <n v="82"/>
    <n v="-56277.42"/>
  </r>
  <r>
    <s v="GL001651"/>
    <x v="748"/>
    <s v="4000"/>
    <x v="0"/>
    <n v="0"/>
    <n v="0"/>
    <n v="1294.23"/>
    <n v="106126.86"/>
    <x v="5"/>
    <x v="1"/>
    <s v="AutoPost 1651"/>
    <s v="USD"/>
    <n v="1294.23"/>
    <x v="0"/>
    <n v="82"/>
    <n v="106126.86"/>
  </r>
  <r>
    <s v="GL001652"/>
    <x v="334"/>
    <s v="5010"/>
    <x v="3"/>
    <n v="1657.22"/>
    <n v="145835.36000000002"/>
    <n v="0"/>
    <n v="0"/>
    <x v="2"/>
    <x v="0"/>
    <s v="AutoPost 1652"/>
    <s v="EUR"/>
    <n v="-1657.22"/>
    <x v="2"/>
    <n v="88"/>
    <n v="-145835.36000000002"/>
  </r>
  <r>
    <s v="GL001653"/>
    <x v="220"/>
    <s v="4010"/>
    <x v="4"/>
    <n v="0"/>
    <n v="0"/>
    <n v="677.29"/>
    <n v="55537.78"/>
    <x v="4"/>
    <x v="2"/>
    <s v="AutoPost 1653"/>
    <s v="USD"/>
    <n v="677.29"/>
    <x v="0"/>
    <n v="82"/>
    <n v="55537.78"/>
  </r>
  <r>
    <s v="GL001654"/>
    <x v="574"/>
    <s v="6000"/>
    <x v="2"/>
    <n v="1765.08"/>
    <n v="144736.56"/>
    <n v="0"/>
    <n v="0"/>
    <x v="2"/>
    <x v="2"/>
    <s v="AutoPost 1654"/>
    <s v="USD"/>
    <n v="-1765.08"/>
    <x v="2"/>
    <n v="82"/>
    <n v="-144736.56"/>
  </r>
  <r>
    <s v="GL001655"/>
    <x v="548"/>
    <s v="4000"/>
    <x v="0"/>
    <n v="0"/>
    <n v="0"/>
    <n v="3407.83"/>
    <n v="207877.63"/>
    <x v="0"/>
    <x v="3"/>
    <s v="AutoPost 1655"/>
    <s v="CAD"/>
    <n v="3407.83"/>
    <x v="0"/>
    <n v="61"/>
    <n v="207877.63"/>
  </r>
  <r>
    <s v="GL001656"/>
    <x v="320"/>
    <s v="5010"/>
    <x v="3"/>
    <n v="543.41"/>
    <n v="44559.619999999995"/>
    <n v="0"/>
    <n v="0"/>
    <x v="1"/>
    <x v="2"/>
    <s v="AutoPost 1656"/>
    <s v="USD"/>
    <n v="-543.41"/>
    <x v="2"/>
    <n v="82"/>
    <n v="-44559.619999999995"/>
  </r>
  <r>
    <s v="GL001657"/>
    <x v="141"/>
    <s v="5000"/>
    <x v="1"/>
    <n v="408.27"/>
    <n v="35927.759999999995"/>
    <n v="0"/>
    <n v="0"/>
    <x v="2"/>
    <x v="0"/>
    <s v="AutoPost 1657"/>
    <s v="EUR"/>
    <n v="-408.27"/>
    <x v="1"/>
    <n v="88"/>
    <n v="-35927.759999999995"/>
  </r>
  <r>
    <s v="GL001658"/>
    <x v="319"/>
    <s v="4000"/>
    <x v="0"/>
    <n v="0"/>
    <n v="0"/>
    <n v="1300.21"/>
    <n v="72811.760000000009"/>
    <x v="5"/>
    <x v="2"/>
    <s v="AutoPost 1658"/>
    <s v="AUD"/>
    <n v="1300.21"/>
    <x v="0"/>
    <n v="56"/>
    <n v="72811.760000000009"/>
  </r>
  <r>
    <s v="GL001659"/>
    <x v="615"/>
    <s v="5000"/>
    <x v="1"/>
    <n v="1326.8"/>
    <n v="108797.59999999999"/>
    <n v="0"/>
    <n v="0"/>
    <x v="5"/>
    <x v="0"/>
    <s v="AutoPost 1659"/>
    <s v="USD"/>
    <n v="-1326.8"/>
    <x v="1"/>
    <n v="82"/>
    <n v="-108797.59999999999"/>
  </r>
  <r>
    <s v="GL001660"/>
    <x v="346"/>
    <s v="4000"/>
    <x v="0"/>
    <n v="0"/>
    <n v="0"/>
    <n v="2057.71"/>
    <n v="125520.31"/>
    <x v="3"/>
    <x v="2"/>
    <s v="AutoPost 1660"/>
    <s v="CAD"/>
    <n v="2057.71"/>
    <x v="0"/>
    <n v="61"/>
    <n v="125520.31"/>
  </r>
  <r>
    <s v="GL001661"/>
    <x v="355"/>
    <s v="5000"/>
    <x v="1"/>
    <n v="1959.6"/>
    <n v="109737.59999999999"/>
    <n v="0"/>
    <n v="0"/>
    <x v="3"/>
    <x v="0"/>
    <s v="AutoPost 1661"/>
    <s v="AUD"/>
    <n v="-1959.6"/>
    <x v="1"/>
    <n v="56"/>
    <n v="-109737.59999999999"/>
  </r>
  <r>
    <s v="GL001662"/>
    <x v="513"/>
    <s v="5000"/>
    <x v="1"/>
    <n v="1047.3399999999999"/>
    <n v="58651.039999999994"/>
    <n v="0"/>
    <n v="0"/>
    <x v="1"/>
    <x v="4"/>
    <s v="AutoPost 1662"/>
    <s v="AUD"/>
    <n v="-1047.3399999999999"/>
    <x v="1"/>
    <n v="56"/>
    <n v="-58651.039999999994"/>
  </r>
  <r>
    <s v="GL001663"/>
    <x v="510"/>
    <s v="4010"/>
    <x v="4"/>
    <n v="0"/>
    <n v="0"/>
    <n v="3260.6"/>
    <n v="182593.6"/>
    <x v="2"/>
    <x v="2"/>
    <s v="AutoPost 1663"/>
    <s v="AUD"/>
    <n v="3260.6"/>
    <x v="0"/>
    <n v="56"/>
    <n v="182593.6"/>
  </r>
  <r>
    <s v="GL001664"/>
    <x v="707"/>
    <s v="6000"/>
    <x v="2"/>
    <n v="1149.3599999999999"/>
    <n v="64364.159999999996"/>
    <n v="0"/>
    <n v="0"/>
    <x v="3"/>
    <x v="2"/>
    <s v="AutoPost 1664"/>
    <s v="AUD"/>
    <n v="-1149.3599999999999"/>
    <x v="2"/>
    <n v="56"/>
    <n v="-64364.159999999996"/>
  </r>
  <r>
    <s v="GL001665"/>
    <x v="414"/>
    <s v="4010"/>
    <x v="4"/>
    <n v="0"/>
    <n v="0"/>
    <n v="1766.14"/>
    <n v="107734.54000000001"/>
    <x v="4"/>
    <x v="1"/>
    <s v="AutoPost 1665"/>
    <s v="CAD"/>
    <n v="1766.14"/>
    <x v="0"/>
    <n v="61"/>
    <n v="107734.54000000001"/>
  </r>
  <r>
    <s v="GL001666"/>
    <x v="759"/>
    <s v="6000"/>
    <x v="2"/>
    <n v="1403.79"/>
    <n v="123533.51999999999"/>
    <n v="0"/>
    <n v="0"/>
    <x v="4"/>
    <x v="2"/>
    <s v="AutoPost 1666"/>
    <s v="EUR"/>
    <n v="-1403.79"/>
    <x v="2"/>
    <n v="88"/>
    <n v="-123533.51999999999"/>
  </r>
  <r>
    <s v="GL001667"/>
    <x v="688"/>
    <s v="4000"/>
    <x v="0"/>
    <n v="0"/>
    <n v="0"/>
    <n v="4061.44"/>
    <n v="333038.08000000002"/>
    <x v="2"/>
    <x v="4"/>
    <s v="AutoPost 1667"/>
    <s v="USD"/>
    <n v="4061.44"/>
    <x v="0"/>
    <n v="82"/>
    <n v="333038.08000000002"/>
  </r>
  <r>
    <s v="GL001668"/>
    <x v="766"/>
    <s v="5010"/>
    <x v="3"/>
    <n v="1472.53"/>
    <n v="89824.33"/>
    <n v="0"/>
    <n v="0"/>
    <x v="1"/>
    <x v="3"/>
    <s v="AutoPost 1668"/>
    <s v="CAD"/>
    <n v="-1472.53"/>
    <x v="2"/>
    <n v="61"/>
    <n v="-89824.33"/>
  </r>
  <r>
    <s v="GL001669"/>
    <x v="146"/>
    <s v="4010"/>
    <x v="4"/>
    <n v="0"/>
    <n v="0"/>
    <n v="4153.5600000000004"/>
    <n v="232599.36000000002"/>
    <x v="3"/>
    <x v="1"/>
    <s v="AutoPost 1669"/>
    <s v="AUD"/>
    <n v="4153.5600000000004"/>
    <x v="0"/>
    <n v="56"/>
    <n v="232599.36000000002"/>
  </r>
  <r>
    <s v="GL001670"/>
    <x v="767"/>
    <s v="4000"/>
    <x v="0"/>
    <n v="0"/>
    <n v="0"/>
    <n v="1559.52"/>
    <n v="87333.119999999995"/>
    <x v="2"/>
    <x v="1"/>
    <s v="AutoPost 1670"/>
    <s v="AUD"/>
    <n v="1559.52"/>
    <x v="0"/>
    <n v="56"/>
    <n v="87333.119999999995"/>
  </r>
  <r>
    <s v="GL001671"/>
    <x v="48"/>
    <s v="5000"/>
    <x v="1"/>
    <n v="1478.02"/>
    <n v="121197.64"/>
    <n v="0"/>
    <n v="0"/>
    <x v="4"/>
    <x v="2"/>
    <s v="AutoPost 1671"/>
    <s v="USD"/>
    <n v="-1478.02"/>
    <x v="1"/>
    <n v="82"/>
    <n v="-121197.64"/>
  </r>
  <r>
    <s v="GL001672"/>
    <x v="725"/>
    <s v="6000"/>
    <x v="2"/>
    <n v="423.96"/>
    <n v="25861.559999999998"/>
    <n v="0"/>
    <n v="0"/>
    <x v="1"/>
    <x v="3"/>
    <s v="AutoPost 1672"/>
    <s v="CAD"/>
    <n v="-423.96"/>
    <x v="2"/>
    <n v="61"/>
    <n v="-25861.559999999998"/>
  </r>
  <r>
    <s v="GL001673"/>
    <x v="63"/>
    <s v="4010"/>
    <x v="4"/>
    <n v="0"/>
    <n v="0"/>
    <n v="1027.73"/>
    <n v="62691.53"/>
    <x v="2"/>
    <x v="3"/>
    <s v="AutoPost 1673"/>
    <s v="CAD"/>
    <n v="1027.73"/>
    <x v="0"/>
    <n v="61"/>
    <n v="62691.53"/>
  </r>
  <r>
    <s v="GL001674"/>
    <x v="286"/>
    <s v="4000"/>
    <x v="0"/>
    <n v="0"/>
    <n v="0"/>
    <n v="1661.02"/>
    <n v="146169.76"/>
    <x v="4"/>
    <x v="2"/>
    <s v="AutoPost 1674"/>
    <s v="EUR"/>
    <n v="1661.02"/>
    <x v="0"/>
    <n v="88"/>
    <n v="146169.76"/>
  </r>
  <r>
    <s v="GL001675"/>
    <x v="128"/>
    <s v="4010"/>
    <x v="4"/>
    <n v="0"/>
    <n v="0"/>
    <n v="1263.17"/>
    <n v="111158.96"/>
    <x v="1"/>
    <x v="4"/>
    <s v="AutoPost 1675"/>
    <s v="EUR"/>
    <n v="1263.17"/>
    <x v="0"/>
    <n v="88"/>
    <n v="111158.96"/>
  </r>
  <r>
    <s v="GL001676"/>
    <x v="317"/>
    <s v="4010"/>
    <x v="4"/>
    <n v="0"/>
    <n v="0"/>
    <n v="2207.1799999999998"/>
    <n v="227339.53999999998"/>
    <x v="4"/>
    <x v="3"/>
    <s v="AutoPost 1676"/>
    <s v="GBP"/>
    <n v="2207.1799999999998"/>
    <x v="0"/>
    <n v="103"/>
    <n v="227339.53999999998"/>
  </r>
  <r>
    <s v="GL001677"/>
    <x v="491"/>
    <s v="4010"/>
    <x v="4"/>
    <n v="0"/>
    <n v="0"/>
    <n v="3799.96"/>
    <n v="311596.72000000003"/>
    <x v="4"/>
    <x v="1"/>
    <s v="AutoPost 1677"/>
    <s v="USD"/>
    <n v="3799.96"/>
    <x v="0"/>
    <n v="82"/>
    <n v="311596.72000000003"/>
  </r>
  <r>
    <s v="GL001678"/>
    <x v="278"/>
    <s v="5010"/>
    <x v="3"/>
    <n v="1292.8800000000001"/>
    <n v="113773.44"/>
    <n v="0"/>
    <n v="0"/>
    <x v="5"/>
    <x v="3"/>
    <s v="AutoPost 1678"/>
    <s v="EUR"/>
    <n v="-1292.8800000000001"/>
    <x v="2"/>
    <n v="88"/>
    <n v="-113773.44"/>
  </r>
  <r>
    <s v="GL001679"/>
    <x v="477"/>
    <s v="5000"/>
    <x v="1"/>
    <n v="154.07"/>
    <n v="13558.16"/>
    <n v="0"/>
    <n v="0"/>
    <x v="3"/>
    <x v="2"/>
    <s v="AutoPost 1679"/>
    <s v="EUR"/>
    <n v="-154.07"/>
    <x v="1"/>
    <n v="88"/>
    <n v="-13558.16"/>
  </r>
  <r>
    <s v="GL001680"/>
    <x v="486"/>
    <s v="6000"/>
    <x v="2"/>
    <n v="1751.78"/>
    <n v="143645.96"/>
    <n v="0"/>
    <n v="0"/>
    <x v="5"/>
    <x v="1"/>
    <s v="AutoPost 1680"/>
    <s v="USD"/>
    <n v="-1751.78"/>
    <x v="2"/>
    <n v="82"/>
    <n v="-143645.96"/>
  </r>
  <r>
    <s v="GL001681"/>
    <x v="194"/>
    <s v="4010"/>
    <x v="4"/>
    <n v="0"/>
    <n v="0"/>
    <n v="635.34"/>
    <n v="35579.040000000001"/>
    <x v="1"/>
    <x v="2"/>
    <s v="AutoPost 1681"/>
    <s v="AUD"/>
    <n v="635.34"/>
    <x v="0"/>
    <n v="56"/>
    <n v="35579.040000000001"/>
  </r>
  <r>
    <s v="GL001682"/>
    <x v="280"/>
    <s v="5000"/>
    <x v="1"/>
    <n v="534.29"/>
    <n v="47017.52"/>
    <n v="0"/>
    <n v="0"/>
    <x v="2"/>
    <x v="4"/>
    <s v="AutoPost 1682"/>
    <s v="EUR"/>
    <n v="-534.29"/>
    <x v="1"/>
    <n v="88"/>
    <n v="-47017.52"/>
  </r>
  <r>
    <s v="GL001683"/>
    <x v="768"/>
    <s v="5010"/>
    <x v="3"/>
    <n v="1212.18"/>
    <n v="106671.84000000001"/>
    <n v="0"/>
    <n v="0"/>
    <x v="0"/>
    <x v="1"/>
    <s v="AutoPost 1683"/>
    <s v="EUR"/>
    <n v="-1212.18"/>
    <x v="2"/>
    <n v="88"/>
    <n v="-106671.84000000001"/>
  </r>
  <r>
    <s v="GL001684"/>
    <x v="360"/>
    <s v="5000"/>
    <x v="1"/>
    <n v="1830.4"/>
    <n v="111654.40000000001"/>
    <n v="0"/>
    <n v="0"/>
    <x v="1"/>
    <x v="2"/>
    <s v="AutoPost 1684"/>
    <s v="CAD"/>
    <n v="-1830.4"/>
    <x v="1"/>
    <n v="61"/>
    <n v="-111654.40000000001"/>
  </r>
  <r>
    <s v="GL001685"/>
    <x v="525"/>
    <s v="4010"/>
    <x v="4"/>
    <n v="0"/>
    <n v="0"/>
    <n v="1032.3800000000001"/>
    <n v="57813.280000000006"/>
    <x v="5"/>
    <x v="2"/>
    <s v="AutoPost 1685"/>
    <s v="AUD"/>
    <n v="1032.3800000000001"/>
    <x v="0"/>
    <n v="56"/>
    <n v="57813.280000000006"/>
  </r>
  <r>
    <s v="GL001686"/>
    <x v="684"/>
    <s v="4000"/>
    <x v="0"/>
    <n v="0"/>
    <n v="0"/>
    <n v="2620.3200000000002"/>
    <n v="159839.52000000002"/>
    <x v="4"/>
    <x v="0"/>
    <s v="AutoPost 1686"/>
    <s v="CAD"/>
    <n v="2620.3200000000002"/>
    <x v="0"/>
    <n v="61"/>
    <n v="159839.52000000002"/>
  </r>
  <r>
    <s v="GL001687"/>
    <x v="460"/>
    <s v="4010"/>
    <x v="4"/>
    <n v="0"/>
    <n v="0"/>
    <n v="4016.77"/>
    <n v="245022.97"/>
    <x v="4"/>
    <x v="1"/>
    <s v="AutoPost 1687"/>
    <s v="CAD"/>
    <n v="4016.77"/>
    <x v="0"/>
    <n v="61"/>
    <n v="245022.97"/>
  </r>
  <r>
    <s v="GL001688"/>
    <x v="769"/>
    <s v="5000"/>
    <x v="1"/>
    <n v="575"/>
    <n v="50600"/>
    <n v="0"/>
    <n v="0"/>
    <x v="4"/>
    <x v="0"/>
    <s v="AutoPost 1688"/>
    <s v="EUR"/>
    <n v="-575"/>
    <x v="1"/>
    <n v="88"/>
    <n v="-50600"/>
  </r>
  <r>
    <s v="GL001689"/>
    <x v="216"/>
    <s v="5010"/>
    <x v="3"/>
    <n v="692.19"/>
    <n v="60912.72"/>
    <n v="0"/>
    <n v="0"/>
    <x v="5"/>
    <x v="1"/>
    <s v="AutoPost 1689"/>
    <s v="EUR"/>
    <n v="-692.19"/>
    <x v="2"/>
    <n v="88"/>
    <n v="-60912.72"/>
  </r>
  <r>
    <s v="GL001690"/>
    <x v="66"/>
    <s v="4000"/>
    <x v="0"/>
    <n v="0"/>
    <n v="0"/>
    <n v="129.38999999999999"/>
    <n v="7892.7899999999991"/>
    <x v="4"/>
    <x v="2"/>
    <s v="AutoPost 1690"/>
    <s v="CAD"/>
    <n v="129.38999999999999"/>
    <x v="0"/>
    <n v="61"/>
    <n v="7892.7899999999991"/>
  </r>
  <r>
    <s v="GL001691"/>
    <x v="400"/>
    <s v="6000"/>
    <x v="2"/>
    <n v="739.61"/>
    <n v="65085.68"/>
    <n v="0"/>
    <n v="0"/>
    <x v="3"/>
    <x v="0"/>
    <s v="AutoPost 1691"/>
    <s v="EUR"/>
    <n v="-739.61"/>
    <x v="2"/>
    <n v="88"/>
    <n v="-65085.68"/>
  </r>
  <r>
    <s v="GL001692"/>
    <x v="651"/>
    <s v="4000"/>
    <x v="0"/>
    <n v="0"/>
    <n v="0"/>
    <n v="1931.62"/>
    <n v="117828.81999999999"/>
    <x v="4"/>
    <x v="2"/>
    <s v="AutoPost 1692"/>
    <s v="CAD"/>
    <n v="1931.62"/>
    <x v="0"/>
    <n v="61"/>
    <n v="117828.81999999999"/>
  </r>
  <r>
    <s v="GL001693"/>
    <x v="82"/>
    <s v="5010"/>
    <x v="3"/>
    <n v="624.64"/>
    <n v="54968.32"/>
    <n v="0"/>
    <n v="0"/>
    <x v="2"/>
    <x v="4"/>
    <s v="AutoPost 1693"/>
    <s v="EUR"/>
    <n v="-624.64"/>
    <x v="2"/>
    <n v="88"/>
    <n v="-54968.32"/>
  </r>
  <r>
    <s v="GL001694"/>
    <x v="400"/>
    <s v="4010"/>
    <x v="4"/>
    <n v="0"/>
    <n v="0"/>
    <n v="724.9"/>
    <n v="63791.199999999997"/>
    <x v="5"/>
    <x v="4"/>
    <s v="AutoPost 1694"/>
    <s v="EUR"/>
    <n v="724.9"/>
    <x v="0"/>
    <n v="88"/>
    <n v="63791.199999999997"/>
  </r>
  <r>
    <s v="GL001695"/>
    <x v="576"/>
    <s v="6000"/>
    <x v="2"/>
    <n v="630.79"/>
    <n v="35324.239999999998"/>
    <n v="0"/>
    <n v="0"/>
    <x v="5"/>
    <x v="0"/>
    <s v="AutoPost 1695"/>
    <s v="AUD"/>
    <n v="-630.79"/>
    <x v="2"/>
    <n v="56"/>
    <n v="-35324.239999999998"/>
  </r>
  <r>
    <s v="GL001696"/>
    <x v="249"/>
    <s v="5010"/>
    <x v="3"/>
    <n v="808.72"/>
    <n v="83298.16"/>
    <n v="0"/>
    <n v="0"/>
    <x v="2"/>
    <x v="4"/>
    <s v="AutoPost 1696"/>
    <s v="GBP"/>
    <n v="-808.72"/>
    <x v="2"/>
    <n v="103"/>
    <n v="-83298.16"/>
  </r>
  <r>
    <s v="GL001697"/>
    <x v="387"/>
    <s v="4000"/>
    <x v="0"/>
    <n v="0"/>
    <n v="0"/>
    <n v="1092.32"/>
    <n v="66631.51999999999"/>
    <x v="0"/>
    <x v="2"/>
    <s v="AutoPost 1697"/>
    <s v="CAD"/>
    <n v="1092.32"/>
    <x v="0"/>
    <n v="61"/>
    <n v="66631.51999999999"/>
  </r>
  <r>
    <s v="GL001698"/>
    <x v="245"/>
    <s v="5010"/>
    <x v="3"/>
    <n v="1433.85"/>
    <n v="87464.849999999991"/>
    <n v="0"/>
    <n v="0"/>
    <x v="5"/>
    <x v="4"/>
    <s v="AutoPost 1698"/>
    <s v="CAD"/>
    <n v="-1433.85"/>
    <x v="2"/>
    <n v="61"/>
    <n v="-87464.849999999991"/>
  </r>
  <r>
    <s v="GL001699"/>
    <x v="770"/>
    <s v="4010"/>
    <x v="4"/>
    <n v="0"/>
    <n v="0"/>
    <n v="902.75"/>
    <n v="92983.25"/>
    <x v="4"/>
    <x v="1"/>
    <s v="AutoPost 1699"/>
    <s v="GBP"/>
    <n v="902.75"/>
    <x v="0"/>
    <n v="103"/>
    <n v="92983.25"/>
  </r>
  <r>
    <s v="GL001700"/>
    <x v="656"/>
    <s v="5010"/>
    <x v="3"/>
    <n v="1012.66"/>
    <n v="56708.959999999999"/>
    <n v="0"/>
    <n v="0"/>
    <x v="4"/>
    <x v="1"/>
    <s v="AutoPost 1700"/>
    <s v="AUD"/>
    <n v="-1012.66"/>
    <x v="2"/>
    <n v="56"/>
    <n v="-56708.959999999999"/>
  </r>
  <r>
    <s v="GL001701"/>
    <x v="771"/>
    <s v="5000"/>
    <x v="1"/>
    <n v="1143.22"/>
    <n v="93744.040000000008"/>
    <n v="0"/>
    <n v="0"/>
    <x v="2"/>
    <x v="3"/>
    <s v="AutoPost 1701"/>
    <s v="USD"/>
    <n v="-1143.22"/>
    <x v="1"/>
    <n v="82"/>
    <n v="-93744.040000000008"/>
  </r>
  <r>
    <s v="GL001702"/>
    <x v="750"/>
    <s v="4000"/>
    <x v="0"/>
    <n v="0"/>
    <n v="0"/>
    <n v="3892.69"/>
    <n v="217990.64"/>
    <x v="0"/>
    <x v="4"/>
    <s v="AutoPost 1702"/>
    <s v="AUD"/>
    <n v="3892.69"/>
    <x v="0"/>
    <n v="56"/>
    <n v="217990.64"/>
  </r>
  <r>
    <s v="GL001703"/>
    <x v="562"/>
    <s v="6000"/>
    <x v="2"/>
    <n v="649.45000000000005"/>
    <n v="39616.450000000004"/>
    <n v="0"/>
    <n v="0"/>
    <x v="5"/>
    <x v="0"/>
    <s v="AutoPost 1703"/>
    <s v="CAD"/>
    <n v="-649.45000000000005"/>
    <x v="2"/>
    <n v="61"/>
    <n v="-39616.450000000004"/>
  </r>
  <r>
    <s v="GL001704"/>
    <x v="406"/>
    <s v="4010"/>
    <x v="4"/>
    <n v="0"/>
    <n v="0"/>
    <n v="1422.91"/>
    <n v="79682.960000000006"/>
    <x v="1"/>
    <x v="2"/>
    <s v="AutoPost 1704"/>
    <s v="AUD"/>
    <n v="1422.91"/>
    <x v="0"/>
    <n v="56"/>
    <n v="79682.960000000006"/>
  </r>
  <r>
    <s v="GL001705"/>
    <x v="478"/>
    <s v="4000"/>
    <x v="0"/>
    <n v="0"/>
    <n v="0"/>
    <n v="1269.95"/>
    <n v="130804.85"/>
    <x v="1"/>
    <x v="3"/>
    <s v="AutoPost 1705"/>
    <s v="GBP"/>
    <n v="1269.95"/>
    <x v="0"/>
    <n v="103"/>
    <n v="130804.85"/>
  </r>
  <r>
    <s v="GL001706"/>
    <x v="669"/>
    <s v="4010"/>
    <x v="4"/>
    <n v="0"/>
    <n v="0"/>
    <n v="4047.23"/>
    <n v="416864.69"/>
    <x v="2"/>
    <x v="4"/>
    <s v="AutoPost 1706"/>
    <s v="GBP"/>
    <n v="4047.23"/>
    <x v="0"/>
    <n v="103"/>
    <n v="416864.69"/>
  </r>
  <r>
    <s v="GL001707"/>
    <x v="713"/>
    <s v="5000"/>
    <x v="1"/>
    <n v="546.9"/>
    <n v="30626.399999999998"/>
    <n v="0"/>
    <n v="0"/>
    <x v="5"/>
    <x v="4"/>
    <s v="AutoPost 1707"/>
    <s v="AUD"/>
    <n v="-546.9"/>
    <x v="1"/>
    <n v="56"/>
    <n v="-30626.399999999998"/>
  </r>
  <r>
    <s v="GL001708"/>
    <x v="322"/>
    <s v="4000"/>
    <x v="0"/>
    <n v="0"/>
    <n v="0"/>
    <n v="652.36"/>
    <n v="57407.68"/>
    <x v="5"/>
    <x v="1"/>
    <s v="AutoPost 1708"/>
    <s v="EUR"/>
    <n v="652.36"/>
    <x v="0"/>
    <n v="88"/>
    <n v="57407.68"/>
  </r>
  <r>
    <s v="GL001709"/>
    <x v="582"/>
    <s v="4010"/>
    <x v="4"/>
    <n v="0"/>
    <n v="0"/>
    <n v="1963.74"/>
    <n v="161026.68"/>
    <x v="2"/>
    <x v="1"/>
    <s v="AutoPost 1709"/>
    <s v="USD"/>
    <n v="1963.74"/>
    <x v="0"/>
    <n v="82"/>
    <n v="161026.68"/>
  </r>
  <r>
    <s v="GL001710"/>
    <x v="359"/>
    <s v="4010"/>
    <x v="4"/>
    <n v="0"/>
    <n v="0"/>
    <n v="1521.92"/>
    <n v="133928.96000000002"/>
    <x v="5"/>
    <x v="4"/>
    <s v="AutoPost 1710"/>
    <s v="EUR"/>
    <n v="1521.92"/>
    <x v="0"/>
    <n v="88"/>
    <n v="133928.96000000002"/>
  </r>
  <r>
    <s v="GL001711"/>
    <x v="673"/>
    <s v="4010"/>
    <x v="4"/>
    <n v="0"/>
    <n v="0"/>
    <n v="3858.51"/>
    <n v="397426.53"/>
    <x v="2"/>
    <x v="2"/>
    <s v="AutoPost 1711"/>
    <s v="GBP"/>
    <n v="3858.51"/>
    <x v="0"/>
    <n v="103"/>
    <n v="397426.53"/>
  </r>
  <r>
    <s v="GL001712"/>
    <x v="613"/>
    <s v="4010"/>
    <x v="4"/>
    <n v="0"/>
    <n v="0"/>
    <n v="4500.74"/>
    <n v="252041.44"/>
    <x v="2"/>
    <x v="4"/>
    <s v="AutoPost 1712"/>
    <s v="AUD"/>
    <n v="4500.74"/>
    <x v="0"/>
    <n v="56"/>
    <n v="252041.44"/>
  </r>
  <r>
    <s v="GL001713"/>
    <x v="57"/>
    <s v="6000"/>
    <x v="2"/>
    <n v="678.18"/>
    <n v="37978.079999999994"/>
    <n v="0"/>
    <n v="0"/>
    <x v="3"/>
    <x v="0"/>
    <s v="AutoPost 1713"/>
    <s v="AUD"/>
    <n v="-678.18"/>
    <x v="2"/>
    <n v="56"/>
    <n v="-37978.079999999994"/>
  </r>
  <r>
    <s v="GL001714"/>
    <x v="407"/>
    <s v="6000"/>
    <x v="2"/>
    <n v="1306.92"/>
    <n v="79722.12000000001"/>
    <n v="0"/>
    <n v="0"/>
    <x v="5"/>
    <x v="1"/>
    <s v="AutoPost 1714"/>
    <s v="CAD"/>
    <n v="-1306.92"/>
    <x v="2"/>
    <n v="61"/>
    <n v="-79722.12000000001"/>
  </r>
  <r>
    <s v="GL001715"/>
    <x v="356"/>
    <s v="4010"/>
    <x v="4"/>
    <n v="0"/>
    <n v="0"/>
    <n v="1899.18"/>
    <n v="195615.54"/>
    <x v="0"/>
    <x v="0"/>
    <s v="AutoPost 1715"/>
    <s v="GBP"/>
    <n v="1899.18"/>
    <x v="0"/>
    <n v="103"/>
    <n v="195615.54"/>
  </r>
  <r>
    <s v="GL001716"/>
    <x v="749"/>
    <s v="4010"/>
    <x v="4"/>
    <n v="0"/>
    <n v="0"/>
    <n v="4785.2299999999996"/>
    <n v="492878.68999999994"/>
    <x v="2"/>
    <x v="3"/>
    <s v="AutoPost 1716"/>
    <s v="GBP"/>
    <n v="4785.2299999999996"/>
    <x v="0"/>
    <n v="103"/>
    <n v="492878.68999999994"/>
  </r>
  <r>
    <s v="GL001717"/>
    <x v="772"/>
    <s v="4010"/>
    <x v="4"/>
    <n v="0"/>
    <n v="0"/>
    <n v="2005.29"/>
    <n v="164433.78"/>
    <x v="4"/>
    <x v="1"/>
    <s v="AutoPost 1717"/>
    <s v="USD"/>
    <n v="2005.29"/>
    <x v="0"/>
    <n v="82"/>
    <n v="164433.78"/>
  </r>
  <r>
    <s v="GL001718"/>
    <x v="202"/>
    <s v="6000"/>
    <x v="2"/>
    <n v="1255.1099999999999"/>
    <n v="110449.68"/>
    <n v="0"/>
    <n v="0"/>
    <x v="5"/>
    <x v="1"/>
    <s v="AutoPost 1718"/>
    <s v="EUR"/>
    <n v="-1255.1099999999999"/>
    <x v="2"/>
    <n v="88"/>
    <n v="-110449.68"/>
  </r>
  <r>
    <s v="GL001719"/>
    <x v="293"/>
    <s v="5000"/>
    <x v="1"/>
    <n v="816.6"/>
    <n v="71860.800000000003"/>
    <n v="0"/>
    <n v="0"/>
    <x v="5"/>
    <x v="4"/>
    <s v="AutoPost 1719"/>
    <s v="EUR"/>
    <n v="-816.6"/>
    <x v="1"/>
    <n v="88"/>
    <n v="-71860.800000000003"/>
  </r>
  <r>
    <s v="GL001720"/>
    <x v="773"/>
    <s v="4010"/>
    <x v="4"/>
    <n v="0"/>
    <n v="0"/>
    <n v="1623.32"/>
    <n v="90905.919999999998"/>
    <x v="5"/>
    <x v="0"/>
    <s v="AutoPost 1720"/>
    <s v="AUD"/>
    <n v="1623.32"/>
    <x v="0"/>
    <n v="56"/>
    <n v="90905.919999999998"/>
  </r>
  <r>
    <s v="GL001721"/>
    <x v="774"/>
    <s v="6000"/>
    <x v="2"/>
    <n v="770.91"/>
    <n v="43170.96"/>
    <n v="0"/>
    <n v="0"/>
    <x v="5"/>
    <x v="4"/>
    <s v="AutoPost 1721"/>
    <s v="AUD"/>
    <n v="-770.91"/>
    <x v="2"/>
    <n v="56"/>
    <n v="-43170.96"/>
  </r>
  <r>
    <s v="GL001722"/>
    <x v="20"/>
    <s v="4010"/>
    <x v="4"/>
    <n v="0"/>
    <n v="0"/>
    <n v="3597.73"/>
    <n v="219461.53"/>
    <x v="0"/>
    <x v="1"/>
    <s v="AutoPost 1722"/>
    <s v="CAD"/>
    <n v="3597.73"/>
    <x v="0"/>
    <n v="61"/>
    <n v="219461.53"/>
  </r>
  <r>
    <s v="GL001723"/>
    <x v="402"/>
    <s v="5000"/>
    <x v="1"/>
    <n v="468"/>
    <n v="38376"/>
    <n v="0"/>
    <n v="0"/>
    <x v="4"/>
    <x v="4"/>
    <s v="AutoPost 1723"/>
    <s v="USD"/>
    <n v="-468"/>
    <x v="1"/>
    <n v="82"/>
    <n v="-38376"/>
  </r>
  <r>
    <s v="GL001724"/>
    <x v="367"/>
    <s v="6000"/>
    <x v="2"/>
    <n v="1093.3800000000001"/>
    <n v="61229.280000000006"/>
    <n v="0"/>
    <n v="0"/>
    <x v="2"/>
    <x v="1"/>
    <s v="AutoPost 1724"/>
    <s v="AUD"/>
    <n v="-1093.3800000000001"/>
    <x v="2"/>
    <n v="56"/>
    <n v="-61229.280000000006"/>
  </r>
  <r>
    <s v="GL001725"/>
    <x v="195"/>
    <s v="4010"/>
    <x v="4"/>
    <n v="0"/>
    <n v="0"/>
    <n v="1791.26"/>
    <n v="146883.32"/>
    <x v="2"/>
    <x v="3"/>
    <s v="AutoPost 1725"/>
    <s v="USD"/>
    <n v="1791.26"/>
    <x v="0"/>
    <n v="82"/>
    <n v="146883.32"/>
  </r>
  <r>
    <s v="GL001726"/>
    <x v="775"/>
    <s v="4010"/>
    <x v="4"/>
    <n v="0"/>
    <n v="0"/>
    <n v="2175.02"/>
    <n v="224027.06"/>
    <x v="1"/>
    <x v="2"/>
    <s v="AutoPost 1726"/>
    <s v="GBP"/>
    <n v="2175.02"/>
    <x v="0"/>
    <n v="103"/>
    <n v="224027.06"/>
  </r>
  <r>
    <s v="GL001727"/>
    <x v="711"/>
    <s v="6000"/>
    <x v="2"/>
    <n v="1574.77"/>
    <n v="96060.97"/>
    <n v="0"/>
    <n v="0"/>
    <x v="0"/>
    <x v="0"/>
    <s v="AutoPost 1727"/>
    <s v="CAD"/>
    <n v="-1574.77"/>
    <x v="2"/>
    <n v="61"/>
    <n v="-96060.97"/>
  </r>
  <r>
    <s v="GL001728"/>
    <x v="776"/>
    <s v="5000"/>
    <x v="1"/>
    <n v="1527.19"/>
    <n v="157300.57"/>
    <n v="0"/>
    <n v="0"/>
    <x v="5"/>
    <x v="4"/>
    <s v="AutoPost 1728"/>
    <s v="GBP"/>
    <n v="-1527.19"/>
    <x v="1"/>
    <n v="103"/>
    <n v="-157300.57"/>
  </r>
  <r>
    <s v="GL001729"/>
    <x v="740"/>
    <s v="5010"/>
    <x v="3"/>
    <n v="235.69"/>
    <n v="13198.64"/>
    <n v="0"/>
    <n v="0"/>
    <x v="5"/>
    <x v="1"/>
    <s v="AutoPost 1729"/>
    <s v="AUD"/>
    <n v="-235.69"/>
    <x v="2"/>
    <n v="56"/>
    <n v="-13198.64"/>
  </r>
  <r>
    <s v="GL001730"/>
    <x v="48"/>
    <s v="4010"/>
    <x v="4"/>
    <n v="0"/>
    <n v="0"/>
    <n v="1732.54"/>
    <n v="142068.28"/>
    <x v="1"/>
    <x v="3"/>
    <s v="AutoPost 1730"/>
    <s v="USD"/>
    <n v="1732.54"/>
    <x v="0"/>
    <n v="82"/>
    <n v="142068.28"/>
  </r>
  <r>
    <s v="GL001731"/>
    <x v="149"/>
    <s v="4010"/>
    <x v="4"/>
    <n v="0"/>
    <n v="0"/>
    <n v="2626.2"/>
    <n v="160198.19999999998"/>
    <x v="0"/>
    <x v="2"/>
    <s v="AutoPost 1731"/>
    <s v="CAD"/>
    <n v="2626.2"/>
    <x v="0"/>
    <n v="61"/>
    <n v="160198.19999999998"/>
  </r>
  <r>
    <s v="GL001732"/>
    <x v="528"/>
    <s v="5010"/>
    <x v="3"/>
    <n v="1253"/>
    <n v="110264"/>
    <n v="0"/>
    <n v="0"/>
    <x v="0"/>
    <x v="0"/>
    <s v="AutoPost 1732"/>
    <s v="EUR"/>
    <n v="-1253"/>
    <x v="2"/>
    <n v="88"/>
    <n v="-110264"/>
  </r>
  <r>
    <s v="GL001733"/>
    <x v="94"/>
    <s v="5000"/>
    <x v="1"/>
    <n v="698.8"/>
    <n v="42626.799999999996"/>
    <n v="0"/>
    <n v="0"/>
    <x v="2"/>
    <x v="4"/>
    <s v="AutoPost 1733"/>
    <s v="CAD"/>
    <n v="-698.8"/>
    <x v="1"/>
    <n v="61"/>
    <n v="-42626.799999999996"/>
  </r>
  <r>
    <s v="GL001734"/>
    <x v="745"/>
    <s v="4000"/>
    <x v="0"/>
    <n v="0"/>
    <n v="0"/>
    <n v="1651.12"/>
    <n v="92462.720000000001"/>
    <x v="3"/>
    <x v="0"/>
    <s v="AutoPost 1734"/>
    <s v="AUD"/>
    <n v="1651.12"/>
    <x v="0"/>
    <n v="56"/>
    <n v="92462.720000000001"/>
  </r>
  <r>
    <s v="GL001735"/>
    <x v="229"/>
    <s v="4010"/>
    <x v="4"/>
    <n v="0"/>
    <n v="0"/>
    <n v="4999.53"/>
    <n v="304971.32999999996"/>
    <x v="4"/>
    <x v="0"/>
    <s v="AutoPost 1735"/>
    <s v="CAD"/>
    <n v="4999.53"/>
    <x v="0"/>
    <n v="61"/>
    <n v="304971.32999999996"/>
  </r>
  <r>
    <s v="GL001736"/>
    <x v="326"/>
    <s v="5000"/>
    <x v="1"/>
    <n v="600.07000000000005"/>
    <n v="52806.16"/>
    <n v="0"/>
    <n v="0"/>
    <x v="1"/>
    <x v="1"/>
    <s v="AutoPost 1736"/>
    <s v="EUR"/>
    <n v="-600.07000000000005"/>
    <x v="1"/>
    <n v="88"/>
    <n v="-52806.16"/>
  </r>
  <r>
    <s v="GL001737"/>
    <x v="338"/>
    <s v="6000"/>
    <x v="2"/>
    <n v="1136.96"/>
    <n v="93230.720000000001"/>
    <n v="0"/>
    <n v="0"/>
    <x v="5"/>
    <x v="3"/>
    <s v="AutoPost 1737"/>
    <s v="USD"/>
    <n v="-1136.96"/>
    <x v="2"/>
    <n v="82"/>
    <n v="-93230.720000000001"/>
  </r>
  <r>
    <s v="GL001738"/>
    <x v="688"/>
    <s v="4010"/>
    <x v="4"/>
    <n v="0"/>
    <n v="0"/>
    <n v="3007.82"/>
    <n v="246641.24000000002"/>
    <x v="5"/>
    <x v="4"/>
    <s v="AutoPost 1738"/>
    <s v="USD"/>
    <n v="3007.82"/>
    <x v="0"/>
    <n v="82"/>
    <n v="246641.24000000002"/>
  </r>
  <r>
    <s v="GL001739"/>
    <x v="777"/>
    <s v="4010"/>
    <x v="4"/>
    <n v="0"/>
    <n v="0"/>
    <n v="2023.01"/>
    <n v="208370.03"/>
    <x v="3"/>
    <x v="4"/>
    <s v="AutoPost 1739"/>
    <s v="GBP"/>
    <n v="2023.01"/>
    <x v="0"/>
    <n v="103"/>
    <n v="208370.03"/>
  </r>
  <r>
    <s v="GL001740"/>
    <x v="207"/>
    <s v="4000"/>
    <x v="0"/>
    <n v="0"/>
    <n v="0"/>
    <n v="3884.34"/>
    <n v="400087.02"/>
    <x v="2"/>
    <x v="0"/>
    <s v="AutoPost 1740"/>
    <s v="GBP"/>
    <n v="3884.34"/>
    <x v="0"/>
    <n v="103"/>
    <n v="400087.02"/>
  </r>
  <r>
    <s v="GL001741"/>
    <x v="413"/>
    <s v="4000"/>
    <x v="0"/>
    <n v="0"/>
    <n v="0"/>
    <n v="225.78"/>
    <n v="19868.64"/>
    <x v="3"/>
    <x v="2"/>
    <s v="AutoPost 1741"/>
    <s v="EUR"/>
    <n v="225.78"/>
    <x v="0"/>
    <n v="88"/>
    <n v="19868.64"/>
  </r>
  <r>
    <s v="GL001742"/>
    <x v="227"/>
    <s v="4000"/>
    <x v="0"/>
    <n v="0"/>
    <n v="0"/>
    <n v="2518.37"/>
    <n v="141028.72"/>
    <x v="2"/>
    <x v="3"/>
    <s v="AutoPost 1742"/>
    <s v="AUD"/>
    <n v="2518.37"/>
    <x v="0"/>
    <n v="56"/>
    <n v="141028.72"/>
  </r>
  <r>
    <s v="GL001743"/>
    <x v="778"/>
    <s v="5000"/>
    <x v="1"/>
    <n v="847.09"/>
    <n v="87250.27"/>
    <n v="0"/>
    <n v="0"/>
    <x v="4"/>
    <x v="3"/>
    <s v="AutoPost 1743"/>
    <s v="GBP"/>
    <n v="-847.09"/>
    <x v="1"/>
    <n v="103"/>
    <n v="-87250.27"/>
  </r>
  <r>
    <s v="GL001744"/>
    <x v="770"/>
    <s v="6000"/>
    <x v="2"/>
    <n v="121.29"/>
    <n v="10673.52"/>
    <n v="0"/>
    <n v="0"/>
    <x v="5"/>
    <x v="2"/>
    <s v="AutoPost 1744"/>
    <s v="EUR"/>
    <n v="-121.29"/>
    <x v="2"/>
    <n v="88"/>
    <n v="-10673.52"/>
  </r>
  <r>
    <s v="GL001745"/>
    <x v="266"/>
    <s v="6000"/>
    <x v="2"/>
    <n v="1357.35"/>
    <n v="111302.7"/>
    <n v="0"/>
    <n v="0"/>
    <x v="3"/>
    <x v="1"/>
    <s v="AutoPost 1745"/>
    <s v="USD"/>
    <n v="-1357.35"/>
    <x v="2"/>
    <n v="82"/>
    <n v="-111302.7"/>
  </r>
  <r>
    <s v="GL001746"/>
    <x v="634"/>
    <s v="4010"/>
    <x v="4"/>
    <n v="0"/>
    <n v="0"/>
    <n v="1658.15"/>
    <n v="101147.15000000001"/>
    <x v="5"/>
    <x v="2"/>
    <s v="AutoPost 1746"/>
    <s v="CAD"/>
    <n v="1658.15"/>
    <x v="0"/>
    <n v="61"/>
    <n v="101147.15000000001"/>
  </r>
  <r>
    <s v="GL001747"/>
    <x v="779"/>
    <s v="5010"/>
    <x v="3"/>
    <n v="759.41"/>
    <n v="42526.96"/>
    <n v="0"/>
    <n v="0"/>
    <x v="4"/>
    <x v="0"/>
    <s v="AutoPost 1747"/>
    <s v="AUD"/>
    <n v="-759.41"/>
    <x v="2"/>
    <n v="56"/>
    <n v="-42526.96"/>
  </r>
  <r>
    <s v="GL001748"/>
    <x v="285"/>
    <s v="4000"/>
    <x v="0"/>
    <n v="0"/>
    <n v="0"/>
    <n v="4703.2"/>
    <n v="413881.59999999998"/>
    <x v="5"/>
    <x v="2"/>
    <s v="AutoPost 1748"/>
    <s v="EUR"/>
    <n v="4703.2"/>
    <x v="0"/>
    <n v="88"/>
    <n v="413881.59999999998"/>
  </r>
  <r>
    <s v="GL001749"/>
    <x v="183"/>
    <s v="4010"/>
    <x v="4"/>
    <n v="0"/>
    <n v="0"/>
    <n v="528.16999999999996"/>
    <n v="46478.96"/>
    <x v="3"/>
    <x v="3"/>
    <s v="AutoPost 1749"/>
    <s v="EUR"/>
    <n v="528.16999999999996"/>
    <x v="0"/>
    <n v="88"/>
    <n v="46478.96"/>
  </r>
  <r>
    <s v="GL001750"/>
    <x v="6"/>
    <s v="4000"/>
    <x v="0"/>
    <n v="0"/>
    <n v="0"/>
    <n v="4978.6499999999996"/>
    <n v="408249.3"/>
    <x v="2"/>
    <x v="0"/>
    <s v="AutoPost 1750"/>
    <s v="USD"/>
    <n v="4978.6499999999996"/>
    <x v="0"/>
    <n v="82"/>
    <n v="408249.3"/>
  </r>
  <r>
    <s v="GL001751"/>
    <x v="173"/>
    <s v="6000"/>
    <x v="2"/>
    <n v="912.48"/>
    <n v="80298.240000000005"/>
    <n v="0"/>
    <n v="0"/>
    <x v="4"/>
    <x v="0"/>
    <s v="AutoPost 1751"/>
    <s v="EUR"/>
    <n v="-912.48"/>
    <x v="2"/>
    <n v="88"/>
    <n v="-80298.240000000005"/>
  </r>
  <r>
    <s v="GL001752"/>
    <x v="610"/>
    <s v="4000"/>
    <x v="0"/>
    <n v="0"/>
    <n v="0"/>
    <n v="3719.23"/>
    <n v="383080.69"/>
    <x v="2"/>
    <x v="4"/>
    <s v="AutoPost 1752"/>
    <s v="GBP"/>
    <n v="3719.23"/>
    <x v="0"/>
    <n v="103"/>
    <n v="383080.69"/>
  </r>
  <r>
    <s v="GL001753"/>
    <x v="779"/>
    <s v="5000"/>
    <x v="1"/>
    <n v="136.12"/>
    <n v="14020.36"/>
    <n v="0"/>
    <n v="0"/>
    <x v="2"/>
    <x v="4"/>
    <s v="AutoPost 1753"/>
    <s v="GBP"/>
    <n v="-136.12"/>
    <x v="1"/>
    <n v="103"/>
    <n v="-14020.36"/>
  </r>
  <r>
    <s v="GL001754"/>
    <x v="780"/>
    <s v="5000"/>
    <x v="1"/>
    <n v="501.66"/>
    <n v="28092.960000000003"/>
    <n v="0"/>
    <n v="0"/>
    <x v="5"/>
    <x v="2"/>
    <s v="AutoPost 1754"/>
    <s v="AUD"/>
    <n v="-501.66"/>
    <x v="1"/>
    <n v="56"/>
    <n v="-28092.960000000003"/>
  </r>
  <r>
    <s v="GL001755"/>
    <x v="5"/>
    <s v="4010"/>
    <x v="4"/>
    <n v="0"/>
    <n v="0"/>
    <n v="4477.99"/>
    <n v="461232.97"/>
    <x v="5"/>
    <x v="1"/>
    <s v="AutoPost 1755"/>
    <s v="GBP"/>
    <n v="4477.99"/>
    <x v="0"/>
    <n v="103"/>
    <n v="461232.97"/>
  </r>
  <r>
    <s v="GL001756"/>
    <x v="28"/>
    <s v="5000"/>
    <x v="1"/>
    <n v="310.49"/>
    <n v="25460.18"/>
    <n v="0"/>
    <n v="0"/>
    <x v="1"/>
    <x v="3"/>
    <s v="AutoPost 1756"/>
    <s v="USD"/>
    <n v="-310.49"/>
    <x v="1"/>
    <n v="82"/>
    <n v="-25460.18"/>
  </r>
  <r>
    <s v="GL001757"/>
    <x v="195"/>
    <s v="5010"/>
    <x v="3"/>
    <n v="1687.77"/>
    <n v="102953.97"/>
    <n v="0"/>
    <n v="0"/>
    <x v="3"/>
    <x v="3"/>
    <s v="AutoPost 1757"/>
    <s v="CAD"/>
    <n v="-1687.77"/>
    <x v="2"/>
    <n v="61"/>
    <n v="-102953.97"/>
  </r>
  <r>
    <s v="GL001758"/>
    <x v="538"/>
    <s v="4010"/>
    <x v="4"/>
    <n v="0"/>
    <n v="0"/>
    <n v="3606.68"/>
    <n v="220007.47999999998"/>
    <x v="0"/>
    <x v="0"/>
    <s v="AutoPost 1758"/>
    <s v="CAD"/>
    <n v="3606.68"/>
    <x v="0"/>
    <n v="61"/>
    <n v="220007.47999999998"/>
  </r>
  <r>
    <s v="GL001759"/>
    <x v="448"/>
    <s v="5010"/>
    <x v="3"/>
    <n v="1726.93"/>
    <n v="96708.08"/>
    <n v="0"/>
    <n v="0"/>
    <x v="4"/>
    <x v="2"/>
    <s v="AutoPost 1759"/>
    <s v="AUD"/>
    <n v="-1726.93"/>
    <x v="2"/>
    <n v="56"/>
    <n v="-96708.08"/>
  </r>
  <r>
    <s v="GL001760"/>
    <x v="732"/>
    <s v="4010"/>
    <x v="4"/>
    <n v="0"/>
    <n v="0"/>
    <n v="4091.1"/>
    <n v="229101.6"/>
    <x v="5"/>
    <x v="0"/>
    <s v="AutoPost 1760"/>
    <s v="AUD"/>
    <n v="4091.1"/>
    <x v="0"/>
    <n v="56"/>
    <n v="229101.6"/>
  </r>
  <r>
    <s v="GL001761"/>
    <x v="223"/>
    <s v="5000"/>
    <x v="1"/>
    <n v="1712.78"/>
    <n v="95915.68"/>
    <n v="0"/>
    <n v="0"/>
    <x v="2"/>
    <x v="4"/>
    <s v="AutoPost 1761"/>
    <s v="AUD"/>
    <n v="-1712.78"/>
    <x v="1"/>
    <n v="56"/>
    <n v="-95915.68"/>
  </r>
  <r>
    <s v="GL001762"/>
    <x v="781"/>
    <s v="4010"/>
    <x v="4"/>
    <n v="0"/>
    <n v="0"/>
    <n v="4088.16"/>
    <n v="359758.07999999996"/>
    <x v="1"/>
    <x v="3"/>
    <s v="AutoPost 1762"/>
    <s v="EUR"/>
    <n v="4088.16"/>
    <x v="0"/>
    <n v="88"/>
    <n v="359758.07999999996"/>
  </r>
  <r>
    <s v="GL001763"/>
    <x v="615"/>
    <s v="5000"/>
    <x v="1"/>
    <n v="1941.5"/>
    <n v="199974.5"/>
    <n v="0"/>
    <n v="0"/>
    <x v="2"/>
    <x v="0"/>
    <s v="AutoPost 1763"/>
    <s v="GBP"/>
    <n v="-1941.5"/>
    <x v="1"/>
    <n v="103"/>
    <n v="-199974.5"/>
  </r>
  <r>
    <s v="GL001764"/>
    <x v="304"/>
    <s v="5010"/>
    <x v="3"/>
    <n v="1945.41"/>
    <n v="200377.23"/>
    <n v="0"/>
    <n v="0"/>
    <x v="3"/>
    <x v="0"/>
    <s v="AutoPost 1764"/>
    <s v="GBP"/>
    <n v="-1945.41"/>
    <x v="2"/>
    <n v="103"/>
    <n v="-200377.23"/>
  </r>
  <r>
    <s v="GL001765"/>
    <x v="738"/>
    <s v="5000"/>
    <x v="1"/>
    <n v="1421.11"/>
    <n v="86687.709999999992"/>
    <n v="0"/>
    <n v="0"/>
    <x v="2"/>
    <x v="3"/>
    <s v="AutoPost 1765"/>
    <s v="CAD"/>
    <n v="-1421.11"/>
    <x v="1"/>
    <n v="61"/>
    <n v="-86687.709999999992"/>
  </r>
  <r>
    <s v="GL001766"/>
    <x v="782"/>
    <s v="5010"/>
    <x v="3"/>
    <n v="289.94"/>
    <n v="23775.079999999998"/>
    <n v="0"/>
    <n v="0"/>
    <x v="5"/>
    <x v="3"/>
    <s v="AutoPost 1766"/>
    <s v="USD"/>
    <n v="-289.94"/>
    <x v="2"/>
    <n v="82"/>
    <n v="-23775.079999999998"/>
  </r>
  <r>
    <s v="GL001767"/>
    <x v="183"/>
    <s v="5010"/>
    <x v="3"/>
    <n v="1061.21"/>
    <n v="87019.22"/>
    <n v="0"/>
    <n v="0"/>
    <x v="4"/>
    <x v="2"/>
    <s v="AutoPost 1767"/>
    <s v="USD"/>
    <n v="-1061.21"/>
    <x v="2"/>
    <n v="82"/>
    <n v="-87019.22"/>
  </r>
  <r>
    <s v="GL001768"/>
    <x v="332"/>
    <s v="4000"/>
    <x v="0"/>
    <n v="0"/>
    <n v="0"/>
    <n v="2682.77"/>
    <n v="276325.31"/>
    <x v="1"/>
    <x v="3"/>
    <s v="AutoPost 1768"/>
    <s v="GBP"/>
    <n v="2682.77"/>
    <x v="0"/>
    <n v="103"/>
    <n v="276325.31"/>
  </r>
  <r>
    <s v="GL001769"/>
    <x v="756"/>
    <s v="4010"/>
    <x v="4"/>
    <n v="0"/>
    <n v="0"/>
    <n v="250.7"/>
    <n v="15292.699999999999"/>
    <x v="4"/>
    <x v="3"/>
    <s v="AutoPost 1769"/>
    <s v="CAD"/>
    <n v="250.7"/>
    <x v="0"/>
    <n v="61"/>
    <n v="15292.699999999999"/>
  </r>
  <r>
    <s v="GL001770"/>
    <x v="319"/>
    <s v="5000"/>
    <x v="1"/>
    <n v="1995.64"/>
    <n v="163642.48000000001"/>
    <n v="0"/>
    <n v="0"/>
    <x v="3"/>
    <x v="0"/>
    <s v="AutoPost 1770"/>
    <s v="USD"/>
    <n v="-1995.64"/>
    <x v="1"/>
    <n v="82"/>
    <n v="-163642.48000000001"/>
  </r>
  <r>
    <s v="GL001771"/>
    <x v="586"/>
    <s v="5010"/>
    <x v="3"/>
    <n v="1268.68"/>
    <n v="111643.84000000001"/>
    <n v="0"/>
    <n v="0"/>
    <x v="1"/>
    <x v="0"/>
    <s v="AutoPost 1771"/>
    <s v="EUR"/>
    <n v="-1268.68"/>
    <x v="2"/>
    <n v="88"/>
    <n v="-111643.84000000001"/>
  </r>
  <r>
    <s v="GL001772"/>
    <x v="168"/>
    <s v="5000"/>
    <x v="1"/>
    <n v="1700.66"/>
    <n v="103740.26000000001"/>
    <n v="0"/>
    <n v="0"/>
    <x v="0"/>
    <x v="0"/>
    <s v="AutoPost 1772"/>
    <s v="CAD"/>
    <n v="-1700.66"/>
    <x v="1"/>
    <n v="61"/>
    <n v="-103740.26000000001"/>
  </r>
  <r>
    <s v="GL001773"/>
    <x v="67"/>
    <s v="6000"/>
    <x v="2"/>
    <n v="335.24"/>
    <n v="34529.72"/>
    <n v="0"/>
    <n v="0"/>
    <x v="4"/>
    <x v="1"/>
    <s v="AutoPost 1773"/>
    <s v="GBP"/>
    <n v="-335.24"/>
    <x v="2"/>
    <n v="103"/>
    <n v="-34529.72"/>
  </r>
  <r>
    <s v="GL001774"/>
    <x v="636"/>
    <s v="6000"/>
    <x v="2"/>
    <n v="705.25"/>
    <n v="39494"/>
    <n v="0"/>
    <n v="0"/>
    <x v="1"/>
    <x v="2"/>
    <s v="AutoPost 1774"/>
    <s v="AUD"/>
    <n v="-705.25"/>
    <x v="2"/>
    <n v="56"/>
    <n v="-39494"/>
  </r>
  <r>
    <s v="GL001775"/>
    <x v="4"/>
    <s v="5000"/>
    <x v="1"/>
    <n v="1859.77"/>
    <n v="104147.12"/>
    <n v="0"/>
    <n v="0"/>
    <x v="5"/>
    <x v="4"/>
    <s v="AutoPost 1775"/>
    <s v="AUD"/>
    <n v="-1859.77"/>
    <x v="1"/>
    <n v="56"/>
    <n v="-104147.12"/>
  </r>
  <r>
    <s v="GL001776"/>
    <x v="564"/>
    <s v="6000"/>
    <x v="2"/>
    <n v="1672.52"/>
    <n v="147181.76000000001"/>
    <n v="0"/>
    <n v="0"/>
    <x v="0"/>
    <x v="1"/>
    <s v="AutoPost 1776"/>
    <s v="EUR"/>
    <n v="-1672.52"/>
    <x v="2"/>
    <n v="88"/>
    <n v="-147181.76000000001"/>
  </r>
  <r>
    <s v="GL001777"/>
    <x v="269"/>
    <s v="6000"/>
    <x v="2"/>
    <n v="692.89"/>
    <n v="71367.67"/>
    <n v="0"/>
    <n v="0"/>
    <x v="1"/>
    <x v="2"/>
    <s v="AutoPost 1777"/>
    <s v="GBP"/>
    <n v="-692.89"/>
    <x v="2"/>
    <n v="103"/>
    <n v="-71367.67"/>
  </r>
  <r>
    <s v="GL001778"/>
    <x v="178"/>
    <s v="5010"/>
    <x v="3"/>
    <n v="324.08"/>
    <n v="19768.879999999997"/>
    <n v="0"/>
    <n v="0"/>
    <x v="0"/>
    <x v="3"/>
    <s v="AutoPost 1778"/>
    <s v="CAD"/>
    <n v="-324.08"/>
    <x v="2"/>
    <n v="61"/>
    <n v="-19768.879999999997"/>
  </r>
  <r>
    <s v="GL001779"/>
    <x v="783"/>
    <s v="6000"/>
    <x v="2"/>
    <n v="1164.05"/>
    <n v="95452.099999999991"/>
    <n v="0"/>
    <n v="0"/>
    <x v="5"/>
    <x v="0"/>
    <s v="AutoPost 1779"/>
    <s v="USD"/>
    <n v="-1164.05"/>
    <x v="2"/>
    <n v="82"/>
    <n v="-95452.099999999991"/>
  </r>
  <r>
    <s v="GL001780"/>
    <x v="784"/>
    <s v="4000"/>
    <x v="0"/>
    <n v="0"/>
    <n v="0"/>
    <n v="778.57"/>
    <n v="43599.920000000006"/>
    <x v="3"/>
    <x v="4"/>
    <s v="AutoPost 1780"/>
    <s v="AUD"/>
    <n v="778.57"/>
    <x v="0"/>
    <n v="56"/>
    <n v="43599.920000000006"/>
  </r>
  <r>
    <s v="GL001781"/>
    <x v="424"/>
    <s v="6000"/>
    <x v="2"/>
    <n v="670.62"/>
    <n v="69073.86"/>
    <n v="0"/>
    <n v="0"/>
    <x v="1"/>
    <x v="2"/>
    <s v="AutoPost 1781"/>
    <s v="GBP"/>
    <n v="-670.62"/>
    <x v="2"/>
    <n v="103"/>
    <n v="-69073.86"/>
  </r>
  <r>
    <s v="GL001782"/>
    <x v="106"/>
    <s v="6000"/>
    <x v="2"/>
    <n v="887.17"/>
    <n v="78070.959999999992"/>
    <n v="0"/>
    <n v="0"/>
    <x v="2"/>
    <x v="0"/>
    <s v="AutoPost 1782"/>
    <s v="EUR"/>
    <n v="-887.17"/>
    <x v="2"/>
    <n v="88"/>
    <n v="-78070.959999999992"/>
  </r>
  <r>
    <s v="GL001783"/>
    <x v="478"/>
    <s v="5010"/>
    <x v="3"/>
    <n v="680.13"/>
    <n v="38087.279999999999"/>
    <n v="0"/>
    <n v="0"/>
    <x v="2"/>
    <x v="3"/>
    <s v="AutoPost 1783"/>
    <s v="AUD"/>
    <n v="-680.13"/>
    <x v="2"/>
    <n v="56"/>
    <n v="-38087.279999999999"/>
  </r>
  <r>
    <s v="GL001784"/>
    <x v="383"/>
    <s v="4010"/>
    <x v="4"/>
    <n v="0"/>
    <n v="0"/>
    <n v="841.83"/>
    <n v="47142.48"/>
    <x v="0"/>
    <x v="0"/>
    <s v="AutoPost 1784"/>
    <s v="AUD"/>
    <n v="841.83"/>
    <x v="0"/>
    <n v="56"/>
    <n v="47142.48"/>
  </r>
  <r>
    <s v="GL001785"/>
    <x v="733"/>
    <s v="4010"/>
    <x v="4"/>
    <n v="0"/>
    <n v="0"/>
    <n v="302.97000000000003"/>
    <n v="24843.54"/>
    <x v="2"/>
    <x v="1"/>
    <s v="AutoPost 1785"/>
    <s v="USD"/>
    <n v="302.97000000000003"/>
    <x v="0"/>
    <n v="82"/>
    <n v="24843.54"/>
  </r>
  <r>
    <s v="GL001786"/>
    <x v="40"/>
    <s v="5000"/>
    <x v="1"/>
    <n v="80.23"/>
    <n v="4894.0300000000007"/>
    <n v="0"/>
    <n v="0"/>
    <x v="1"/>
    <x v="3"/>
    <s v="AutoPost 1786"/>
    <s v="CAD"/>
    <n v="-80.23"/>
    <x v="1"/>
    <n v="61"/>
    <n v="-4894.0300000000007"/>
  </r>
  <r>
    <s v="GL001787"/>
    <x v="266"/>
    <s v="5000"/>
    <x v="1"/>
    <n v="338.61"/>
    <n v="27766.02"/>
    <n v="0"/>
    <n v="0"/>
    <x v="4"/>
    <x v="2"/>
    <s v="AutoPost 1787"/>
    <s v="USD"/>
    <n v="-338.61"/>
    <x v="1"/>
    <n v="82"/>
    <n v="-27766.02"/>
  </r>
  <r>
    <s v="GL001788"/>
    <x v="785"/>
    <s v="5000"/>
    <x v="1"/>
    <n v="1098.3699999999999"/>
    <n v="90066.34"/>
    <n v="0"/>
    <n v="0"/>
    <x v="4"/>
    <x v="4"/>
    <s v="AutoPost 1788"/>
    <s v="USD"/>
    <n v="-1098.3699999999999"/>
    <x v="1"/>
    <n v="82"/>
    <n v="-90066.34"/>
  </r>
  <r>
    <s v="GL001789"/>
    <x v="733"/>
    <s v="4000"/>
    <x v="0"/>
    <n v="0"/>
    <n v="0"/>
    <n v="2290.62"/>
    <n v="139727.82"/>
    <x v="0"/>
    <x v="3"/>
    <s v="AutoPost 1789"/>
    <s v="CAD"/>
    <n v="2290.62"/>
    <x v="0"/>
    <n v="61"/>
    <n v="139727.82"/>
  </r>
  <r>
    <s v="GL001790"/>
    <x v="205"/>
    <s v="5010"/>
    <x v="3"/>
    <n v="1294.49"/>
    <n v="78963.89"/>
    <n v="0"/>
    <n v="0"/>
    <x v="1"/>
    <x v="4"/>
    <s v="AutoPost 1790"/>
    <s v="CAD"/>
    <n v="-1294.49"/>
    <x v="2"/>
    <n v="61"/>
    <n v="-78963.89"/>
  </r>
  <r>
    <s v="GL001791"/>
    <x v="159"/>
    <s v="5010"/>
    <x v="3"/>
    <n v="877.51"/>
    <n v="53528.11"/>
    <n v="0"/>
    <n v="0"/>
    <x v="4"/>
    <x v="4"/>
    <s v="AutoPost 1791"/>
    <s v="CAD"/>
    <n v="-877.51"/>
    <x v="2"/>
    <n v="61"/>
    <n v="-53528.11"/>
  </r>
  <r>
    <s v="GL001792"/>
    <x v="518"/>
    <s v="4000"/>
    <x v="0"/>
    <n v="0"/>
    <n v="0"/>
    <n v="2987.63"/>
    <n v="262911.44"/>
    <x v="1"/>
    <x v="2"/>
    <s v="AutoPost 1792"/>
    <s v="EUR"/>
    <n v="2987.63"/>
    <x v="0"/>
    <n v="88"/>
    <n v="262911.44"/>
  </r>
  <r>
    <s v="GL001793"/>
    <x v="786"/>
    <s v="5000"/>
    <x v="1"/>
    <n v="1925.26"/>
    <n v="198301.78"/>
    <n v="0"/>
    <n v="0"/>
    <x v="4"/>
    <x v="1"/>
    <s v="AutoPost 1793"/>
    <s v="GBP"/>
    <n v="-1925.26"/>
    <x v="1"/>
    <n v="103"/>
    <n v="-198301.78"/>
  </r>
  <r>
    <s v="GL001794"/>
    <x v="787"/>
    <s v="4000"/>
    <x v="0"/>
    <n v="0"/>
    <n v="0"/>
    <n v="1216.3499999999999"/>
    <n v="74197.349999999991"/>
    <x v="4"/>
    <x v="3"/>
    <s v="AutoPost 1794"/>
    <s v="CAD"/>
    <n v="1216.3499999999999"/>
    <x v="0"/>
    <n v="61"/>
    <n v="74197.349999999991"/>
  </r>
  <r>
    <s v="GL001795"/>
    <x v="498"/>
    <s v="5010"/>
    <x v="3"/>
    <n v="1553.28"/>
    <n v="127368.95999999999"/>
    <n v="0"/>
    <n v="0"/>
    <x v="3"/>
    <x v="1"/>
    <s v="AutoPost 1795"/>
    <s v="USD"/>
    <n v="-1553.28"/>
    <x v="2"/>
    <n v="82"/>
    <n v="-127368.95999999999"/>
  </r>
  <r>
    <s v="GL001796"/>
    <x v="373"/>
    <s v="4000"/>
    <x v="0"/>
    <n v="0"/>
    <n v="0"/>
    <n v="1122.51"/>
    <n v="92045.819999999992"/>
    <x v="3"/>
    <x v="4"/>
    <s v="AutoPost 1796"/>
    <s v="USD"/>
    <n v="1122.51"/>
    <x v="0"/>
    <n v="82"/>
    <n v="92045.819999999992"/>
  </r>
  <r>
    <s v="GL001797"/>
    <x v="177"/>
    <s v="6000"/>
    <x v="2"/>
    <n v="1893.28"/>
    <n v="106023.67999999999"/>
    <n v="0"/>
    <n v="0"/>
    <x v="3"/>
    <x v="2"/>
    <s v="AutoPost 1797"/>
    <s v="AUD"/>
    <n v="-1893.28"/>
    <x v="2"/>
    <n v="56"/>
    <n v="-106023.67999999999"/>
  </r>
  <r>
    <s v="GL001798"/>
    <x v="72"/>
    <s v="5000"/>
    <x v="1"/>
    <n v="1667.55"/>
    <n v="146744.4"/>
    <n v="0"/>
    <n v="0"/>
    <x v="1"/>
    <x v="0"/>
    <s v="AutoPost 1798"/>
    <s v="EUR"/>
    <n v="-1667.55"/>
    <x v="1"/>
    <n v="88"/>
    <n v="-146744.4"/>
  </r>
  <r>
    <s v="GL001799"/>
    <x v="199"/>
    <s v="5000"/>
    <x v="1"/>
    <n v="1448.96"/>
    <n v="118814.72"/>
    <n v="0"/>
    <n v="0"/>
    <x v="0"/>
    <x v="4"/>
    <s v="AutoPost 1799"/>
    <s v="USD"/>
    <n v="-1448.96"/>
    <x v="1"/>
    <n v="82"/>
    <n v="-118814.72"/>
  </r>
  <r>
    <s v="GL001800"/>
    <x v="788"/>
    <s v="5010"/>
    <x v="3"/>
    <n v="292.83999999999997"/>
    <n v="24012.879999999997"/>
    <n v="0"/>
    <n v="0"/>
    <x v="3"/>
    <x v="3"/>
    <s v="AutoPost 1800"/>
    <s v="USD"/>
    <n v="-292.83999999999997"/>
    <x v="2"/>
    <n v="82"/>
    <n v="-24012.879999999997"/>
  </r>
  <r>
    <s v="GL001801"/>
    <x v="789"/>
    <s v="5000"/>
    <x v="1"/>
    <n v="1746.92"/>
    <n v="143247.44"/>
    <n v="0"/>
    <n v="0"/>
    <x v="2"/>
    <x v="1"/>
    <s v="AutoPost 1801"/>
    <s v="USD"/>
    <n v="-1746.92"/>
    <x v="1"/>
    <n v="82"/>
    <n v="-143247.44"/>
  </r>
  <r>
    <s v="GL001802"/>
    <x v="62"/>
    <s v="6000"/>
    <x v="2"/>
    <n v="870.1"/>
    <n v="53076.1"/>
    <n v="0"/>
    <n v="0"/>
    <x v="4"/>
    <x v="2"/>
    <s v="AutoPost 1802"/>
    <s v="CAD"/>
    <n v="-870.1"/>
    <x v="2"/>
    <n v="61"/>
    <n v="-53076.1"/>
  </r>
  <r>
    <s v="GL001803"/>
    <x v="703"/>
    <s v="5000"/>
    <x v="1"/>
    <n v="1451.54"/>
    <n v="119026.28"/>
    <n v="0"/>
    <n v="0"/>
    <x v="2"/>
    <x v="3"/>
    <s v="AutoPost 1803"/>
    <s v="USD"/>
    <n v="-1451.54"/>
    <x v="1"/>
    <n v="82"/>
    <n v="-119026.28"/>
  </r>
  <r>
    <s v="GL001804"/>
    <x v="215"/>
    <s v="4010"/>
    <x v="4"/>
    <n v="0"/>
    <n v="0"/>
    <n v="905.45"/>
    <n v="50705.200000000004"/>
    <x v="0"/>
    <x v="0"/>
    <s v="AutoPost 1804"/>
    <s v="AUD"/>
    <n v="905.45"/>
    <x v="0"/>
    <n v="56"/>
    <n v="50705.200000000004"/>
  </r>
  <r>
    <s v="GL001805"/>
    <x v="567"/>
    <s v="5000"/>
    <x v="1"/>
    <n v="435.57"/>
    <n v="35716.74"/>
    <n v="0"/>
    <n v="0"/>
    <x v="2"/>
    <x v="3"/>
    <s v="AutoPost 1805"/>
    <s v="USD"/>
    <n v="-435.57"/>
    <x v="1"/>
    <n v="82"/>
    <n v="-35716.74"/>
  </r>
  <r>
    <s v="GL001806"/>
    <x v="790"/>
    <s v="4010"/>
    <x v="4"/>
    <n v="0"/>
    <n v="0"/>
    <n v="1129.92"/>
    <n v="99432.960000000006"/>
    <x v="5"/>
    <x v="4"/>
    <s v="AutoPost 1806"/>
    <s v="EUR"/>
    <n v="1129.92"/>
    <x v="0"/>
    <n v="88"/>
    <n v="99432.960000000006"/>
  </r>
  <r>
    <s v="GL001807"/>
    <x v="528"/>
    <s v="5000"/>
    <x v="1"/>
    <n v="956.25"/>
    <n v="84150"/>
    <n v="0"/>
    <n v="0"/>
    <x v="0"/>
    <x v="3"/>
    <s v="AutoPost 1807"/>
    <s v="EUR"/>
    <n v="-956.25"/>
    <x v="1"/>
    <n v="88"/>
    <n v="-84150"/>
  </r>
  <r>
    <s v="GL001808"/>
    <x v="415"/>
    <s v="5000"/>
    <x v="1"/>
    <n v="1866.55"/>
    <n v="164256.4"/>
    <n v="0"/>
    <n v="0"/>
    <x v="1"/>
    <x v="0"/>
    <s v="AutoPost 1808"/>
    <s v="EUR"/>
    <n v="-1866.55"/>
    <x v="1"/>
    <n v="88"/>
    <n v="-164256.4"/>
  </r>
  <r>
    <s v="GL001809"/>
    <x v="791"/>
    <s v="5000"/>
    <x v="1"/>
    <n v="1920.83"/>
    <n v="117170.62999999999"/>
    <n v="0"/>
    <n v="0"/>
    <x v="3"/>
    <x v="3"/>
    <s v="AutoPost 1809"/>
    <s v="CAD"/>
    <n v="-1920.83"/>
    <x v="1"/>
    <n v="61"/>
    <n v="-117170.62999999999"/>
  </r>
  <r>
    <s v="GL001810"/>
    <x v="792"/>
    <s v="4000"/>
    <x v="0"/>
    <n v="0"/>
    <n v="0"/>
    <n v="4953.79"/>
    <n v="302181.19"/>
    <x v="5"/>
    <x v="1"/>
    <s v="AutoPost 1810"/>
    <s v="CAD"/>
    <n v="4953.79"/>
    <x v="0"/>
    <n v="61"/>
    <n v="302181.19"/>
  </r>
  <r>
    <s v="GL001811"/>
    <x v="480"/>
    <s v="5000"/>
    <x v="1"/>
    <n v="1790.29"/>
    <n v="184399.87"/>
    <n v="0"/>
    <n v="0"/>
    <x v="5"/>
    <x v="1"/>
    <s v="AutoPost 1811"/>
    <s v="GBP"/>
    <n v="-1790.29"/>
    <x v="1"/>
    <n v="103"/>
    <n v="-184399.87"/>
  </r>
  <r>
    <s v="GL001812"/>
    <x v="25"/>
    <s v="4000"/>
    <x v="0"/>
    <n v="0"/>
    <n v="0"/>
    <n v="523.59"/>
    <n v="31938.99"/>
    <x v="1"/>
    <x v="3"/>
    <s v="AutoPost 1812"/>
    <s v="CAD"/>
    <n v="523.59"/>
    <x v="0"/>
    <n v="61"/>
    <n v="31938.99"/>
  </r>
  <r>
    <s v="GL001813"/>
    <x v="30"/>
    <s v="5010"/>
    <x v="3"/>
    <n v="200.91"/>
    <n v="16474.62"/>
    <n v="0"/>
    <n v="0"/>
    <x v="4"/>
    <x v="3"/>
    <s v="AutoPost 1813"/>
    <s v="USD"/>
    <n v="-200.91"/>
    <x v="2"/>
    <n v="82"/>
    <n v="-16474.62"/>
  </r>
  <r>
    <s v="GL001814"/>
    <x v="758"/>
    <s v="6000"/>
    <x v="2"/>
    <n v="219.39"/>
    <n v="13382.789999999999"/>
    <n v="0"/>
    <n v="0"/>
    <x v="1"/>
    <x v="4"/>
    <s v="AutoPost 1814"/>
    <s v="CAD"/>
    <n v="-219.39"/>
    <x v="2"/>
    <n v="61"/>
    <n v="-13382.789999999999"/>
  </r>
  <r>
    <s v="GL001815"/>
    <x v="43"/>
    <s v="5010"/>
    <x v="3"/>
    <n v="1274.73"/>
    <n v="77758.53"/>
    <n v="0"/>
    <n v="0"/>
    <x v="5"/>
    <x v="4"/>
    <s v="AutoPost 1815"/>
    <s v="CAD"/>
    <n v="-1274.73"/>
    <x v="2"/>
    <n v="61"/>
    <n v="-77758.53"/>
  </r>
  <r>
    <s v="GL001816"/>
    <x v="249"/>
    <s v="5000"/>
    <x v="1"/>
    <n v="692.56"/>
    <n v="38783.360000000001"/>
    <n v="0"/>
    <n v="0"/>
    <x v="0"/>
    <x v="0"/>
    <s v="AutoPost 1816"/>
    <s v="AUD"/>
    <n v="-692.56"/>
    <x v="1"/>
    <n v="56"/>
    <n v="-38783.360000000001"/>
  </r>
  <r>
    <s v="GL001817"/>
    <x v="203"/>
    <s v="5000"/>
    <x v="1"/>
    <n v="1914.11"/>
    <n v="168441.68"/>
    <n v="0"/>
    <n v="0"/>
    <x v="5"/>
    <x v="3"/>
    <s v="AutoPost 1817"/>
    <s v="EUR"/>
    <n v="-1914.11"/>
    <x v="1"/>
    <n v="88"/>
    <n v="-168441.68"/>
  </r>
  <r>
    <s v="GL001818"/>
    <x v="198"/>
    <s v="5010"/>
    <x v="3"/>
    <n v="1033.2"/>
    <n v="57859.200000000004"/>
    <n v="0"/>
    <n v="0"/>
    <x v="1"/>
    <x v="0"/>
    <s v="AutoPost 1818"/>
    <s v="AUD"/>
    <n v="-1033.2"/>
    <x v="2"/>
    <n v="56"/>
    <n v="-57859.200000000004"/>
  </r>
  <r>
    <s v="GL001819"/>
    <x v="601"/>
    <s v="4010"/>
    <x v="4"/>
    <n v="0"/>
    <n v="0"/>
    <n v="2648.51"/>
    <n v="161559.11000000002"/>
    <x v="3"/>
    <x v="1"/>
    <s v="AutoPost 1819"/>
    <s v="CAD"/>
    <n v="2648.51"/>
    <x v="0"/>
    <n v="61"/>
    <n v="161559.11000000002"/>
  </r>
  <r>
    <s v="GL001820"/>
    <x v="274"/>
    <s v="4000"/>
    <x v="0"/>
    <n v="0"/>
    <n v="0"/>
    <n v="737.9"/>
    <n v="64935.199999999997"/>
    <x v="5"/>
    <x v="1"/>
    <s v="AutoPost 1820"/>
    <s v="EUR"/>
    <n v="737.9"/>
    <x v="0"/>
    <n v="88"/>
    <n v="64935.199999999997"/>
  </r>
  <r>
    <s v="GL001821"/>
    <x v="685"/>
    <s v="6000"/>
    <x v="2"/>
    <n v="323.47000000000003"/>
    <n v="26524.54"/>
    <n v="0"/>
    <n v="0"/>
    <x v="3"/>
    <x v="2"/>
    <s v="AutoPost 1821"/>
    <s v="USD"/>
    <n v="-323.47000000000003"/>
    <x v="2"/>
    <n v="82"/>
    <n v="-26524.54"/>
  </r>
  <r>
    <s v="GL001822"/>
    <x v="605"/>
    <s v="5010"/>
    <x v="3"/>
    <n v="728.68"/>
    <n v="44449.479999999996"/>
    <n v="0"/>
    <n v="0"/>
    <x v="1"/>
    <x v="1"/>
    <s v="AutoPost 1822"/>
    <s v="CAD"/>
    <n v="-728.68"/>
    <x v="2"/>
    <n v="61"/>
    <n v="-44449.479999999996"/>
  </r>
  <r>
    <s v="GL001823"/>
    <x v="704"/>
    <s v="5000"/>
    <x v="1"/>
    <n v="1625.93"/>
    <n v="143081.84"/>
    <n v="0"/>
    <n v="0"/>
    <x v="3"/>
    <x v="0"/>
    <s v="AutoPost 1823"/>
    <s v="EUR"/>
    <n v="-1625.93"/>
    <x v="1"/>
    <n v="88"/>
    <n v="-143081.84"/>
  </r>
  <r>
    <s v="GL001824"/>
    <x v="484"/>
    <s v="4000"/>
    <x v="0"/>
    <n v="0"/>
    <n v="0"/>
    <n v="166.02"/>
    <n v="14609.76"/>
    <x v="2"/>
    <x v="0"/>
    <s v="AutoPost 1824"/>
    <s v="EUR"/>
    <n v="166.02"/>
    <x v="0"/>
    <n v="88"/>
    <n v="14609.76"/>
  </r>
  <r>
    <s v="GL001825"/>
    <x v="437"/>
    <s v="5000"/>
    <x v="1"/>
    <n v="510"/>
    <n v="28560"/>
    <n v="0"/>
    <n v="0"/>
    <x v="2"/>
    <x v="2"/>
    <s v="AutoPost 1825"/>
    <s v="AUD"/>
    <n v="-510"/>
    <x v="1"/>
    <n v="56"/>
    <n v="-28560"/>
  </r>
  <r>
    <s v="GL001826"/>
    <x v="316"/>
    <s v="4010"/>
    <x v="4"/>
    <n v="0"/>
    <n v="0"/>
    <n v="1743.21"/>
    <n v="179550.63"/>
    <x v="5"/>
    <x v="2"/>
    <s v="AutoPost 1826"/>
    <s v="GBP"/>
    <n v="1743.21"/>
    <x v="0"/>
    <n v="103"/>
    <n v="179550.63"/>
  </r>
  <r>
    <s v="GL001827"/>
    <x v="793"/>
    <s v="5010"/>
    <x v="3"/>
    <n v="652.48"/>
    <n v="36538.880000000005"/>
    <n v="0"/>
    <n v="0"/>
    <x v="0"/>
    <x v="0"/>
    <s v="AutoPost 1827"/>
    <s v="AUD"/>
    <n v="-652.48"/>
    <x v="2"/>
    <n v="56"/>
    <n v="-36538.880000000005"/>
  </r>
  <r>
    <s v="GL001828"/>
    <x v="33"/>
    <s v="5000"/>
    <x v="1"/>
    <n v="710.38"/>
    <n v="62513.440000000002"/>
    <n v="0"/>
    <n v="0"/>
    <x v="0"/>
    <x v="4"/>
    <s v="AutoPost 1828"/>
    <s v="EUR"/>
    <n v="-710.38"/>
    <x v="1"/>
    <n v="88"/>
    <n v="-62513.440000000002"/>
  </r>
  <r>
    <s v="GL001829"/>
    <x v="439"/>
    <s v="4010"/>
    <x v="4"/>
    <n v="0"/>
    <n v="0"/>
    <n v="4569.3500000000004"/>
    <n v="402102.80000000005"/>
    <x v="0"/>
    <x v="3"/>
    <s v="AutoPost 1829"/>
    <s v="EUR"/>
    <n v="4569.3500000000004"/>
    <x v="0"/>
    <n v="88"/>
    <n v="402102.80000000005"/>
  </r>
  <r>
    <s v="GL001830"/>
    <x v="794"/>
    <s v="5000"/>
    <x v="1"/>
    <n v="1247.49"/>
    <n v="69859.44"/>
    <n v="0"/>
    <n v="0"/>
    <x v="4"/>
    <x v="2"/>
    <s v="AutoPost 1830"/>
    <s v="AUD"/>
    <n v="-1247.49"/>
    <x v="1"/>
    <n v="56"/>
    <n v="-69859.44"/>
  </r>
  <r>
    <s v="GL001831"/>
    <x v="358"/>
    <s v="6000"/>
    <x v="2"/>
    <n v="153.35"/>
    <n v="9354.35"/>
    <n v="0"/>
    <n v="0"/>
    <x v="4"/>
    <x v="2"/>
    <s v="AutoPost 1831"/>
    <s v="CAD"/>
    <n v="-153.35"/>
    <x v="2"/>
    <n v="61"/>
    <n v="-9354.35"/>
  </r>
  <r>
    <s v="GL001832"/>
    <x v="795"/>
    <s v="4010"/>
    <x v="4"/>
    <n v="0"/>
    <n v="0"/>
    <n v="432.36"/>
    <n v="24212.16"/>
    <x v="0"/>
    <x v="2"/>
    <s v="AutoPost 1832"/>
    <s v="AUD"/>
    <n v="432.36"/>
    <x v="0"/>
    <n v="56"/>
    <n v="24212.16"/>
  </r>
  <r>
    <s v="GL001833"/>
    <x v="212"/>
    <s v="5010"/>
    <x v="3"/>
    <n v="283.95999999999998"/>
    <n v="23284.719999999998"/>
    <n v="0"/>
    <n v="0"/>
    <x v="1"/>
    <x v="0"/>
    <s v="AutoPost 1833"/>
    <s v="USD"/>
    <n v="-283.95999999999998"/>
    <x v="2"/>
    <n v="82"/>
    <n v="-23284.719999999998"/>
  </r>
  <r>
    <s v="GL001834"/>
    <x v="324"/>
    <s v="5000"/>
    <x v="1"/>
    <n v="1915.58"/>
    <n v="157077.56"/>
    <n v="0"/>
    <n v="0"/>
    <x v="4"/>
    <x v="4"/>
    <s v="AutoPost 1834"/>
    <s v="USD"/>
    <n v="-1915.58"/>
    <x v="1"/>
    <n v="82"/>
    <n v="-157077.56"/>
  </r>
  <r>
    <s v="GL001835"/>
    <x v="24"/>
    <s v="5000"/>
    <x v="1"/>
    <n v="229.78"/>
    <n v="23667.34"/>
    <n v="0"/>
    <n v="0"/>
    <x v="3"/>
    <x v="3"/>
    <s v="AutoPost 1835"/>
    <s v="GBP"/>
    <n v="-229.78"/>
    <x v="1"/>
    <n v="103"/>
    <n v="-23667.34"/>
  </r>
  <r>
    <s v="GL001836"/>
    <x v="796"/>
    <s v="6000"/>
    <x v="2"/>
    <n v="1583.41"/>
    <n v="139340.08000000002"/>
    <n v="0"/>
    <n v="0"/>
    <x v="1"/>
    <x v="0"/>
    <s v="AutoPost 1836"/>
    <s v="EUR"/>
    <n v="-1583.41"/>
    <x v="2"/>
    <n v="88"/>
    <n v="-139340.08000000002"/>
  </r>
  <r>
    <s v="GL001837"/>
    <x v="797"/>
    <s v="4010"/>
    <x v="4"/>
    <n v="0"/>
    <n v="0"/>
    <n v="4316.26"/>
    <n v="444574.78"/>
    <x v="1"/>
    <x v="4"/>
    <s v="AutoPost 1837"/>
    <s v="GBP"/>
    <n v="4316.26"/>
    <x v="0"/>
    <n v="103"/>
    <n v="444574.78"/>
  </r>
  <r>
    <s v="GL001838"/>
    <x v="798"/>
    <s v="4000"/>
    <x v="0"/>
    <n v="0"/>
    <n v="0"/>
    <n v="887.28"/>
    <n v="78080.639999999999"/>
    <x v="0"/>
    <x v="3"/>
    <s v="AutoPost 1838"/>
    <s v="EUR"/>
    <n v="887.28"/>
    <x v="0"/>
    <n v="88"/>
    <n v="78080.639999999999"/>
  </r>
  <r>
    <s v="GL001839"/>
    <x v="66"/>
    <s v="4010"/>
    <x v="4"/>
    <n v="0"/>
    <n v="0"/>
    <n v="1446.64"/>
    <n v="127304.32000000001"/>
    <x v="1"/>
    <x v="2"/>
    <s v="AutoPost 1839"/>
    <s v="EUR"/>
    <n v="1446.64"/>
    <x v="0"/>
    <n v="88"/>
    <n v="127304.32000000001"/>
  </r>
  <r>
    <s v="GL001840"/>
    <x v="500"/>
    <s v="5010"/>
    <x v="3"/>
    <n v="794.56"/>
    <n v="65153.919999999998"/>
    <n v="0"/>
    <n v="0"/>
    <x v="5"/>
    <x v="4"/>
    <s v="AutoPost 1840"/>
    <s v="USD"/>
    <n v="-794.56"/>
    <x v="2"/>
    <n v="82"/>
    <n v="-65153.919999999998"/>
  </r>
  <r>
    <s v="GL001841"/>
    <x v="458"/>
    <s v="4000"/>
    <x v="0"/>
    <n v="0"/>
    <n v="0"/>
    <n v="1094.51"/>
    <n v="89749.819999999992"/>
    <x v="1"/>
    <x v="2"/>
    <s v="AutoPost 1841"/>
    <s v="USD"/>
    <n v="1094.51"/>
    <x v="0"/>
    <n v="82"/>
    <n v="89749.819999999992"/>
  </r>
  <r>
    <s v="GL001842"/>
    <x v="524"/>
    <s v="4010"/>
    <x v="4"/>
    <n v="0"/>
    <n v="0"/>
    <n v="1492.82"/>
    <n v="122411.23999999999"/>
    <x v="2"/>
    <x v="3"/>
    <s v="AutoPost 1842"/>
    <s v="USD"/>
    <n v="1492.82"/>
    <x v="0"/>
    <n v="82"/>
    <n v="122411.23999999999"/>
  </r>
  <r>
    <s v="GL001843"/>
    <x v="38"/>
    <s v="4000"/>
    <x v="0"/>
    <n v="0"/>
    <n v="0"/>
    <n v="1521.98"/>
    <n v="156763.94"/>
    <x v="3"/>
    <x v="2"/>
    <s v="AutoPost 1843"/>
    <s v="GBP"/>
    <n v="1521.98"/>
    <x v="0"/>
    <n v="103"/>
    <n v="156763.94"/>
  </r>
  <r>
    <s v="GL001844"/>
    <x v="460"/>
    <s v="5010"/>
    <x v="3"/>
    <n v="597.86"/>
    <n v="52611.68"/>
    <n v="0"/>
    <n v="0"/>
    <x v="3"/>
    <x v="4"/>
    <s v="AutoPost 1844"/>
    <s v="EUR"/>
    <n v="-597.86"/>
    <x v="2"/>
    <n v="88"/>
    <n v="-52611.68"/>
  </r>
  <r>
    <s v="GL001845"/>
    <x v="526"/>
    <s v="6000"/>
    <x v="2"/>
    <n v="106.18"/>
    <n v="8706.76"/>
    <n v="0"/>
    <n v="0"/>
    <x v="3"/>
    <x v="3"/>
    <s v="AutoPost 1845"/>
    <s v="USD"/>
    <n v="-106.18"/>
    <x v="2"/>
    <n v="82"/>
    <n v="-8706.76"/>
  </r>
  <r>
    <s v="GL001846"/>
    <x v="274"/>
    <s v="5010"/>
    <x v="3"/>
    <n v="446.48"/>
    <n v="45987.44"/>
    <n v="0"/>
    <n v="0"/>
    <x v="0"/>
    <x v="3"/>
    <s v="AutoPost 1846"/>
    <s v="GBP"/>
    <n v="-446.48"/>
    <x v="2"/>
    <n v="103"/>
    <n v="-45987.44"/>
  </r>
  <r>
    <s v="GL001847"/>
    <x v="799"/>
    <s v="6000"/>
    <x v="2"/>
    <n v="405.28"/>
    <n v="41743.839999999997"/>
    <n v="0"/>
    <n v="0"/>
    <x v="1"/>
    <x v="2"/>
    <s v="AutoPost 1847"/>
    <s v="GBP"/>
    <n v="-405.28"/>
    <x v="2"/>
    <n v="103"/>
    <n v="-41743.839999999997"/>
  </r>
  <r>
    <s v="GL001848"/>
    <x v="344"/>
    <s v="5000"/>
    <x v="1"/>
    <n v="1418.69"/>
    <n v="116332.58"/>
    <n v="0"/>
    <n v="0"/>
    <x v="1"/>
    <x v="1"/>
    <s v="AutoPost 1848"/>
    <s v="USD"/>
    <n v="-1418.69"/>
    <x v="1"/>
    <n v="82"/>
    <n v="-116332.58"/>
  </r>
  <r>
    <s v="GL001849"/>
    <x v="149"/>
    <s v="6000"/>
    <x v="2"/>
    <n v="622.67999999999995"/>
    <n v="51059.759999999995"/>
    <n v="0"/>
    <n v="0"/>
    <x v="1"/>
    <x v="3"/>
    <s v="AutoPost 1849"/>
    <s v="USD"/>
    <n v="-622.67999999999995"/>
    <x v="2"/>
    <n v="82"/>
    <n v="-51059.759999999995"/>
  </r>
  <r>
    <s v="GL001850"/>
    <x v="411"/>
    <s v="6000"/>
    <x v="2"/>
    <n v="568.46"/>
    <n v="31833.760000000002"/>
    <n v="0"/>
    <n v="0"/>
    <x v="1"/>
    <x v="0"/>
    <s v="AutoPost 1850"/>
    <s v="AUD"/>
    <n v="-568.46"/>
    <x v="2"/>
    <n v="56"/>
    <n v="-31833.760000000002"/>
  </r>
  <r>
    <s v="GL001851"/>
    <x v="759"/>
    <s v="5000"/>
    <x v="1"/>
    <n v="544.71"/>
    <n v="33227.310000000005"/>
    <n v="0"/>
    <n v="0"/>
    <x v="5"/>
    <x v="4"/>
    <s v="AutoPost 1851"/>
    <s v="CAD"/>
    <n v="-544.71"/>
    <x v="1"/>
    <n v="61"/>
    <n v="-33227.310000000005"/>
  </r>
  <r>
    <s v="GL001852"/>
    <x v="315"/>
    <s v="5000"/>
    <x v="1"/>
    <n v="1849.24"/>
    <n v="151637.68"/>
    <n v="0"/>
    <n v="0"/>
    <x v="3"/>
    <x v="2"/>
    <s v="AutoPost 1852"/>
    <s v="USD"/>
    <n v="-1849.24"/>
    <x v="1"/>
    <n v="82"/>
    <n v="-151637.68"/>
  </r>
  <r>
    <s v="GL001853"/>
    <x v="514"/>
    <s v="6000"/>
    <x v="2"/>
    <n v="499.11"/>
    <n v="30445.71"/>
    <n v="0"/>
    <n v="0"/>
    <x v="0"/>
    <x v="4"/>
    <s v="AutoPost 1853"/>
    <s v="CAD"/>
    <n v="-499.11"/>
    <x v="2"/>
    <n v="61"/>
    <n v="-30445.71"/>
  </r>
  <r>
    <s v="GL001854"/>
    <x v="575"/>
    <s v="6000"/>
    <x v="2"/>
    <n v="288.41000000000003"/>
    <n v="29706.230000000003"/>
    <n v="0"/>
    <n v="0"/>
    <x v="3"/>
    <x v="0"/>
    <s v="AutoPost 1854"/>
    <s v="GBP"/>
    <n v="-288.41000000000003"/>
    <x v="2"/>
    <n v="103"/>
    <n v="-29706.230000000003"/>
  </r>
  <r>
    <s v="GL001855"/>
    <x v="549"/>
    <s v="4010"/>
    <x v="4"/>
    <n v="0"/>
    <n v="0"/>
    <n v="4589.42"/>
    <n v="403868.96"/>
    <x v="0"/>
    <x v="2"/>
    <s v="AutoPost 1855"/>
    <s v="EUR"/>
    <n v="4589.42"/>
    <x v="0"/>
    <n v="88"/>
    <n v="403868.96"/>
  </r>
  <r>
    <s v="GL001856"/>
    <x v="477"/>
    <s v="4010"/>
    <x v="4"/>
    <n v="0"/>
    <n v="0"/>
    <n v="4897.2299999999996"/>
    <n v="298731.02999999997"/>
    <x v="3"/>
    <x v="2"/>
    <s v="AutoPost 1856"/>
    <s v="CAD"/>
    <n v="4897.2299999999996"/>
    <x v="0"/>
    <n v="61"/>
    <n v="298731.02999999997"/>
  </r>
  <r>
    <s v="GL001857"/>
    <x v="0"/>
    <s v="4010"/>
    <x v="4"/>
    <n v="0"/>
    <n v="0"/>
    <n v="4365.5600000000004"/>
    <n v="449652.68000000005"/>
    <x v="5"/>
    <x v="1"/>
    <s v="AutoPost 1857"/>
    <s v="GBP"/>
    <n v="4365.5600000000004"/>
    <x v="0"/>
    <n v="103"/>
    <n v="449652.68000000005"/>
  </r>
  <r>
    <s v="GL001858"/>
    <x v="236"/>
    <s v="5010"/>
    <x v="3"/>
    <n v="1569.69"/>
    <n v="128714.58"/>
    <n v="0"/>
    <n v="0"/>
    <x v="1"/>
    <x v="2"/>
    <s v="AutoPost 1858"/>
    <s v="USD"/>
    <n v="-1569.69"/>
    <x v="2"/>
    <n v="82"/>
    <n v="-128714.58"/>
  </r>
  <r>
    <s v="GL001859"/>
    <x v="489"/>
    <s v="6000"/>
    <x v="2"/>
    <n v="1592.97"/>
    <n v="164075.91"/>
    <n v="0"/>
    <n v="0"/>
    <x v="1"/>
    <x v="3"/>
    <s v="AutoPost 1859"/>
    <s v="GBP"/>
    <n v="-1592.97"/>
    <x v="2"/>
    <n v="103"/>
    <n v="-164075.91"/>
  </r>
  <r>
    <s v="GL001860"/>
    <x v="564"/>
    <s v="4010"/>
    <x v="4"/>
    <n v="0"/>
    <n v="0"/>
    <n v="871.59"/>
    <n v="71470.38"/>
    <x v="4"/>
    <x v="3"/>
    <s v="AutoPost 1860"/>
    <s v="USD"/>
    <n v="871.59"/>
    <x v="0"/>
    <n v="82"/>
    <n v="71470.38"/>
  </r>
  <r>
    <s v="GL001861"/>
    <x v="448"/>
    <s v="5000"/>
    <x v="1"/>
    <n v="585.89"/>
    <n v="51558.32"/>
    <n v="0"/>
    <n v="0"/>
    <x v="1"/>
    <x v="1"/>
    <s v="AutoPost 1861"/>
    <s v="EUR"/>
    <n v="-585.89"/>
    <x v="1"/>
    <n v="88"/>
    <n v="-51558.32"/>
  </r>
  <r>
    <s v="GL001862"/>
    <x v="765"/>
    <s v="5000"/>
    <x v="1"/>
    <n v="1221.74"/>
    <n v="107513.12"/>
    <n v="0"/>
    <n v="0"/>
    <x v="5"/>
    <x v="0"/>
    <s v="AutoPost 1862"/>
    <s v="EUR"/>
    <n v="-1221.74"/>
    <x v="1"/>
    <n v="88"/>
    <n v="-107513.12"/>
  </r>
  <r>
    <s v="GL001863"/>
    <x v="180"/>
    <s v="4000"/>
    <x v="0"/>
    <n v="0"/>
    <n v="0"/>
    <n v="4982.43"/>
    <n v="513190.29000000004"/>
    <x v="3"/>
    <x v="1"/>
    <s v="AutoPost 1863"/>
    <s v="GBP"/>
    <n v="4982.43"/>
    <x v="0"/>
    <n v="103"/>
    <n v="513190.29000000004"/>
  </r>
  <r>
    <s v="GL001864"/>
    <x v="800"/>
    <s v="5000"/>
    <x v="1"/>
    <n v="1723.01"/>
    <n v="96488.56"/>
    <n v="0"/>
    <n v="0"/>
    <x v="2"/>
    <x v="4"/>
    <s v="AutoPost 1864"/>
    <s v="AUD"/>
    <n v="-1723.01"/>
    <x v="1"/>
    <n v="56"/>
    <n v="-96488.56"/>
  </r>
  <r>
    <s v="GL001865"/>
    <x v="194"/>
    <s v="5010"/>
    <x v="3"/>
    <n v="1741.23"/>
    <n v="179346.69"/>
    <n v="0"/>
    <n v="0"/>
    <x v="1"/>
    <x v="2"/>
    <s v="AutoPost 1865"/>
    <s v="GBP"/>
    <n v="-1741.23"/>
    <x v="2"/>
    <n v="103"/>
    <n v="-179346.69"/>
  </r>
  <r>
    <s v="GL001866"/>
    <x v="271"/>
    <s v="6000"/>
    <x v="2"/>
    <n v="1055.53"/>
    <n v="108719.59"/>
    <n v="0"/>
    <n v="0"/>
    <x v="2"/>
    <x v="3"/>
    <s v="AutoPost 1866"/>
    <s v="GBP"/>
    <n v="-1055.53"/>
    <x v="2"/>
    <n v="103"/>
    <n v="-108719.59"/>
  </r>
  <r>
    <s v="GL001867"/>
    <x v="336"/>
    <s v="6000"/>
    <x v="2"/>
    <n v="349.69"/>
    <n v="36018.07"/>
    <n v="0"/>
    <n v="0"/>
    <x v="4"/>
    <x v="4"/>
    <s v="AutoPost 1867"/>
    <s v="GBP"/>
    <n v="-349.69"/>
    <x v="2"/>
    <n v="103"/>
    <n v="-36018.07"/>
  </r>
  <r>
    <s v="GL001868"/>
    <x v="492"/>
    <s v="4010"/>
    <x v="4"/>
    <n v="0"/>
    <n v="0"/>
    <n v="1886.23"/>
    <n v="165988.24"/>
    <x v="0"/>
    <x v="0"/>
    <s v="AutoPost 1868"/>
    <s v="EUR"/>
    <n v="1886.23"/>
    <x v="0"/>
    <n v="88"/>
    <n v="165988.24"/>
  </r>
  <r>
    <s v="GL001869"/>
    <x v="275"/>
    <s v="6000"/>
    <x v="2"/>
    <n v="552.91"/>
    <n v="30962.959999999999"/>
    <n v="0"/>
    <n v="0"/>
    <x v="3"/>
    <x v="3"/>
    <s v="AutoPost 1869"/>
    <s v="AUD"/>
    <n v="-552.91"/>
    <x v="2"/>
    <n v="56"/>
    <n v="-30962.959999999999"/>
  </r>
  <r>
    <s v="GL001870"/>
    <x v="87"/>
    <s v="4010"/>
    <x v="4"/>
    <n v="0"/>
    <n v="0"/>
    <n v="258.08"/>
    <n v="21162.559999999998"/>
    <x v="4"/>
    <x v="1"/>
    <s v="AutoPost 1870"/>
    <s v="USD"/>
    <n v="258.08"/>
    <x v="0"/>
    <n v="82"/>
    <n v="21162.559999999998"/>
  </r>
  <r>
    <s v="GL001871"/>
    <x v="432"/>
    <s v="5010"/>
    <x v="3"/>
    <n v="1370.81"/>
    <n v="76765.36"/>
    <n v="0"/>
    <n v="0"/>
    <x v="4"/>
    <x v="0"/>
    <s v="AutoPost 1871"/>
    <s v="AUD"/>
    <n v="-1370.81"/>
    <x v="2"/>
    <n v="56"/>
    <n v="-76765.36"/>
  </r>
  <r>
    <s v="GL001872"/>
    <x v="701"/>
    <s v="6000"/>
    <x v="2"/>
    <n v="1669.15"/>
    <n v="136870.30000000002"/>
    <n v="0"/>
    <n v="0"/>
    <x v="2"/>
    <x v="1"/>
    <s v="AutoPost 1872"/>
    <s v="USD"/>
    <n v="-1669.15"/>
    <x v="2"/>
    <n v="82"/>
    <n v="-136870.30000000002"/>
  </r>
  <r>
    <s v="GL001873"/>
    <x v="563"/>
    <s v="5010"/>
    <x v="3"/>
    <n v="1711.71"/>
    <n v="150630.48000000001"/>
    <n v="0"/>
    <n v="0"/>
    <x v="0"/>
    <x v="2"/>
    <s v="AutoPost 1873"/>
    <s v="EUR"/>
    <n v="-1711.71"/>
    <x v="2"/>
    <n v="88"/>
    <n v="-150630.48000000001"/>
  </r>
  <r>
    <s v="GL001874"/>
    <x v="390"/>
    <s v="5000"/>
    <x v="1"/>
    <n v="520.70000000000005"/>
    <n v="42697.4"/>
    <n v="0"/>
    <n v="0"/>
    <x v="1"/>
    <x v="4"/>
    <s v="AutoPost 1874"/>
    <s v="USD"/>
    <n v="-520.70000000000005"/>
    <x v="1"/>
    <n v="82"/>
    <n v="-42697.4"/>
  </r>
  <r>
    <s v="GL001875"/>
    <x v="527"/>
    <s v="6000"/>
    <x v="2"/>
    <n v="501.53"/>
    <n v="41125.46"/>
    <n v="0"/>
    <n v="0"/>
    <x v="0"/>
    <x v="4"/>
    <s v="AutoPost 1875"/>
    <s v="USD"/>
    <n v="-501.53"/>
    <x v="2"/>
    <n v="82"/>
    <n v="-41125.46"/>
  </r>
  <r>
    <s v="GL001876"/>
    <x v="304"/>
    <s v="5010"/>
    <x v="3"/>
    <n v="283.45"/>
    <n v="23242.899999999998"/>
    <n v="0"/>
    <n v="0"/>
    <x v="1"/>
    <x v="1"/>
    <s v="AutoPost 1876"/>
    <s v="USD"/>
    <n v="-283.45"/>
    <x v="2"/>
    <n v="82"/>
    <n v="-23242.899999999998"/>
  </r>
  <r>
    <s v="GL001877"/>
    <x v="138"/>
    <s v="4010"/>
    <x v="4"/>
    <n v="0"/>
    <n v="0"/>
    <n v="3079.85"/>
    <n v="187870.85"/>
    <x v="1"/>
    <x v="1"/>
    <s v="AutoPost 1877"/>
    <s v="CAD"/>
    <n v="3079.85"/>
    <x v="0"/>
    <n v="61"/>
    <n v="187870.85"/>
  </r>
  <r>
    <s v="GL001878"/>
    <x v="81"/>
    <s v="6000"/>
    <x v="2"/>
    <n v="316.08"/>
    <n v="19280.879999999997"/>
    <n v="0"/>
    <n v="0"/>
    <x v="1"/>
    <x v="0"/>
    <s v="AutoPost 1878"/>
    <s v="CAD"/>
    <n v="-316.08"/>
    <x v="2"/>
    <n v="61"/>
    <n v="-19280.879999999997"/>
  </r>
  <r>
    <s v="GL001879"/>
    <x v="192"/>
    <s v="5010"/>
    <x v="3"/>
    <n v="1517.3"/>
    <n v="84968.8"/>
    <n v="0"/>
    <n v="0"/>
    <x v="4"/>
    <x v="3"/>
    <s v="AutoPost 1879"/>
    <s v="AUD"/>
    <n v="-1517.3"/>
    <x v="2"/>
    <n v="56"/>
    <n v="-84968.8"/>
  </r>
  <r>
    <s v="GL001880"/>
    <x v="334"/>
    <s v="5000"/>
    <x v="1"/>
    <n v="1863.66"/>
    <n v="113683.26000000001"/>
    <n v="0"/>
    <n v="0"/>
    <x v="5"/>
    <x v="4"/>
    <s v="AutoPost 1880"/>
    <s v="CAD"/>
    <n v="-1863.66"/>
    <x v="1"/>
    <n v="61"/>
    <n v="-113683.26000000001"/>
  </r>
  <r>
    <s v="GL001881"/>
    <x v="1"/>
    <s v="5000"/>
    <x v="1"/>
    <n v="146.04"/>
    <n v="8178.24"/>
    <n v="0"/>
    <n v="0"/>
    <x v="5"/>
    <x v="2"/>
    <s v="AutoPost 1881"/>
    <s v="AUD"/>
    <n v="-146.04"/>
    <x v="1"/>
    <n v="56"/>
    <n v="-8178.24"/>
  </r>
  <r>
    <s v="GL001882"/>
    <x v="801"/>
    <s v="6000"/>
    <x v="2"/>
    <n v="701.14"/>
    <n v="61700.32"/>
    <n v="0"/>
    <n v="0"/>
    <x v="0"/>
    <x v="2"/>
    <s v="AutoPost 1882"/>
    <s v="EUR"/>
    <n v="-701.14"/>
    <x v="2"/>
    <n v="88"/>
    <n v="-61700.32"/>
  </r>
  <r>
    <s v="GL001883"/>
    <x v="712"/>
    <s v="5010"/>
    <x v="3"/>
    <n v="1033.6199999999999"/>
    <n v="84756.84"/>
    <n v="0"/>
    <n v="0"/>
    <x v="2"/>
    <x v="2"/>
    <s v="AutoPost 1883"/>
    <s v="USD"/>
    <n v="-1033.6199999999999"/>
    <x v="2"/>
    <n v="82"/>
    <n v="-84756.84"/>
  </r>
  <r>
    <s v="GL001884"/>
    <x v="802"/>
    <s v="6000"/>
    <x v="2"/>
    <n v="652.77"/>
    <n v="53527.14"/>
    <n v="0"/>
    <n v="0"/>
    <x v="4"/>
    <x v="1"/>
    <s v="AutoPost 1884"/>
    <s v="USD"/>
    <n v="-652.77"/>
    <x v="2"/>
    <n v="82"/>
    <n v="-53527.14"/>
  </r>
  <r>
    <s v="GL001885"/>
    <x v="321"/>
    <s v="4000"/>
    <x v="0"/>
    <n v="0"/>
    <n v="0"/>
    <n v="2202.71"/>
    <n v="180622.22"/>
    <x v="0"/>
    <x v="2"/>
    <s v="AutoPost 1885"/>
    <s v="USD"/>
    <n v="2202.71"/>
    <x v="0"/>
    <n v="82"/>
    <n v="180622.22"/>
  </r>
  <r>
    <s v="GL001886"/>
    <x v="706"/>
    <s v="6000"/>
    <x v="2"/>
    <n v="1252.73"/>
    <n v="102723.86"/>
    <n v="0"/>
    <n v="0"/>
    <x v="4"/>
    <x v="3"/>
    <s v="AutoPost 1886"/>
    <s v="USD"/>
    <n v="-1252.73"/>
    <x v="2"/>
    <n v="82"/>
    <n v="-102723.86"/>
  </r>
  <r>
    <s v="GL001887"/>
    <x v="522"/>
    <s v="5000"/>
    <x v="1"/>
    <n v="1422.61"/>
    <n v="86779.209999999992"/>
    <n v="0"/>
    <n v="0"/>
    <x v="1"/>
    <x v="3"/>
    <s v="AutoPost 1887"/>
    <s v="CAD"/>
    <n v="-1422.61"/>
    <x v="1"/>
    <n v="61"/>
    <n v="-86779.209999999992"/>
  </r>
  <r>
    <s v="GL001888"/>
    <x v="803"/>
    <s v="5010"/>
    <x v="3"/>
    <n v="729.53"/>
    <n v="64198.64"/>
    <n v="0"/>
    <n v="0"/>
    <x v="3"/>
    <x v="0"/>
    <s v="AutoPost 1888"/>
    <s v="EUR"/>
    <n v="-729.53"/>
    <x v="2"/>
    <n v="88"/>
    <n v="-64198.64"/>
  </r>
  <r>
    <s v="GL001889"/>
    <x v="315"/>
    <s v="5010"/>
    <x v="3"/>
    <n v="1561.21"/>
    <n v="128019.22"/>
    <n v="0"/>
    <n v="0"/>
    <x v="1"/>
    <x v="3"/>
    <s v="AutoPost 1889"/>
    <s v="USD"/>
    <n v="-1561.21"/>
    <x v="2"/>
    <n v="82"/>
    <n v="-128019.22"/>
  </r>
  <r>
    <s v="GL001890"/>
    <x v="602"/>
    <s v="4010"/>
    <x v="4"/>
    <n v="0"/>
    <n v="0"/>
    <n v="3774.32"/>
    <n v="230233.52000000002"/>
    <x v="5"/>
    <x v="1"/>
    <s v="AutoPost 1890"/>
    <s v="CAD"/>
    <n v="3774.32"/>
    <x v="0"/>
    <n v="61"/>
    <n v="230233.52000000002"/>
  </r>
  <r>
    <s v="GL001891"/>
    <x v="186"/>
    <s v="6000"/>
    <x v="2"/>
    <n v="503.88"/>
    <n v="44341.440000000002"/>
    <n v="0"/>
    <n v="0"/>
    <x v="3"/>
    <x v="1"/>
    <s v="AutoPost 1891"/>
    <s v="EUR"/>
    <n v="-503.88"/>
    <x v="2"/>
    <n v="88"/>
    <n v="-44341.440000000002"/>
  </r>
  <r>
    <s v="GL001892"/>
    <x v="296"/>
    <s v="4010"/>
    <x v="4"/>
    <n v="0"/>
    <n v="0"/>
    <n v="2344.2199999999998"/>
    <n v="206291.36"/>
    <x v="1"/>
    <x v="1"/>
    <s v="AutoPost 1892"/>
    <s v="EUR"/>
    <n v="2344.2199999999998"/>
    <x v="0"/>
    <n v="88"/>
    <n v="206291.36"/>
  </r>
  <r>
    <s v="GL001893"/>
    <x v="728"/>
    <s v="5010"/>
    <x v="3"/>
    <n v="1283.57"/>
    <n v="78297.76999999999"/>
    <n v="0"/>
    <n v="0"/>
    <x v="1"/>
    <x v="4"/>
    <s v="AutoPost 1893"/>
    <s v="CAD"/>
    <n v="-1283.57"/>
    <x v="2"/>
    <n v="61"/>
    <n v="-78297.76999999999"/>
  </r>
  <r>
    <s v="GL001894"/>
    <x v="681"/>
    <s v="4010"/>
    <x v="4"/>
    <n v="0"/>
    <n v="0"/>
    <n v="1964.79"/>
    <n v="110028.23999999999"/>
    <x v="5"/>
    <x v="1"/>
    <s v="AutoPost 1894"/>
    <s v="AUD"/>
    <n v="1964.79"/>
    <x v="0"/>
    <n v="56"/>
    <n v="110028.23999999999"/>
  </r>
  <r>
    <s v="GL001895"/>
    <x v="804"/>
    <s v="4010"/>
    <x v="4"/>
    <n v="0"/>
    <n v="0"/>
    <n v="3387.63"/>
    <n v="298111.44"/>
    <x v="4"/>
    <x v="3"/>
    <s v="AutoPost 1895"/>
    <s v="EUR"/>
    <n v="3387.63"/>
    <x v="0"/>
    <n v="88"/>
    <n v="298111.44"/>
  </r>
  <r>
    <s v="GL001896"/>
    <x v="519"/>
    <s v="6000"/>
    <x v="2"/>
    <n v="1756.28"/>
    <n v="154552.63999999998"/>
    <n v="0"/>
    <n v="0"/>
    <x v="2"/>
    <x v="4"/>
    <s v="AutoPost 1896"/>
    <s v="EUR"/>
    <n v="-1756.28"/>
    <x v="2"/>
    <n v="88"/>
    <n v="-154552.63999999998"/>
  </r>
  <r>
    <s v="GL001897"/>
    <x v="80"/>
    <s v="6000"/>
    <x v="2"/>
    <n v="938.88"/>
    <n v="96704.639999999999"/>
    <n v="0"/>
    <n v="0"/>
    <x v="1"/>
    <x v="4"/>
    <s v="AutoPost 1897"/>
    <s v="GBP"/>
    <n v="-938.88"/>
    <x v="2"/>
    <n v="103"/>
    <n v="-96704.639999999999"/>
  </r>
  <r>
    <s v="GL001898"/>
    <x v="292"/>
    <s v="4000"/>
    <x v="0"/>
    <n v="0"/>
    <n v="0"/>
    <n v="994.95"/>
    <n v="60691.950000000004"/>
    <x v="1"/>
    <x v="0"/>
    <s v="AutoPost 1898"/>
    <s v="CAD"/>
    <n v="994.95"/>
    <x v="0"/>
    <n v="61"/>
    <n v="60691.950000000004"/>
  </r>
  <r>
    <s v="GL001899"/>
    <x v="659"/>
    <s v="5000"/>
    <x v="1"/>
    <n v="1619.31"/>
    <n v="90681.36"/>
    <n v="0"/>
    <n v="0"/>
    <x v="3"/>
    <x v="1"/>
    <s v="AutoPost 1899"/>
    <s v="AUD"/>
    <n v="-1619.31"/>
    <x v="1"/>
    <n v="56"/>
    <n v="-90681.36"/>
  </r>
  <r>
    <s v="GL001900"/>
    <x v="784"/>
    <s v="4010"/>
    <x v="4"/>
    <n v="0"/>
    <n v="0"/>
    <n v="2332.9299999999998"/>
    <n v="191300.25999999998"/>
    <x v="0"/>
    <x v="4"/>
    <s v="AutoPost 1900"/>
    <s v="USD"/>
    <n v="2332.9299999999998"/>
    <x v="0"/>
    <n v="82"/>
    <n v="191300.25999999998"/>
  </r>
  <r>
    <s v="GL001901"/>
    <x v="3"/>
    <s v="5010"/>
    <x v="3"/>
    <n v="335.2"/>
    <n v="27486.399999999998"/>
    <n v="0"/>
    <n v="0"/>
    <x v="3"/>
    <x v="1"/>
    <s v="AutoPost 1901"/>
    <s v="USD"/>
    <n v="-335.2"/>
    <x v="2"/>
    <n v="82"/>
    <n v="-27486.399999999998"/>
  </r>
  <r>
    <s v="GL001902"/>
    <x v="106"/>
    <s v="5010"/>
    <x v="3"/>
    <n v="1838.96"/>
    <n v="102981.76000000001"/>
    <n v="0"/>
    <n v="0"/>
    <x v="5"/>
    <x v="3"/>
    <s v="AutoPost 1902"/>
    <s v="AUD"/>
    <n v="-1838.96"/>
    <x v="2"/>
    <n v="56"/>
    <n v="-102981.76000000001"/>
  </r>
  <r>
    <s v="GL001903"/>
    <x v="805"/>
    <s v="4000"/>
    <x v="0"/>
    <n v="0"/>
    <n v="0"/>
    <n v="2599.65"/>
    <n v="228769.2"/>
    <x v="1"/>
    <x v="1"/>
    <s v="AutoPost 1903"/>
    <s v="EUR"/>
    <n v="2599.65"/>
    <x v="0"/>
    <n v="88"/>
    <n v="228769.2"/>
  </r>
  <r>
    <s v="GL001904"/>
    <x v="168"/>
    <s v="5000"/>
    <x v="1"/>
    <n v="801.83"/>
    <n v="65750.06"/>
    <n v="0"/>
    <n v="0"/>
    <x v="2"/>
    <x v="2"/>
    <s v="AutoPost 1904"/>
    <s v="USD"/>
    <n v="-801.83"/>
    <x v="1"/>
    <n v="82"/>
    <n v="-65750.06"/>
  </r>
  <r>
    <s v="GL001905"/>
    <x v="806"/>
    <s v="5000"/>
    <x v="1"/>
    <n v="54.12"/>
    <n v="5574.36"/>
    <n v="0"/>
    <n v="0"/>
    <x v="0"/>
    <x v="4"/>
    <s v="AutoPost 1905"/>
    <s v="GBP"/>
    <n v="-54.12"/>
    <x v="1"/>
    <n v="103"/>
    <n v="-5574.36"/>
  </r>
  <r>
    <s v="GL001906"/>
    <x v="807"/>
    <s v="5000"/>
    <x v="1"/>
    <n v="326.83"/>
    <n v="19936.629999999997"/>
    <n v="0"/>
    <n v="0"/>
    <x v="3"/>
    <x v="3"/>
    <s v="AutoPost 1906"/>
    <s v="CAD"/>
    <n v="-326.83"/>
    <x v="1"/>
    <n v="61"/>
    <n v="-19936.629999999997"/>
  </r>
  <r>
    <s v="GL001907"/>
    <x v="413"/>
    <s v="5000"/>
    <x v="1"/>
    <n v="1868.89"/>
    <n v="192495.67"/>
    <n v="0"/>
    <n v="0"/>
    <x v="0"/>
    <x v="4"/>
    <s v="AutoPost 1907"/>
    <s v="GBP"/>
    <n v="-1868.89"/>
    <x v="1"/>
    <n v="103"/>
    <n v="-192495.67"/>
  </r>
  <r>
    <s v="GL001908"/>
    <x v="343"/>
    <s v="6000"/>
    <x v="2"/>
    <n v="1572.8"/>
    <n v="88076.800000000003"/>
    <n v="0"/>
    <n v="0"/>
    <x v="5"/>
    <x v="2"/>
    <s v="AutoPost 1908"/>
    <s v="AUD"/>
    <n v="-1572.8"/>
    <x v="2"/>
    <n v="56"/>
    <n v="-88076.800000000003"/>
  </r>
  <r>
    <s v="GL001909"/>
    <x v="401"/>
    <s v="5010"/>
    <x v="3"/>
    <n v="284.08"/>
    <n v="15908.48"/>
    <n v="0"/>
    <n v="0"/>
    <x v="3"/>
    <x v="4"/>
    <s v="AutoPost 1909"/>
    <s v="AUD"/>
    <n v="-284.08"/>
    <x v="2"/>
    <n v="56"/>
    <n v="-15908.48"/>
  </r>
  <r>
    <s v="GL001910"/>
    <x v="427"/>
    <s v="4010"/>
    <x v="4"/>
    <n v="0"/>
    <n v="0"/>
    <n v="2962.29"/>
    <n v="242907.78"/>
    <x v="0"/>
    <x v="1"/>
    <s v="AutoPost 1910"/>
    <s v="USD"/>
    <n v="2962.29"/>
    <x v="0"/>
    <n v="82"/>
    <n v="242907.78"/>
  </r>
  <r>
    <s v="GL001911"/>
    <x v="185"/>
    <s v="4010"/>
    <x v="4"/>
    <n v="0"/>
    <n v="0"/>
    <n v="1937.71"/>
    <n v="170518.48"/>
    <x v="2"/>
    <x v="4"/>
    <s v="AutoPost 1911"/>
    <s v="EUR"/>
    <n v="1937.71"/>
    <x v="0"/>
    <n v="88"/>
    <n v="170518.48"/>
  </r>
  <r>
    <s v="GL001912"/>
    <x v="469"/>
    <s v="4010"/>
    <x v="4"/>
    <n v="0"/>
    <n v="0"/>
    <n v="166.31"/>
    <n v="10144.91"/>
    <x v="4"/>
    <x v="0"/>
    <s v="AutoPost 1912"/>
    <s v="CAD"/>
    <n v="166.31"/>
    <x v="0"/>
    <n v="61"/>
    <n v="10144.91"/>
  </r>
  <r>
    <s v="GL001913"/>
    <x v="142"/>
    <s v="4000"/>
    <x v="0"/>
    <n v="0"/>
    <n v="0"/>
    <n v="1137.06"/>
    <n v="100061.28"/>
    <x v="2"/>
    <x v="3"/>
    <s v="AutoPost 1913"/>
    <s v="EUR"/>
    <n v="1137.06"/>
    <x v="0"/>
    <n v="88"/>
    <n v="100061.28"/>
  </r>
  <r>
    <s v="GL001914"/>
    <x v="397"/>
    <s v="4010"/>
    <x v="4"/>
    <n v="0"/>
    <n v="0"/>
    <n v="993.38"/>
    <n v="55629.279999999999"/>
    <x v="4"/>
    <x v="4"/>
    <s v="AutoPost 1914"/>
    <s v="AUD"/>
    <n v="993.38"/>
    <x v="0"/>
    <n v="56"/>
    <n v="55629.279999999999"/>
  </r>
  <r>
    <s v="GL001915"/>
    <x v="505"/>
    <s v="5010"/>
    <x v="3"/>
    <n v="1915.74"/>
    <n v="197321.22"/>
    <n v="0"/>
    <n v="0"/>
    <x v="4"/>
    <x v="1"/>
    <s v="AutoPost 1915"/>
    <s v="GBP"/>
    <n v="-1915.74"/>
    <x v="2"/>
    <n v="103"/>
    <n v="-197321.22"/>
  </r>
  <r>
    <s v="GL001916"/>
    <x v="244"/>
    <s v="5010"/>
    <x v="3"/>
    <n v="1850.88"/>
    <n v="190640.64000000001"/>
    <n v="0"/>
    <n v="0"/>
    <x v="3"/>
    <x v="1"/>
    <s v="AutoPost 1916"/>
    <s v="GBP"/>
    <n v="-1850.88"/>
    <x v="2"/>
    <n v="103"/>
    <n v="-190640.64000000001"/>
  </r>
  <r>
    <s v="GL001917"/>
    <x v="464"/>
    <s v="4010"/>
    <x v="4"/>
    <n v="0"/>
    <n v="0"/>
    <n v="4525.68"/>
    <n v="371105.76"/>
    <x v="0"/>
    <x v="4"/>
    <s v="AutoPost 1917"/>
    <s v="USD"/>
    <n v="4525.68"/>
    <x v="0"/>
    <n v="82"/>
    <n v="371105.76"/>
  </r>
  <r>
    <s v="GL001918"/>
    <x v="398"/>
    <s v="5010"/>
    <x v="3"/>
    <n v="854.45"/>
    <n v="88008.35"/>
    <n v="0"/>
    <n v="0"/>
    <x v="3"/>
    <x v="4"/>
    <s v="AutoPost 1918"/>
    <s v="GBP"/>
    <n v="-854.45"/>
    <x v="2"/>
    <n v="103"/>
    <n v="-88008.35"/>
  </r>
  <r>
    <s v="GL001919"/>
    <x v="316"/>
    <s v="5000"/>
    <x v="1"/>
    <n v="198.43"/>
    <n v="11112.08"/>
    <n v="0"/>
    <n v="0"/>
    <x v="2"/>
    <x v="2"/>
    <s v="AutoPost 1919"/>
    <s v="AUD"/>
    <n v="-198.43"/>
    <x v="1"/>
    <n v="56"/>
    <n v="-11112.08"/>
  </r>
  <r>
    <s v="GL001920"/>
    <x v="419"/>
    <s v="6000"/>
    <x v="2"/>
    <n v="1818.32"/>
    <n v="110917.51999999999"/>
    <n v="0"/>
    <n v="0"/>
    <x v="4"/>
    <x v="1"/>
    <s v="AutoPost 1920"/>
    <s v="CAD"/>
    <n v="-1818.32"/>
    <x v="2"/>
    <n v="61"/>
    <n v="-110917.51999999999"/>
  </r>
  <r>
    <s v="GL001921"/>
    <x v="157"/>
    <s v="4010"/>
    <x v="4"/>
    <n v="0"/>
    <n v="0"/>
    <n v="2638.4"/>
    <n v="216348.80000000002"/>
    <x v="5"/>
    <x v="4"/>
    <s v="AutoPost 1921"/>
    <s v="USD"/>
    <n v="2638.4"/>
    <x v="0"/>
    <n v="82"/>
    <n v="216348.80000000002"/>
  </r>
  <r>
    <s v="GL001922"/>
    <x v="808"/>
    <s v="4010"/>
    <x v="4"/>
    <n v="0"/>
    <n v="0"/>
    <n v="2791.71"/>
    <n v="170294.31"/>
    <x v="1"/>
    <x v="3"/>
    <s v="AutoPost 1922"/>
    <s v="CAD"/>
    <n v="2791.71"/>
    <x v="0"/>
    <n v="61"/>
    <n v="170294.31"/>
  </r>
  <r>
    <s v="GL001923"/>
    <x v="355"/>
    <s v="5000"/>
    <x v="1"/>
    <n v="726.03"/>
    <n v="59534.46"/>
    <n v="0"/>
    <n v="0"/>
    <x v="1"/>
    <x v="4"/>
    <s v="AutoPost 1923"/>
    <s v="USD"/>
    <n v="-726.03"/>
    <x v="1"/>
    <n v="82"/>
    <n v="-59534.46"/>
  </r>
  <r>
    <s v="GL001924"/>
    <x v="338"/>
    <s v="5000"/>
    <x v="1"/>
    <n v="1370.59"/>
    <n v="76753.039999999994"/>
    <n v="0"/>
    <n v="0"/>
    <x v="0"/>
    <x v="4"/>
    <s v="AutoPost 1924"/>
    <s v="AUD"/>
    <n v="-1370.59"/>
    <x v="1"/>
    <n v="56"/>
    <n v="-76753.039999999994"/>
  </r>
  <r>
    <s v="GL001925"/>
    <x v="769"/>
    <s v="5010"/>
    <x v="3"/>
    <n v="263.16000000000003"/>
    <n v="16052.760000000002"/>
    <n v="0"/>
    <n v="0"/>
    <x v="2"/>
    <x v="2"/>
    <s v="AutoPost 1925"/>
    <s v="CAD"/>
    <n v="-263.16000000000003"/>
    <x v="2"/>
    <n v="61"/>
    <n v="-16052.760000000002"/>
  </r>
  <r>
    <s v="GL001926"/>
    <x v="669"/>
    <s v="5010"/>
    <x v="3"/>
    <n v="1336.28"/>
    <n v="74831.679999999993"/>
    <n v="0"/>
    <n v="0"/>
    <x v="2"/>
    <x v="1"/>
    <s v="AutoPost 1926"/>
    <s v="AUD"/>
    <n v="-1336.28"/>
    <x v="2"/>
    <n v="56"/>
    <n v="-74831.679999999993"/>
  </r>
  <r>
    <s v="GL001927"/>
    <x v="400"/>
    <s v="6000"/>
    <x v="2"/>
    <n v="1661.05"/>
    <n v="146172.4"/>
    <n v="0"/>
    <n v="0"/>
    <x v="3"/>
    <x v="2"/>
    <s v="AutoPost 1927"/>
    <s v="EUR"/>
    <n v="-1661.05"/>
    <x v="2"/>
    <n v="88"/>
    <n v="-146172.4"/>
  </r>
  <r>
    <s v="GL001928"/>
    <x v="33"/>
    <s v="4000"/>
    <x v="0"/>
    <n v="0"/>
    <n v="0"/>
    <n v="2221.86"/>
    <n v="228851.58000000002"/>
    <x v="5"/>
    <x v="1"/>
    <s v="AutoPost 1928"/>
    <s v="GBP"/>
    <n v="2221.86"/>
    <x v="0"/>
    <n v="103"/>
    <n v="228851.58000000002"/>
  </r>
  <r>
    <s v="GL001929"/>
    <x v="230"/>
    <s v="4010"/>
    <x v="4"/>
    <n v="0"/>
    <n v="0"/>
    <n v="4064.87"/>
    <n v="247957.07"/>
    <x v="0"/>
    <x v="1"/>
    <s v="AutoPost 1929"/>
    <s v="CAD"/>
    <n v="4064.87"/>
    <x v="0"/>
    <n v="61"/>
    <n v="247957.07"/>
  </r>
  <r>
    <s v="GL001930"/>
    <x v="749"/>
    <s v="5000"/>
    <x v="1"/>
    <n v="564.04"/>
    <n v="46251.28"/>
    <n v="0"/>
    <n v="0"/>
    <x v="3"/>
    <x v="2"/>
    <s v="AutoPost 1930"/>
    <s v="USD"/>
    <n v="-564.04"/>
    <x v="1"/>
    <n v="82"/>
    <n v="-46251.28"/>
  </r>
  <r>
    <s v="GL001931"/>
    <x v="607"/>
    <s v="4010"/>
    <x v="4"/>
    <n v="0"/>
    <n v="0"/>
    <n v="2394.69"/>
    <n v="134102.64000000001"/>
    <x v="5"/>
    <x v="1"/>
    <s v="AutoPost 1931"/>
    <s v="AUD"/>
    <n v="2394.69"/>
    <x v="0"/>
    <n v="56"/>
    <n v="134102.64000000001"/>
  </r>
  <r>
    <s v="GL001932"/>
    <x v="370"/>
    <s v="4010"/>
    <x v="4"/>
    <n v="0"/>
    <n v="0"/>
    <n v="4484.1899999999996"/>
    <n v="251114.63999999998"/>
    <x v="3"/>
    <x v="0"/>
    <s v="AutoPost 1932"/>
    <s v="AUD"/>
    <n v="4484.1899999999996"/>
    <x v="0"/>
    <n v="56"/>
    <n v="251114.63999999998"/>
  </r>
  <r>
    <s v="GL001933"/>
    <x v="488"/>
    <s v="4010"/>
    <x v="4"/>
    <n v="0"/>
    <n v="0"/>
    <n v="1838.71"/>
    <n v="112161.31"/>
    <x v="3"/>
    <x v="2"/>
    <s v="AutoPost 1933"/>
    <s v="CAD"/>
    <n v="1838.71"/>
    <x v="0"/>
    <n v="61"/>
    <n v="112161.31"/>
  </r>
  <r>
    <s v="GL001934"/>
    <x v="36"/>
    <s v="5010"/>
    <x v="3"/>
    <n v="407.55"/>
    <n v="41977.65"/>
    <n v="0"/>
    <n v="0"/>
    <x v="2"/>
    <x v="2"/>
    <s v="AutoPost 1934"/>
    <s v="GBP"/>
    <n v="-407.55"/>
    <x v="2"/>
    <n v="103"/>
    <n v="-41977.65"/>
  </r>
  <r>
    <s v="GL001935"/>
    <x v="459"/>
    <s v="4000"/>
    <x v="0"/>
    <n v="0"/>
    <n v="0"/>
    <n v="1239.76"/>
    <n v="75625.36"/>
    <x v="5"/>
    <x v="2"/>
    <s v="AutoPost 1935"/>
    <s v="CAD"/>
    <n v="1239.76"/>
    <x v="0"/>
    <n v="61"/>
    <n v="75625.36"/>
  </r>
  <r>
    <s v="GL001936"/>
    <x v="809"/>
    <s v="5010"/>
    <x v="3"/>
    <n v="721.91"/>
    <n v="63528.079999999994"/>
    <n v="0"/>
    <n v="0"/>
    <x v="3"/>
    <x v="0"/>
    <s v="AutoPost 1936"/>
    <s v="EUR"/>
    <n v="-721.91"/>
    <x v="2"/>
    <n v="88"/>
    <n v="-63528.079999999994"/>
  </r>
  <r>
    <s v="GL001937"/>
    <x v="810"/>
    <s v="6000"/>
    <x v="2"/>
    <n v="1506.81"/>
    <n v="155201.43"/>
    <n v="0"/>
    <n v="0"/>
    <x v="3"/>
    <x v="3"/>
    <s v="AutoPost 1937"/>
    <s v="GBP"/>
    <n v="-1506.81"/>
    <x v="2"/>
    <n v="103"/>
    <n v="-155201.43"/>
  </r>
  <r>
    <s v="GL001938"/>
    <x v="193"/>
    <s v="4010"/>
    <x v="4"/>
    <n v="0"/>
    <n v="0"/>
    <n v="3376.73"/>
    <n v="297152.24"/>
    <x v="2"/>
    <x v="2"/>
    <s v="AutoPost 1938"/>
    <s v="EUR"/>
    <n v="3376.73"/>
    <x v="0"/>
    <n v="88"/>
    <n v="297152.24"/>
  </r>
  <r>
    <s v="GL001939"/>
    <x v="811"/>
    <s v="6000"/>
    <x v="2"/>
    <n v="1023.13"/>
    <n v="105382.39"/>
    <n v="0"/>
    <n v="0"/>
    <x v="3"/>
    <x v="4"/>
    <s v="AutoPost 1939"/>
    <s v="GBP"/>
    <n v="-1023.13"/>
    <x v="2"/>
    <n v="103"/>
    <n v="-105382.39"/>
  </r>
  <r>
    <s v="GL001940"/>
    <x v="698"/>
    <s v="6000"/>
    <x v="2"/>
    <n v="1885.62"/>
    <n v="115022.81999999999"/>
    <n v="0"/>
    <n v="0"/>
    <x v="4"/>
    <x v="3"/>
    <s v="AutoPost 1940"/>
    <s v="CAD"/>
    <n v="-1885.62"/>
    <x v="2"/>
    <n v="61"/>
    <n v="-115022.81999999999"/>
  </r>
  <r>
    <s v="GL001941"/>
    <x v="524"/>
    <s v="4010"/>
    <x v="4"/>
    <n v="0"/>
    <n v="0"/>
    <n v="955.35"/>
    <n v="58276.35"/>
    <x v="3"/>
    <x v="3"/>
    <s v="AutoPost 1941"/>
    <s v="CAD"/>
    <n v="955.35"/>
    <x v="0"/>
    <n v="61"/>
    <n v="58276.35"/>
  </r>
  <r>
    <s v="GL001942"/>
    <x v="461"/>
    <s v="5010"/>
    <x v="3"/>
    <n v="1735.63"/>
    <n v="105873.43000000001"/>
    <n v="0"/>
    <n v="0"/>
    <x v="0"/>
    <x v="0"/>
    <s v="AutoPost 1942"/>
    <s v="CAD"/>
    <n v="-1735.63"/>
    <x v="2"/>
    <n v="61"/>
    <n v="-105873.43000000001"/>
  </r>
  <r>
    <s v="GL001943"/>
    <x v="584"/>
    <s v="5000"/>
    <x v="1"/>
    <n v="1311.61"/>
    <n v="73450.159999999989"/>
    <n v="0"/>
    <n v="0"/>
    <x v="5"/>
    <x v="4"/>
    <s v="AutoPost 1943"/>
    <s v="AUD"/>
    <n v="-1311.61"/>
    <x v="1"/>
    <n v="56"/>
    <n v="-73450.159999999989"/>
  </r>
  <r>
    <s v="GL001944"/>
    <x v="362"/>
    <s v="4010"/>
    <x v="4"/>
    <n v="0"/>
    <n v="0"/>
    <n v="3124.09"/>
    <n v="256175.38"/>
    <x v="5"/>
    <x v="0"/>
    <s v="AutoPost 1944"/>
    <s v="USD"/>
    <n v="3124.09"/>
    <x v="0"/>
    <n v="82"/>
    <n v="256175.38"/>
  </r>
  <r>
    <s v="GL001945"/>
    <x v="308"/>
    <s v="5010"/>
    <x v="3"/>
    <n v="1453.46"/>
    <n v="119183.72"/>
    <n v="0"/>
    <n v="0"/>
    <x v="4"/>
    <x v="2"/>
    <s v="AutoPost 1945"/>
    <s v="USD"/>
    <n v="-1453.46"/>
    <x v="2"/>
    <n v="82"/>
    <n v="-119183.72"/>
  </r>
  <r>
    <s v="GL001946"/>
    <x v="15"/>
    <s v="6000"/>
    <x v="2"/>
    <n v="502.87"/>
    <n v="30675.07"/>
    <n v="0"/>
    <n v="0"/>
    <x v="1"/>
    <x v="0"/>
    <s v="AutoPost 1946"/>
    <s v="CAD"/>
    <n v="-502.87"/>
    <x v="2"/>
    <n v="61"/>
    <n v="-30675.07"/>
  </r>
  <r>
    <s v="GL001947"/>
    <x v="424"/>
    <s v="6000"/>
    <x v="2"/>
    <n v="845.04"/>
    <n v="74363.51999999999"/>
    <n v="0"/>
    <n v="0"/>
    <x v="3"/>
    <x v="1"/>
    <s v="AutoPost 1947"/>
    <s v="EUR"/>
    <n v="-845.04"/>
    <x v="2"/>
    <n v="88"/>
    <n v="-74363.51999999999"/>
  </r>
  <r>
    <s v="GL001948"/>
    <x v="771"/>
    <s v="4010"/>
    <x v="4"/>
    <n v="0"/>
    <n v="0"/>
    <n v="2650.78"/>
    <n v="148443.68000000002"/>
    <x v="4"/>
    <x v="2"/>
    <s v="AutoPost 1948"/>
    <s v="AUD"/>
    <n v="2650.78"/>
    <x v="0"/>
    <n v="56"/>
    <n v="148443.68000000002"/>
  </r>
  <r>
    <s v="GL001949"/>
    <x v="236"/>
    <s v="4000"/>
    <x v="0"/>
    <n v="0"/>
    <n v="0"/>
    <n v="3701"/>
    <n v="207256"/>
    <x v="1"/>
    <x v="4"/>
    <s v="AutoPost 1949"/>
    <s v="AUD"/>
    <n v="3701"/>
    <x v="0"/>
    <n v="56"/>
    <n v="207256"/>
  </r>
  <r>
    <s v="GL001950"/>
    <x v="305"/>
    <s v="6000"/>
    <x v="2"/>
    <n v="866.51"/>
    <n v="52857.11"/>
    <n v="0"/>
    <n v="0"/>
    <x v="2"/>
    <x v="3"/>
    <s v="AutoPost 1950"/>
    <s v="CAD"/>
    <n v="-866.51"/>
    <x v="2"/>
    <n v="61"/>
    <n v="-52857.11"/>
  </r>
  <r>
    <s v="GL001951"/>
    <x v="555"/>
    <s v="5000"/>
    <x v="1"/>
    <n v="1517.29"/>
    <n v="133521.51999999999"/>
    <n v="0"/>
    <n v="0"/>
    <x v="2"/>
    <x v="4"/>
    <s v="AutoPost 1951"/>
    <s v="EUR"/>
    <n v="-1517.29"/>
    <x v="1"/>
    <n v="88"/>
    <n v="-133521.51999999999"/>
  </r>
  <r>
    <s v="GL001952"/>
    <x v="250"/>
    <s v="5000"/>
    <x v="1"/>
    <n v="58.18"/>
    <n v="5119.84"/>
    <n v="0"/>
    <n v="0"/>
    <x v="0"/>
    <x v="3"/>
    <s v="AutoPost 1952"/>
    <s v="EUR"/>
    <n v="-58.18"/>
    <x v="1"/>
    <n v="88"/>
    <n v="-5119.84"/>
  </r>
  <r>
    <s v="GL001953"/>
    <x v="736"/>
    <s v="4000"/>
    <x v="0"/>
    <n v="0"/>
    <n v="0"/>
    <n v="944.88"/>
    <n v="52913.279999999999"/>
    <x v="3"/>
    <x v="1"/>
    <s v="AutoPost 1953"/>
    <s v="AUD"/>
    <n v="944.88"/>
    <x v="0"/>
    <n v="56"/>
    <n v="52913.279999999999"/>
  </r>
  <r>
    <s v="GL001954"/>
    <x v="118"/>
    <s v="6000"/>
    <x v="2"/>
    <n v="394.98"/>
    <n v="24093.780000000002"/>
    <n v="0"/>
    <n v="0"/>
    <x v="1"/>
    <x v="1"/>
    <s v="AutoPost 1954"/>
    <s v="CAD"/>
    <n v="-394.98"/>
    <x v="2"/>
    <n v="61"/>
    <n v="-24093.780000000002"/>
  </r>
  <r>
    <s v="GL001955"/>
    <x v="531"/>
    <s v="5000"/>
    <x v="1"/>
    <n v="1322.13"/>
    <n v="80649.930000000008"/>
    <n v="0"/>
    <n v="0"/>
    <x v="2"/>
    <x v="3"/>
    <s v="AutoPost 1955"/>
    <s v="CAD"/>
    <n v="-1322.13"/>
    <x v="1"/>
    <n v="61"/>
    <n v="-80649.930000000008"/>
  </r>
  <r>
    <s v="GL001956"/>
    <x v="151"/>
    <s v="5010"/>
    <x v="3"/>
    <n v="780.7"/>
    <n v="64017.4"/>
    <n v="0"/>
    <n v="0"/>
    <x v="2"/>
    <x v="1"/>
    <s v="AutoPost 1956"/>
    <s v="USD"/>
    <n v="-780.7"/>
    <x v="2"/>
    <n v="82"/>
    <n v="-64017.4"/>
  </r>
  <r>
    <s v="GL001957"/>
    <x v="352"/>
    <s v="5000"/>
    <x v="1"/>
    <n v="1051.1600000000001"/>
    <n v="108269.48000000001"/>
    <n v="0"/>
    <n v="0"/>
    <x v="0"/>
    <x v="1"/>
    <s v="AutoPost 1957"/>
    <s v="GBP"/>
    <n v="-1051.1600000000001"/>
    <x v="1"/>
    <n v="103"/>
    <n v="-108269.48000000001"/>
  </r>
  <r>
    <s v="GL001958"/>
    <x v="281"/>
    <s v="4010"/>
    <x v="4"/>
    <n v="0"/>
    <n v="0"/>
    <n v="3466.47"/>
    <n v="194122.31999999998"/>
    <x v="4"/>
    <x v="2"/>
    <s v="AutoPost 1958"/>
    <s v="AUD"/>
    <n v="3466.47"/>
    <x v="0"/>
    <n v="56"/>
    <n v="194122.31999999998"/>
  </r>
  <r>
    <s v="GL001959"/>
    <x v="176"/>
    <s v="4000"/>
    <x v="0"/>
    <n v="0"/>
    <n v="0"/>
    <n v="2900.85"/>
    <n v="176951.85"/>
    <x v="3"/>
    <x v="3"/>
    <s v="AutoPost 1959"/>
    <s v="CAD"/>
    <n v="2900.85"/>
    <x v="0"/>
    <n v="61"/>
    <n v="176951.85"/>
  </r>
  <r>
    <s v="GL001960"/>
    <x v="496"/>
    <s v="5010"/>
    <x v="3"/>
    <n v="852.05"/>
    <n v="51975.049999999996"/>
    <n v="0"/>
    <n v="0"/>
    <x v="2"/>
    <x v="1"/>
    <s v="AutoPost 1960"/>
    <s v="CAD"/>
    <n v="-852.05"/>
    <x v="2"/>
    <n v="61"/>
    <n v="-51975.049999999996"/>
  </r>
  <r>
    <s v="GL001961"/>
    <x v="294"/>
    <s v="6000"/>
    <x v="2"/>
    <n v="1137.76"/>
    <n v="63714.559999999998"/>
    <n v="0"/>
    <n v="0"/>
    <x v="1"/>
    <x v="4"/>
    <s v="AutoPost 1961"/>
    <s v="AUD"/>
    <n v="-1137.76"/>
    <x v="2"/>
    <n v="56"/>
    <n v="-63714.559999999998"/>
  </r>
  <r>
    <s v="GL001962"/>
    <x v="755"/>
    <s v="6000"/>
    <x v="2"/>
    <n v="1927.94"/>
    <n v="117604.34"/>
    <n v="0"/>
    <n v="0"/>
    <x v="5"/>
    <x v="4"/>
    <s v="AutoPost 1962"/>
    <s v="CAD"/>
    <n v="-1927.94"/>
    <x v="2"/>
    <n v="61"/>
    <n v="-117604.34"/>
  </r>
  <r>
    <s v="GL001963"/>
    <x v="587"/>
    <s v="4010"/>
    <x v="4"/>
    <n v="0"/>
    <n v="0"/>
    <n v="2609.17"/>
    <n v="268744.51"/>
    <x v="1"/>
    <x v="0"/>
    <s v="AutoPost 1963"/>
    <s v="GBP"/>
    <n v="2609.17"/>
    <x v="0"/>
    <n v="103"/>
    <n v="268744.51"/>
  </r>
  <r>
    <s v="GL001964"/>
    <x v="752"/>
    <s v="5000"/>
    <x v="1"/>
    <n v="1813.3"/>
    <n v="101544.8"/>
    <n v="0"/>
    <n v="0"/>
    <x v="5"/>
    <x v="2"/>
    <s v="AutoPost 1964"/>
    <s v="AUD"/>
    <n v="-1813.3"/>
    <x v="1"/>
    <n v="56"/>
    <n v="-101544.8"/>
  </r>
  <r>
    <s v="GL001965"/>
    <x v="519"/>
    <s v="4000"/>
    <x v="0"/>
    <n v="0"/>
    <n v="0"/>
    <n v="2658.68"/>
    <n v="273844.03999999998"/>
    <x v="5"/>
    <x v="2"/>
    <s v="AutoPost 1965"/>
    <s v="GBP"/>
    <n v="2658.68"/>
    <x v="0"/>
    <n v="103"/>
    <n v="273844.03999999998"/>
  </r>
  <r>
    <s v="GL001966"/>
    <x v="583"/>
    <s v="4010"/>
    <x v="4"/>
    <n v="0"/>
    <n v="0"/>
    <n v="4776.24"/>
    <n v="267469.44"/>
    <x v="1"/>
    <x v="2"/>
    <s v="AutoPost 1966"/>
    <s v="AUD"/>
    <n v="4776.24"/>
    <x v="0"/>
    <n v="56"/>
    <n v="267469.44"/>
  </r>
  <r>
    <s v="GL001967"/>
    <x v="184"/>
    <s v="5000"/>
    <x v="1"/>
    <n v="839.33"/>
    <n v="68825.06"/>
    <n v="0"/>
    <n v="0"/>
    <x v="5"/>
    <x v="4"/>
    <s v="AutoPost 1967"/>
    <s v="USD"/>
    <n v="-839.33"/>
    <x v="1"/>
    <n v="82"/>
    <n v="-68825.06"/>
  </r>
  <r>
    <s v="GL001968"/>
    <x v="548"/>
    <s v="6000"/>
    <x v="2"/>
    <n v="961.76"/>
    <n v="53858.559999999998"/>
    <n v="0"/>
    <n v="0"/>
    <x v="3"/>
    <x v="2"/>
    <s v="AutoPost 1968"/>
    <s v="AUD"/>
    <n v="-961.76"/>
    <x v="2"/>
    <n v="56"/>
    <n v="-53858.559999999998"/>
  </r>
  <r>
    <s v="GL001969"/>
    <x v="165"/>
    <s v="4010"/>
    <x v="4"/>
    <n v="0"/>
    <n v="0"/>
    <n v="1071.52"/>
    <n v="87864.639999999999"/>
    <x v="2"/>
    <x v="2"/>
    <s v="AutoPost 1969"/>
    <s v="USD"/>
    <n v="1071.52"/>
    <x v="0"/>
    <n v="82"/>
    <n v="87864.639999999999"/>
  </r>
  <r>
    <s v="GL001970"/>
    <x v="208"/>
    <s v="5000"/>
    <x v="1"/>
    <n v="512.01"/>
    <n v="31232.61"/>
    <n v="0"/>
    <n v="0"/>
    <x v="2"/>
    <x v="4"/>
    <s v="AutoPost 1970"/>
    <s v="CAD"/>
    <n v="-512.01"/>
    <x v="1"/>
    <n v="61"/>
    <n v="-31232.61"/>
  </r>
  <r>
    <s v="GL001971"/>
    <x v="364"/>
    <s v="4010"/>
    <x v="4"/>
    <n v="0"/>
    <n v="0"/>
    <n v="876.89"/>
    <n v="53490.29"/>
    <x v="2"/>
    <x v="3"/>
    <s v="AutoPost 1971"/>
    <s v="CAD"/>
    <n v="876.89"/>
    <x v="0"/>
    <n v="61"/>
    <n v="53490.29"/>
  </r>
  <r>
    <s v="GL001972"/>
    <x v="320"/>
    <s v="4010"/>
    <x v="4"/>
    <n v="0"/>
    <n v="0"/>
    <n v="214.94"/>
    <n v="17625.079999999998"/>
    <x v="5"/>
    <x v="4"/>
    <s v="AutoPost 1972"/>
    <s v="USD"/>
    <n v="214.94"/>
    <x v="0"/>
    <n v="82"/>
    <n v="17625.079999999998"/>
  </r>
  <r>
    <s v="GL001973"/>
    <x v="490"/>
    <s v="5010"/>
    <x v="3"/>
    <n v="318.63"/>
    <n v="19436.43"/>
    <n v="0"/>
    <n v="0"/>
    <x v="5"/>
    <x v="2"/>
    <s v="AutoPost 1973"/>
    <s v="CAD"/>
    <n v="-318.63"/>
    <x v="2"/>
    <n v="61"/>
    <n v="-19436.43"/>
  </r>
  <r>
    <s v="GL001974"/>
    <x v="766"/>
    <s v="6000"/>
    <x v="2"/>
    <n v="1505.25"/>
    <n v="123430.5"/>
    <n v="0"/>
    <n v="0"/>
    <x v="5"/>
    <x v="3"/>
    <s v="AutoPost 1974"/>
    <s v="USD"/>
    <n v="-1505.25"/>
    <x v="2"/>
    <n v="82"/>
    <n v="-123430.5"/>
  </r>
  <r>
    <s v="GL001975"/>
    <x v="730"/>
    <s v="5010"/>
    <x v="3"/>
    <n v="1165.8499999999999"/>
    <n v="65287.599999999991"/>
    <n v="0"/>
    <n v="0"/>
    <x v="1"/>
    <x v="4"/>
    <s v="AutoPost 1975"/>
    <s v="AUD"/>
    <n v="-1165.8499999999999"/>
    <x v="2"/>
    <n v="56"/>
    <n v="-65287.599999999991"/>
  </r>
  <r>
    <s v="GL001976"/>
    <x v="568"/>
    <s v="5000"/>
    <x v="1"/>
    <n v="424.86"/>
    <n v="25916.46"/>
    <n v="0"/>
    <n v="0"/>
    <x v="4"/>
    <x v="2"/>
    <s v="AutoPost 1976"/>
    <s v="CAD"/>
    <n v="-424.86"/>
    <x v="1"/>
    <n v="61"/>
    <n v="-25916.46"/>
  </r>
  <r>
    <s v="GL001977"/>
    <x v="445"/>
    <s v="5000"/>
    <x v="1"/>
    <n v="1626.39"/>
    <n v="143122.32"/>
    <n v="0"/>
    <n v="0"/>
    <x v="1"/>
    <x v="3"/>
    <s v="AutoPost 1977"/>
    <s v="EUR"/>
    <n v="-1626.39"/>
    <x v="1"/>
    <n v="88"/>
    <n v="-143122.32"/>
  </r>
  <r>
    <s v="GL001978"/>
    <x v="53"/>
    <s v="6000"/>
    <x v="2"/>
    <n v="559.39"/>
    <n v="45869.979999999996"/>
    <n v="0"/>
    <n v="0"/>
    <x v="3"/>
    <x v="4"/>
    <s v="AutoPost 1978"/>
    <s v="USD"/>
    <n v="-559.39"/>
    <x v="2"/>
    <n v="82"/>
    <n v="-45869.979999999996"/>
  </r>
  <r>
    <s v="GL001979"/>
    <x v="524"/>
    <s v="5000"/>
    <x v="1"/>
    <n v="1234.21"/>
    <n v="75286.81"/>
    <n v="0"/>
    <n v="0"/>
    <x v="4"/>
    <x v="3"/>
    <s v="AutoPost 1979"/>
    <s v="CAD"/>
    <n v="-1234.21"/>
    <x v="1"/>
    <n v="61"/>
    <n v="-75286.81"/>
  </r>
  <r>
    <s v="GL001980"/>
    <x v="240"/>
    <s v="6000"/>
    <x v="2"/>
    <n v="704.55"/>
    <n v="62000.399999999994"/>
    <n v="0"/>
    <n v="0"/>
    <x v="3"/>
    <x v="0"/>
    <s v="AutoPost 1980"/>
    <s v="EUR"/>
    <n v="-704.55"/>
    <x v="2"/>
    <n v="88"/>
    <n v="-62000.399999999994"/>
  </r>
  <r>
    <s v="GL001981"/>
    <x v="42"/>
    <s v="4010"/>
    <x v="4"/>
    <n v="0"/>
    <n v="0"/>
    <n v="118.67"/>
    <n v="7238.87"/>
    <x v="0"/>
    <x v="2"/>
    <s v="AutoPost 1981"/>
    <s v="CAD"/>
    <n v="118.67"/>
    <x v="0"/>
    <n v="61"/>
    <n v="7238.87"/>
  </r>
  <r>
    <s v="GL001982"/>
    <x v="812"/>
    <s v="4000"/>
    <x v="0"/>
    <n v="0"/>
    <n v="0"/>
    <n v="1819.43"/>
    <n v="160109.84"/>
    <x v="0"/>
    <x v="0"/>
    <s v="AutoPost 1982"/>
    <s v="EUR"/>
    <n v="1819.43"/>
    <x v="0"/>
    <n v="88"/>
    <n v="160109.84"/>
  </r>
  <r>
    <s v="GL001983"/>
    <x v="813"/>
    <s v="5010"/>
    <x v="3"/>
    <n v="1104.31"/>
    <n v="61841.36"/>
    <n v="0"/>
    <n v="0"/>
    <x v="3"/>
    <x v="0"/>
    <s v="AutoPost 1983"/>
    <s v="AUD"/>
    <n v="-1104.31"/>
    <x v="2"/>
    <n v="56"/>
    <n v="-61841.36"/>
  </r>
  <r>
    <s v="GL001984"/>
    <x v="582"/>
    <s v="5000"/>
    <x v="1"/>
    <n v="698.67"/>
    <n v="39125.519999999997"/>
    <n v="0"/>
    <n v="0"/>
    <x v="5"/>
    <x v="2"/>
    <s v="AutoPost 1984"/>
    <s v="AUD"/>
    <n v="-698.67"/>
    <x v="1"/>
    <n v="56"/>
    <n v="-39125.519999999997"/>
  </r>
  <r>
    <s v="GL001985"/>
    <x v="814"/>
    <s v="4000"/>
    <x v="0"/>
    <n v="0"/>
    <n v="0"/>
    <n v="3256.52"/>
    <n v="286573.76"/>
    <x v="3"/>
    <x v="3"/>
    <s v="AutoPost 1985"/>
    <s v="EUR"/>
    <n v="3256.52"/>
    <x v="0"/>
    <n v="88"/>
    <n v="286573.76"/>
  </r>
  <r>
    <s v="GL001986"/>
    <x v="434"/>
    <s v="6000"/>
    <x v="2"/>
    <n v="415.73"/>
    <n v="34089.86"/>
    <n v="0"/>
    <n v="0"/>
    <x v="3"/>
    <x v="0"/>
    <s v="AutoPost 1986"/>
    <s v="USD"/>
    <n v="-415.73"/>
    <x v="2"/>
    <n v="82"/>
    <n v="-34089.86"/>
  </r>
  <r>
    <s v="GL001987"/>
    <x v="530"/>
    <s v="5000"/>
    <x v="1"/>
    <n v="798.68"/>
    <n v="48719.479999999996"/>
    <n v="0"/>
    <n v="0"/>
    <x v="3"/>
    <x v="0"/>
    <s v="AutoPost 1987"/>
    <s v="CAD"/>
    <n v="-798.68"/>
    <x v="1"/>
    <n v="61"/>
    <n v="-48719.479999999996"/>
  </r>
  <r>
    <s v="GL001988"/>
    <x v="528"/>
    <s v="5010"/>
    <x v="3"/>
    <n v="829.83"/>
    <n v="46470.48"/>
    <n v="0"/>
    <n v="0"/>
    <x v="1"/>
    <x v="1"/>
    <s v="AutoPost 1988"/>
    <s v="AUD"/>
    <n v="-829.83"/>
    <x v="2"/>
    <n v="56"/>
    <n v="-46470.48"/>
  </r>
  <r>
    <s v="GL001989"/>
    <x v="50"/>
    <s v="5010"/>
    <x v="3"/>
    <n v="247.03"/>
    <n v="20256.46"/>
    <n v="0"/>
    <n v="0"/>
    <x v="3"/>
    <x v="3"/>
    <s v="AutoPost 1989"/>
    <s v="USD"/>
    <n v="-247.03"/>
    <x v="2"/>
    <n v="82"/>
    <n v="-20256.46"/>
  </r>
  <r>
    <s v="GL001990"/>
    <x v="396"/>
    <s v="5000"/>
    <x v="1"/>
    <n v="688.11"/>
    <n v="56425.020000000004"/>
    <n v="0"/>
    <n v="0"/>
    <x v="1"/>
    <x v="3"/>
    <s v="AutoPost 1990"/>
    <s v="USD"/>
    <n v="-688.11"/>
    <x v="1"/>
    <n v="82"/>
    <n v="-56425.020000000004"/>
  </r>
  <r>
    <s v="GL001991"/>
    <x v="557"/>
    <s v="6000"/>
    <x v="2"/>
    <n v="1196.93"/>
    <n v="98148.260000000009"/>
    <n v="0"/>
    <n v="0"/>
    <x v="3"/>
    <x v="1"/>
    <s v="AutoPost 1991"/>
    <s v="USD"/>
    <n v="-1196.93"/>
    <x v="2"/>
    <n v="82"/>
    <n v="-98148.260000000009"/>
  </r>
  <r>
    <s v="GL001992"/>
    <x v="665"/>
    <s v="4010"/>
    <x v="4"/>
    <n v="0"/>
    <n v="0"/>
    <n v="2003.64"/>
    <n v="122222.04000000001"/>
    <x v="4"/>
    <x v="0"/>
    <s v="AutoPost 1992"/>
    <s v="CAD"/>
    <n v="2003.64"/>
    <x v="0"/>
    <n v="61"/>
    <n v="122222.04000000001"/>
  </r>
  <r>
    <s v="GL001993"/>
    <x v="500"/>
    <s v="4000"/>
    <x v="0"/>
    <n v="0"/>
    <n v="0"/>
    <n v="1233.1300000000001"/>
    <n v="127012.39000000001"/>
    <x v="0"/>
    <x v="3"/>
    <s v="AutoPost 1993"/>
    <s v="GBP"/>
    <n v="1233.1300000000001"/>
    <x v="0"/>
    <n v="103"/>
    <n v="127012.39000000001"/>
  </r>
  <r>
    <s v="GL001994"/>
    <x v="476"/>
    <s v="4010"/>
    <x v="4"/>
    <n v="0"/>
    <n v="0"/>
    <n v="767.31"/>
    <n v="62919.42"/>
    <x v="0"/>
    <x v="4"/>
    <s v="AutoPost 1994"/>
    <s v="USD"/>
    <n v="767.31"/>
    <x v="0"/>
    <n v="82"/>
    <n v="62919.42"/>
  </r>
  <r>
    <s v="GL001995"/>
    <x v="588"/>
    <s v="5010"/>
    <x v="3"/>
    <n v="719.33"/>
    <n v="63301.04"/>
    <n v="0"/>
    <n v="0"/>
    <x v="2"/>
    <x v="1"/>
    <s v="AutoPost 1995"/>
    <s v="EUR"/>
    <n v="-719.33"/>
    <x v="2"/>
    <n v="88"/>
    <n v="-63301.04"/>
  </r>
  <r>
    <s v="GL001996"/>
    <x v="128"/>
    <s v="4000"/>
    <x v="0"/>
    <n v="0"/>
    <n v="0"/>
    <n v="2016.99"/>
    <n v="123036.39"/>
    <x v="1"/>
    <x v="2"/>
    <s v="AutoPost 1996"/>
    <s v="CAD"/>
    <n v="2016.99"/>
    <x v="0"/>
    <n v="61"/>
    <n v="123036.39"/>
  </r>
  <r>
    <s v="GL001997"/>
    <x v="52"/>
    <s v="4000"/>
    <x v="0"/>
    <n v="0"/>
    <n v="0"/>
    <n v="4719.37"/>
    <n v="287881.57"/>
    <x v="5"/>
    <x v="4"/>
    <s v="AutoPost 1997"/>
    <s v="CAD"/>
    <n v="4719.37"/>
    <x v="0"/>
    <n v="61"/>
    <n v="287881.57"/>
  </r>
  <r>
    <s v="GL001998"/>
    <x v="761"/>
    <s v="4010"/>
    <x v="4"/>
    <n v="0"/>
    <n v="0"/>
    <n v="4523.09"/>
    <n v="253293.04"/>
    <x v="5"/>
    <x v="0"/>
    <s v="AutoPost 1998"/>
    <s v="AUD"/>
    <n v="4523.09"/>
    <x v="0"/>
    <n v="56"/>
    <n v="253293.04"/>
  </r>
  <r>
    <s v="GL001999"/>
    <x v="261"/>
    <s v="4000"/>
    <x v="0"/>
    <n v="0"/>
    <n v="0"/>
    <n v="354.88"/>
    <n v="29100.16"/>
    <x v="1"/>
    <x v="0"/>
    <s v="AutoPost 1999"/>
    <s v="USD"/>
    <n v="354.88"/>
    <x v="0"/>
    <n v="82"/>
    <n v="29100.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25F0B-5ABD-44A6-8A72-7E7A0F389F4E}" name="DeptLevelPivot" cacheId="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14" firstHeaderRow="1" firstDataRow="2" firstDataCol="1" rowPageCount="1" colPageCount="1"/>
  <pivotFields count="22">
    <pivotField showAll="0"/>
    <pivotField numFmtId="16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4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3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2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5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2"/>
        <item x="3"/>
        <item x="5"/>
        <item x="0"/>
        <item t="default"/>
      </items>
    </pivotField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1">
    <pageField fld="18" hier="-1"/>
  </pageFields>
  <dataFields count="1">
    <dataField name="NetAmt_INR_" fld="15" baseField="8" baseItem="0"/>
  </dataFields>
  <formats count="10">
    <format dxfId="272">
      <pivotArea type="all" dataOnly="0" outline="0" fieldPosition="0"/>
    </format>
    <format dxfId="271">
      <pivotArea outline="0" collapsedLevelsAreSubtotals="1" fieldPosition="0"/>
    </format>
    <format dxfId="270">
      <pivotArea type="origin" dataOnly="0" labelOnly="1" outline="0" fieldPosition="0"/>
    </format>
    <format dxfId="269">
      <pivotArea field="13" type="button" dataOnly="0" labelOnly="1" outline="0" axis="axisCol" fieldPosition="0"/>
    </format>
    <format dxfId="268">
      <pivotArea type="topRight" dataOnly="0" labelOnly="1" outline="0" fieldPosition="0"/>
    </format>
    <format dxfId="267">
      <pivotArea field="8" type="button" dataOnly="0" labelOnly="1" outline="0" axis="axisRow" fieldPosition="0"/>
    </format>
    <format dxfId="266">
      <pivotArea dataOnly="0" labelOnly="1" fieldPosition="0">
        <references count="1">
          <reference field="8" count="0"/>
        </references>
      </pivotArea>
    </format>
    <format dxfId="265">
      <pivotArea dataOnly="0" labelOnly="1" grandRow="1" outline="0" fieldPosition="0"/>
    </format>
    <format dxfId="264">
      <pivotArea dataOnly="0" labelOnly="1" fieldPosition="0">
        <references count="1">
          <reference field="13" count="0"/>
        </references>
      </pivotArea>
    </format>
    <format dxfId="26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0CE21-C613-4362-992C-9BDE1C9E6744}" name="TrialBalancePivot" cacheId="1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D12" firstHeaderRow="0" firstDataRow="1" firstDataCol="1" rowPageCount="2" colPageCount="1"/>
  <pivotFields count="22">
    <pivotField showAll="0"/>
    <pivotField axis="axisRow" numFmtId="164" showAll="0">
      <items count="816">
        <item x="461"/>
        <item x="644"/>
        <item x="516"/>
        <item x="313"/>
        <item x="354"/>
        <item x="390"/>
        <item x="311"/>
        <item x="93"/>
        <item x="166"/>
        <item x="697"/>
        <item x="750"/>
        <item x="214"/>
        <item x="32"/>
        <item x="398"/>
        <item x="155"/>
        <item x="315"/>
        <item x="582"/>
        <item x="356"/>
        <item x="226"/>
        <item x="267"/>
        <item x="209"/>
        <item x="46"/>
        <item x="763"/>
        <item x="18"/>
        <item x="181"/>
        <item x="144"/>
        <item x="322"/>
        <item x="333"/>
        <item x="601"/>
        <item x="760"/>
        <item x="117"/>
        <item x="172"/>
        <item x="363"/>
        <item x="42"/>
        <item x="324"/>
        <item x="684"/>
        <item x="620"/>
        <item x="177"/>
        <item x="175"/>
        <item x="92"/>
        <item x="807"/>
        <item x="369"/>
        <item x="714"/>
        <item x="288"/>
        <item x="366"/>
        <item x="797"/>
        <item x="454"/>
        <item x="782"/>
        <item x="741"/>
        <item x="414"/>
        <item x="332"/>
        <item x="63"/>
        <item x="335"/>
        <item x="703"/>
        <item x="389"/>
        <item x="435"/>
        <item x="268"/>
        <item x="664"/>
        <item x="431"/>
        <item x="458"/>
        <item x="767"/>
        <item x="178"/>
        <item x="732"/>
        <item x="48"/>
        <item x="43"/>
        <item x="76"/>
        <item x="808"/>
        <item x="667"/>
        <item x="170"/>
        <item x="444"/>
        <item x="23"/>
        <item x="528"/>
        <item x="722"/>
        <item x="762"/>
        <item x="213"/>
        <item x="74"/>
        <item x="761"/>
        <item x="785"/>
        <item x="773"/>
        <item x="525"/>
        <item x="540"/>
        <item x="15"/>
        <item x="511"/>
        <item x="658"/>
        <item x="448"/>
        <item x="278"/>
        <item x="24"/>
        <item x="766"/>
        <item x="198"/>
        <item x="757"/>
        <item x="9"/>
        <item x="300"/>
        <item x="251"/>
        <item x="633"/>
        <item x="549"/>
        <item x="585"/>
        <item x="142"/>
        <item x="164"/>
        <item x="143"/>
        <item x="551"/>
        <item x="648"/>
        <item x="691"/>
        <item x="55"/>
        <item x="323"/>
        <item x="558"/>
        <item x="686"/>
        <item x="130"/>
        <item x="737"/>
        <item x="408"/>
        <item x="592"/>
        <item x="294"/>
        <item x="781"/>
        <item x="246"/>
        <item x="571"/>
        <item x="338"/>
        <item x="532"/>
        <item x="657"/>
        <item x="325"/>
        <item x="442"/>
        <item x="215"/>
        <item x="472"/>
        <item x="707"/>
        <item x="671"/>
        <item x="718"/>
        <item x="634"/>
        <item x="539"/>
        <item x="132"/>
        <item x="168"/>
        <item x="425"/>
        <item x="753"/>
        <item x="632"/>
        <item x="754"/>
        <item x="765"/>
        <item x="409"/>
        <item x="131"/>
        <item x="231"/>
        <item x="531"/>
        <item x="651"/>
        <item x="674"/>
        <item x="608"/>
        <item x="729"/>
        <item x="717"/>
        <item x="695"/>
        <item x="242"/>
        <item x="591"/>
        <item x="615"/>
        <item x="641"/>
        <item x="563"/>
        <item x="37"/>
        <item x="812"/>
        <item x="586"/>
        <item x="471"/>
        <item x="376"/>
        <item x="606"/>
        <item x="104"/>
        <item x="438"/>
        <item x="455"/>
        <item x="386"/>
        <item x="699"/>
        <item x="99"/>
        <item x="21"/>
        <item x="321"/>
        <item x="211"/>
        <item x="347"/>
        <item x="223"/>
        <item x="141"/>
        <item x="612"/>
        <item x="274"/>
        <item x="809"/>
        <item x="344"/>
        <item x="206"/>
        <item x="647"/>
        <item x="595"/>
        <item x="599"/>
        <item x="112"/>
        <item x="598"/>
        <item x="584"/>
        <item x="380"/>
        <item x="774"/>
        <item x="541"/>
        <item x="85"/>
        <item x="590"/>
        <item x="560"/>
        <item x="232"/>
        <item x="378"/>
        <item x="4"/>
        <item x="6"/>
        <item x="464"/>
        <item x="623"/>
        <item x="244"/>
        <item x="331"/>
        <item x="128"/>
        <item x="202"/>
        <item x="473"/>
        <item x="205"/>
        <item x="759"/>
        <item x="189"/>
        <item x="806"/>
        <item x="660"/>
        <item x="183"/>
        <item x="719"/>
        <item x="186"/>
        <item x="387"/>
        <item x="424"/>
        <item x="98"/>
        <item x="328"/>
        <item x="391"/>
        <item x="519"/>
        <item x="342"/>
        <item x="725"/>
        <item x="97"/>
        <item x="702"/>
        <item x="62"/>
        <item x="298"/>
        <item x="119"/>
        <item x="625"/>
        <item x="122"/>
        <item x="813"/>
        <item x="536"/>
        <item x="154"/>
        <item x="299"/>
        <item x="60"/>
        <item x="167"/>
        <item x="396"/>
        <item x="403"/>
        <item x="239"/>
        <item x="772"/>
        <item x="443"/>
        <item x="583"/>
        <item x="41"/>
        <item x="677"/>
        <item x="543"/>
        <item x="3"/>
        <item x="533"/>
        <item x="706"/>
        <item x="375"/>
        <item x="291"/>
        <item x="330"/>
        <item x="428"/>
        <item x="361"/>
        <item x="263"/>
        <item x="721"/>
        <item x="90"/>
        <item x="296"/>
        <item x="630"/>
        <item x="64"/>
        <item x="89"/>
        <item x="654"/>
        <item x="726"/>
        <item x="548"/>
        <item x="645"/>
        <item x="237"/>
        <item x="81"/>
        <item x="79"/>
        <item x="469"/>
        <item x="445"/>
        <item x="801"/>
        <item x="482"/>
        <item x="107"/>
        <item x="637"/>
        <item x="535"/>
        <item x="434"/>
        <item x="191"/>
        <item x="287"/>
        <item x="329"/>
        <item x="218"/>
        <item x="746"/>
        <item x="617"/>
        <item x="285"/>
        <item x="384"/>
        <item x="547"/>
        <item x="341"/>
        <item x="281"/>
        <item x="619"/>
        <item x="789"/>
        <item x="320"/>
        <item x="33"/>
        <item x="580"/>
        <item x="52"/>
        <item x="10"/>
        <item x="196"/>
        <item x="152"/>
        <item x="459"/>
        <item x="243"/>
        <item x="607"/>
        <item x="362"/>
        <item x="723"/>
        <item x="187"/>
        <item x="115"/>
        <item x="371"/>
        <item x="427"/>
        <item x="275"/>
        <item x="485"/>
        <item x="811"/>
        <item x="374"/>
        <item x="351"/>
        <item x="259"/>
        <item x="146"/>
        <item x="564"/>
        <item x="436"/>
        <item x="422"/>
        <item x="508"/>
        <item x="656"/>
        <item x="84"/>
        <item x="116"/>
        <item x="740"/>
        <item x="433"/>
        <item x="56"/>
        <item x="199"/>
        <item x="678"/>
        <item x="7"/>
        <item x="78"/>
        <item x="127"/>
        <item x="399"/>
        <item x="567"/>
        <item x="685"/>
        <item x="652"/>
        <item x="80"/>
        <item x="662"/>
        <item x="304"/>
        <item x="204"/>
        <item x="388"/>
        <item x="663"/>
        <item x="673"/>
        <item x="30"/>
        <item x="476"/>
        <item x="235"/>
        <item x="276"/>
        <item x="764"/>
        <item x="487"/>
        <item x="728"/>
        <item x="743"/>
        <item x="176"/>
        <item x="810"/>
        <item x="262"/>
        <item x="190"/>
        <item x="692"/>
        <item x="293"/>
        <item x="526"/>
        <item x="309"/>
        <item x="635"/>
        <item x="626"/>
        <item x="247"/>
        <item x="279"/>
        <item x="788"/>
        <item x="101"/>
        <item x="355"/>
        <item x="700"/>
        <item x="786"/>
        <item x="566"/>
        <item x="58"/>
        <item x="39"/>
        <item x="271"/>
        <item x="413"/>
        <item x="282"/>
        <item x="161"/>
        <item x="770"/>
        <item x="241"/>
        <item x="345"/>
        <item x="192"/>
        <item x="348"/>
        <item x="738"/>
        <item x="240"/>
        <item x="277"/>
        <item x="350"/>
        <item x="542"/>
        <item x="70"/>
        <item x="13"/>
        <item x="113"/>
        <item x="180"/>
        <item x="233"/>
        <item x="312"/>
        <item x="512"/>
        <item x="257"/>
        <item x="134"/>
        <item x="688"/>
        <item x="102"/>
        <item x="230"/>
        <item x="687"/>
        <item x="787"/>
        <item x="47"/>
        <item x="631"/>
        <item x="490"/>
        <item x="317"/>
        <item x="616"/>
        <item x="478"/>
        <item x="397"/>
        <item x="197"/>
        <item x="137"/>
        <item x="483"/>
        <item x="45"/>
        <item x="614"/>
        <item x="689"/>
        <item x="576"/>
        <item x="704"/>
        <item x="745"/>
        <item x="538"/>
        <item x="29"/>
        <item x="527"/>
        <item x="20"/>
        <item x="507"/>
        <item x="105"/>
        <item x="701"/>
        <item x="254"/>
        <item x="157"/>
        <item x="266"/>
        <item x="522"/>
        <item x="555"/>
        <item x="463"/>
        <item x="245"/>
        <item x="339"/>
        <item x="720"/>
        <item x="613"/>
        <item x="675"/>
        <item x="682"/>
        <item x="86"/>
        <item x="207"/>
        <item x="694"/>
        <item x="579"/>
        <item x="520"/>
        <item x="638"/>
        <item x="470"/>
        <item x="506"/>
        <item x="655"/>
        <item x="609"/>
        <item x="552"/>
        <item x="53"/>
        <item x="769"/>
        <item x="605"/>
        <item x="679"/>
        <item x="8"/>
        <item x="784"/>
        <item x="229"/>
        <item x="383"/>
        <item x="31"/>
        <item x="0"/>
        <item x="153"/>
        <item x="546"/>
        <item x="603"/>
        <item x="524"/>
        <item x="256"/>
        <item x="480"/>
        <item x="88"/>
        <item x="35"/>
        <item x="283"/>
        <item x="195"/>
        <item x="68"/>
        <item x="735"/>
        <item x="337"/>
        <item x="340"/>
        <item x="643"/>
        <item x="400"/>
        <item x="12"/>
        <item x="465"/>
        <item x="367"/>
        <item x="575"/>
        <item x="22"/>
        <item x="269"/>
        <item x="364"/>
        <item x="307"/>
        <item x="505"/>
        <item x="523"/>
        <item x="151"/>
        <item x="550"/>
        <item x="680"/>
        <item x="501"/>
        <item x="224"/>
        <item x="665"/>
        <item x="747"/>
        <item x="636"/>
        <item x="220"/>
        <item x="416"/>
        <item x="661"/>
        <item x="676"/>
        <item x="622"/>
        <item x="798"/>
        <item x="129"/>
        <item x="627"/>
        <item x="466"/>
        <item x="755"/>
        <item x="59"/>
        <item x="1"/>
        <item x="358"/>
        <item x="133"/>
        <item x="453"/>
        <item x="604"/>
        <item x="521"/>
        <item x="484"/>
        <item x="222"/>
        <item x="494"/>
        <item x="95"/>
        <item x="565"/>
        <item x="659"/>
        <item x="804"/>
        <item x="681"/>
        <item x="730"/>
        <item x="534"/>
        <item x="589"/>
        <item x="777"/>
        <item x="793"/>
        <item x="158"/>
        <item x="150"/>
        <item x="556"/>
        <item x="437"/>
        <item x="334"/>
        <item x="373"/>
        <item x="217"/>
        <item x="353"/>
        <item x="639"/>
        <item x="545"/>
        <item x="611"/>
        <item x="34"/>
        <item x="597"/>
        <item x="768"/>
        <item x="265"/>
        <item x="308"/>
        <item x="297"/>
        <item x="618"/>
        <item x="449"/>
        <item x="114"/>
        <item x="162"/>
        <item x="653"/>
        <item x="343"/>
        <item x="672"/>
        <item x="529"/>
        <item x="280"/>
        <item x="379"/>
        <item x="734"/>
        <item x="301"/>
        <item x="174"/>
        <item x="456"/>
        <item x="420"/>
        <item x="305"/>
        <item x="160"/>
        <item x="460"/>
        <item x="327"/>
        <item x="61"/>
        <item x="557"/>
        <item x="696"/>
        <item x="44"/>
        <item x="514"/>
        <item x="210"/>
        <item x="121"/>
        <item x="411"/>
        <item x="19"/>
        <item x="182"/>
        <item x="646"/>
        <item x="502"/>
        <item x="365"/>
        <item x="783"/>
        <item x="503"/>
        <item x="649"/>
        <item x="106"/>
        <item x="57"/>
        <item x="392"/>
        <item x="184"/>
        <item x="179"/>
        <item x="690"/>
        <item x="72"/>
        <item x="360"/>
        <item x="49"/>
        <item x="290"/>
        <item x="261"/>
        <item x="559"/>
        <item x="780"/>
        <item x="125"/>
        <item x="381"/>
        <item x="572"/>
        <item x="669"/>
        <item x="712"/>
        <item x="156"/>
        <item x="666"/>
        <item x="270"/>
        <item x="264"/>
        <item x="467"/>
        <item x="286"/>
        <item x="393"/>
        <item x="96"/>
        <item x="415"/>
        <item x="316"/>
        <item x="596"/>
        <item x="139"/>
        <item x="412"/>
        <item x="510"/>
        <item x="295"/>
        <item x="814"/>
        <item x="123"/>
        <item x="370"/>
        <item x="446"/>
        <item x="693"/>
        <item x="208"/>
        <item x="426"/>
        <item x="492"/>
        <item x="457"/>
        <item x="778"/>
        <item x="50"/>
        <item x="749"/>
        <item x="421"/>
        <item x="451"/>
        <item x="794"/>
        <item x="171"/>
        <item x="54"/>
        <item x="289"/>
        <item x="410"/>
        <item x="569"/>
        <item x="385"/>
        <item x="792"/>
        <item x="574"/>
        <item x="17"/>
        <item x="200"/>
        <item x="11"/>
        <item x="515"/>
        <item x="26"/>
        <item x="349"/>
        <item x="758"/>
        <item x="477"/>
        <item x="650"/>
        <item x="500"/>
        <item x="800"/>
        <item x="83"/>
        <item x="713"/>
        <item x="87"/>
        <item x="727"/>
        <item x="227"/>
        <item x="705"/>
        <item x="518"/>
        <item x="260"/>
        <item x="110"/>
        <item x="668"/>
        <item x="417"/>
        <item x="593"/>
        <item x="407"/>
        <item x="418"/>
        <item x="394"/>
        <item x="628"/>
        <item x="481"/>
        <item x="169"/>
        <item x="194"/>
        <item x="292"/>
        <item x="462"/>
        <item x="496"/>
        <item x="581"/>
        <item x="568"/>
        <item x="372"/>
        <item x="799"/>
        <item x="474"/>
        <item x="148"/>
        <item x="40"/>
        <item x="736"/>
        <item x="573"/>
        <item x="796"/>
        <item x="751"/>
        <item x="357"/>
        <item x="600"/>
        <item x="488"/>
        <item x="771"/>
        <item x="594"/>
        <item x="38"/>
        <item x="124"/>
        <item x="250"/>
        <item x="236"/>
        <item x="779"/>
        <item x="2"/>
        <item x="94"/>
        <item x="135"/>
        <item x="109"/>
        <item x="406"/>
        <item x="118"/>
        <item x="486"/>
        <item x="742"/>
        <item x="776"/>
        <item x="377"/>
        <item x="731"/>
        <item x="711"/>
        <item x="562"/>
        <item x="258"/>
        <item x="629"/>
        <item x="111"/>
        <item x="748"/>
        <item x="578"/>
        <item x="336"/>
        <item x="252"/>
        <item x="405"/>
        <item x="359"/>
        <item x="495"/>
        <item x="71"/>
        <item x="441"/>
        <item x="670"/>
        <item x="248"/>
        <item x="352"/>
        <item x="450"/>
        <item x="234"/>
        <item x="709"/>
        <item x="319"/>
        <item x="497"/>
        <item x="602"/>
        <item x="103"/>
        <item x="577"/>
        <item x="203"/>
        <item x="147"/>
        <item x="136"/>
        <item x="188"/>
        <item x="640"/>
        <item x="82"/>
        <item x="120"/>
        <item x="795"/>
        <item x="212"/>
        <item x="587"/>
        <item x="149"/>
        <item x="302"/>
        <item x="475"/>
        <item x="439"/>
        <item x="314"/>
        <item x="419"/>
        <item x="610"/>
        <item x="16"/>
        <item x="193"/>
        <item x="468"/>
        <item x="216"/>
        <item x="790"/>
        <item x="159"/>
        <item x="402"/>
        <item x="739"/>
        <item x="479"/>
        <item x="28"/>
        <item x="447"/>
        <item x="744"/>
        <item x="185"/>
        <item x="513"/>
        <item x="382"/>
        <item x="75"/>
        <item x="221"/>
        <item x="716"/>
        <item x="346"/>
        <item x="530"/>
        <item x="724"/>
        <item x="73"/>
        <item x="493"/>
        <item x="805"/>
        <item x="509"/>
        <item x="752"/>
        <item x="498"/>
        <item x="430"/>
        <item x="710"/>
        <item x="775"/>
        <item x="310"/>
        <item x="108"/>
        <item x="537"/>
        <item x="228"/>
        <item x="36"/>
        <item x="225"/>
        <item x="554"/>
        <item x="165"/>
        <item x="561"/>
        <item x="440"/>
        <item x="249"/>
        <item x="14"/>
        <item x="255"/>
        <item x="65"/>
        <item x="201"/>
        <item x="69"/>
        <item x="429"/>
        <item x="284"/>
        <item x="683"/>
        <item x="318"/>
        <item x="401"/>
        <item x="802"/>
        <item x="5"/>
        <item x="91"/>
        <item x="395"/>
        <item x="624"/>
        <item x="326"/>
        <item x="642"/>
        <item x="504"/>
        <item x="432"/>
        <item x="272"/>
        <item x="404"/>
        <item x="368"/>
        <item x="77"/>
        <item x="517"/>
        <item x="303"/>
        <item x="25"/>
        <item x="491"/>
        <item x="238"/>
        <item x="306"/>
        <item x="553"/>
        <item x="756"/>
        <item x="452"/>
        <item x="803"/>
        <item x="138"/>
        <item x="588"/>
        <item x="621"/>
        <item x="423"/>
        <item x="791"/>
        <item x="163"/>
        <item x="51"/>
        <item x="733"/>
        <item x="27"/>
        <item x="499"/>
        <item x="140"/>
        <item x="100"/>
        <item x="219"/>
        <item x="67"/>
        <item x="489"/>
        <item x="145"/>
        <item x="273"/>
        <item x="570"/>
        <item x="66"/>
        <item x="126"/>
        <item x="253"/>
        <item x="698"/>
        <item x="708"/>
        <item x="544"/>
        <item x="715"/>
        <item x="173"/>
        <item t="default"/>
      </items>
    </pivotField>
    <pivotField showAll="0"/>
    <pivotField axis="axisRow" showAll="0">
      <items count="6">
        <item sd="0" x="1"/>
        <item sd="0" x="4"/>
        <item sd="0" x="2"/>
        <item sd="0" x="0"/>
        <item sd="0" x="3"/>
        <item t="default"/>
      </items>
    </pivotField>
    <pivotField showAll="0"/>
    <pivotField dataField="1" showAll="0"/>
    <pivotField showAll="0"/>
    <pivotField dataField="1" showAll="0"/>
    <pivotField axis="axisPage" showAll="0">
      <items count="7">
        <item x="4"/>
        <item x="1"/>
        <item x="2"/>
        <item x="3"/>
        <item x="5"/>
        <item x="0"/>
        <item t="default"/>
      </items>
    </pivotField>
    <pivotField axis="axisPage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5">
    <field x="3"/>
    <field x="18"/>
    <field x="17"/>
    <field x="16"/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9" hier="-1"/>
    <pageField fld="8" hier="-1"/>
  </pageFields>
  <dataFields count="3">
    <dataField name="Debit_INR_Amt" fld="5" baseField="3" baseItem="0"/>
    <dataField name="Credit_INR_Amt" fld="7" baseField="3" baseItem="0"/>
    <dataField name="Trial Balance Amt" fld="21" baseField="3" baseItem="0"/>
  </dataFields>
  <formats count="36">
    <format dxfId="179">
      <pivotArea type="all" dataOnly="0" outline="0" fieldPosition="0"/>
    </format>
    <format dxfId="180">
      <pivotArea outline="0" collapsedLevelsAreSubtotals="1" fieldPosition="0"/>
    </format>
    <format dxfId="181">
      <pivotArea field="3" type="button" dataOnly="0" labelOnly="1" outline="0" axis="axisRow" fieldPosition="0"/>
    </format>
    <format dxfId="182">
      <pivotArea dataOnly="0" labelOnly="1" grandRow="1" outline="0" fieldPosition="0"/>
    </format>
    <format dxfId="1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4">
      <pivotArea collapsedLevelsAreSubtotals="1" fieldPosition="0">
        <references count="1">
          <reference field="3" count="1">
            <x v="0"/>
          </reference>
        </references>
      </pivotArea>
    </format>
    <format dxfId="185">
      <pivotArea collapsedLevelsAreSubtotals="1" fieldPosition="0">
        <references count="1">
          <reference field="3" count="1">
            <x v="1"/>
          </reference>
        </references>
      </pivotArea>
    </format>
    <format dxfId="186">
      <pivotArea collapsedLevelsAreSubtotals="1" fieldPosition="0">
        <references count="1">
          <reference field="3" count="1">
            <x v="2"/>
          </reference>
        </references>
      </pivotArea>
    </format>
    <format dxfId="187">
      <pivotArea collapsedLevelsAreSubtotals="1" fieldPosition="0">
        <references count="1">
          <reference field="3" count="1">
            <x v="3"/>
          </reference>
        </references>
      </pivotArea>
    </format>
    <format dxfId="188">
      <pivotArea collapsedLevelsAreSubtotals="1" fieldPosition="0">
        <references count="1">
          <reference field="3" count="1">
            <x v="4"/>
          </reference>
        </references>
      </pivotArea>
    </format>
    <format dxfId="189">
      <pivotArea dataOnly="0" labelOnly="1" fieldPosition="0">
        <references count="1">
          <reference field="3" count="0"/>
        </references>
      </pivotArea>
    </format>
    <format dxfId="19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91">
      <pivotArea field="3" type="button" dataOnly="0" labelOnly="1" outline="0" axis="axisRow" fieldPosition="0"/>
    </format>
    <format dxfId="192">
      <pivotArea dataOnly="0" labelOnly="1" fieldPosition="0">
        <references count="1">
          <reference field="3" count="0"/>
        </references>
      </pivotArea>
    </format>
    <format dxfId="193">
      <pivotArea dataOnly="0" labelOnly="1" grandRow="1" outline="0" fieldPosition="0"/>
    </format>
    <format dxfId="1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96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97">
      <pivotArea type="all" dataOnly="0" outline="0" fieldPosition="0"/>
    </format>
    <format dxfId="198">
      <pivotArea outline="0" collapsedLevelsAreSubtotals="1" fieldPosition="0"/>
    </format>
    <format dxfId="199">
      <pivotArea field="3" type="button" dataOnly="0" labelOnly="1" outline="0" axis="axisRow" fieldPosition="0"/>
    </format>
    <format dxfId="200">
      <pivotArea dataOnly="0" labelOnly="1" fieldPosition="0">
        <references count="1">
          <reference field="3" count="0"/>
        </references>
      </pivotArea>
    </format>
    <format dxfId="201">
      <pivotArea dataOnly="0" labelOnly="1" grandRow="1" outline="0" fieldPosition="0"/>
    </format>
    <format dxfId="2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3" type="button" dataOnly="0" labelOnly="1" outline="0" axis="axisRow" fieldPosition="0"/>
    </format>
    <format dxfId="151">
      <pivotArea dataOnly="0" labelOnly="1" fieldPosition="0">
        <references count="1">
          <reference field="3" count="0"/>
        </references>
      </pivotArea>
    </format>
    <format dxfId="150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E149BD-58EA-407D-BAD9-EB52336CEA38}" autoFormatId="16" applyNumberFormats="0" applyBorderFormats="0" applyFontFormats="0" applyPatternFormats="0" applyAlignmentFormats="0" applyWidthHeightFormats="0">
  <queryTableRefresh nextId="23">
    <queryTableFields count="22">
      <queryTableField id="1" name="GLID" tableColumnId="1"/>
      <queryTableField id="2" name="TxnDate" tableColumnId="2"/>
      <queryTableField id="3" name="AccountNumber" tableColumnId="3"/>
      <queryTableField id="4" name="AccountName" tableColumnId="4"/>
      <queryTableField id="5" name="Debit" tableColumnId="5"/>
      <queryTableField id="6" name="Debit_INR" tableColumnId="6"/>
      <queryTableField id="7" name="Credit" tableColumnId="7"/>
      <queryTableField id="8" name="Credit_INR" tableColumnId="8"/>
      <queryTableField id="9" name="Dept" tableColumnId="9"/>
      <queryTableField id="10" name="CostCenter" tableColumnId="10"/>
      <queryTableField id="11" name="Description" tableColumnId="11"/>
      <queryTableField id="12" name="Currency" tableColumnId="12"/>
      <queryTableField id="13" name="Net Amount" tableColumnId="13"/>
      <queryTableField id="14" name="P&amp;L Category " tableColumnId="14"/>
      <queryTableField id="15" name="FX_rates" tableColumnId="15"/>
      <queryTableField id="16" name="NetAmt_INR" tableColumnId="16"/>
      <queryTableField id="17" name="Is_Weekend" tableColumnId="17"/>
      <queryTableField id="18" name="Is_Period_End" tableColumnId="18"/>
      <queryTableField id="19" name="Is_Round_Amount" tableColumnId="19"/>
      <queryTableField id="20" name="Is_Large_Amount" tableColumnId="20"/>
      <queryTableField id="21" name="RiskScore" tableColumnId="21"/>
      <queryTableField id="22" name="Review_Priority" tableColumnId="2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3A4F5-848E-4CA1-A9DB-CC0AA0A769C1}" name="Cleaned" displayName="Cleaned" ref="A1:P2001" totalsRowShown="0" headerRowDxfId="284" headerRowBorderDxfId="287" tableBorderDxfId="288">
  <autoFilter ref="A1:P2001" xr:uid="{00000000-0001-0000-0000-000000000000}"/>
  <tableColumns count="16">
    <tableColumn id="1" xr3:uid="{027F315A-65C5-4B9F-8AA5-E9C78A549C9F}" name="GLID"/>
    <tableColumn id="2" xr3:uid="{EC0044A6-21E5-4070-AB97-3F83F0C1C392}" name="TxnDate" dataDxfId="286"/>
    <tableColumn id="3" xr3:uid="{CDB755D9-B0E8-4D00-AFC0-EA872286ED91}" name="AccountNumber" dataDxfId="285"/>
    <tableColumn id="4" xr3:uid="{7ED0A163-AE0F-44CE-8452-75C256379578}" name="AccountName"/>
    <tableColumn id="5" xr3:uid="{A55EFB16-98ED-42F8-91C3-FCF1935C0BBA}" name="Debit"/>
    <tableColumn id="16" xr3:uid="{76760A86-5FBC-4431-B3DC-668C824B069C}" name="Debit_INR" dataDxfId="274">
      <calculatedColumnFormula>Cleaned[[#This Row],[Debit]] * Cleaned[[#This Row],[FX_rates]]</calculatedColumnFormula>
    </tableColumn>
    <tableColumn id="6" xr3:uid="{2616520C-02A8-4744-BEC4-B5F1C6F51AC7}" name="Credit"/>
    <tableColumn id="17" xr3:uid="{120B98E6-FAC0-4009-B4BB-ACFC9C923F1A}" name="Credit_INR" dataDxfId="273">
      <calculatedColumnFormula>Cleaned[[#This Row],[Credit]] *  Cleaned[[#This Row],[FX_rates]]</calculatedColumnFormula>
    </tableColumn>
    <tableColumn id="7" xr3:uid="{28685CEE-DC7F-4674-AEEA-B13F30A08A3F}" name="Dept"/>
    <tableColumn id="8" xr3:uid="{085B7B1F-720E-484B-8219-7E452F07DE02}" name="CostCenter"/>
    <tableColumn id="9" xr3:uid="{25E4A36E-820B-4ECD-ADC3-D64AB37A6928}" name="Description"/>
    <tableColumn id="10" xr3:uid="{CEA4BA49-F8EC-4F00-9661-7D4AAD8F27A5}" name="Currency"/>
    <tableColumn id="11" xr3:uid="{C88BA639-FE1A-4E8B-B8BE-925478A58A1F}" name="Net Amount" dataDxfId="283">
      <calculatedColumnFormula>Cleaned[[#This Row],[Credit]]-Cleaned[[#This Row],[Debit]]</calculatedColumnFormula>
    </tableColumn>
    <tableColumn id="12" xr3:uid="{9CBC1BB7-D050-444F-A5CF-C9181C196BAD}" name="P&amp;L Category " dataDxfId="282">
      <calculatedColumnFormula>_xlfn.XLOOKUP(Cleaned[[#This Row],[AccountName]], Account_Mapping!A:A, Account_Mapping!B:B,"Unmapped")</calculatedColumnFormula>
    </tableColumn>
    <tableColumn id="13" xr3:uid="{DA3DF46D-1913-4649-8A93-3E8DAF22FC03}" name="FX_rates" dataDxfId="276">
      <calculatedColumnFormula array="1">_xlfn.XLOOKUP(
  1,
  (FX_Rates[Currency]=Cleaned[[#This Row],[Currency]])*
  (FX_Rates[RateDate]&lt;=Cleaned[[#This Row],[TxnDate]]),
  FX_Rates[Rate_To_INR],
  ,
  -1
)</calculatedColumnFormula>
    </tableColumn>
    <tableColumn id="14" xr3:uid="{884911BC-C647-4B7A-BE4E-8C153D5C160D}" name="NetAmt_INR" dataDxfId="275">
      <calculatedColumnFormula>Cleaned[[#This Row],[Net Amount]] *  Cleaned[[#This Row],[FX_rates]]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D440EB-1A9C-4233-AA5E-F62EFEBCE4DF}" name="GrossmarginTable" displayName="GrossmarginTable" ref="A18:E24" totalsRowShown="0" headerRowDxfId="281">
  <autoFilter ref="A18:E24" xr:uid="{B5D440EB-1A9C-4233-AA5E-F62EFEBCE4DF}"/>
  <tableColumns count="5">
    <tableColumn id="1" xr3:uid="{6486B374-80E8-45BA-9A38-CD19E50761E1}" name="Department" dataDxfId="261"/>
    <tableColumn id="2" xr3:uid="{A5C8FE05-EA90-4F67-B751-8F32743C3E18}" name="COGS" dataDxfId="260"/>
    <tableColumn id="3" xr3:uid="{BCBF235A-AD35-45AC-9738-CA06282BF839}" name="Revenue" dataDxfId="259"/>
    <tableColumn id="4" xr3:uid="{95FF4BD7-43A1-4787-B71D-34C777D400BF}" name="Gross Profit">
      <calculatedColumnFormula>B19+C19</calculatedColumnFormula>
    </tableColumn>
    <tableColumn id="5" xr3:uid="{02F9235D-893A-4E6F-BD00-841A76B01A03}" name="Gross Margin" dataDxfId="258">
      <calculatedColumnFormula>GrossmarginTable[[#This Row],[Gross Profit]]/GrossmarginTable[[#This Row],[Revenue]]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070BB1-1184-4D83-B33D-7C9912D700F3}" name="Table3" displayName="Table3" ref="A1:E9" totalsRowShown="0">
  <autoFilter ref="A1:E9" xr:uid="{A6070BB1-1184-4D83-B33D-7C9912D700F3}"/>
  <tableColumns count="5">
    <tableColumn id="1" xr3:uid="{F54944F3-B809-49F1-877F-6142ACC07419}" name="Sum of Profit"/>
    <tableColumn id="2" xr3:uid="{93465039-33E2-4E74-B090-C7F3F8F79892}" name="Column Labels"/>
    <tableColumn id="3" xr3:uid="{3ADC68C6-55C0-47D4-839A-9FE86ED5DC53}" name="Column1"/>
    <tableColumn id="4" xr3:uid="{20C0EBAB-06F4-4568-9FD6-115E1CEDACA2}" name="Column2"/>
    <tableColumn id="5" xr3:uid="{6BE75C32-34CE-442A-9442-444274D86ECE}" name="Column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A981A9-9833-4CF3-8EFB-8583A6919E6B}" name="Audit" displayName="Audit" ref="A1:V2001" tableType="queryTable" totalsRowShown="0" headerRowDxfId="262">
  <autoFilter ref="A1:V2001" xr:uid="{22A981A9-9833-4CF3-8EFB-8583A6919E6B}">
    <filterColumn colId="21">
      <filters>
        <filter val="High"/>
      </filters>
    </filterColumn>
  </autoFilter>
  <tableColumns count="22">
    <tableColumn id="1" xr3:uid="{22978B7B-E11D-4D5E-BF3B-CBAC87332776}" uniqueName="1" name="GLID" queryTableFieldId="1" dataDxfId="64"/>
    <tableColumn id="2" xr3:uid="{41EBB2BA-BE0E-48D0-8B41-371DC178AB8D}" uniqueName="2" name="TxnDate" queryTableFieldId="2" dataDxfId="63"/>
    <tableColumn id="3" xr3:uid="{C961B200-AA61-4F20-8325-AAF51A86FCDA}" uniqueName="3" name="AccountNumber" queryTableFieldId="3" dataDxfId="62"/>
    <tableColumn id="4" xr3:uid="{88BE0570-8605-4B3E-8F3D-BE7B9061A18B}" uniqueName="4" name="AccountName" queryTableFieldId="4" dataDxfId="61"/>
    <tableColumn id="5" xr3:uid="{2C541FB1-A739-49AF-8218-F74361829C72}" uniqueName="5" name="Debit" queryTableFieldId="5"/>
    <tableColumn id="6" xr3:uid="{D903A078-79CF-4FAC-ACC9-110A42D7CA22}" uniqueName="6" name="Debit_INR" queryTableFieldId="6"/>
    <tableColumn id="7" xr3:uid="{14F14282-29A4-4211-823A-A24659995CEA}" uniqueName="7" name="Credit" queryTableFieldId="7"/>
    <tableColumn id="8" xr3:uid="{56C71081-B056-4365-8CFB-F4FA33C4F40D}" uniqueName="8" name="Credit_INR" queryTableFieldId="8"/>
    <tableColumn id="9" xr3:uid="{6FE139CB-AB18-4957-9673-31672F93BB43}" uniqueName="9" name="Dept" queryTableFieldId="9" dataDxfId="60"/>
    <tableColumn id="10" xr3:uid="{E0C749A9-CD3E-4592-B470-9C4FC2737CC0}" uniqueName="10" name="CostCenter" queryTableFieldId="10" dataDxfId="59"/>
    <tableColumn id="11" xr3:uid="{9BCB6DCE-2B7F-449D-8CF6-DAF8B025CA14}" uniqueName="11" name="Description" queryTableFieldId="11" dataDxfId="58"/>
    <tableColumn id="12" xr3:uid="{1EE3399A-6AF2-4B30-BA95-A214DB76EAB5}" uniqueName="12" name="Currency" queryTableFieldId="12" dataDxfId="57"/>
    <tableColumn id="13" xr3:uid="{3A048008-951A-456F-8DE8-DA3815F47820}" uniqueName="13" name="Net Amount" queryTableFieldId="13"/>
    <tableColumn id="14" xr3:uid="{259AFA34-CD69-4612-8698-ABAD5CB3405C}" uniqueName="14" name="P&amp;L Category " queryTableFieldId="14" dataDxfId="56"/>
    <tableColumn id="15" xr3:uid="{28C22062-7561-46C8-912C-C32D1B20C719}" uniqueName="15" name="FX_rates" queryTableFieldId="15"/>
    <tableColumn id="16" xr3:uid="{E8948181-030B-4220-8871-AB91688D1DB5}" uniqueName="16" name="NetAmt_INR" queryTableFieldId="16"/>
    <tableColumn id="17" xr3:uid="{3BD37097-D1D0-44FB-9AEE-D8E135AD5BBF}" uniqueName="17" name="Is_Weekend" queryTableFieldId="17"/>
    <tableColumn id="18" xr3:uid="{329ED102-94FC-4DF3-B753-B079FC50353A}" uniqueName="18" name="Is_Period_End" queryTableFieldId="18"/>
    <tableColumn id="19" xr3:uid="{55DA0511-4415-4A22-934D-E912A5C903B9}" uniqueName="19" name="Is_Round_Amount" queryTableFieldId="19"/>
    <tableColumn id="20" xr3:uid="{BF9C6517-AFA7-432A-8AF3-9C0492F40490}" uniqueName="20" name="Is_Large_Amount" queryTableFieldId="20"/>
    <tableColumn id="21" xr3:uid="{1C36EDF9-98A0-49EF-B875-4AEEE1F3C23C}" uniqueName="21" name="RiskScore" queryTableFieldId="21"/>
    <tableColumn id="22" xr3:uid="{F5A8C4BA-7BCC-457E-B140-B4927AF21AD3}" uniqueName="22" name="Review_Priority" queryTableFieldId="2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4F9C17-750B-4119-9CF7-F95BD4D03B1F}" name="AccountsTable" displayName="AccountsTable" ref="A1:B6" totalsRowShown="0" headerRowDxfId="0" headerRowBorderDxfId="4" tableBorderDxfId="5" totalsRowBorderDxfId="3">
  <autoFilter ref="A1:B6" xr:uid="{FD4F9C17-750B-4119-9CF7-F95BD4D03B1F}"/>
  <tableColumns count="2">
    <tableColumn id="1" xr3:uid="{1459AA52-A52C-4922-8766-36395B7A306B}" name="AccountName" dataDxfId="2"/>
    <tableColumn id="2" xr3:uid="{DFC296B6-9F52-4BC8-A688-D67D36A96E0F}" name="P&amp;L Cateogory" dataDxfId="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A8E639-9EAF-4C18-BA31-FF3B86D66413}" name="FX_Rates" displayName="FX_Rates" ref="A1:C16" totalsRowShown="0" headerRowDxfId="277">
  <autoFilter ref="A1:C16" xr:uid="{7CA8E639-9EAF-4C18-BA31-FF3B86D66413}"/>
  <sortState xmlns:xlrd2="http://schemas.microsoft.com/office/spreadsheetml/2017/richdata2" ref="A2:C16">
    <sortCondition ref="A1:A16"/>
  </sortState>
  <tableColumns count="3">
    <tableColumn id="1" xr3:uid="{F4DFDF71-488A-4456-BA0B-3B24D5B4205F}" name="RateDate" dataDxfId="280"/>
    <tableColumn id="2" xr3:uid="{807AB260-226B-42A4-9AE1-1211D1E23495}" name="Currency" dataDxfId="279"/>
    <tableColumn id="3" xr3:uid="{2CD43514-7820-406E-9229-56B2F47CF58B}" name="Rate_To_INR" dataDxfId="27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workbookViewId="0">
      <selection activeCell="S15" sqref="S15"/>
    </sheetView>
  </sheetViews>
  <sheetFormatPr defaultRowHeight="14.25" x14ac:dyDescent="0.45"/>
  <cols>
    <col min="1" max="1" width="8.86328125" bestFit="1" customWidth="1"/>
    <col min="2" max="2" width="11.796875" bestFit="1" customWidth="1"/>
    <col min="3" max="3" width="18.53125" style="2" bestFit="1" customWidth="1"/>
    <col min="4" max="4" width="16.59765625" bestFit="1" customWidth="1"/>
    <col min="5" max="5" width="9.53125" bestFit="1" customWidth="1"/>
    <col min="6" max="6" width="13.33203125" bestFit="1" customWidth="1"/>
    <col min="7" max="7" width="10" bestFit="1" customWidth="1"/>
    <col min="8" max="8" width="13.796875" bestFit="1" customWidth="1"/>
    <col min="9" max="9" width="9.3984375" bestFit="1" customWidth="1"/>
    <col min="10" max="10" width="14.06640625" bestFit="1" customWidth="1"/>
    <col min="11" max="11" width="14.3984375" bestFit="1" customWidth="1"/>
    <col min="12" max="12" width="12.33203125" bestFit="1" customWidth="1"/>
    <col min="13" max="13" width="15.19921875" bestFit="1" customWidth="1"/>
    <col min="14" max="14" width="16.3984375" bestFit="1" customWidth="1"/>
    <col min="15" max="15" width="12.06640625" bestFit="1" customWidth="1"/>
    <col min="16" max="16" width="15.33203125" bestFit="1" customWidth="1"/>
  </cols>
  <sheetData>
    <row r="1" spans="1:16" x14ac:dyDescent="0.4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4059</v>
      </c>
      <c r="G1" s="3" t="s">
        <v>5</v>
      </c>
      <c r="H1" s="3" t="s">
        <v>4060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4052</v>
      </c>
      <c r="N1" s="3" t="s">
        <v>4043</v>
      </c>
      <c r="O1" s="3" t="s">
        <v>4058</v>
      </c>
      <c r="P1" s="3" t="s">
        <v>4057</v>
      </c>
    </row>
    <row r="2" spans="1:16" x14ac:dyDescent="0.45">
      <c r="A2" t="s">
        <v>10</v>
      </c>
      <c r="B2" s="1">
        <v>45417</v>
      </c>
      <c r="C2" s="2" t="s">
        <v>2010</v>
      </c>
      <c r="D2" t="s">
        <v>2015</v>
      </c>
      <c r="E2">
        <v>0</v>
      </c>
      <c r="F2">
        <f>Cleaned[[#This Row],[Debit]] * Cleaned[[#This Row],[FX_rates]]</f>
        <v>0</v>
      </c>
      <c r="G2">
        <v>2505.15</v>
      </c>
      <c r="H2">
        <f>Cleaned[[#This Row],[Credit]] *  Cleaned[[#This Row],[FX_rates]]</f>
        <v>258030.45</v>
      </c>
      <c r="I2" t="s">
        <v>2020</v>
      </c>
      <c r="J2" t="s">
        <v>2026</v>
      </c>
      <c r="K2" t="s">
        <v>2031</v>
      </c>
      <c r="L2" t="s">
        <v>4031</v>
      </c>
      <c r="M2">
        <f>Cleaned[[#This Row],[Credit]]-Cleaned[[#This Row],[Debit]]</f>
        <v>2505.15</v>
      </c>
      <c r="N2" t="str">
        <f>_xlfn.XLOOKUP(Cleaned[[#This Row],[AccountName]], Account_Mapping!A:A, Account_Mapping!B:B,"Unmapped")</f>
        <v>Revenue</v>
      </c>
      <c r="O2" cm="1">
        <f t="array" ref="O2">_xlfn.XLOOKUP(
  1,
  (FX_Rates[Currency]=Cleaned[[#This Row],[Currency]])*
  (FX_Rates[RateDate]&lt;=Cleaned[[#This Row],[TxnDate]]),
  FX_Rates[Rate_To_INR],
  ,
  -1
)</f>
        <v>103</v>
      </c>
      <c r="P2" s="2">
        <f>Cleaned[[#This Row],[Net Amount]] *  Cleaned[[#This Row],[FX_rates]]</f>
        <v>258030.45</v>
      </c>
    </row>
    <row r="3" spans="1:16" x14ac:dyDescent="0.45">
      <c r="A3" t="s">
        <v>11</v>
      </c>
      <c r="B3" s="1">
        <v>45466</v>
      </c>
      <c r="C3" s="2" t="s">
        <v>2011</v>
      </c>
      <c r="D3" t="s">
        <v>2016</v>
      </c>
      <c r="E3">
        <v>1184.73</v>
      </c>
      <c r="F3">
        <f>Cleaned[[#This Row],[Debit]] * Cleaned[[#This Row],[FX_rates]]</f>
        <v>122027.19</v>
      </c>
      <c r="G3">
        <v>0</v>
      </c>
      <c r="H3">
        <f>Cleaned[[#This Row],[Credit]] *  Cleaned[[#This Row],[FX_rates]]</f>
        <v>0</v>
      </c>
      <c r="I3" t="s">
        <v>2021</v>
      </c>
      <c r="J3" t="s">
        <v>2026</v>
      </c>
      <c r="K3" t="s">
        <v>2032</v>
      </c>
      <c r="L3" t="s">
        <v>4031</v>
      </c>
      <c r="M3">
        <f>Cleaned[[#This Row],[Credit]]-Cleaned[[#This Row],[Debit]]</f>
        <v>-1184.73</v>
      </c>
      <c r="N3" t="str">
        <f>_xlfn.XLOOKUP(Cleaned[[#This Row],[AccountName]], Account_Mapping!A:A, Account_Mapping!B:B,"Unmapped")</f>
        <v>COGS</v>
      </c>
      <c r="O3" cm="1">
        <f t="array" ref="O3">_xlfn.XLOOKUP(
  1,
  (FX_Rates[Currency]=Cleaned[[#This Row],[Currency]])*
  (FX_Rates[RateDate]&lt;=Cleaned[[#This Row],[TxnDate]]),
  FX_Rates[Rate_To_INR],
  ,
  -1
)</f>
        <v>103</v>
      </c>
      <c r="P3" s="2">
        <f>Cleaned[[#This Row],[Net Amount]] *  Cleaned[[#This Row],[FX_rates]]</f>
        <v>-122027.19</v>
      </c>
    </row>
    <row r="4" spans="1:16" x14ac:dyDescent="0.45">
      <c r="A4" t="s">
        <v>12</v>
      </c>
      <c r="B4" s="1">
        <v>45666</v>
      </c>
      <c r="C4" s="2" t="s">
        <v>2011</v>
      </c>
      <c r="D4" t="s">
        <v>2016</v>
      </c>
      <c r="E4">
        <v>748.25</v>
      </c>
      <c r="F4">
        <f>Cleaned[[#This Row],[Debit]] * Cleaned[[#This Row],[FX_rates]]</f>
        <v>65846</v>
      </c>
      <c r="G4">
        <v>0</v>
      </c>
      <c r="H4">
        <f>Cleaned[[#This Row],[Credit]] *  Cleaned[[#This Row],[FX_rates]]</f>
        <v>0</v>
      </c>
      <c r="I4" t="s">
        <v>2022</v>
      </c>
      <c r="J4" t="s">
        <v>2027</v>
      </c>
      <c r="K4" t="s">
        <v>2033</v>
      </c>
      <c r="L4" t="s">
        <v>4032</v>
      </c>
      <c r="M4">
        <f>Cleaned[[#This Row],[Credit]]-Cleaned[[#This Row],[Debit]]</f>
        <v>-748.25</v>
      </c>
      <c r="N4" t="str">
        <f>_xlfn.XLOOKUP(Cleaned[[#This Row],[AccountName]], Account_Mapping!A:A, Account_Mapping!B:B,"Unmapped")</f>
        <v>COGS</v>
      </c>
      <c r="O4" cm="1">
        <f t="array" ref="O4">_xlfn.XLOOKUP(
  1,
  (FX_Rates[Currency]=Cleaned[[#This Row],[Currency]])*
  (FX_Rates[RateDate]&lt;=Cleaned[[#This Row],[TxnDate]]),
  FX_Rates[Rate_To_INR],
  ,
  -1
)</f>
        <v>88</v>
      </c>
      <c r="P4" s="2">
        <f>Cleaned[[#This Row],[Net Amount]] *  Cleaned[[#This Row],[FX_rates]]</f>
        <v>-65846</v>
      </c>
    </row>
    <row r="5" spans="1:16" x14ac:dyDescent="0.45">
      <c r="A5" t="s">
        <v>13</v>
      </c>
      <c r="B5" s="1">
        <v>45199</v>
      </c>
      <c r="C5" s="2" t="s">
        <v>2012</v>
      </c>
      <c r="D5" t="s">
        <v>2017</v>
      </c>
      <c r="E5">
        <v>1610.64</v>
      </c>
      <c r="F5">
        <f>Cleaned[[#This Row],[Debit]] * Cleaned[[#This Row],[FX_rates]]</f>
        <v>90195.840000000011</v>
      </c>
      <c r="G5">
        <v>0</v>
      </c>
      <c r="H5">
        <f>Cleaned[[#This Row],[Credit]] *  Cleaned[[#This Row],[FX_rates]]</f>
        <v>0</v>
      </c>
      <c r="I5" t="s">
        <v>2020</v>
      </c>
      <c r="J5" t="s">
        <v>2028</v>
      </c>
      <c r="K5" t="s">
        <v>2034</v>
      </c>
      <c r="L5" t="s">
        <v>4033</v>
      </c>
      <c r="M5">
        <f>Cleaned[[#This Row],[Credit]]-Cleaned[[#This Row],[Debit]]</f>
        <v>-1610.64</v>
      </c>
      <c r="N5" t="str">
        <f>_xlfn.XLOOKUP(Cleaned[[#This Row],[AccountName]], Account_Mapping!A:A, Account_Mapping!B:B,"Unmapped")</f>
        <v>Operating Expense</v>
      </c>
      <c r="O5" cm="1">
        <f t="array" ref="O5">_xlfn.XLOOKUP(
  1,
  (FX_Rates[Currency]=Cleaned[[#This Row],[Currency]])*
  (FX_Rates[RateDate]&lt;=Cleaned[[#This Row],[TxnDate]]),
  FX_Rates[Rate_To_INR],
  ,
  -1
)</f>
        <v>56</v>
      </c>
      <c r="P5" s="2">
        <f>Cleaned[[#This Row],[Net Amount]] *  Cleaned[[#This Row],[FX_rates]]</f>
        <v>-90195.840000000011</v>
      </c>
    </row>
    <row r="6" spans="1:16" x14ac:dyDescent="0.45">
      <c r="A6" t="s">
        <v>14</v>
      </c>
      <c r="B6" s="1">
        <v>45141</v>
      </c>
      <c r="C6" s="2" t="s">
        <v>2011</v>
      </c>
      <c r="D6" t="s">
        <v>2016</v>
      </c>
      <c r="E6">
        <v>1053.1199999999999</v>
      </c>
      <c r="F6">
        <f>Cleaned[[#This Row],[Debit]] * Cleaned[[#This Row],[FX_rates]]</f>
        <v>86355.839999999997</v>
      </c>
      <c r="G6">
        <v>0</v>
      </c>
      <c r="H6">
        <f>Cleaned[[#This Row],[Credit]] *  Cleaned[[#This Row],[FX_rates]]</f>
        <v>0</v>
      </c>
      <c r="I6" t="s">
        <v>2021</v>
      </c>
      <c r="J6" t="s">
        <v>2028</v>
      </c>
      <c r="K6" t="s">
        <v>2035</v>
      </c>
      <c r="L6" t="s">
        <v>4034</v>
      </c>
      <c r="M6">
        <f>Cleaned[[#This Row],[Credit]]-Cleaned[[#This Row],[Debit]]</f>
        <v>-1053.1199999999999</v>
      </c>
      <c r="N6" t="str">
        <f>_xlfn.XLOOKUP(Cleaned[[#This Row],[AccountName]], Account_Mapping!A:A, Account_Mapping!B:B,"Unmapped")</f>
        <v>COGS</v>
      </c>
      <c r="O6" cm="1">
        <f t="array" ref="O6">_xlfn.XLOOKUP(
  1,
  (FX_Rates[Currency]=Cleaned[[#This Row],[Currency]])*
  (FX_Rates[RateDate]&lt;=Cleaned[[#This Row],[TxnDate]]),
  FX_Rates[Rate_To_INR],
  ,
  -1
)</f>
        <v>82</v>
      </c>
      <c r="P6" s="2">
        <f>Cleaned[[#This Row],[Net Amount]] *  Cleaned[[#This Row],[FX_rates]]</f>
        <v>-86355.839999999997</v>
      </c>
    </row>
    <row r="7" spans="1:16" x14ac:dyDescent="0.45">
      <c r="A7" t="s">
        <v>15</v>
      </c>
      <c r="B7" s="1">
        <v>45788</v>
      </c>
      <c r="C7" s="2" t="s">
        <v>2012</v>
      </c>
      <c r="D7" t="s">
        <v>2017</v>
      </c>
      <c r="E7">
        <v>1653.64</v>
      </c>
      <c r="F7">
        <f>Cleaned[[#This Row],[Debit]] * Cleaned[[#This Row],[FX_rates]]</f>
        <v>135598.48000000001</v>
      </c>
      <c r="G7">
        <v>0</v>
      </c>
      <c r="H7">
        <f>Cleaned[[#This Row],[Credit]] *  Cleaned[[#This Row],[FX_rates]]</f>
        <v>0</v>
      </c>
      <c r="I7" t="s">
        <v>2023</v>
      </c>
      <c r="J7" t="s">
        <v>2028</v>
      </c>
      <c r="K7" t="s">
        <v>2036</v>
      </c>
      <c r="L7" t="s">
        <v>4034</v>
      </c>
      <c r="M7">
        <f>Cleaned[[#This Row],[Credit]]-Cleaned[[#This Row],[Debit]]</f>
        <v>-1653.64</v>
      </c>
      <c r="N7" t="str">
        <f>_xlfn.XLOOKUP(Cleaned[[#This Row],[AccountName]], Account_Mapping!A:A, Account_Mapping!B:B,"Unmapped")</f>
        <v>Operating Expense</v>
      </c>
      <c r="O7" cm="1">
        <f t="array" ref="O7">_xlfn.XLOOKUP(
  1,
  (FX_Rates[Currency]=Cleaned[[#This Row],[Currency]])*
  (FX_Rates[RateDate]&lt;=Cleaned[[#This Row],[TxnDate]]),
  FX_Rates[Rate_To_INR],
  ,
  -1
)</f>
        <v>82</v>
      </c>
      <c r="P7" s="2">
        <f>Cleaned[[#This Row],[Net Amount]] *  Cleaned[[#This Row],[FX_rates]]</f>
        <v>-135598.48000000001</v>
      </c>
    </row>
    <row r="8" spans="1:16" x14ac:dyDescent="0.45">
      <c r="A8" t="s">
        <v>16</v>
      </c>
      <c r="B8" s="1">
        <v>45142</v>
      </c>
      <c r="C8" s="2" t="s">
        <v>2013</v>
      </c>
      <c r="D8" t="s">
        <v>2018</v>
      </c>
      <c r="E8">
        <v>899.55</v>
      </c>
      <c r="F8">
        <f>Cleaned[[#This Row],[Debit]] * Cleaned[[#This Row],[FX_rates]]</f>
        <v>73763.099999999991</v>
      </c>
      <c r="G8">
        <v>0</v>
      </c>
      <c r="H8">
        <f>Cleaned[[#This Row],[Credit]] *  Cleaned[[#This Row],[FX_rates]]</f>
        <v>0</v>
      </c>
      <c r="I8" t="s">
        <v>2021</v>
      </c>
      <c r="J8" t="s">
        <v>2029</v>
      </c>
      <c r="K8" t="s">
        <v>2037</v>
      </c>
      <c r="L8" t="s">
        <v>4034</v>
      </c>
      <c r="M8">
        <f>Cleaned[[#This Row],[Credit]]-Cleaned[[#This Row],[Debit]]</f>
        <v>-899.55</v>
      </c>
      <c r="N8" t="str">
        <f>_xlfn.XLOOKUP(Cleaned[[#This Row],[AccountName]], Account_Mapping!A:A, Account_Mapping!B:B,"Unmapped")</f>
        <v>Operating Expense</v>
      </c>
      <c r="O8" cm="1">
        <f t="array" ref="O8">_xlfn.XLOOKUP(
  1,
  (FX_Rates[Currency]=Cleaned[[#This Row],[Currency]])*
  (FX_Rates[RateDate]&lt;=Cleaned[[#This Row],[TxnDate]]),
  FX_Rates[Rate_To_INR],
  ,
  -1
)</f>
        <v>82</v>
      </c>
      <c r="P8" s="2">
        <f>Cleaned[[#This Row],[Net Amount]] *  Cleaned[[#This Row],[FX_rates]]</f>
        <v>-73763.099999999991</v>
      </c>
    </row>
    <row r="9" spans="1:16" x14ac:dyDescent="0.45">
      <c r="A9" t="s">
        <v>17</v>
      </c>
      <c r="B9" s="1">
        <v>45282</v>
      </c>
      <c r="C9" s="2" t="s">
        <v>2012</v>
      </c>
      <c r="D9" t="s">
        <v>2017</v>
      </c>
      <c r="E9">
        <v>247.27</v>
      </c>
      <c r="F9">
        <f>Cleaned[[#This Row],[Debit]] * Cleaned[[#This Row],[FX_rates]]</f>
        <v>20276.14</v>
      </c>
      <c r="G9">
        <v>0</v>
      </c>
      <c r="H9">
        <f>Cleaned[[#This Row],[Credit]] *  Cleaned[[#This Row],[FX_rates]]</f>
        <v>0</v>
      </c>
      <c r="I9" t="s">
        <v>2023</v>
      </c>
      <c r="J9" t="s">
        <v>2026</v>
      </c>
      <c r="K9" t="s">
        <v>2038</v>
      </c>
      <c r="L9" t="s">
        <v>4034</v>
      </c>
      <c r="M9">
        <f>Cleaned[[#This Row],[Credit]]-Cleaned[[#This Row],[Debit]]</f>
        <v>-247.27</v>
      </c>
      <c r="N9" t="str">
        <f>_xlfn.XLOOKUP(Cleaned[[#This Row],[AccountName]], Account_Mapping!A:A, Account_Mapping!B:B,"Unmapped")</f>
        <v>Operating Expense</v>
      </c>
      <c r="O9" cm="1">
        <f t="array" ref="O9">_xlfn.XLOOKUP(
  1,
  (FX_Rates[Currency]=Cleaned[[#This Row],[Currency]])*
  (FX_Rates[RateDate]&lt;=Cleaned[[#This Row],[TxnDate]]),
  FX_Rates[Rate_To_INR],
  ,
  -1
)</f>
        <v>82</v>
      </c>
      <c r="P9" s="2">
        <f>Cleaned[[#This Row],[Net Amount]] *  Cleaned[[#This Row],[FX_rates]]</f>
        <v>-20276.14</v>
      </c>
    </row>
    <row r="10" spans="1:16" x14ac:dyDescent="0.45">
      <c r="A10" t="s">
        <v>18</v>
      </c>
      <c r="B10" s="1">
        <v>45412</v>
      </c>
      <c r="C10" s="2" t="s">
        <v>2011</v>
      </c>
      <c r="D10" t="s">
        <v>2016</v>
      </c>
      <c r="E10">
        <v>202.02</v>
      </c>
      <c r="F10">
        <f>Cleaned[[#This Row],[Debit]] * Cleaned[[#This Row],[FX_rates]]</f>
        <v>20808.060000000001</v>
      </c>
      <c r="G10">
        <v>0</v>
      </c>
      <c r="H10">
        <f>Cleaned[[#This Row],[Credit]] *  Cleaned[[#This Row],[FX_rates]]</f>
        <v>0</v>
      </c>
      <c r="I10" t="s">
        <v>2024</v>
      </c>
      <c r="J10" t="s">
        <v>2027</v>
      </c>
      <c r="K10" t="s">
        <v>2039</v>
      </c>
      <c r="L10" t="s">
        <v>4031</v>
      </c>
      <c r="M10">
        <f>Cleaned[[#This Row],[Credit]]-Cleaned[[#This Row],[Debit]]</f>
        <v>-202.02</v>
      </c>
      <c r="N10" t="str">
        <f>_xlfn.XLOOKUP(Cleaned[[#This Row],[AccountName]], Account_Mapping!A:A, Account_Mapping!B:B,"Unmapped")</f>
        <v>COGS</v>
      </c>
      <c r="O10" cm="1">
        <f t="array" ref="O10">_xlfn.XLOOKUP(
  1,
  (FX_Rates[Currency]=Cleaned[[#This Row],[Currency]])*
  (FX_Rates[RateDate]&lt;=Cleaned[[#This Row],[TxnDate]]),
  FX_Rates[Rate_To_INR],
  ,
  -1
)</f>
        <v>103</v>
      </c>
      <c r="P10" s="2">
        <f>Cleaned[[#This Row],[Net Amount]] *  Cleaned[[#This Row],[FX_rates]]</f>
        <v>-20808.060000000001</v>
      </c>
    </row>
    <row r="11" spans="1:16" x14ac:dyDescent="0.45">
      <c r="A11" t="s">
        <v>19</v>
      </c>
      <c r="B11" s="1">
        <v>45029</v>
      </c>
      <c r="C11" s="2" t="s">
        <v>2011</v>
      </c>
      <c r="D11" t="s">
        <v>2016</v>
      </c>
      <c r="E11">
        <v>1093.72</v>
      </c>
      <c r="F11">
        <f>Cleaned[[#This Row],[Debit]] * Cleaned[[#This Row],[FX_rates]]</f>
        <v>89685.040000000008</v>
      </c>
      <c r="G11">
        <v>0</v>
      </c>
      <c r="H11">
        <f>Cleaned[[#This Row],[Credit]] *  Cleaned[[#This Row],[FX_rates]]</f>
        <v>0</v>
      </c>
      <c r="I11" t="s">
        <v>2021</v>
      </c>
      <c r="J11" t="s">
        <v>2028</v>
      </c>
      <c r="K11" t="s">
        <v>2040</v>
      </c>
      <c r="L11" t="s">
        <v>4034</v>
      </c>
      <c r="M11">
        <f>Cleaned[[#This Row],[Credit]]-Cleaned[[#This Row],[Debit]]</f>
        <v>-1093.72</v>
      </c>
      <c r="N11" t="str">
        <f>_xlfn.XLOOKUP(Cleaned[[#This Row],[AccountName]], Account_Mapping!A:A, Account_Mapping!B:B,"Unmapped")</f>
        <v>COGS</v>
      </c>
      <c r="O11" cm="1">
        <f t="array" ref="O11">_xlfn.XLOOKUP(
  1,
  (FX_Rates[Currency]=Cleaned[[#This Row],[Currency]])*
  (FX_Rates[RateDate]&lt;=Cleaned[[#This Row],[TxnDate]]),
  FX_Rates[Rate_To_INR],
  ,
  -1
)</f>
        <v>82</v>
      </c>
      <c r="P11" s="2">
        <f>Cleaned[[#This Row],[Net Amount]] *  Cleaned[[#This Row],[FX_rates]]</f>
        <v>-89685.040000000008</v>
      </c>
    </row>
    <row r="12" spans="1:16" x14ac:dyDescent="0.45">
      <c r="A12" t="s">
        <v>20</v>
      </c>
      <c r="B12" s="1">
        <v>45250</v>
      </c>
      <c r="C12" s="2" t="s">
        <v>2014</v>
      </c>
      <c r="D12" t="s">
        <v>2019</v>
      </c>
      <c r="E12">
        <v>0</v>
      </c>
      <c r="F12">
        <f>Cleaned[[#This Row],[Debit]] * Cleaned[[#This Row],[FX_rates]]</f>
        <v>0</v>
      </c>
      <c r="G12">
        <v>3282.35</v>
      </c>
      <c r="H12">
        <f>Cleaned[[#This Row],[Credit]] *  Cleaned[[#This Row],[FX_rates]]</f>
        <v>200223.35</v>
      </c>
      <c r="I12" t="s">
        <v>2023</v>
      </c>
      <c r="J12" t="s">
        <v>2030</v>
      </c>
      <c r="K12" t="s">
        <v>2041</v>
      </c>
      <c r="L12" t="s">
        <v>4035</v>
      </c>
      <c r="M12">
        <f>Cleaned[[#This Row],[Credit]]-Cleaned[[#This Row],[Debit]]</f>
        <v>3282.35</v>
      </c>
      <c r="N12" t="str">
        <f>_xlfn.XLOOKUP(Cleaned[[#This Row],[AccountName]], Account_Mapping!A:A, Account_Mapping!B:B,"Unmapped")</f>
        <v>Revenue</v>
      </c>
      <c r="O12" cm="1">
        <f t="array" ref="O12">_xlfn.XLOOKUP(
  1,
  (FX_Rates[Currency]=Cleaned[[#This Row],[Currency]])*
  (FX_Rates[RateDate]&lt;=Cleaned[[#This Row],[TxnDate]]),
  FX_Rates[Rate_To_INR],
  ,
  -1
)</f>
        <v>61</v>
      </c>
      <c r="P12" s="2">
        <f>Cleaned[[#This Row],[Net Amount]] *  Cleaned[[#This Row],[FX_rates]]</f>
        <v>200223.35</v>
      </c>
    </row>
    <row r="13" spans="1:16" x14ac:dyDescent="0.45">
      <c r="A13" t="s">
        <v>21</v>
      </c>
      <c r="B13" s="1">
        <v>45608</v>
      </c>
      <c r="C13" s="2" t="s">
        <v>2010</v>
      </c>
      <c r="D13" t="s">
        <v>2015</v>
      </c>
      <c r="E13">
        <v>0</v>
      </c>
      <c r="F13">
        <f>Cleaned[[#This Row],[Debit]] * Cleaned[[#This Row],[FX_rates]]</f>
        <v>0</v>
      </c>
      <c r="G13">
        <v>2452.1999999999998</v>
      </c>
      <c r="H13">
        <f>Cleaned[[#This Row],[Credit]] *  Cleaned[[#This Row],[FX_rates]]</f>
        <v>215793.59999999998</v>
      </c>
      <c r="I13" t="s">
        <v>2023</v>
      </c>
      <c r="J13" t="s">
        <v>2029</v>
      </c>
      <c r="K13" t="s">
        <v>2042</v>
      </c>
      <c r="L13" t="s">
        <v>4032</v>
      </c>
      <c r="M13">
        <f>Cleaned[[#This Row],[Credit]]-Cleaned[[#This Row],[Debit]]</f>
        <v>2452.1999999999998</v>
      </c>
      <c r="N13" t="str">
        <f>_xlfn.XLOOKUP(Cleaned[[#This Row],[AccountName]], Account_Mapping!A:A, Account_Mapping!B:B,"Unmapped")</f>
        <v>Revenue</v>
      </c>
      <c r="O13" cm="1">
        <f t="array" ref="O13">_xlfn.XLOOKUP(
  1,
  (FX_Rates[Currency]=Cleaned[[#This Row],[Currency]])*
  (FX_Rates[RateDate]&lt;=Cleaned[[#This Row],[TxnDate]]),
  FX_Rates[Rate_To_INR],
  ,
  -1
)</f>
        <v>88</v>
      </c>
      <c r="P13" s="2">
        <f>Cleaned[[#This Row],[Net Amount]] *  Cleaned[[#This Row],[FX_rates]]</f>
        <v>215793.59999999998</v>
      </c>
    </row>
    <row r="14" spans="1:16" x14ac:dyDescent="0.45">
      <c r="A14" t="s">
        <v>22</v>
      </c>
      <c r="B14" s="1">
        <v>45437</v>
      </c>
      <c r="C14" s="2" t="s">
        <v>2010</v>
      </c>
      <c r="D14" t="s">
        <v>2015</v>
      </c>
      <c r="E14">
        <v>0</v>
      </c>
      <c r="F14">
        <f>Cleaned[[#This Row],[Debit]] * Cleaned[[#This Row],[FX_rates]]</f>
        <v>0</v>
      </c>
      <c r="G14">
        <v>3490.39</v>
      </c>
      <c r="H14">
        <f>Cleaned[[#This Row],[Credit]] *  Cleaned[[#This Row],[FX_rates]]</f>
        <v>212913.78999999998</v>
      </c>
      <c r="I14" t="s">
        <v>2023</v>
      </c>
      <c r="J14" t="s">
        <v>2026</v>
      </c>
      <c r="K14" t="s">
        <v>2043</v>
      </c>
      <c r="L14" t="s">
        <v>4035</v>
      </c>
      <c r="M14">
        <f>Cleaned[[#This Row],[Credit]]-Cleaned[[#This Row],[Debit]]</f>
        <v>3490.39</v>
      </c>
      <c r="N14" t="str">
        <f>_xlfn.XLOOKUP(Cleaned[[#This Row],[AccountName]], Account_Mapping!A:A, Account_Mapping!B:B,"Unmapped")</f>
        <v>Revenue</v>
      </c>
      <c r="O14" cm="1">
        <f t="array" ref="O14">_xlfn.XLOOKUP(
  1,
  (FX_Rates[Currency]=Cleaned[[#This Row],[Currency]])*
  (FX_Rates[RateDate]&lt;=Cleaned[[#This Row],[TxnDate]]),
  FX_Rates[Rate_To_INR],
  ,
  -1
)</f>
        <v>61</v>
      </c>
      <c r="P14" s="2">
        <f>Cleaned[[#This Row],[Net Amount]] *  Cleaned[[#This Row],[FX_rates]]</f>
        <v>212913.78999999998</v>
      </c>
    </row>
    <row r="15" spans="1:16" x14ac:dyDescent="0.45">
      <c r="A15" t="s">
        <v>23</v>
      </c>
      <c r="B15" s="1">
        <v>45344</v>
      </c>
      <c r="C15" s="2" t="s">
        <v>2010</v>
      </c>
      <c r="D15" t="s">
        <v>2015</v>
      </c>
      <c r="E15">
        <v>0</v>
      </c>
      <c r="F15">
        <f>Cleaned[[#This Row],[Debit]] * Cleaned[[#This Row],[FX_rates]]</f>
        <v>0</v>
      </c>
      <c r="G15">
        <v>3379.63</v>
      </c>
      <c r="H15">
        <f>Cleaned[[#This Row],[Credit]] *  Cleaned[[#This Row],[FX_rates]]</f>
        <v>206157.43</v>
      </c>
      <c r="I15" t="s">
        <v>2020</v>
      </c>
      <c r="J15" t="s">
        <v>2030</v>
      </c>
      <c r="K15" t="s">
        <v>2044</v>
      </c>
      <c r="L15" t="s">
        <v>4035</v>
      </c>
      <c r="M15">
        <f>Cleaned[[#This Row],[Credit]]-Cleaned[[#This Row],[Debit]]</f>
        <v>3379.63</v>
      </c>
      <c r="N15" t="str">
        <f>_xlfn.XLOOKUP(Cleaned[[#This Row],[AccountName]], Account_Mapping!A:A, Account_Mapping!B:B,"Unmapped")</f>
        <v>Revenue</v>
      </c>
      <c r="O15" cm="1">
        <f t="array" ref="O15">_xlfn.XLOOKUP(
  1,
  (FX_Rates[Currency]=Cleaned[[#This Row],[Currency]])*
  (FX_Rates[RateDate]&lt;=Cleaned[[#This Row],[TxnDate]]),
  FX_Rates[Rate_To_INR],
  ,
  -1
)</f>
        <v>61</v>
      </c>
      <c r="P15" s="2">
        <f>Cleaned[[#This Row],[Net Amount]] *  Cleaned[[#This Row],[FX_rates]]</f>
        <v>206157.43</v>
      </c>
    </row>
    <row r="16" spans="1:16" x14ac:dyDescent="0.45">
      <c r="A16" t="s">
        <v>24</v>
      </c>
      <c r="B16" s="1">
        <v>45776</v>
      </c>
      <c r="C16" s="2" t="s">
        <v>2014</v>
      </c>
      <c r="D16" t="s">
        <v>2019</v>
      </c>
      <c r="E16">
        <v>0</v>
      </c>
      <c r="F16">
        <f>Cleaned[[#This Row],[Debit]] * Cleaned[[#This Row],[FX_rates]]</f>
        <v>0</v>
      </c>
      <c r="G16">
        <v>1490.43</v>
      </c>
      <c r="H16">
        <f>Cleaned[[#This Row],[Credit]] *  Cleaned[[#This Row],[FX_rates]]</f>
        <v>153514.29</v>
      </c>
      <c r="I16" t="s">
        <v>2020</v>
      </c>
      <c r="J16" t="s">
        <v>2028</v>
      </c>
      <c r="K16" t="s">
        <v>2045</v>
      </c>
      <c r="L16" t="s">
        <v>4031</v>
      </c>
      <c r="M16">
        <f>Cleaned[[#This Row],[Credit]]-Cleaned[[#This Row],[Debit]]</f>
        <v>1490.43</v>
      </c>
      <c r="N16" t="str">
        <f>_xlfn.XLOOKUP(Cleaned[[#This Row],[AccountName]], Account_Mapping!A:A, Account_Mapping!B:B,"Unmapped")</f>
        <v>Revenue</v>
      </c>
      <c r="O16" cm="1">
        <f t="array" ref="O16">_xlfn.XLOOKUP(
  1,
  (FX_Rates[Currency]=Cleaned[[#This Row],[Currency]])*
  (FX_Rates[RateDate]&lt;=Cleaned[[#This Row],[TxnDate]]),
  FX_Rates[Rate_To_INR],
  ,
  -1
)</f>
        <v>103</v>
      </c>
      <c r="P16" s="2">
        <f>Cleaned[[#This Row],[Net Amount]] *  Cleaned[[#This Row],[FX_rates]]</f>
        <v>153514.29</v>
      </c>
    </row>
    <row r="17" spans="1:16" x14ac:dyDescent="0.45">
      <c r="A17" t="s">
        <v>25</v>
      </c>
      <c r="B17" s="1">
        <v>45018</v>
      </c>
      <c r="C17" s="2" t="s">
        <v>2011</v>
      </c>
      <c r="D17" t="s">
        <v>2016</v>
      </c>
      <c r="E17">
        <v>1119.05</v>
      </c>
      <c r="F17">
        <f>Cleaned[[#This Row],[Debit]] * Cleaned[[#This Row],[FX_rates]]</f>
        <v>62666.799999999996</v>
      </c>
      <c r="G17">
        <v>0</v>
      </c>
      <c r="H17">
        <f>Cleaned[[#This Row],[Credit]] *  Cleaned[[#This Row],[FX_rates]]</f>
        <v>0</v>
      </c>
      <c r="I17" t="s">
        <v>2021</v>
      </c>
      <c r="J17" t="s">
        <v>2030</v>
      </c>
      <c r="K17" t="s">
        <v>2046</v>
      </c>
      <c r="L17" t="s">
        <v>4033</v>
      </c>
      <c r="M17">
        <f>Cleaned[[#This Row],[Credit]]-Cleaned[[#This Row],[Debit]]</f>
        <v>-1119.05</v>
      </c>
      <c r="N17" t="str">
        <f>_xlfn.XLOOKUP(Cleaned[[#This Row],[AccountName]], Account_Mapping!A:A, Account_Mapping!B:B,"Unmapped")</f>
        <v>COGS</v>
      </c>
      <c r="O17" cm="1">
        <f t="array" ref="O17">_xlfn.XLOOKUP(
  1,
  (FX_Rates[Currency]=Cleaned[[#This Row],[Currency]])*
  (FX_Rates[RateDate]&lt;=Cleaned[[#This Row],[TxnDate]]),
  FX_Rates[Rate_To_INR],
  ,
  -1
)</f>
        <v>56</v>
      </c>
      <c r="P17" s="2">
        <f>Cleaned[[#This Row],[Net Amount]] *  Cleaned[[#This Row],[FX_rates]]</f>
        <v>-62666.799999999996</v>
      </c>
    </row>
    <row r="18" spans="1:16" x14ac:dyDescent="0.45">
      <c r="A18" t="s">
        <v>26</v>
      </c>
      <c r="B18" s="1">
        <v>45722</v>
      </c>
      <c r="C18" s="2" t="s">
        <v>2014</v>
      </c>
      <c r="D18" t="s">
        <v>2019</v>
      </c>
      <c r="E18">
        <v>0</v>
      </c>
      <c r="F18">
        <f>Cleaned[[#This Row],[Debit]] * Cleaned[[#This Row],[FX_rates]]</f>
        <v>0</v>
      </c>
      <c r="G18">
        <v>4006.73</v>
      </c>
      <c r="H18">
        <f>Cleaned[[#This Row],[Credit]] *  Cleaned[[#This Row],[FX_rates]]</f>
        <v>352592.24</v>
      </c>
      <c r="I18" t="s">
        <v>2020</v>
      </c>
      <c r="J18" t="s">
        <v>2029</v>
      </c>
      <c r="K18" t="s">
        <v>2047</v>
      </c>
      <c r="L18" t="s">
        <v>4032</v>
      </c>
      <c r="M18">
        <f>Cleaned[[#This Row],[Credit]]-Cleaned[[#This Row],[Debit]]</f>
        <v>4006.73</v>
      </c>
      <c r="N18" t="str">
        <f>_xlfn.XLOOKUP(Cleaned[[#This Row],[AccountName]], Account_Mapping!A:A, Account_Mapping!B:B,"Unmapped")</f>
        <v>Revenue</v>
      </c>
      <c r="O18" cm="1">
        <f t="array" ref="O18">_xlfn.XLOOKUP(
  1,
  (FX_Rates[Currency]=Cleaned[[#This Row],[Currency]])*
  (FX_Rates[RateDate]&lt;=Cleaned[[#This Row],[TxnDate]]),
  FX_Rates[Rate_To_INR],
  ,
  -1
)</f>
        <v>88</v>
      </c>
      <c r="P18" s="2">
        <f>Cleaned[[#This Row],[Net Amount]] *  Cleaned[[#This Row],[FX_rates]]</f>
        <v>352592.24</v>
      </c>
    </row>
    <row r="19" spans="1:16" x14ac:dyDescent="0.45">
      <c r="A19" t="s">
        <v>27</v>
      </c>
      <c r="B19" s="1">
        <v>45605</v>
      </c>
      <c r="C19" s="2" t="s">
        <v>2010</v>
      </c>
      <c r="D19" t="s">
        <v>2015</v>
      </c>
      <c r="E19">
        <v>0</v>
      </c>
      <c r="F19">
        <f>Cleaned[[#This Row],[Debit]] * Cleaned[[#This Row],[FX_rates]]</f>
        <v>0</v>
      </c>
      <c r="G19">
        <v>259.83999999999997</v>
      </c>
      <c r="H19">
        <f>Cleaned[[#This Row],[Credit]] *  Cleaned[[#This Row],[FX_rates]]</f>
        <v>14551.039999999999</v>
      </c>
      <c r="I19" t="s">
        <v>2025</v>
      </c>
      <c r="J19" t="s">
        <v>2030</v>
      </c>
      <c r="K19" t="s">
        <v>2048</v>
      </c>
      <c r="L19" t="s">
        <v>4033</v>
      </c>
      <c r="M19">
        <f>Cleaned[[#This Row],[Credit]]-Cleaned[[#This Row],[Debit]]</f>
        <v>259.83999999999997</v>
      </c>
      <c r="N19" t="str">
        <f>_xlfn.XLOOKUP(Cleaned[[#This Row],[AccountName]], Account_Mapping!A:A, Account_Mapping!B:B,"Unmapped")</f>
        <v>Revenue</v>
      </c>
      <c r="O19" cm="1">
        <f t="array" ref="O19">_xlfn.XLOOKUP(
  1,
  (FX_Rates[Currency]=Cleaned[[#This Row],[Currency]])*
  (FX_Rates[RateDate]&lt;=Cleaned[[#This Row],[TxnDate]]),
  FX_Rates[Rate_To_INR],
  ,
  -1
)</f>
        <v>56</v>
      </c>
      <c r="P19" s="2">
        <f>Cleaned[[#This Row],[Net Amount]] *  Cleaned[[#This Row],[FX_rates]]</f>
        <v>14551.039999999999</v>
      </c>
    </row>
    <row r="20" spans="1:16" x14ac:dyDescent="0.45">
      <c r="A20" t="s">
        <v>28</v>
      </c>
      <c r="B20" s="1">
        <v>44953</v>
      </c>
      <c r="C20" s="2" t="s">
        <v>2013</v>
      </c>
      <c r="D20" t="s">
        <v>2018</v>
      </c>
      <c r="E20">
        <v>735.45</v>
      </c>
      <c r="F20">
        <f>Cleaned[[#This Row],[Debit]] * Cleaned[[#This Row],[FX_rates]]</f>
        <v>44862.450000000004</v>
      </c>
      <c r="G20">
        <v>0</v>
      </c>
      <c r="H20">
        <f>Cleaned[[#This Row],[Credit]] *  Cleaned[[#This Row],[FX_rates]]</f>
        <v>0</v>
      </c>
      <c r="I20" t="s">
        <v>2022</v>
      </c>
      <c r="J20" t="s">
        <v>2030</v>
      </c>
      <c r="K20" t="s">
        <v>2049</v>
      </c>
      <c r="L20" t="s">
        <v>4035</v>
      </c>
      <c r="M20">
        <f>Cleaned[[#This Row],[Credit]]-Cleaned[[#This Row],[Debit]]</f>
        <v>-735.45</v>
      </c>
      <c r="N20" t="str">
        <f>_xlfn.XLOOKUP(Cleaned[[#This Row],[AccountName]], Account_Mapping!A:A, Account_Mapping!B:B,"Unmapped")</f>
        <v>Operating Expense</v>
      </c>
      <c r="O20" cm="1">
        <f t="array" ref="O20">_xlfn.XLOOKUP(
  1,
  (FX_Rates[Currency]=Cleaned[[#This Row],[Currency]])*
  (FX_Rates[RateDate]&lt;=Cleaned[[#This Row],[TxnDate]]),
  FX_Rates[Rate_To_INR],
  ,
  -1
)</f>
        <v>61</v>
      </c>
      <c r="P20" s="2">
        <f>Cleaned[[#This Row],[Net Amount]] *  Cleaned[[#This Row],[FX_rates]]</f>
        <v>-44862.450000000004</v>
      </c>
    </row>
    <row r="21" spans="1:16" x14ac:dyDescent="0.45">
      <c r="A21" t="s">
        <v>29</v>
      </c>
      <c r="B21" s="1">
        <v>45537</v>
      </c>
      <c r="C21" s="2" t="s">
        <v>2011</v>
      </c>
      <c r="D21" t="s">
        <v>2016</v>
      </c>
      <c r="E21">
        <v>154.43</v>
      </c>
      <c r="F21">
        <f>Cleaned[[#This Row],[Debit]] * Cleaned[[#This Row],[FX_rates]]</f>
        <v>9420.23</v>
      </c>
      <c r="G21">
        <v>0</v>
      </c>
      <c r="H21">
        <f>Cleaned[[#This Row],[Credit]] *  Cleaned[[#This Row],[FX_rates]]</f>
        <v>0</v>
      </c>
      <c r="I21" t="s">
        <v>2025</v>
      </c>
      <c r="J21" t="s">
        <v>2027</v>
      </c>
      <c r="K21" t="s">
        <v>2050</v>
      </c>
      <c r="L21" t="s">
        <v>4035</v>
      </c>
      <c r="M21">
        <f>Cleaned[[#This Row],[Credit]]-Cleaned[[#This Row],[Debit]]</f>
        <v>-154.43</v>
      </c>
      <c r="N21" t="str">
        <f>_xlfn.XLOOKUP(Cleaned[[#This Row],[AccountName]], Account_Mapping!A:A, Account_Mapping!B:B,"Unmapped")</f>
        <v>COGS</v>
      </c>
      <c r="O21" cm="1">
        <f t="array" ref="O21">_xlfn.XLOOKUP(
  1,
  (FX_Rates[Currency]=Cleaned[[#This Row],[Currency]])*
  (FX_Rates[RateDate]&lt;=Cleaned[[#This Row],[TxnDate]]),
  FX_Rates[Rate_To_INR],
  ,
  -1
)</f>
        <v>61</v>
      </c>
      <c r="P21" s="2">
        <f>Cleaned[[#This Row],[Net Amount]] *  Cleaned[[#This Row],[FX_rates]]</f>
        <v>-9420.23</v>
      </c>
    </row>
    <row r="22" spans="1:16" x14ac:dyDescent="0.45">
      <c r="A22" t="s">
        <v>30</v>
      </c>
      <c r="B22" s="1">
        <v>45379</v>
      </c>
      <c r="C22" s="2" t="s">
        <v>2012</v>
      </c>
      <c r="D22" t="s">
        <v>2017</v>
      </c>
      <c r="E22">
        <v>359.1</v>
      </c>
      <c r="F22">
        <f>Cleaned[[#This Row],[Debit]] * Cleaned[[#This Row],[FX_rates]]</f>
        <v>21905.100000000002</v>
      </c>
      <c r="G22">
        <v>0</v>
      </c>
      <c r="H22">
        <f>Cleaned[[#This Row],[Credit]] *  Cleaned[[#This Row],[FX_rates]]</f>
        <v>0</v>
      </c>
      <c r="I22" t="s">
        <v>2022</v>
      </c>
      <c r="J22" t="s">
        <v>2027</v>
      </c>
      <c r="K22" t="s">
        <v>2051</v>
      </c>
      <c r="L22" t="s">
        <v>4035</v>
      </c>
      <c r="M22">
        <f>Cleaned[[#This Row],[Credit]]-Cleaned[[#This Row],[Debit]]</f>
        <v>-359.1</v>
      </c>
      <c r="N22" t="str">
        <f>_xlfn.XLOOKUP(Cleaned[[#This Row],[AccountName]], Account_Mapping!A:A, Account_Mapping!B:B,"Unmapped")</f>
        <v>Operating Expense</v>
      </c>
      <c r="O22" cm="1">
        <f t="array" ref="O22">_xlfn.XLOOKUP(
  1,
  (FX_Rates[Currency]=Cleaned[[#This Row],[Currency]])*
  (FX_Rates[RateDate]&lt;=Cleaned[[#This Row],[TxnDate]]),
  FX_Rates[Rate_To_INR],
  ,
  -1
)</f>
        <v>61</v>
      </c>
      <c r="P22" s="2">
        <f>Cleaned[[#This Row],[Net Amount]] *  Cleaned[[#This Row],[FX_rates]]</f>
        <v>-21905.100000000002</v>
      </c>
    </row>
    <row r="23" spans="1:16" x14ac:dyDescent="0.45">
      <c r="A23" t="s">
        <v>31</v>
      </c>
      <c r="B23" s="1">
        <v>45108</v>
      </c>
      <c r="C23" s="2" t="s">
        <v>2014</v>
      </c>
      <c r="D23" t="s">
        <v>2019</v>
      </c>
      <c r="E23">
        <v>0</v>
      </c>
      <c r="F23">
        <f>Cleaned[[#This Row],[Debit]] * Cleaned[[#This Row],[FX_rates]]</f>
        <v>0</v>
      </c>
      <c r="G23">
        <v>1632.86</v>
      </c>
      <c r="H23">
        <f>Cleaned[[#This Row],[Credit]] *  Cleaned[[#This Row],[FX_rates]]</f>
        <v>99604.459999999992</v>
      </c>
      <c r="I23" t="s">
        <v>2022</v>
      </c>
      <c r="J23" t="s">
        <v>2026</v>
      </c>
      <c r="K23" t="s">
        <v>2052</v>
      </c>
      <c r="L23" t="s">
        <v>4035</v>
      </c>
      <c r="M23">
        <f>Cleaned[[#This Row],[Credit]]-Cleaned[[#This Row],[Debit]]</f>
        <v>1632.86</v>
      </c>
      <c r="N23" t="str">
        <f>_xlfn.XLOOKUP(Cleaned[[#This Row],[AccountName]], Account_Mapping!A:A, Account_Mapping!B:B,"Unmapped")</f>
        <v>Revenue</v>
      </c>
      <c r="O23" cm="1">
        <f t="array" ref="O23">_xlfn.XLOOKUP(
  1,
  (FX_Rates[Currency]=Cleaned[[#This Row],[Currency]])*
  (FX_Rates[RateDate]&lt;=Cleaned[[#This Row],[TxnDate]]),
  FX_Rates[Rate_To_INR],
  ,
  -1
)</f>
        <v>61</v>
      </c>
      <c r="P23" s="2">
        <f>Cleaned[[#This Row],[Net Amount]] *  Cleaned[[#This Row],[FX_rates]]</f>
        <v>99604.459999999992</v>
      </c>
    </row>
    <row r="24" spans="1:16" x14ac:dyDescent="0.45">
      <c r="A24" t="s">
        <v>32</v>
      </c>
      <c r="B24" s="1">
        <v>45441</v>
      </c>
      <c r="C24" s="2" t="s">
        <v>2011</v>
      </c>
      <c r="D24" t="s">
        <v>2016</v>
      </c>
      <c r="E24">
        <v>319.7</v>
      </c>
      <c r="F24">
        <f>Cleaned[[#This Row],[Debit]] * Cleaned[[#This Row],[FX_rates]]</f>
        <v>26215.399999999998</v>
      </c>
      <c r="G24">
        <v>0</v>
      </c>
      <c r="H24">
        <f>Cleaned[[#This Row],[Credit]] *  Cleaned[[#This Row],[FX_rates]]</f>
        <v>0</v>
      </c>
      <c r="I24" t="s">
        <v>2022</v>
      </c>
      <c r="J24" t="s">
        <v>2026</v>
      </c>
      <c r="K24" t="s">
        <v>2053</v>
      </c>
      <c r="L24" t="s">
        <v>4034</v>
      </c>
      <c r="M24">
        <f>Cleaned[[#This Row],[Credit]]-Cleaned[[#This Row],[Debit]]</f>
        <v>-319.7</v>
      </c>
      <c r="N24" t="str">
        <f>_xlfn.XLOOKUP(Cleaned[[#This Row],[AccountName]], Account_Mapping!A:A, Account_Mapping!B:B,"Unmapped")</f>
        <v>COGS</v>
      </c>
      <c r="O24" cm="1">
        <f t="array" ref="O24">_xlfn.XLOOKUP(
  1,
  (FX_Rates[Currency]=Cleaned[[#This Row],[Currency]])*
  (FX_Rates[RateDate]&lt;=Cleaned[[#This Row],[TxnDate]]),
  FX_Rates[Rate_To_INR],
  ,
  -1
)</f>
        <v>82</v>
      </c>
      <c r="P24" s="2">
        <f>Cleaned[[#This Row],[Net Amount]] *  Cleaned[[#This Row],[FX_rates]]</f>
        <v>-26215.399999999998</v>
      </c>
    </row>
    <row r="25" spans="1:16" x14ac:dyDescent="0.45">
      <c r="A25" t="s">
        <v>33</v>
      </c>
      <c r="B25" s="1">
        <v>45007</v>
      </c>
      <c r="C25" s="2" t="s">
        <v>2011</v>
      </c>
      <c r="D25" t="s">
        <v>2016</v>
      </c>
      <c r="E25">
        <v>546.02</v>
      </c>
      <c r="F25">
        <f>Cleaned[[#This Row],[Debit]] * Cleaned[[#This Row],[FX_rates]]</f>
        <v>33307.22</v>
      </c>
      <c r="G25">
        <v>0</v>
      </c>
      <c r="H25">
        <f>Cleaned[[#This Row],[Credit]] *  Cleaned[[#This Row],[FX_rates]]</f>
        <v>0</v>
      </c>
      <c r="I25" t="s">
        <v>2022</v>
      </c>
      <c r="J25" t="s">
        <v>2029</v>
      </c>
      <c r="K25" t="s">
        <v>2054</v>
      </c>
      <c r="L25" t="s">
        <v>4035</v>
      </c>
      <c r="M25">
        <f>Cleaned[[#This Row],[Credit]]-Cleaned[[#This Row],[Debit]]</f>
        <v>-546.02</v>
      </c>
      <c r="N25" t="str">
        <f>_xlfn.XLOOKUP(Cleaned[[#This Row],[AccountName]], Account_Mapping!A:A, Account_Mapping!B:B,"Unmapped")</f>
        <v>COGS</v>
      </c>
      <c r="O25" cm="1">
        <f t="array" ref="O25">_xlfn.XLOOKUP(
  1,
  (FX_Rates[Currency]=Cleaned[[#This Row],[Currency]])*
  (FX_Rates[RateDate]&lt;=Cleaned[[#This Row],[TxnDate]]),
  FX_Rates[Rate_To_INR],
  ,
  -1
)</f>
        <v>61</v>
      </c>
      <c r="P25" s="2">
        <f>Cleaned[[#This Row],[Net Amount]] *  Cleaned[[#This Row],[FX_rates]]</f>
        <v>-33307.22</v>
      </c>
    </row>
    <row r="26" spans="1:16" x14ac:dyDescent="0.45">
      <c r="A26" t="s">
        <v>34</v>
      </c>
      <c r="B26" s="1">
        <v>45025</v>
      </c>
      <c r="C26" s="2" t="s">
        <v>2013</v>
      </c>
      <c r="D26" t="s">
        <v>2018</v>
      </c>
      <c r="E26">
        <v>267.04000000000002</v>
      </c>
      <c r="F26">
        <f>Cleaned[[#This Row],[Debit]] * Cleaned[[#This Row],[FX_rates]]</f>
        <v>14954.240000000002</v>
      </c>
      <c r="G26">
        <v>0</v>
      </c>
      <c r="H26">
        <f>Cleaned[[#This Row],[Credit]] *  Cleaned[[#This Row],[FX_rates]]</f>
        <v>0</v>
      </c>
      <c r="I26" t="s">
        <v>2021</v>
      </c>
      <c r="J26" t="s">
        <v>2029</v>
      </c>
      <c r="K26" t="s">
        <v>2055</v>
      </c>
      <c r="L26" t="s">
        <v>4033</v>
      </c>
      <c r="M26">
        <f>Cleaned[[#This Row],[Credit]]-Cleaned[[#This Row],[Debit]]</f>
        <v>-267.04000000000002</v>
      </c>
      <c r="N26" t="str">
        <f>_xlfn.XLOOKUP(Cleaned[[#This Row],[AccountName]], Account_Mapping!A:A, Account_Mapping!B:B,"Unmapped")</f>
        <v>Operating Expense</v>
      </c>
      <c r="O26" cm="1">
        <f t="array" ref="O26">_xlfn.XLOOKUP(
  1,
  (FX_Rates[Currency]=Cleaned[[#This Row],[Currency]])*
  (FX_Rates[RateDate]&lt;=Cleaned[[#This Row],[TxnDate]]),
  FX_Rates[Rate_To_INR],
  ,
  -1
)</f>
        <v>56</v>
      </c>
      <c r="P26" s="2">
        <f>Cleaned[[#This Row],[Net Amount]] *  Cleaned[[#This Row],[FX_rates]]</f>
        <v>-14954.240000000002</v>
      </c>
    </row>
    <row r="27" spans="1:16" x14ac:dyDescent="0.45">
      <c r="A27" t="s">
        <v>35</v>
      </c>
      <c r="B27" s="1">
        <v>45802</v>
      </c>
      <c r="C27" s="2" t="s">
        <v>2010</v>
      </c>
      <c r="D27" t="s">
        <v>2015</v>
      </c>
      <c r="E27">
        <v>0</v>
      </c>
      <c r="F27">
        <f>Cleaned[[#This Row],[Debit]] * Cleaned[[#This Row],[FX_rates]]</f>
        <v>0</v>
      </c>
      <c r="G27">
        <v>1650.08</v>
      </c>
      <c r="H27">
        <f>Cleaned[[#This Row],[Credit]] *  Cleaned[[#This Row],[FX_rates]]</f>
        <v>135306.56</v>
      </c>
      <c r="I27" t="s">
        <v>2022</v>
      </c>
      <c r="J27" t="s">
        <v>2029</v>
      </c>
      <c r="K27" t="s">
        <v>2056</v>
      </c>
      <c r="L27" t="s">
        <v>4034</v>
      </c>
      <c r="M27">
        <f>Cleaned[[#This Row],[Credit]]-Cleaned[[#This Row],[Debit]]</f>
        <v>1650.08</v>
      </c>
      <c r="N27" t="str">
        <f>_xlfn.XLOOKUP(Cleaned[[#This Row],[AccountName]], Account_Mapping!A:A, Account_Mapping!B:B,"Unmapped")</f>
        <v>Revenue</v>
      </c>
      <c r="O27" cm="1">
        <f t="array" ref="O27">_xlfn.XLOOKUP(
  1,
  (FX_Rates[Currency]=Cleaned[[#This Row],[Currency]])*
  (FX_Rates[RateDate]&lt;=Cleaned[[#This Row],[TxnDate]]),
  FX_Rates[Rate_To_INR],
  ,
  -1
)</f>
        <v>82</v>
      </c>
      <c r="P27" s="2">
        <f>Cleaned[[#This Row],[Net Amount]] *  Cleaned[[#This Row],[FX_rates]]</f>
        <v>135306.56</v>
      </c>
    </row>
    <row r="28" spans="1:16" x14ac:dyDescent="0.45">
      <c r="A28" t="s">
        <v>36</v>
      </c>
      <c r="B28" s="1">
        <v>45610</v>
      </c>
      <c r="C28" s="2" t="s">
        <v>2011</v>
      </c>
      <c r="D28" t="s">
        <v>2016</v>
      </c>
      <c r="E28">
        <v>115</v>
      </c>
      <c r="F28">
        <f>Cleaned[[#This Row],[Debit]] * Cleaned[[#This Row],[FX_rates]]</f>
        <v>6440</v>
      </c>
      <c r="G28">
        <v>0</v>
      </c>
      <c r="H28">
        <f>Cleaned[[#This Row],[Credit]] *  Cleaned[[#This Row],[FX_rates]]</f>
        <v>0</v>
      </c>
      <c r="I28" t="s">
        <v>2020</v>
      </c>
      <c r="J28" t="s">
        <v>2030</v>
      </c>
      <c r="K28" t="s">
        <v>2057</v>
      </c>
      <c r="L28" t="s">
        <v>4033</v>
      </c>
      <c r="M28">
        <f>Cleaned[[#This Row],[Credit]]-Cleaned[[#This Row],[Debit]]</f>
        <v>-115</v>
      </c>
      <c r="N28" t="str">
        <f>_xlfn.XLOOKUP(Cleaned[[#This Row],[AccountName]], Account_Mapping!A:A, Account_Mapping!B:B,"Unmapped")</f>
        <v>COGS</v>
      </c>
      <c r="O28" cm="1">
        <f t="array" ref="O28">_xlfn.XLOOKUP(
  1,
  (FX_Rates[Currency]=Cleaned[[#This Row],[Currency]])*
  (FX_Rates[RateDate]&lt;=Cleaned[[#This Row],[TxnDate]]),
  FX_Rates[Rate_To_INR],
  ,
  -1
)</f>
        <v>56</v>
      </c>
      <c r="P28" s="2">
        <f>Cleaned[[#This Row],[Net Amount]] *  Cleaned[[#This Row],[FX_rates]]</f>
        <v>-6440</v>
      </c>
    </row>
    <row r="29" spans="1:16" x14ac:dyDescent="0.45">
      <c r="A29" t="s">
        <v>37</v>
      </c>
      <c r="B29" s="1">
        <v>45820</v>
      </c>
      <c r="C29" s="2" t="s">
        <v>2014</v>
      </c>
      <c r="D29" t="s">
        <v>2019</v>
      </c>
      <c r="E29">
        <v>0</v>
      </c>
      <c r="F29">
        <f>Cleaned[[#This Row],[Debit]] * Cleaned[[#This Row],[FX_rates]]</f>
        <v>0</v>
      </c>
      <c r="G29">
        <v>1073.4100000000001</v>
      </c>
      <c r="H29">
        <f>Cleaned[[#This Row],[Credit]] *  Cleaned[[#This Row],[FX_rates]]</f>
        <v>60110.960000000006</v>
      </c>
      <c r="I29" t="s">
        <v>2020</v>
      </c>
      <c r="J29" t="s">
        <v>2028</v>
      </c>
      <c r="K29" t="s">
        <v>2058</v>
      </c>
      <c r="L29" t="s">
        <v>4033</v>
      </c>
      <c r="M29">
        <f>Cleaned[[#This Row],[Credit]]-Cleaned[[#This Row],[Debit]]</f>
        <v>1073.4100000000001</v>
      </c>
      <c r="N29" t="str">
        <f>_xlfn.XLOOKUP(Cleaned[[#This Row],[AccountName]], Account_Mapping!A:A, Account_Mapping!B:B,"Unmapped")</f>
        <v>Revenue</v>
      </c>
      <c r="O29" cm="1">
        <f t="array" ref="O29">_xlfn.XLOOKUP(
  1,
  (FX_Rates[Currency]=Cleaned[[#This Row],[Currency]])*
  (FX_Rates[RateDate]&lt;=Cleaned[[#This Row],[TxnDate]]),
  FX_Rates[Rate_To_INR],
  ,
  -1
)</f>
        <v>56</v>
      </c>
      <c r="P29" s="2">
        <f>Cleaned[[#This Row],[Net Amount]] *  Cleaned[[#This Row],[FX_rates]]</f>
        <v>60110.960000000006</v>
      </c>
    </row>
    <row r="30" spans="1:16" x14ac:dyDescent="0.45">
      <c r="A30" t="s">
        <v>38</v>
      </c>
      <c r="B30" s="1">
        <v>45735</v>
      </c>
      <c r="C30" s="2" t="s">
        <v>2014</v>
      </c>
      <c r="D30" t="s">
        <v>2019</v>
      </c>
      <c r="E30">
        <v>0</v>
      </c>
      <c r="F30">
        <f>Cleaned[[#This Row],[Debit]] * Cleaned[[#This Row],[FX_rates]]</f>
        <v>0</v>
      </c>
      <c r="G30">
        <v>3466</v>
      </c>
      <c r="H30">
        <f>Cleaned[[#This Row],[Credit]] *  Cleaned[[#This Row],[FX_rates]]</f>
        <v>356998</v>
      </c>
      <c r="I30" t="s">
        <v>2024</v>
      </c>
      <c r="J30" t="s">
        <v>2028</v>
      </c>
      <c r="K30" t="s">
        <v>2059</v>
      </c>
      <c r="L30" t="s">
        <v>4031</v>
      </c>
      <c r="M30">
        <f>Cleaned[[#This Row],[Credit]]-Cleaned[[#This Row],[Debit]]</f>
        <v>3466</v>
      </c>
      <c r="N30" t="str">
        <f>_xlfn.XLOOKUP(Cleaned[[#This Row],[AccountName]], Account_Mapping!A:A, Account_Mapping!B:B,"Unmapped")</f>
        <v>Revenue</v>
      </c>
      <c r="O30" cm="1">
        <f t="array" ref="O30">_xlfn.XLOOKUP(
  1,
  (FX_Rates[Currency]=Cleaned[[#This Row],[Currency]])*
  (FX_Rates[RateDate]&lt;=Cleaned[[#This Row],[TxnDate]]),
  FX_Rates[Rate_To_INR],
  ,
  -1
)</f>
        <v>103</v>
      </c>
      <c r="P30" s="2">
        <f>Cleaned[[#This Row],[Net Amount]] *  Cleaned[[#This Row],[FX_rates]]</f>
        <v>356998</v>
      </c>
    </row>
    <row r="31" spans="1:16" x14ac:dyDescent="0.45">
      <c r="A31" t="s">
        <v>39</v>
      </c>
      <c r="B31" s="1">
        <v>45377</v>
      </c>
      <c r="C31" s="2" t="s">
        <v>2013</v>
      </c>
      <c r="D31" t="s">
        <v>2018</v>
      </c>
      <c r="E31">
        <v>947.43</v>
      </c>
      <c r="F31">
        <f>Cleaned[[#This Row],[Debit]] * Cleaned[[#This Row],[FX_rates]]</f>
        <v>57793.229999999996</v>
      </c>
      <c r="G31">
        <v>0</v>
      </c>
      <c r="H31">
        <f>Cleaned[[#This Row],[Credit]] *  Cleaned[[#This Row],[FX_rates]]</f>
        <v>0</v>
      </c>
      <c r="I31" t="s">
        <v>2020</v>
      </c>
      <c r="J31" t="s">
        <v>2027</v>
      </c>
      <c r="K31" t="s">
        <v>2060</v>
      </c>
      <c r="L31" t="s">
        <v>4035</v>
      </c>
      <c r="M31">
        <f>Cleaned[[#This Row],[Credit]]-Cleaned[[#This Row],[Debit]]</f>
        <v>-947.43</v>
      </c>
      <c r="N31" t="str">
        <f>_xlfn.XLOOKUP(Cleaned[[#This Row],[AccountName]], Account_Mapping!A:A, Account_Mapping!B:B,"Unmapped")</f>
        <v>Operating Expense</v>
      </c>
      <c r="O31" cm="1">
        <f t="array" ref="O31">_xlfn.XLOOKUP(
  1,
  (FX_Rates[Currency]=Cleaned[[#This Row],[Currency]])*
  (FX_Rates[RateDate]&lt;=Cleaned[[#This Row],[TxnDate]]),
  FX_Rates[Rate_To_INR],
  ,
  -1
)</f>
        <v>61</v>
      </c>
      <c r="P31" s="2">
        <f>Cleaned[[#This Row],[Net Amount]] *  Cleaned[[#This Row],[FX_rates]]</f>
        <v>-57793.229999999996</v>
      </c>
    </row>
    <row r="32" spans="1:16" x14ac:dyDescent="0.45">
      <c r="A32" t="s">
        <v>40</v>
      </c>
      <c r="B32" s="1">
        <v>45298</v>
      </c>
      <c r="C32" s="2" t="s">
        <v>2014</v>
      </c>
      <c r="D32" t="s">
        <v>2019</v>
      </c>
      <c r="E32">
        <v>0</v>
      </c>
      <c r="F32">
        <f>Cleaned[[#This Row],[Debit]] * Cleaned[[#This Row],[FX_rates]]</f>
        <v>0</v>
      </c>
      <c r="G32">
        <v>4495.8900000000003</v>
      </c>
      <c r="H32">
        <f>Cleaned[[#This Row],[Credit]] *  Cleaned[[#This Row],[FX_rates]]</f>
        <v>463076.67000000004</v>
      </c>
      <c r="I32" t="s">
        <v>2020</v>
      </c>
      <c r="J32" t="s">
        <v>2028</v>
      </c>
      <c r="K32" t="s">
        <v>2061</v>
      </c>
      <c r="L32" t="s">
        <v>4031</v>
      </c>
      <c r="M32">
        <f>Cleaned[[#This Row],[Credit]]-Cleaned[[#This Row],[Debit]]</f>
        <v>4495.8900000000003</v>
      </c>
      <c r="N32" t="str">
        <f>_xlfn.XLOOKUP(Cleaned[[#This Row],[AccountName]], Account_Mapping!A:A, Account_Mapping!B:B,"Unmapped")</f>
        <v>Revenue</v>
      </c>
      <c r="O32" cm="1">
        <f t="array" ref="O32">_xlfn.XLOOKUP(
  1,
  (FX_Rates[Currency]=Cleaned[[#This Row],[Currency]])*
  (FX_Rates[RateDate]&lt;=Cleaned[[#This Row],[TxnDate]]),
  FX_Rates[Rate_To_INR],
  ,
  -1
)</f>
        <v>103</v>
      </c>
      <c r="P32" s="2">
        <f>Cleaned[[#This Row],[Net Amount]] *  Cleaned[[#This Row],[FX_rates]]</f>
        <v>463076.67000000004</v>
      </c>
    </row>
    <row r="33" spans="1:16" x14ac:dyDescent="0.45">
      <c r="A33" t="s">
        <v>41</v>
      </c>
      <c r="B33" s="1">
        <v>45416</v>
      </c>
      <c r="C33" s="2" t="s">
        <v>2011</v>
      </c>
      <c r="D33" t="s">
        <v>2016</v>
      </c>
      <c r="E33">
        <v>72.88</v>
      </c>
      <c r="F33">
        <f>Cleaned[[#This Row],[Debit]] * Cleaned[[#This Row],[FX_rates]]</f>
        <v>4445.6799999999994</v>
      </c>
      <c r="G33">
        <v>0</v>
      </c>
      <c r="H33">
        <f>Cleaned[[#This Row],[Credit]] *  Cleaned[[#This Row],[FX_rates]]</f>
        <v>0</v>
      </c>
      <c r="I33" t="s">
        <v>2020</v>
      </c>
      <c r="J33" t="s">
        <v>2026</v>
      </c>
      <c r="K33" t="s">
        <v>2062</v>
      </c>
      <c r="L33" t="s">
        <v>4035</v>
      </c>
      <c r="M33">
        <f>Cleaned[[#This Row],[Credit]]-Cleaned[[#This Row],[Debit]]</f>
        <v>-72.88</v>
      </c>
      <c r="N33" t="str">
        <f>_xlfn.XLOOKUP(Cleaned[[#This Row],[AccountName]], Account_Mapping!A:A, Account_Mapping!B:B,"Unmapped")</f>
        <v>COGS</v>
      </c>
      <c r="O33" cm="1">
        <f t="array" ref="O33">_xlfn.XLOOKUP(
  1,
  (FX_Rates[Currency]=Cleaned[[#This Row],[Currency]])*
  (FX_Rates[RateDate]&lt;=Cleaned[[#This Row],[TxnDate]]),
  FX_Rates[Rate_To_INR],
  ,
  -1
)</f>
        <v>61</v>
      </c>
      <c r="P33" s="2">
        <f>Cleaned[[#This Row],[Net Amount]] *  Cleaned[[#This Row],[FX_rates]]</f>
        <v>-4445.6799999999994</v>
      </c>
    </row>
    <row r="34" spans="1:16" x14ac:dyDescent="0.45">
      <c r="A34" t="s">
        <v>42</v>
      </c>
      <c r="B34" s="1">
        <v>44941</v>
      </c>
      <c r="C34" s="2" t="s">
        <v>2014</v>
      </c>
      <c r="D34" t="s">
        <v>2019</v>
      </c>
      <c r="E34">
        <v>0</v>
      </c>
      <c r="F34">
        <f>Cleaned[[#This Row],[Debit]] * Cleaned[[#This Row],[FX_rates]]</f>
        <v>0</v>
      </c>
      <c r="G34">
        <v>867.61</v>
      </c>
      <c r="H34">
        <f>Cleaned[[#This Row],[Credit]] *  Cleaned[[#This Row],[FX_rates]]</f>
        <v>48586.16</v>
      </c>
      <c r="I34" t="s">
        <v>2022</v>
      </c>
      <c r="J34" t="s">
        <v>2026</v>
      </c>
      <c r="K34" t="s">
        <v>2063</v>
      </c>
      <c r="L34" t="s">
        <v>4033</v>
      </c>
      <c r="M34">
        <f>Cleaned[[#This Row],[Credit]]-Cleaned[[#This Row],[Debit]]</f>
        <v>867.61</v>
      </c>
      <c r="N34" t="str">
        <f>_xlfn.XLOOKUP(Cleaned[[#This Row],[AccountName]], Account_Mapping!A:A, Account_Mapping!B:B,"Unmapped")</f>
        <v>Revenue</v>
      </c>
      <c r="O34" cm="1">
        <f t="array" ref="O34">_xlfn.XLOOKUP(
  1,
  (FX_Rates[Currency]=Cleaned[[#This Row],[Currency]])*
  (FX_Rates[RateDate]&lt;=Cleaned[[#This Row],[TxnDate]]),
  FX_Rates[Rate_To_INR],
  ,
  -1
)</f>
        <v>56</v>
      </c>
      <c r="P34" s="2">
        <f>Cleaned[[#This Row],[Net Amount]] *  Cleaned[[#This Row],[FX_rates]]</f>
        <v>48586.16</v>
      </c>
    </row>
    <row r="35" spans="1:16" x14ac:dyDescent="0.45">
      <c r="A35" t="s">
        <v>43</v>
      </c>
      <c r="B35" s="1">
        <v>45247</v>
      </c>
      <c r="C35" s="2" t="s">
        <v>2013</v>
      </c>
      <c r="D35" t="s">
        <v>2018</v>
      </c>
      <c r="E35">
        <v>1416.83</v>
      </c>
      <c r="F35">
        <f>Cleaned[[#This Row],[Debit]] * Cleaned[[#This Row],[FX_rates]]</f>
        <v>116180.06</v>
      </c>
      <c r="G35">
        <v>0</v>
      </c>
      <c r="H35">
        <f>Cleaned[[#This Row],[Credit]] *  Cleaned[[#This Row],[FX_rates]]</f>
        <v>0</v>
      </c>
      <c r="I35" t="s">
        <v>2025</v>
      </c>
      <c r="J35" t="s">
        <v>2026</v>
      </c>
      <c r="K35" t="s">
        <v>2064</v>
      </c>
      <c r="L35" t="s">
        <v>4034</v>
      </c>
      <c r="M35">
        <f>Cleaned[[#This Row],[Credit]]-Cleaned[[#This Row],[Debit]]</f>
        <v>-1416.83</v>
      </c>
      <c r="N35" t="str">
        <f>_xlfn.XLOOKUP(Cleaned[[#This Row],[AccountName]], Account_Mapping!A:A, Account_Mapping!B:B,"Unmapped")</f>
        <v>Operating Expense</v>
      </c>
      <c r="O35" cm="1">
        <f t="array" ref="O35">_xlfn.XLOOKUP(
  1,
  (FX_Rates[Currency]=Cleaned[[#This Row],[Currency]])*
  (FX_Rates[RateDate]&lt;=Cleaned[[#This Row],[TxnDate]]),
  FX_Rates[Rate_To_INR],
  ,
  -1
)</f>
        <v>82</v>
      </c>
      <c r="P35" s="2">
        <f>Cleaned[[#This Row],[Net Amount]] *  Cleaned[[#This Row],[FX_rates]]</f>
        <v>-116180.06</v>
      </c>
    </row>
    <row r="36" spans="1:16" x14ac:dyDescent="0.45">
      <c r="A36" t="s">
        <v>44</v>
      </c>
      <c r="B36" s="1">
        <v>45501</v>
      </c>
      <c r="C36" s="2" t="s">
        <v>2013</v>
      </c>
      <c r="D36" t="s">
        <v>2018</v>
      </c>
      <c r="E36">
        <v>806.72</v>
      </c>
      <c r="F36">
        <f>Cleaned[[#This Row],[Debit]] * Cleaned[[#This Row],[FX_rates]]</f>
        <v>45176.32</v>
      </c>
      <c r="G36">
        <v>0</v>
      </c>
      <c r="H36">
        <f>Cleaned[[#This Row],[Credit]] *  Cleaned[[#This Row],[FX_rates]]</f>
        <v>0</v>
      </c>
      <c r="I36" t="s">
        <v>2020</v>
      </c>
      <c r="J36" t="s">
        <v>2030</v>
      </c>
      <c r="K36" t="s">
        <v>2065</v>
      </c>
      <c r="L36" t="s">
        <v>4033</v>
      </c>
      <c r="M36">
        <f>Cleaned[[#This Row],[Credit]]-Cleaned[[#This Row],[Debit]]</f>
        <v>-806.72</v>
      </c>
      <c r="N36" t="str">
        <f>_xlfn.XLOOKUP(Cleaned[[#This Row],[AccountName]], Account_Mapping!A:A, Account_Mapping!B:B,"Unmapped")</f>
        <v>Operating Expense</v>
      </c>
      <c r="O36" cm="1">
        <f t="array" ref="O36">_xlfn.XLOOKUP(
  1,
  (FX_Rates[Currency]=Cleaned[[#This Row],[Currency]])*
  (FX_Rates[RateDate]&lt;=Cleaned[[#This Row],[TxnDate]]),
  FX_Rates[Rate_To_INR],
  ,
  -1
)</f>
        <v>56</v>
      </c>
      <c r="P36" s="2">
        <f>Cleaned[[#This Row],[Net Amount]] *  Cleaned[[#This Row],[FX_rates]]</f>
        <v>-45176.32</v>
      </c>
    </row>
    <row r="37" spans="1:16" x14ac:dyDescent="0.45">
      <c r="A37" t="s">
        <v>45</v>
      </c>
      <c r="B37" s="1">
        <v>45425</v>
      </c>
      <c r="C37" s="2" t="s">
        <v>2010</v>
      </c>
      <c r="D37" t="s">
        <v>2015</v>
      </c>
      <c r="E37">
        <v>0</v>
      </c>
      <c r="F37">
        <f>Cleaned[[#This Row],[Debit]] * Cleaned[[#This Row],[FX_rates]]</f>
        <v>0</v>
      </c>
      <c r="G37">
        <v>391.57</v>
      </c>
      <c r="H37">
        <f>Cleaned[[#This Row],[Credit]] *  Cleaned[[#This Row],[FX_rates]]</f>
        <v>34458.159999999996</v>
      </c>
      <c r="I37" t="s">
        <v>2024</v>
      </c>
      <c r="J37" t="s">
        <v>2029</v>
      </c>
      <c r="K37" t="s">
        <v>2066</v>
      </c>
      <c r="L37" t="s">
        <v>4032</v>
      </c>
      <c r="M37">
        <f>Cleaned[[#This Row],[Credit]]-Cleaned[[#This Row],[Debit]]</f>
        <v>391.57</v>
      </c>
      <c r="N37" t="str">
        <f>_xlfn.XLOOKUP(Cleaned[[#This Row],[AccountName]], Account_Mapping!A:A, Account_Mapping!B:B,"Unmapped")</f>
        <v>Revenue</v>
      </c>
      <c r="O37" cm="1">
        <f t="array" ref="O37">_xlfn.XLOOKUP(
  1,
  (FX_Rates[Currency]=Cleaned[[#This Row],[Currency]])*
  (FX_Rates[RateDate]&lt;=Cleaned[[#This Row],[TxnDate]]),
  FX_Rates[Rate_To_INR],
  ,
  -1
)</f>
        <v>88</v>
      </c>
      <c r="P37" s="2">
        <f>Cleaned[[#This Row],[Net Amount]] *  Cleaned[[#This Row],[FX_rates]]</f>
        <v>34458.159999999996</v>
      </c>
    </row>
    <row r="38" spans="1:16" x14ac:dyDescent="0.45">
      <c r="A38" t="s">
        <v>46</v>
      </c>
      <c r="B38" s="1">
        <v>45767</v>
      </c>
      <c r="C38" s="2" t="s">
        <v>2011</v>
      </c>
      <c r="D38" t="s">
        <v>2016</v>
      </c>
      <c r="E38">
        <v>248.09</v>
      </c>
      <c r="F38">
        <f>Cleaned[[#This Row],[Debit]] * Cleaned[[#This Row],[FX_rates]]</f>
        <v>21831.920000000002</v>
      </c>
      <c r="G38">
        <v>0</v>
      </c>
      <c r="H38">
        <f>Cleaned[[#This Row],[Credit]] *  Cleaned[[#This Row],[FX_rates]]</f>
        <v>0</v>
      </c>
      <c r="I38" t="s">
        <v>2024</v>
      </c>
      <c r="J38" t="s">
        <v>2026</v>
      </c>
      <c r="K38" t="s">
        <v>2067</v>
      </c>
      <c r="L38" t="s">
        <v>4032</v>
      </c>
      <c r="M38">
        <f>Cleaned[[#This Row],[Credit]]-Cleaned[[#This Row],[Debit]]</f>
        <v>-248.09</v>
      </c>
      <c r="N38" t="str">
        <f>_xlfn.XLOOKUP(Cleaned[[#This Row],[AccountName]], Account_Mapping!A:A, Account_Mapping!B:B,"Unmapped")</f>
        <v>COGS</v>
      </c>
      <c r="O38" cm="1">
        <f t="array" ref="O38">_xlfn.XLOOKUP(
  1,
  (FX_Rates[Currency]=Cleaned[[#This Row],[Currency]])*
  (FX_Rates[RateDate]&lt;=Cleaned[[#This Row],[TxnDate]]),
  FX_Rates[Rate_To_INR],
  ,
  -1
)</f>
        <v>88</v>
      </c>
      <c r="P38" s="2">
        <f>Cleaned[[#This Row],[Net Amount]] *  Cleaned[[#This Row],[FX_rates]]</f>
        <v>-21831.920000000002</v>
      </c>
    </row>
    <row r="39" spans="1:16" x14ac:dyDescent="0.45">
      <c r="A39" t="s">
        <v>47</v>
      </c>
      <c r="B39" s="1">
        <v>45096</v>
      </c>
      <c r="C39" s="2" t="s">
        <v>2013</v>
      </c>
      <c r="D39" t="s">
        <v>2018</v>
      </c>
      <c r="E39">
        <v>1469.2</v>
      </c>
      <c r="F39">
        <f>Cleaned[[#This Row],[Debit]] * Cleaned[[#This Row],[FX_rates]]</f>
        <v>120474.40000000001</v>
      </c>
      <c r="G39">
        <v>0</v>
      </c>
      <c r="H39">
        <f>Cleaned[[#This Row],[Credit]] *  Cleaned[[#This Row],[FX_rates]]</f>
        <v>0</v>
      </c>
      <c r="I39" t="s">
        <v>2022</v>
      </c>
      <c r="J39" t="s">
        <v>2026</v>
      </c>
      <c r="K39" t="s">
        <v>2068</v>
      </c>
      <c r="L39" t="s">
        <v>4034</v>
      </c>
      <c r="M39">
        <f>Cleaned[[#This Row],[Credit]]-Cleaned[[#This Row],[Debit]]</f>
        <v>-1469.2</v>
      </c>
      <c r="N39" t="str">
        <f>_xlfn.XLOOKUP(Cleaned[[#This Row],[AccountName]], Account_Mapping!A:A, Account_Mapping!B:B,"Unmapped")</f>
        <v>Operating Expense</v>
      </c>
      <c r="O39" cm="1">
        <f t="array" ref="O39">_xlfn.XLOOKUP(
  1,
  (FX_Rates[Currency]=Cleaned[[#This Row],[Currency]])*
  (FX_Rates[RateDate]&lt;=Cleaned[[#This Row],[TxnDate]]),
  FX_Rates[Rate_To_INR],
  ,
  -1
)</f>
        <v>82</v>
      </c>
      <c r="P39" s="2">
        <f>Cleaned[[#This Row],[Net Amount]] *  Cleaned[[#This Row],[FX_rates]]</f>
        <v>-120474.40000000001</v>
      </c>
    </row>
    <row r="40" spans="1:16" x14ac:dyDescent="0.45">
      <c r="A40" t="s">
        <v>48</v>
      </c>
      <c r="B40" s="1">
        <v>45660</v>
      </c>
      <c r="C40" s="2" t="s">
        <v>2012</v>
      </c>
      <c r="D40" t="s">
        <v>2017</v>
      </c>
      <c r="E40">
        <v>1924.85</v>
      </c>
      <c r="F40">
        <f>Cleaned[[#This Row],[Debit]] * Cleaned[[#This Row],[FX_rates]]</f>
        <v>169386.8</v>
      </c>
      <c r="G40">
        <v>0</v>
      </c>
      <c r="H40">
        <f>Cleaned[[#This Row],[Credit]] *  Cleaned[[#This Row],[FX_rates]]</f>
        <v>0</v>
      </c>
      <c r="I40" t="s">
        <v>2024</v>
      </c>
      <c r="J40" t="s">
        <v>2030</v>
      </c>
      <c r="K40" t="s">
        <v>2069</v>
      </c>
      <c r="L40" t="s">
        <v>4032</v>
      </c>
      <c r="M40">
        <f>Cleaned[[#This Row],[Credit]]-Cleaned[[#This Row],[Debit]]</f>
        <v>-1924.85</v>
      </c>
      <c r="N40" t="str">
        <f>_xlfn.XLOOKUP(Cleaned[[#This Row],[AccountName]], Account_Mapping!A:A, Account_Mapping!B:B,"Unmapped")</f>
        <v>Operating Expense</v>
      </c>
      <c r="O40" cm="1">
        <f t="array" ref="O40">_xlfn.XLOOKUP(
  1,
  (FX_Rates[Currency]=Cleaned[[#This Row],[Currency]])*
  (FX_Rates[RateDate]&lt;=Cleaned[[#This Row],[TxnDate]]),
  FX_Rates[Rate_To_INR],
  ,
  -1
)</f>
        <v>88</v>
      </c>
      <c r="P40" s="2">
        <f>Cleaned[[#This Row],[Net Amount]] *  Cleaned[[#This Row],[FX_rates]]</f>
        <v>-169386.8</v>
      </c>
    </row>
    <row r="41" spans="1:16" x14ac:dyDescent="0.45">
      <c r="A41" t="s">
        <v>49</v>
      </c>
      <c r="B41" s="1">
        <v>45325</v>
      </c>
      <c r="C41" s="2" t="s">
        <v>2013</v>
      </c>
      <c r="D41" t="s">
        <v>2018</v>
      </c>
      <c r="E41">
        <v>1416.63</v>
      </c>
      <c r="F41">
        <f>Cleaned[[#This Row],[Debit]] * Cleaned[[#This Row],[FX_rates]]</f>
        <v>86414.430000000008</v>
      </c>
      <c r="G41">
        <v>0</v>
      </c>
      <c r="H41">
        <f>Cleaned[[#This Row],[Credit]] *  Cleaned[[#This Row],[FX_rates]]</f>
        <v>0</v>
      </c>
      <c r="I41" t="s">
        <v>2022</v>
      </c>
      <c r="J41" t="s">
        <v>2028</v>
      </c>
      <c r="K41" t="s">
        <v>2070</v>
      </c>
      <c r="L41" t="s">
        <v>4035</v>
      </c>
      <c r="M41">
        <f>Cleaned[[#This Row],[Credit]]-Cleaned[[#This Row],[Debit]]</f>
        <v>-1416.63</v>
      </c>
      <c r="N41" t="str">
        <f>_xlfn.XLOOKUP(Cleaned[[#This Row],[AccountName]], Account_Mapping!A:A, Account_Mapping!B:B,"Unmapped")</f>
        <v>Operating Expense</v>
      </c>
      <c r="O41" cm="1">
        <f t="array" ref="O41">_xlfn.XLOOKUP(
  1,
  (FX_Rates[Currency]=Cleaned[[#This Row],[Currency]])*
  (FX_Rates[RateDate]&lt;=Cleaned[[#This Row],[TxnDate]]),
  FX_Rates[Rate_To_INR],
  ,
  -1
)</f>
        <v>61</v>
      </c>
      <c r="P41" s="2">
        <f>Cleaned[[#This Row],[Net Amount]] *  Cleaned[[#This Row],[FX_rates]]</f>
        <v>-86414.430000000008</v>
      </c>
    </row>
    <row r="42" spans="1:16" x14ac:dyDescent="0.45">
      <c r="A42" t="s">
        <v>50</v>
      </c>
      <c r="B42" s="1">
        <v>45648</v>
      </c>
      <c r="C42" s="2" t="s">
        <v>2012</v>
      </c>
      <c r="D42" t="s">
        <v>2017</v>
      </c>
      <c r="E42">
        <v>358.23</v>
      </c>
      <c r="F42">
        <f>Cleaned[[#This Row],[Debit]] * Cleaned[[#This Row],[FX_rates]]</f>
        <v>20060.88</v>
      </c>
      <c r="G42">
        <v>0</v>
      </c>
      <c r="H42">
        <f>Cleaned[[#This Row],[Credit]] *  Cleaned[[#This Row],[FX_rates]]</f>
        <v>0</v>
      </c>
      <c r="I42" t="s">
        <v>2020</v>
      </c>
      <c r="J42" t="s">
        <v>2028</v>
      </c>
      <c r="K42" t="s">
        <v>2071</v>
      </c>
      <c r="L42" t="s">
        <v>4033</v>
      </c>
      <c r="M42">
        <f>Cleaned[[#This Row],[Credit]]-Cleaned[[#This Row],[Debit]]</f>
        <v>-358.23</v>
      </c>
      <c r="N42" t="str">
        <f>_xlfn.XLOOKUP(Cleaned[[#This Row],[AccountName]], Account_Mapping!A:A, Account_Mapping!B:B,"Unmapped")</f>
        <v>Operating Expense</v>
      </c>
      <c r="O42" cm="1">
        <f t="array" ref="O42">_xlfn.XLOOKUP(
  1,
  (FX_Rates[Currency]=Cleaned[[#This Row],[Currency]])*
  (FX_Rates[RateDate]&lt;=Cleaned[[#This Row],[TxnDate]]),
  FX_Rates[Rate_To_INR],
  ,
  -1
)</f>
        <v>56</v>
      </c>
      <c r="P42" s="2">
        <f>Cleaned[[#This Row],[Net Amount]] *  Cleaned[[#This Row],[FX_rates]]</f>
        <v>-20060.88</v>
      </c>
    </row>
    <row r="43" spans="1:16" x14ac:dyDescent="0.45">
      <c r="A43" t="s">
        <v>51</v>
      </c>
      <c r="B43" s="1">
        <v>45196</v>
      </c>
      <c r="C43" s="2" t="s">
        <v>2013</v>
      </c>
      <c r="D43" t="s">
        <v>2018</v>
      </c>
      <c r="E43">
        <v>1647.4</v>
      </c>
      <c r="F43">
        <f>Cleaned[[#This Row],[Debit]] * Cleaned[[#This Row],[FX_rates]]</f>
        <v>144971.20000000001</v>
      </c>
      <c r="G43">
        <v>0</v>
      </c>
      <c r="H43">
        <f>Cleaned[[#This Row],[Credit]] *  Cleaned[[#This Row],[FX_rates]]</f>
        <v>0</v>
      </c>
      <c r="I43" t="s">
        <v>2021</v>
      </c>
      <c r="J43" t="s">
        <v>2030</v>
      </c>
      <c r="K43" t="s">
        <v>2072</v>
      </c>
      <c r="L43" t="s">
        <v>4032</v>
      </c>
      <c r="M43">
        <f>Cleaned[[#This Row],[Credit]]-Cleaned[[#This Row],[Debit]]</f>
        <v>-1647.4</v>
      </c>
      <c r="N43" t="str">
        <f>_xlfn.XLOOKUP(Cleaned[[#This Row],[AccountName]], Account_Mapping!A:A, Account_Mapping!B:B,"Unmapped")</f>
        <v>Operating Expense</v>
      </c>
      <c r="O43" cm="1">
        <f t="array" ref="O43">_xlfn.XLOOKUP(
  1,
  (FX_Rates[Currency]=Cleaned[[#This Row],[Currency]])*
  (FX_Rates[RateDate]&lt;=Cleaned[[#This Row],[TxnDate]]),
  FX_Rates[Rate_To_INR],
  ,
  -1
)</f>
        <v>88</v>
      </c>
      <c r="P43" s="2">
        <f>Cleaned[[#This Row],[Net Amount]] *  Cleaned[[#This Row],[FX_rates]]</f>
        <v>-144971.20000000001</v>
      </c>
    </row>
    <row r="44" spans="1:16" x14ac:dyDescent="0.45">
      <c r="A44" t="s">
        <v>52</v>
      </c>
      <c r="B44" s="1">
        <v>44965</v>
      </c>
      <c r="C44" s="2" t="s">
        <v>2011</v>
      </c>
      <c r="D44" t="s">
        <v>2016</v>
      </c>
      <c r="E44">
        <v>945.76</v>
      </c>
      <c r="F44">
        <f>Cleaned[[#This Row],[Debit]] * Cleaned[[#This Row],[FX_rates]]</f>
        <v>52962.559999999998</v>
      </c>
      <c r="G44">
        <v>0</v>
      </c>
      <c r="H44">
        <f>Cleaned[[#This Row],[Credit]] *  Cleaned[[#This Row],[FX_rates]]</f>
        <v>0</v>
      </c>
      <c r="I44" t="s">
        <v>2023</v>
      </c>
      <c r="J44" t="s">
        <v>2027</v>
      </c>
      <c r="K44" t="s">
        <v>2073</v>
      </c>
      <c r="L44" t="s">
        <v>4033</v>
      </c>
      <c r="M44">
        <f>Cleaned[[#This Row],[Credit]]-Cleaned[[#This Row],[Debit]]</f>
        <v>-945.76</v>
      </c>
      <c r="N44" t="str">
        <f>_xlfn.XLOOKUP(Cleaned[[#This Row],[AccountName]], Account_Mapping!A:A, Account_Mapping!B:B,"Unmapped")</f>
        <v>COGS</v>
      </c>
      <c r="O44" cm="1">
        <f t="array" ref="O44">_xlfn.XLOOKUP(
  1,
  (FX_Rates[Currency]=Cleaned[[#This Row],[Currency]])*
  (FX_Rates[RateDate]&lt;=Cleaned[[#This Row],[TxnDate]]),
  FX_Rates[Rate_To_INR],
  ,
  -1
)</f>
        <v>56</v>
      </c>
      <c r="P44" s="2">
        <f>Cleaned[[#This Row],[Net Amount]] *  Cleaned[[#This Row],[FX_rates]]</f>
        <v>-52962.559999999998</v>
      </c>
    </row>
    <row r="45" spans="1:16" x14ac:dyDescent="0.45">
      <c r="A45" t="s">
        <v>53</v>
      </c>
      <c r="B45" s="1">
        <v>45000</v>
      </c>
      <c r="C45" s="2" t="s">
        <v>2012</v>
      </c>
      <c r="D45" t="s">
        <v>2017</v>
      </c>
      <c r="E45">
        <v>941.14</v>
      </c>
      <c r="F45">
        <f>Cleaned[[#This Row],[Debit]] * Cleaned[[#This Row],[FX_rates]]</f>
        <v>82820.319999999992</v>
      </c>
      <c r="G45">
        <v>0</v>
      </c>
      <c r="H45">
        <f>Cleaned[[#This Row],[Credit]] *  Cleaned[[#This Row],[FX_rates]]</f>
        <v>0</v>
      </c>
      <c r="I45" t="s">
        <v>2024</v>
      </c>
      <c r="J45" t="s">
        <v>2028</v>
      </c>
      <c r="K45" t="s">
        <v>2074</v>
      </c>
      <c r="L45" t="s">
        <v>4032</v>
      </c>
      <c r="M45">
        <f>Cleaned[[#This Row],[Credit]]-Cleaned[[#This Row],[Debit]]</f>
        <v>-941.14</v>
      </c>
      <c r="N45" t="str">
        <f>_xlfn.XLOOKUP(Cleaned[[#This Row],[AccountName]], Account_Mapping!A:A, Account_Mapping!B:B,"Unmapped")</f>
        <v>Operating Expense</v>
      </c>
      <c r="O45" cm="1">
        <f t="array" ref="O45">_xlfn.XLOOKUP(
  1,
  (FX_Rates[Currency]=Cleaned[[#This Row],[Currency]])*
  (FX_Rates[RateDate]&lt;=Cleaned[[#This Row],[TxnDate]]),
  FX_Rates[Rate_To_INR],
  ,
  -1
)</f>
        <v>88</v>
      </c>
      <c r="P45" s="2">
        <f>Cleaned[[#This Row],[Net Amount]] *  Cleaned[[#This Row],[FX_rates]]</f>
        <v>-82820.319999999992</v>
      </c>
    </row>
    <row r="46" spans="1:16" x14ac:dyDescent="0.45">
      <c r="A46" t="s">
        <v>54</v>
      </c>
      <c r="B46" s="1">
        <v>45532</v>
      </c>
      <c r="C46" s="2" t="s">
        <v>2012</v>
      </c>
      <c r="D46" t="s">
        <v>2017</v>
      </c>
      <c r="E46">
        <v>142.16</v>
      </c>
      <c r="F46">
        <f>Cleaned[[#This Row],[Debit]] * Cleaned[[#This Row],[FX_rates]]</f>
        <v>12510.08</v>
      </c>
      <c r="G46">
        <v>0</v>
      </c>
      <c r="H46">
        <f>Cleaned[[#This Row],[Credit]] *  Cleaned[[#This Row],[FX_rates]]</f>
        <v>0</v>
      </c>
      <c r="I46" t="s">
        <v>2025</v>
      </c>
      <c r="J46" t="s">
        <v>2029</v>
      </c>
      <c r="K46" t="s">
        <v>2075</v>
      </c>
      <c r="L46" t="s">
        <v>4032</v>
      </c>
      <c r="M46">
        <f>Cleaned[[#This Row],[Credit]]-Cleaned[[#This Row],[Debit]]</f>
        <v>-142.16</v>
      </c>
      <c r="N46" t="str">
        <f>_xlfn.XLOOKUP(Cleaned[[#This Row],[AccountName]], Account_Mapping!A:A, Account_Mapping!B:B,"Unmapped")</f>
        <v>Operating Expense</v>
      </c>
      <c r="O46" cm="1">
        <f t="array" ref="O46">_xlfn.XLOOKUP(
  1,
  (FX_Rates[Currency]=Cleaned[[#This Row],[Currency]])*
  (FX_Rates[RateDate]&lt;=Cleaned[[#This Row],[TxnDate]]),
  FX_Rates[Rate_To_INR],
  ,
  -1
)</f>
        <v>88</v>
      </c>
      <c r="P46" s="2">
        <f>Cleaned[[#This Row],[Net Amount]] *  Cleaned[[#This Row],[FX_rates]]</f>
        <v>-12510.08</v>
      </c>
    </row>
    <row r="47" spans="1:16" x14ac:dyDescent="0.45">
      <c r="A47" t="s">
        <v>55</v>
      </c>
      <c r="B47" s="1">
        <v>45370</v>
      </c>
      <c r="C47" s="2" t="s">
        <v>2014</v>
      </c>
      <c r="D47" t="s">
        <v>2019</v>
      </c>
      <c r="E47">
        <v>0</v>
      </c>
      <c r="F47">
        <f>Cleaned[[#This Row],[Debit]] * Cleaned[[#This Row],[FX_rates]]</f>
        <v>0</v>
      </c>
      <c r="G47">
        <v>1368.77</v>
      </c>
      <c r="H47">
        <f>Cleaned[[#This Row],[Credit]] *  Cleaned[[#This Row],[FX_rates]]</f>
        <v>120451.76</v>
      </c>
      <c r="I47" t="s">
        <v>2023</v>
      </c>
      <c r="J47" t="s">
        <v>2026</v>
      </c>
      <c r="K47" t="s">
        <v>2076</v>
      </c>
      <c r="L47" t="s">
        <v>4032</v>
      </c>
      <c r="M47">
        <f>Cleaned[[#This Row],[Credit]]-Cleaned[[#This Row],[Debit]]</f>
        <v>1368.77</v>
      </c>
      <c r="N47" t="str">
        <f>_xlfn.XLOOKUP(Cleaned[[#This Row],[AccountName]], Account_Mapping!A:A, Account_Mapping!B:B,"Unmapped")</f>
        <v>Revenue</v>
      </c>
      <c r="O47" cm="1">
        <f t="array" ref="O47">_xlfn.XLOOKUP(
  1,
  (FX_Rates[Currency]=Cleaned[[#This Row],[Currency]])*
  (FX_Rates[RateDate]&lt;=Cleaned[[#This Row],[TxnDate]]),
  FX_Rates[Rate_To_INR],
  ,
  -1
)</f>
        <v>88</v>
      </c>
      <c r="P47" s="2">
        <f>Cleaned[[#This Row],[Net Amount]] *  Cleaned[[#This Row],[FX_rates]]</f>
        <v>120451.76</v>
      </c>
    </row>
    <row r="48" spans="1:16" x14ac:dyDescent="0.45">
      <c r="A48" t="s">
        <v>56</v>
      </c>
      <c r="B48" s="1">
        <v>44951</v>
      </c>
      <c r="C48" s="2" t="s">
        <v>2010</v>
      </c>
      <c r="D48" t="s">
        <v>2015</v>
      </c>
      <c r="E48">
        <v>0</v>
      </c>
      <c r="F48">
        <f>Cleaned[[#This Row],[Debit]] * Cleaned[[#This Row],[FX_rates]]</f>
        <v>0</v>
      </c>
      <c r="G48">
        <v>2507.52</v>
      </c>
      <c r="H48">
        <f>Cleaned[[#This Row],[Credit]] *  Cleaned[[#This Row],[FX_rates]]</f>
        <v>220661.76000000001</v>
      </c>
      <c r="I48" t="s">
        <v>2023</v>
      </c>
      <c r="J48" t="s">
        <v>2028</v>
      </c>
      <c r="K48" t="s">
        <v>2077</v>
      </c>
      <c r="L48" t="s">
        <v>4032</v>
      </c>
      <c r="M48">
        <f>Cleaned[[#This Row],[Credit]]-Cleaned[[#This Row],[Debit]]</f>
        <v>2507.52</v>
      </c>
      <c r="N48" t="str">
        <f>_xlfn.XLOOKUP(Cleaned[[#This Row],[AccountName]], Account_Mapping!A:A, Account_Mapping!B:B,"Unmapped")</f>
        <v>Revenue</v>
      </c>
      <c r="O48" cm="1">
        <f t="array" ref="O48">_xlfn.XLOOKUP(
  1,
  (FX_Rates[Currency]=Cleaned[[#This Row],[Currency]])*
  (FX_Rates[RateDate]&lt;=Cleaned[[#This Row],[TxnDate]]),
  FX_Rates[Rate_To_INR],
  ,
  -1
)</f>
        <v>88</v>
      </c>
      <c r="P48" s="2">
        <f>Cleaned[[#This Row],[Net Amount]] *  Cleaned[[#This Row],[FX_rates]]</f>
        <v>220661.76000000001</v>
      </c>
    </row>
    <row r="49" spans="1:16" x14ac:dyDescent="0.45">
      <c r="A49" t="s">
        <v>57</v>
      </c>
      <c r="B49" s="1">
        <v>45359</v>
      </c>
      <c r="C49" s="2" t="s">
        <v>2010</v>
      </c>
      <c r="D49" t="s">
        <v>2015</v>
      </c>
      <c r="E49">
        <v>0</v>
      </c>
      <c r="F49">
        <f>Cleaned[[#This Row],[Debit]] * Cleaned[[#This Row],[FX_rates]]</f>
        <v>0</v>
      </c>
      <c r="G49">
        <v>1744.89</v>
      </c>
      <c r="H49">
        <f>Cleaned[[#This Row],[Credit]] *  Cleaned[[#This Row],[FX_rates]]</f>
        <v>143080.98000000001</v>
      </c>
      <c r="I49" t="s">
        <v>2024</v>
      </c>
      <c r="J49" t="s">
        <v>2028</v>
      </c>
      <c r="K49" t="s">
        <v>2078</v>
      </c>
      <c r="L49" t="s">
        <v>4034</v>
      </c>
      <c r="M49">
        <f>Cleaned[[#This Row],[Credit]]-Cleaned[[#This Row],[Debit]]</f>
        <v>1744.89</v>
      </c>
      <c r="N49" t="str">
        <f>_xlfn.XLOOKUP(Cleaned[[#This Row],[AccountName]], Account_Mapping!A:A, Account_Mapping!B:B,"Unmapped")</f>
        <v>Revenue</v>
      </c>
      <c r="O49" cm="1">
        <f t="array" ref="O49">_xlfn.XLOOKUP(
  1,
  (FX_Rates[Currency]=Cleaned[[#This Row],[Currency]])*
  (FX_Rates[RateDate]&lt;=Cleaned[[#This Row],[TxnDate]]),
  FX_Rates[Rate_To_INR],
  ,
  -1
)</f>
        <v>82</v>
      </c>
      <c r="P49" s="2">
        <f>Cleaned[[#This Row],[Net Amount]] *  Cleaned[[#This Row],[FX_rates]]</f>
        <v>143080.98000000001</v>
      </c>
    </row>
    <row r="50" spans="1:16" x14ac:dyDescent="0.45">
      <c r="A50" t="s">
        <v>58</v>
      </c>
      <c r="B50" s="1">
        <v>45788</v>
      </c>
      <c r="C50" s="2" t="s">
        <v>2012</v>
      </c>
      <c r="D50" t="s">
        <v>2017</v>
      </c>
      <c r="E50">
        <v>1408.09</v>
      </c>
      <c r="F50">
        <f>Cleaned[[#This Row],[Debit]] * Cleaned[[#This Row],[FX_rates]]</f>
        <v>85893.489999999991</v>
      </c>
      <c r="G50">
        <v>0</v>
      </c>
      <c r="H50">
        <f>Cleaned[[#This Row],[Credit]] *  Cleaned[[#This Row],[FX_rates]]</f>
        <v>0</v>
      </c>
      <c r="I50" t="s">
        <v>2022</v>
      </c>
      <c r="J50" t="s">
        <v>2028</v>
      </c>
      <c r="K50" t="s">
        <v>2079</v>
      </c>
      <c r="L50" t="s">
        <v>4035</v>
      </c>
      <c r="M50">
        <f>Cleaned[[#This Row],[Credit]]-Cleaned[[#This Row],[Debit]]</f>
        <v>-1408.09</v>
      </c>
      <c r="N50" t="str">
        <f>_xlfn.XLOOKUP(Cleaned[[#This Row],[AccountName]], Account_Mapping!A:A, Account_Mapping!B:B,"Unmapped")</f>
        <v>Operating Expense</v>
      </c>
      <c r="O50" cm="1">
        <f t="array" ref="O50">_xlfn.XLOOKUP(
  1,
  (FX_Rates[Currency]=Cleaned[[#This Row],[Currency]])*
  (FX_Rates[RateDate]&lt;=Cleaned[[#This Row],[TxnDate]]),
  FX_Rates[Rate_To_INR],
  ,
  -1
)</f>
        <v>61</v>
      </c>
      <c r="P50" s="2">
        <f>Cleaned[[#This Row],[Net Amount]] *  Cleaned[[#This Row],[FX_rates]]</f>
        <v>-85893.489999999991</v>
      </c>
    </row>
    <row r="51" spans="1:16" x14ac:dyDescent="0.45">
      <c r="A51" t="s">
        <v>59</v>
      </c>
      <c r="B51" s="1">
        <v>44999</v>
      </c>
      <c r="C51" s="2" t="s">
        <v>2012</v>
      </c>
      <c r="D51" t="s">
        <v>2017</v>
      </c>
      <c r="E51">
        <v>480.19</v>
      </c>
      <c r="F51">
        <f>Cleaned[[#This Row],[Debit]] * Cleaned[[#This Row],[FX_rates]]</f>
        <v>42256.72</v>
      </c>
      <c r="G51">
        <v>0</v>
      </c>
      <c r="H51">
        <f>Cleaned[[#This Row],[Credit]] *  Cleaned[[#This Row],[FX_rates]]</f>
        <v>0</v>
      </c>
      <c r="I51" t="s">
        <v>2023</v>
      </c>
      <c r="J51" t="s">
        <v>2030</v>
      </c>
      <c r="K51" t="s">
        <v>2080</v>
      </c>
      <c r="L51" t="s">
        <v>4032</v>
      </c>
      <c r="M51">
        <f>Cleaned[[#This Row],[Credit]]-Cleaned[[#This Row],[Debit]]</f>
        <v>-480.19</v>
      </c>
      <c r="N51" t="str">
        <f>_xlfn.XLOOKUP(Cleaned[[#This Row],[AccountName]], Account_Mapping!A:A, Account_Mapping!B:B,"Unmapped")</f>
        <v>Operating Expense</v>
      </c>
      <c r="O51" cm="1">
        <f t="array" ref="O51">_xlfn.XLOOKUP(
  1,
  (FX_Rates[Currency]=Cleaned[[#This Row],[Currency]])*
  (FX_Rates[RateDate]&lt;=Cleaned[[#This Row],[TxnDate]]),
  FX_Rates[Rate_To_INR],
  ,
  -1
)</f>
        <v>88</v>
      </c>
      <c r="P51" s="2">
        <f>Cleaned[[#This Row],[Net Amount]] *  Cleaned[[#This Row],[FX_rates]]</f>
        <v>-42256.72</v>
      </c>
    </row>
    <row r="52" spans="1:16" x14ac:dyDescent="0.45">
      <c r="A52" t="s">
        <v>60</v>
      </c>
      <c r="B52" s="1">
        <v>45553</v>
      </c>
      <c r="C52" s="2" t="s">
        <v>2011</v>
      </c>
      <c r="D52" t="s">
        <v>2016</v>
      </c>
      <c r="E52">
        <v>1444.62</v>
      </c>
      <c r="F52">
        <f>Cleaned[[#This Row],[Debit]] * Cleaned[[#This Row],[FX_rates]]</f>
        <v>88121.819999999992</v>
      </c>
      <c r="G52">
        <v>0</v>
      </c>
      <c r="H52">
        <f>Cleaned[[#This Row],[Credit]] *  Cleaned[[#This Row],[FX_rates]]</f>
        <v>0</v>
      </c>
      <c r="I52" t="s">
        <v>2023</v>
      </c>
      <c r="J52" t="s">
        <v>2030</v>
      </c>
      <c r="K52" t="s">
        <v>2081</v>
      </c>
      <c r="L52" t="s">
        <v>4035</v>
      </c>
      <c r="M52">
        <f>Cleaned[[#This Row],[Credit]]-Cleaned[[#This Row],[Debit]]</f>
        <v>-1444.62</v>
      </c>
      <c r="N52" t="str">
        <f>_xlfn.XLOOKUP(Cleaned[[#This Row],[AccountName]], Account_Mapping!A:A, Account_Mapping!B:B,"Unmapped")</f>
        <v>COGS</v>
      </c>
      <c r="O52" cm="1">
        <f t="array" ref="O52">_xlfn.XLOOKUP(
  1,
  (FX_Rates[Currency]=Cleaned[[#This Row],[Currency]])*
  (FX_Rates[RateDate]&lt;=Cleaned[[#This Row],[TxnDate]]),
  FX_Rates[Rate_To_INR],
  ,
  -1
)</f>
        <v>61</v>
      </c>
      <c r="P52" s="2">
        <f>Cleaned[[#This Row],[Net Amount]] *  Cleaned[[#This Row],[FX_rates]]</f>
        <v>-88121.819999999992</v>
      </c>
    </row>
    <row r="53" spans="1:16" x14ac:dyDescent="0.45">
      <c r="A53" t="s">
        <v>61</v>
      </c>
      <c r="B53" s="1">
        <v>45591</v>
      </c>
      <c r="C53" s="2" t="s">
        <v>2010</v>
      </c>
      <c r="D53" t="s">
        <v>2015</v>
      </c>
      <c r="E53">
        <v>0</v>
      </c>
      <c r="F53">
        <f>Cleaned[[#This Row],[Debit]] * Cleaned[[#This Row],[FX_rates]]</f>
        <v>0</v>
      </c>
      <c r="G53">
        <v>4456.24</v>
      </c>
      <c r="H53">
        <f>Cleaned[[#This Row],[Credit]] *  Cleaned[[#This Row],[FX_rates]]</f>
        <v>271830.64</v>
      </c>
      <c r="I53" t="s">
        <v>2021</v>
      </c>
      <c r="J53" t="s">
        <v>2028</v>
      </c>
      <c r="K53" t="s">
        <v>2082</v>
      </c>
      <c r="L53" t="s">
        <v>4035</v>
      </c>
      <c r="M53">
        <f>Cleaned[[#This Row],[Credit]]-Cleaned[[#This Row],[Debit]]</f>
        <v>4456.24</v>
      </c>
      <c r="N53" t="str">
        <f>_xlfn.XLOOKUP(Cleaned[[#This Row],[AccountName]], Account_Mapping!A:A, Account_Mapping!B:B,"Unmapped")</f>
        <v>Revenue</v>
      </c>
      <c r="O53" cm="1">
        <f t="array" ref="O53">_xlfn.XLOOKUP(
  1,
  (FX_Rates[Currency]=Cleaned[[#This Row],[Currency]])*
  (FX_Rates[RateDate]&lt;=Cleaned[[#This Row],[TxnDate]]),
  FX_Rates[Rate_To_INR],
  ,
  -1
)</f>
        <v>61</v>
      </c>
      <c r="P53" s="2">
        <f>Cleaned[[#This Row],[Net Amount]] *  Cleaned[[#This Row],[FX_rates]]</f>
        <v>271830.64</v>
      </c>
    </row>
    <row r="54" spans="1:16" x14ac:dyDescent="0.45">
      <c r="A54" t="s">
        <v>62</v>
      </c>
      <c r="B54" s="1">
        <v>45817</v>
      </c>
      <c r="C54" s="2" t="s">
        <v>2010</v>
      </c>
      <c r="D54" t="s">
        <v>2015</v>
      </c>
      <c r="E54">
        <v>0</v>
      </c>
      <c r="F54">
        <f>Cleaned[[#This Row],[Debit]] * Cleaned[[#This Row],[FX_rates]]</f>
        <v>0</v>
      </c>
      <c r="G54">
        <v>4800.28</v>
      </c>
      <c r="H54">
        <f>Cleaned[[#This Row],[Credit]] *  Cleaned[[#This Row],[FX_rates]]</f>
        <v>292817.07999999996</v>
      </c>
      <c r="I54" t="s">
        <v>2025</v>
      </c>
      <c r="J54" t="s">
        <v>2028</v>
      </c>
      <c r="K54" t="s">
        <v>2083</v>
      </c>
      <c r="L54" t="s">
        <v>4035</v>
      </c>
      <c r="M54">
        <f>Cleaned[[#This Row],[Credit]]-Cleaned[[#This Row],[Debit]]</f>
        <v>4800.28</v>
      </c>
      <c r="N54" t="str">
        <f>_xlfn.XLOOKUP(Cleaned[[#This Row],[AccountName]], Account_Mapping!A:A, Account_Mapping!B:B,"Unmapped")</f>
        <v>Revenue</v>
      </c>
      <c r="O54" cm="1">
        <f t="array" ref="O54">_xlfn.XLOOKUP(
  1,
  (FX_Rates[Currency]=Cleaned[[#This Row],[Currency]])*
  (FX_Rates[RateDate]&lt;=Cleaned[[#This Row],[TxnDate]]),
  FX_Rates[Rate_To_INR],
  ,
  -1
)</f>
        <v>61</v>
      </c>
      <c r="P54" s="2">
        <f>Cleaned[[#This Row],[Net Amount]] *  Cleaned[[#This Row],[FX_rates]]</f>
        <v>292817.07999999996</v>
      </c>
    </row>
    <row r="55" spans="1:16" x14ac:dyDescent="0.45">
      <c r="A55" t="s">
        <v>63</v>
      </c>
      <c r="B55" s="1">
        <v>45249</v>
      </c>
      <c r="C55" s="2" t="s">
        <v>2011</v>
      </c>
      <c r="D55" t="s">
        <v>2016</v>
      </c>
      <c r="E55">
        <v>425.12</v>
      </c>
      <c r="F55">
        <f>Cleaned[[#This Row],[Debit]] * Cleaned[[#This Row],[FX_rates]]</f>
        <v>23806.720000000001</v>
      </c>
      <c r="G55">
        <v>0</v>
      </c>
      <c r="H55">
        <f>Cleaned[[#This Row],[Credit]] *  Cleaned[[#This Row],[FX_rates]]</f>
        <v>0</v>
      </c>
      <c r="I55" t="s">
        <v>2023</v>
      </c>
      <c r="J55" t="s">
        <v>2026</v>
      </c>
      <c r="K55" t="s">
        <v>2084</v>
      </c>
      <c r="L55" t="s">
        <v>4033</v>
      </c>
      <c r="M55">
        <f>Cleaned[[#This Row],[Credit]]-Cleaned[[#This Row],[Debit]]</f>
        <v>-425.12</v>
      </c>
      <c r="N55" t="str">
        <f>_xlfn.XLOOKUP(Cleaned[[#This Row],[AccountName]], Account_Mapping!A:A, Account_Mapping!B:B,"Unmapped")</f>
        <v>COGS</v>
      </c>
      <c r="O55" cm="1">
        <f t="array" ref="O55">_xlfn.XLOOKUP(
  1,
  (FX_Rates[Currency]=Cleaned[[#This Row],[Currency]])*
  (FX_Rates[RateDate]&lt;=Cleaned[[#This Row],[TxnDate]]),
  FX_Rates[Rate_To_INR],
  ,
  -1
)</f>
        <v>56</v>
      </c>
      <c r="P55" s="2">
        <f>Cleaned[[#This Row],[Net Amount]] *  Cleaned[[#This Row],[FX_rates]]</f>
        <v>-23806.720000000001</v>
      </c>
    </row>
    <row r="56" spans="1:16" x14ac:dyDescent="0.45">
      <c r="A56" t="s">
        <v>64</v>
      </c>
      <c r="B56" s="1">
        <v>45408</v>
      </c>
      <c r="C56" s="2" t="s">
        <v>2012</v>
      </c>
      <c r="D56" t="s">
        <v>2017</v>
      </c>
      <c r="E56">
        <v>1830.18</v>
      </c>
      <c r="F56">
        <f>Cleaned[[#This Row],[Debit]] * Cleaned[[#This Row],[FX_rates]]</f>
        <v>161055.84</v>
      </c>
      <c r="G56">
        <v>0</v>
      </c>
      <c r="H56">
        <f>Cleaned[[#This Row],[Credit]] *  Cleaned[[#This Row],[FX_rates]]</f>
        <v>0</v>
      </c>
      <c r="I56" t="s">
        <v>2024</v>
      </c>
      <c r="J56" t="s">
        <v>2026</v>
      </c>
      <c r="K56" t="s">
        <v>2085</v>
      </c>
      <c r="L56" t="s">
        <v>4032</v>
      </c>
      <c r="M56">
        <f>Cleaned[[#This Row],[Credit]]-Cleaned[[#This Row],[Debit]]</f>
        <v>-1830.18</v>
      </c>
      <c r="N56" t="str">
        <f>_xlfn.XLOOKUP(Cleaned[[#This Row],[AccountName]], Account_Mapping!A:A, Account_Mapping!B:B,"Unmapped")</f>
        <v>Operating Expense</v>
      </c>
      <c r="O56" cm="1">
        <f t="array" ref="O56">_xlfn.XLOOKUP(
  1,
  (FX_Rates[Currency]=Cleaned[[#This Row],[Currency]])*
  (FX_Rates[RateDate]&lt;=Cleaned[[#This Row],[TxnDate]]),
  FX_Rates[Rate_To_INR],
  ,
  -1
)</f>
        <v>88</v>
      </c>
      <c r="P56" s="2">
        <f>Cleaned[[#This Row],[Net Amount]] *  Cleaned[[#This Row],[FX_rates]]</f>
        <v>-161055.84</v>
      </c>
    </row>
    <row r="57" spans="1:16" x14ac:dyDescent="0.45">
      <c r="A57" t="s">
        <v>65</v>
      </c>
      <c r="B57" s="1">
        <v>45598</v>
      </c>
      <c r="C57" s="2" t="s">
        <v>2010</v>
      </c>
      <c r="D57" t="s">
        <v>2015</v>
      </c>
      <c r="E57">
        <v>0</v>
      </c>
      <c r="F57">
        <f>Cleaned[[#This Row],[Debit]] * Cleaned[[#This Row],[FX_rates]]</f>
        <v>0</v>
      </c>
      <c r="G57">
        <v>4128.6400000000003</v>
      </c>
      <c r="H57">
        <f>Cleaned[[#This Row],[Credit]] *  Cleaned[[#This Row],[FX_rates]]</f>
        <v>231203.84000000003</v>
      </c>
      <c r="I57" t="s">
        <v>2020</v>
      </c>
      <c r="J57" t="s">
        <v>2030</v>
      </c>
      <c r="K57" t="s">
        <v>2086</v>
      </c>
      <c r="L57" t="s">
        <v>4033</v>
      </c>
      <c r="M57">
        <f>Cleaned[[#This Row],[Credit]]-Cleaned[[#This Row],[Debit]]</f>
        <v>4128.6400000000003</v>
      </c>
      <c r="N57" t="str">
        <f>_xlfn.XLOOKUP(Cleaned[[#This Row],[AccountName]], Account_Mapping!A:A, Account_Mapping!B:B,"Unmapped")</f>
        <v>Revenue</v>
      </c>
      <c r="O57" cm="1">
        <f t="array" ref="O57">_xlfn.XLOOKUP(
  1,
  (FX_Rates[Currency]=Cleaned[[#This Row],[Currency]])*
  (FX_Rates[RateDate]&lt;=Cleaned[[#This Row],[TxnDate]]),
  FX_Rates[Rate_To_INR],
  ,
  -1
)</f>
        <v>56</v>
      </c>
      <c r="P57" s="2">
        <f>Cleaned[[#This Row],[Net Amount]] *  Cleaned[[#This Row],[FX_rates]]</f>
        <v>231203.84000000003</v>
      </c>
    </row>
    <row r="58" spans="1:16" x14ac:dyDescent="0.45">
      <c r="A58" t="s">
        <v>66</v>
      </c>
      <c r="B58" s="1">
        <v>45041</v>
      </c>
      <c r="C58" s="2" t="s">
        <v>2011</v>
      </c>
      <c r="D58" t="s">
        <v>2016</v>
      </c>
      <c r="E58">
        <v>609.79999999999995</v>
      </c>
      <c r="F58">
        <f>Cleaned[[#This Row],[Debit]] * Cleaned[[#This Row],[FX_rates]]</f>
        <v>37197.799999999996</v>
      </c>
      <c r="G58">
        <v>0</v>
      </c>
      <c r="H58">
        <f>Cleaned[[#This Row],[Credit]] *  Cleaned[[#This Row],[FX_rates]]</f>
        <v>0</v>
      </c>
      <c r="I58" t="s">
        <v>2021</v>
      </c>
      <c r="J58" t="s">
        <v>2027</v>
      </c>
      <c r="K58" t="s">
        <v>2087</v>
      </c>
      <c r="L58" t="s">
        <v>4035</v>
      </c>
      <c r="M58">
        <f>Cleaned[[#This Row],[Credit]]-Cleaned[[#This Row],[Debit]]</f>
        <v>-609.79999999999995</v>
      </c>
      <c r="N58" t="str">
        <f>_xlfn.XLOOKUP(Cleaned[[#This Row],[AccountName]], Account_Mapping!A:A, Account_Mapping!B:B,"Unmapped")</f>
        <v>COGS</v>
      </c>
      <c r="O58" cm="1">
        <f t="array" ref="O58">_xlfn.XLOOKUP(
  1,
  (FX_Rates[Currency]=Cleaned[[#This Row],[Currency]])*
  (FX_Rates[RateDate]&lt;=Cleaned[[#This Row],[TxnDate]]),
  FX_Rates[Rate_To_INR],
  ,
  -1
)</f>
        <v>61</v>
      </c>
      <c r="P58" s="2">
        <f>Cleaned[[#This Row],[Net Amount]] *  Cleaned[[#This Row],[FX_rates]]</f>
        <v>-37197.799999999996</v>
      </c>
    </row>
    <row r="59" spans="1:16" x14ac:dyDescent="0.45">
      <c r="A59" t="s">
        <v>67</v>
      </c>
      <c r="B59" s="1">
        <v>45279</v>
      </c>
      <c r="C59" s="2" t="s">
        <v>2013</v>
      </c>
      <c r="D59" t="s">
        <v>2018</v>
      </c>
      <c r="E59">
        <v>279.32</v>
      </c>
      <c r="F59">
        <f>Cleaned[[#This Row],[Debit]] * Cleaned[[#This Row],[FX_rates]]</f>
        <v>22904.239999999998</v>
      </c>
      <c r="G59">
        <v>0</v>
      </c>
      <c r="H59">
        <f>Cleaned[[#This Row],[Credit]] *  Cleaned[[#This Row],[FX_rates]]</f>
        <v>0</v>
      </c>
      <c r="I59" t="s">
        <v>2023</v>
      </c>
      <c r="J59" t="s">
        <v>2028</v>
      </c>
      <c r="K59" t="s">
        <v>2088</v>
      </c>
      <c r="L59" t="s">
        <v>4034</v>
      </c>
      <c r="M59">
        <f>Cleaned[[#This Row],[Credit]]-Cleaned[[#This Row],[Debit]]</f>
        <v>-279.32</v>
      </c>
      <c r="N59" t="str">
        <f>_xlfn.XLOOKUP(Cleaned[[#This Row],[AccountName]], Account_Mapping!A:A, Account_Mapping!B:B,"Unmapped")</f>
        <v>Operating Expense</v>
      </c>
      <c r="O59" cm="1">
        <f t="array" ref="O59">_xlfn.XLOOKUP(
  1,
  (FX_Rates[Currency]=Cleaned[[#This Row],[Currency]])*
  (FX_Rates[RateDate]&lt;=Cleaned[[#This Row],[TxnDate]]),
  FX_Rates[Rate_To_INR],
  ,
  -1
)</f>
        <v>82</v>
      </c>
      <c r="P59" s="2">
        <f>Cleaned[[#This Row],[Net Amount]] *  Cleaned[[#This Row],[FX_rates]]</f>
        <v>-22904.239999999998</v>
      </c>
    </row>
    <row r="60" spans="1:16" x14ac:dyDescent="0.45">
      <c r="A60" t="s">
        <v>68</v>
      </c>
      <c r="B60" s="1">
        <v>45546</v>
      </c>
      <c r="C60" s="2" t="s">
        <v>2014</v>
      </c>
      <c r="D60" t="s">
        <v>2019</v>
      </c>
      <c r="E60">
        <v>0</v>
      </c>
      <c r="F60">
        <f>Cleaned[[#This Row],[Debit]] * Cleaned[[#This Row],[FX_rates]]</f>
        <v>0</v>
      </c>
      <c r="G60">
        <v>1790.31</v>
      </c>
      <c r="H60">
        <f>Cleaned[[#This Row],[Credit]] *  Cleaned[[#This Row],[FX_rates]]</f>
        <v>109208.91</v>
      </c>
      <c r="I60" t="s">
        <v>2024</v>
      </c>
      <c r="J60" t="s">
        <v>2026</v>
      </c>
      <c r="K60" t="s">
        <v>2089</v>
      </c>
      <c r="L60" t="s">
        <v>4035</v>
      </c>
      <c r="M60">
        <f>Cleaned[[#This Row],[Credit]]-Cleaned[[#This Row],[Debit]]</f>
        <v>1790.31</v>
      </c>
      <c r="N60" t="str">
        <f>_xlfn.XLOOKUP(Cleaned[[#This Row],[AccountName]], Account_Mapping!A:A, Account_Mapping!B:B,"Unmapped")</f>
        <v>Revenue</v>
      </c>
      <c r="O60" cm="1">
        <f t="array" ref="O60">_xlfn.XLOOKUP(
  1,
  (FX_Rates[Currency]=Cleaned[[#This Row],[Currency]])*
  (FX_Rates[RateDate]&lt;=Cleaned[[#This Row],[TxnDate]]),
  FX_Rates[Rate_To_INR],
  ,
  -1
)</f>
        <v>61</v>
      </c>
      <c r="P60" s="2">
        <f>Cleaned[[#This Row],[Net Amount]] *  Cleaned[[#This Row],[FX_rates]]</f>
        <v>109208.91</v>
      </c>
    </row>
    <row r="61" spans="1:16" x14ac:dyDescent="0.45">
      <c r="A61" t="s">
        <v>69</v>
      </c>
      <c r="B61" s="1">
        <v>45324</v>
      </c>
      <c r="C61" s="2" t="s">
        <v>2013</v>
      </c>
      <c r="D61" t="s">
        <v>2018</v>
      </c>
      <c r="E61">
        <v>1635.65</v>
      </c>
      <c r="F61">
        <f>Cleaned[[#This Row],[Debit]] * Cleaned[[#This Row],[FX_rates]]</f>
        <v>99774.650000000009</v>
      </c>
      <c r="G61">
        <v>0</v>
      </c>
      <c r="H61">
        <f>Cleaned[[#This Row],[Credit]] *  Cleaned[[#This Row],[FX_rates]]</f>
        <v>0</v>
      </c>
      <c r="I61" t="s">
        <v>2021</v>
      </c>
      <c r="J61" t="s">
        <v>2028</v>
      </c>
      <c r="K61" t="s">
        <v>2090</v>
      </c>
      <c r="L61" t="s">
        <v>4035</v>
      </c>
      <c r="M61">
        <f>Cleaned[[#This Row],[Credit]]-Cleaned[[#This Row],[Debit]]</f>
        <v>-1635.65</v>
      </c>
      <c r="N61" t="str">
        <f>_xlfn.XLOOKUP(Cleaned[[#This Row],[AccountName]], Account_Mapping!A:A, Account_Mapping!B:B,"Unmapped")</f>
        <v>Operating Expense</v>
      </c>
      <c r="O61" cm="1">
        <f t="array" ref="O61">_xlfn.XLOOKUP(
  1,
  (FX_Rates[Currency]=Cleaned[[#This Row],[Currency]])*
  (FX_Rates[RateDate]&lt;=Cleaned[[#This Row],[TxnDate]]),
  FX_Rates[Rate_To_INR],
  ,
  -1
)</f>
        <v>61</v>
      </c>
      <c r="P61" s="2">
        <f>Cleaned[[#This Row],[Net Amount]] *  Cleaned[[#This Row],[FX_rates]]</f>
        <v>-99774.650000000009</v>
      </c>
    </row>
    <row r="62" spans="1:16" x14ac:dyDescent="0.45">
      <c r="A62" t="s">
        <v>70</v>
      </c>
      <c r="B62" s="1">
        <v>45412</v>
      </c>
      <c r="C62" s="2" t="s">
        <v>2010</v>
      </c>
      <c r="D62" t="s">
        <v>2015</v>
      </c>
      <c r="E62">
        <v>0</v>
      </c>
      <c r="F62">
        <f>Cleaned[[#This Row],[Debit]] * Cleaned[[#This Row],[FX_rates]]</f>
        <v>0</v>
      </c>
      <c r="G62">
        <v>3300.5</v>
      </c>
      <c r="H62">
        <f>Cleaned[[#This Row],[Credit]] *  Cleaned[[#This Row],[FX_rates]]</f>
        <v>270641</v>
      </c>
      <c r="I62" t="s">
        <v>2024</v>
      </c>
      <c r="J62" t="s">
        <v>2028</v>
      </c>
      <c r="K62" t="s">
        <v>2091</v>
      </c>
      <c r="L62" t="s">
        <v>4034</v>
      </c>
      <c r="M62">
        <f>Cleaned[[#This Row],[Credit]]-Cleaned[[#This Row],[Debit]]</f>
        <v>3300.5</v>
      </c>
      <c r="N62" t="str">
        <f>_xlfn.XLOOKUP(Cleaned[[#This Row],[AccountName]], Account_Mapping!A:A, Account_Mapping!B:B,"Unmapped")</f>
        <v>Revenue</v>
      </c>
      <c r="O62" cm="1">
        <f t="array" ref="O62">_xlfn.XLOOKUP(
  1,
  (FX_Rates[Currency]=Cleaned[[#This Row],[Currency]])*
  (FX_Rates[RateDate]&lt;=Cleaned[[#This Row],[TxnDate]]),
  FX_Rates[Rate_To_INR],
  ,
  -1
)</f>
        <v>82</v>
      </c>
      <c r="P62" s="2">
        <f>Cleaned[[#This Row],[Net Amount]] *  Cleaned[[#This Row],[FX_rates]]</f>
        <v>270641</v>
      </c>
    </row>
    <row r="63" spans="1:16" x14ac:dyDescent="0.45">
      <c r="A63" t="s">
        <v>71</v>
      </c>
      <c r="B63" s="1">
        <v>45465</v>
      </c>
      <c r="C63" s="2" t="s">
        <v>2012</v>
      </c>
      <c r="D63" t="s">
        <v>2017</v>
      </c>
      <c r="E63">
        <v>1704.76</v>
      </c>
      <c r="F63">
        <f>Cleaned[[#This Row],[Debit]] * Cleaned[[#This Row],[FX_rates]]</f>
        <v>95466.559999999998</v>
      </c>
      <c r="G63">
        <v>0</v>
      </c>
      <c r="H63">
        <f>Cleaned[[#This Row],[Credit]] *  Cleaned[[#This Row],[FX_rates]]</f>
        <v>0</v>
      </c>
      <c r="I63" t="s">
        <v>2023</v>
      </c>
      <c r="J63" t="s">
        <v>2027</v>
      </c>
      <c r="K63" t="s">
        <v>2092</v>
      </c>
      <c r="L63" t="s">
        <v>4033</v>
      </c>
      <c r="M63">
        <f>Cleaned[[#This Row],[Credit]]-Cleaned[[#This Row],[Debit]]</f>
        <v>-1704.76</v>
      </c>
      <c r="N63" t="str">
        <f>_xlfn.XLOOKUP(Cleaned[[#This Row],[AccountName]], Account_Mapping!A:A, Account_Mapping!B:B,"Unmapped")</f>
        <v>Operating Expense</v>
      </c>
      <c r="O63" cm="1">
        <f t="array" ref="O63">_xlfn.XLOOKUP(
  1,
  (FX_Rates[Currency]=Cleaned[[#This Row],[Currency]])*
  (FX_Rates[RateDate]&lt;=Cleaned[[#This Row],[TxnDate]]),
  FX_Rates[Rate_To_INR],
  ,
  -1
)</f>
        <v>56</v>
      </c>
      <c r="P63" s="2">
        <f>Cleaned[[#This Row],[Net Amount]] *  Cleaned[[#This Row],[FX_rates]]</f>
        <v>-95466.559999999998</v>
      </c>
    </row>
    <row r="64" spans="1:16" x14ac:dyDescent="0.45">
      <c r="A64" t="s">
        <v>72</v>
      </c>
      <c r="B64" s="1">
        <v>45185</v>
      </c>
      <c r="C64" s="2" t="s">
        <v>2013</v>
      </c>
      <c r="D64" t="s">
        <v>2018</v>
      </c>
      <c r="E64">
        <v>145.25</v>
      </c>
      <c r="F64">
        <f>Cleaned[[#This Row],[Debit]] * Cleaned[[#This Row],[FX_rates]]</f>
        <v>12782</v>
      </c>
      <c r="G64">
        <v>0</v>
      </c>
      <c r="H64">
        <f>Cleaned[[#This Row],[Credit]] *  Cleaned[[#This Row],[FX_rates]]</f>
        <v>0</v>
      </c>
      <c r="I64" t="s">
        <v>2022</v>
      </c>
      <c r="J64" t="s">
        <v>2027</v>
      </c>
      <c r="K64" t="s">
        <v>2093</v>
      </c>
      <c r="L64" t="s">
        <v>4032</v>
      </c>
      <c r="M64">
        <f>Cleaned[[#This Row],[Credit]]-Cleaned[[#This Row],[Debit]]</f>
        <v>-145.25</v>
      </c>
      <c r="N64" t="str">
        <f>_xlfn.XLOOKUP(Cleaned[[#This Row],[AccountName]], Account_Mapping!A:A, Account_Mapping!B:B,"Unmapped")</f>
        <v>Operating Expense</v>
      </c>
      <c r="O64" cm="1">
        <f t="array" ref="O64">_xlfn.XLOOKUP(
  1,
  (FX_Rates[Currency]=Cleaned[[#This Row],[Currency]])*
  (FX_Rates[RateDate]&lt;=Cleaned[[#This Row],[TxnDate]]),
  FX_Rates[Rate_To_INR],
  ,
  -1
)</f>
        <v>88</v>
      </c>
      <c r="P64" s="2">
        <f>Cleaned[[#This Row],[Net Amount]] *  Cleaned[[#This Row],[FX_rates]]</f>
        <v>-12782</v>
      </c>
    </row>
    <row r="65" spans="1:16" x14ac:dyDescent="0.45">
      <c r="A65" t="s">
        <v>73</v>
      </c>
      <c r="B65" s="1">
        <v>45529</v>
      </c>
      <c r="C65" s="2" t="s">
        <v>2012</v>
      </c>
      <c r="D65" t="s">
        <v>2017</v>
      </c>
      <c r="E65">
        <v>1423.44</v>
      </c>
      <c r="F65">
        <f>Cleaned[[#This Row],[Debit]] * Cleaned[[#This Row],[FX_rates]]</f>
        <v>125262.72</v>
      </c>
      <c r="G65">
        <v>0</v>
      </c>
      <c r="H65">
        <f>Cleaned[[#This Row],[Credit]] *  Cleaned[[#This Row],[FX_rates]]</f>
        <v>0</v>
      </c>
      <c r="I65" t="s">
        <v>2023</v>
      </c>
      <c r="J65" t="s">
        <v>2027</v>
      </c>
      <c r="K65" t="s">
        <v>2094</v>
      </c>
      <c r="L65" t="s">
        <v>4032</v>
      </c>
      <c r="M65">
        <f>Cleaned[[#This Row],[Credit]]-Cleaned[[#This Row],[Debit]]</f>
        <v>-1423.44</v>
      </c>
      <c r="N65" t="str">
        <f>_xlfn.XLOOKUP(Cleaned[[#This Row],[AccountName]], Account_Mapping!A:A, Account_Mapping!B:B,"Unmapped")</f>
        <v>Operating Expense</v>
      </c>
      <c r="O65" cm="1">
        <f t="array" ref="O65">_xlfn.XLOOKUP(
  1,
  (FX_Rates[Currency]=Cleaned[[#This Row],[Currency]])*
  (FX_Rates[RateDate]&lt;=Cleaned[[#This Row],[TxnDate]]),
  FX_Rates[Rate_To_INR],
  ,
  -1
)</f>
        <v>88</v>
      </c>
      <c r="P65" s="2">
        <f>Cleaned[[#This Row],[Net Amount]] *  Cleaned[[#This Row],[FX_rates]]</f>
        <v>-125262.72</v>
      </c>
    </row>
    <row r="66" spans="1:16" x14ac:dyDescent="0.45">
      <c r="A66" t="s">
        <v>74</v>
      </c>
      <c r="B66" s="1">
        <v>45172</v>
      </c>
      <c r="C66" s="2" t="s">
        <v>2013</v>
      </c>
      <c r="D66" t="s">
        <v>2018</v>
      </c>
      <c r="E66">
        <v>793.01</v>
      </c>
      <c r="F66">
        <f>Cleaned[[#This Row],[Debit]] * Cleaned[[#This Row],[FX_rates]]</f>
        <v>48373.61</v>
      </c>
      <c r="G66">
        <v>0</v>
      </c>
      <c r="H66">
        <f>Cleaned[[#This Row],[Credit]] *  Cleaned[[#This Row],[FX_rates]]</f>
        <v>0</v>
      </c>
      <c r="I66" t="s">
        <v>2022</v>
      </c>
      <c r="J66" t="s">
        <v>2030</v>
      </c>
      <c r="K66" t="s">
        <v>2095</v>
      </c>
      <c r="L66" t="s">
        <v>4035</v>
      </c>
      <c r="M66">
        <f>Cleaned[[#This Row],[Credit]]-Cleaned[[#This Row],[Debit]]</f>
        <v>-793.01</v>
      </c>
      <c r="N66" t="str">
        <f>_xlfn.XLOOKUP(Cleaned[[#This Row],[AccountName]], Account_Mapping!A:A, Account_Mapping!B:B,"Unmapped")</f>
        <v>Operating Expense</v>
      </c>
      <c r="O66" cm="1">
        <f t="array" ref="O66">_xlfn.XLOOKUP(
  1,
  (FX_Rates[Currency]=Cleaned[[#This Row],[Currency]])*
  (FX_Rates[RateDate]&lt;=Cleaned[[#This Row],[TxnDate]]),
  FX_Rates[Rate_To_INR],
  ,
  -1
)</f>
        <v>61</v>
      </c>
      <c r="P66" s="2">
        <f>Cleaned[[#This Row],[Net Amount]] *  Cleaned[[#This Row],[FX_rates]]</f>
        <v>-48373.61</v>
      </c>
    </row>
    <row r="67" spans="1:16" x14ac:dyDescent="0.45">
      <c r="A67" t="s">
        <v>75</v>
      </c>
      <c r="B67" s="1">
        <v>44984</v>
      </c>
      <c r="C67" s="2" t="s">
        <v>2014</v>
      </c>
      <c r="D67" t="s">
        <v>2019</v>
      </c>
      <c r="E67">
        <v>0</v>
      </c>
      <c r="F67">
        <f>Cleaned[[#This Row],[Debit]] * Cleaned[[#This Row],[FX_rates]]</f>
        <v>0</v>
      </c>
      <c r="G67">
        <v>2977.78</v>
      </c>
      <c r="H67">
        <f>Cleaned[[#This Row],[Credit]] *  Cleaned[[#This Row],[FX_rates]]</f>
        <v>244177.96000000002</v>
      </c>
      <c r="I67" t="s">
        <v>2023</v>
      </c>
      <c r="J67" t="s">
        <v>2027</v>
      </c>
      <c r="K67" t="s">
        <v>2096</v>
      </c>
      <c r="L67" t="s">
        <v>4034</v>
      </c>
      <c r="M67">
        <f>Cleaned[[#This Row],[Credit]]-Cleaned[[#This Row],[Debit]]</f>
        <v>2977.78</v>
      </c>
      <c r="N67" t="str">
        <f>_xlfn.XLOOKUP(Cleaned[[#This Row],[AccountName]], Account_Mapping!A:A, Account_Mapping!B:B,"Unmapped")</f>
        <v>Revenue</v>
      </c>
      <c r="O67" cm="1">
        <f t="array" ref="O67">_xlfn.XLOOKUP(
  1,
  (FX_Rates[Currency]=Cleaned[[#This Row],[Currency]])*
  (FX_Rates[RateDate]&lt;=Cleaned[[#This Row],[TxnDate]]),
  FX_Rates[Rate_To_INR],
  ,
  -1
)</f>
        <v>82</v>
      </c>
      <c r="P67" s="2">
        <f>Cleaned[[#This Row],[Net Amount]] *  Cleaned[[#This Row],[FX_rates]]</f>
        <v>244177.96000000002</v>
      </c>
    </row>
    <row r="68" spans="1:16" x14ac:dyDescent="0.45">
      <c r="A68" t="s">
        <v>76</v>
      </c>
      <c r="B68" s="1">
        <v>45214</v>
      </c>
      <c r="C68" s="2" t="s">
        <v>2013</v>
      </c>
      <c r="D68" t="s">
        <v>2018</v>
      </c>
      <c r="E68">
        <v>1212.6500000000001</v>
      </c>
      <c r="F68">
        <f>Cleaned[[#This Row],[Debit]] * Cleaned[[#This Row],[FX_rates]]</f>
        <v>106713.20000000001</v>
      </c>
      <c r="G68">
        <v>0</v>
      </c>
      <c r="H68">
        <f>Cleaned[[#This Row],[Credit]] *  Cleaned[[#This Row],[FX_rates]]</f>
        <v>0</v>
      </c>
      <c r="I68" t="s">
        <v>2025</v>
      </c>
      <c r="J68" t="s">
        <v>2026</v>
      </c>
      <c r="K68" t="s">
        <v>2097</v>
      </c>
      <c r="L68" t="s">
        <v>4032</v>
      </c>
      <c r="M68">
        <f>Cleaned[[#This Row],[Credit]]-Cleaned[[#This Row],[Debit]]</f>
        <v>-1212.6500000000001</v>
      </c>
      <c r="N68" t="str">
        <f>_xlfn.XLOOKUP(Cleaned[[#This Row],[AccountName]], Account_Mapping!A:A, Account_Mapping!B:B,"Unmapped")</f>
        <v>Operating Expense</v>
      </c>
      <c r="O68" cm="1">
        <f t="array" ref="O68">_xlfn.XLOOKUP(
  1,
  (FX_Rates[Currency]=Cleaned[[#This Row],[Currency]])*
  (FX_Rates[RateDate]&lt;=Cleaned[[#This Row],[TxnDate]]),
  FX_Rates[Rate_To_INR],
  ,
  -1
)</f>
        <v>88</v>
      </c>
      <c r="P68" s="2">
        <f>Cleaned[[#This Row],[Net Amount]] *  Cleaned[[#This Row],[FX_rates]]</f>
        <v>-106713.20000000001</v>
      </c>
    </row>
    <row r="69" spans="1:16" x14ac:dyDescent="0.45">
      <c r="A69" t="s">
        <v>77</v>
      </c>
      <c r="B69" s="1">
        <v>45778</v>
      </c>
      <c r="C69" s="2" t="s">
        <v>2010</v>
      </c>
      <c r="D69" t="s">
        <v>2015</v>
      </c>
      <c r="E69">
        <v>0</v>
      </c>
      <c r="F69">
        <f>Cleaned[[#This Row],[Debit]] * Cleaned[[#This Row],[FX_rates]]</f>
        <v>0</v>
      </c>
      <c r="G69">
        <v>1204.96</v>
      </c>
      <c r="H69">
        <f>Cleaned[[#This Row],[Credit]] *  Cleaned[[#This Row],[FX_rates]]</f>
        <v>124110.88</v>
      </c>
      <c r="I69" t="s">
        <v>2025</v>
      </c>
      <c r="J69" t="s">
        <v>2027</v>
      </c>
      <c r="K69" t="s">
        <v>2098</v>
      </c>
      <c r="L69" t="s">
        <v>4031</v>
      </c>
      <c r="M69">
        <f>Cleaned[[#This Row],[Credit]]-Cleaned[[#This Row],[Debit]]</f>
        <v>1204.96</v>
      </c>
      <c r="N69" t="str">
        <f>_xlfn.XLOOKUP(Cleaned[[#This Row],[AccountName]], Account_Mapping!A:A, Account_Mapping!B:B,"Unmapped")</f>
        <v>Revenue</v>
      </c>
      <c r="O69" cm="1">
        <f t="array" ref="O69">_xlfn.XLOOKUP(
  1,
  (FX_Rates[Currency]=Cleaned[[#This Row],[Currency]])*
  (FX_Rates[RateDate]&lt;=Cleaned[[#This Row],[TxnDate]]),
  FX_Rates[Rate_To_INR],
  ,
  -1
)</f>
        <v>103</v>
      </c>
      <c r="P69" s="2">
        <f>Cleaned[[#This Row],[Net Amount]] *  Cleaned[[#This Row],[FX_rates]]</f>
        <v>124110.88</v>
      </c>
    </row>
    <row r="70" spans="1:16" x14ac:dyDescent="0.45">
      <c r="A70" t="s">
        <v>78</v>
      </c>
      <c r="B70" s="1">
        <v>45831</v>
      </c>
      <c r="C70" s="2" t="s">
        <v>2013</v>
      </c>
      <c r="D70" t="s">
        <v>2018</v>
      </c>
      <c r="E70">
        <v>1735.7</v>
      </c>
      <c r="F70">
        <f>Cleaned[[#This Row],[Debit]] * Cleaned[[#This Row],[FX_rates]]</f>
        <v>142327.4</v>
      </c>
      <c r="G70">
        <v>0</v>
      </c>
      <c r="H70">
        <f>Cleaned[[#This Row],[Credit]] *  Cleaned[[#This Row],[FX_rates]]</f>
        <v>0</v>
      </c>
      <c r="I70" t="s">
        <v>2023</v>
      </c>
      <c r="J70" t="s">
        <v>2030</v>
      </c>
      <c r="K70" t="s">
        <v>2099</v>
      </c>
      <c r="L70" t="s">
        <v>4034</v>
      </c>
      <c r="M70">
        <f>Cleaned[[#This Row],[Credit]]-Cleaned[[#This Row],[Debit]]</f>
        <v>-1735.7</v>
      </c>
      <c r="N70" t="str">
        <f>_xlfn.XLOOKUP(Cleaned[[#This Row],[AccountName]], Account_Mapping!A:A, Account_Mapping!B:B,"Unmapped")</f>
        <v>Operating Expense</v>
      </c>
      <c r="O70" cm="1">
        <f t="array" ref="O70">_xlfn.XLOOKUP(
  1,
  (FX_Rates[Currency]=Cleaned[[#This Row],[Currency]])*
  (FX_Rates[RateDate]&lt;=Cleaned[[#This Row],[TxnDate]]),
  FX_Rates[Rate_To_INR],
  ,
  -1
)</f>
        <v>82</v>
      </c>
      <c r="P70" s="2">
        <f>Cleaned[[#This Row],[Net Amount]] *  Cleaned[[#This Row],[FX_rates]]</f>
        <v>-142327.4</v>
      </c>
    </row>
    <row r="71" spans="1:16" x14ac:dyDescent="0.45">
      <c r="A71" t="s">
        <v>79</v>
      </c>
      <c r="B71" s="1">
        <v>45826</v>
      </c>
      <c r="C71" s="2" t="s">
        <v>2012</v>
      </c>
      <c r="D71" t="s">
        <v>2017</v>
      </c>
      <c r="E71">
        <v>1095.32</v>
      </c>
      <c r="F71">
        <f>Cleaned[[#This Row],[Debit]] * Cleaned[[#This Row],[FX_rates]]</f>
        <v>61337.919999999998</v>
      </c>
      <c r="G71">
        <v>0</v>
      </c>
      <c r="H71">
        <f>Cleaned[[#This Row],[Credit]] *  Cleaned[[#This Row],[FX_rates]]</f>
        <v>0</v>
      </c>
      <c r="I71" t="s">
        <v>2024</v>
      </c>
      <c r="J71" t="s">
        <v>2026</v>
      </c>
      <c r="K71" t="s">
        <v>2100</v>
      </c>
      <c r="L71" t="s">
        <v>4033</v>
      </c>
      <c r="M71">
        <f>Cleaned[[#This Row],[Credit]]-Cleaned[[#This Row],[Debit]]</f>
        <v>-1095.32</v>
      </c>
      <c r="N71" t="str">
        <f>_xlfn.XLOOKUP(Cleaned[[#This Row],[AccountName]], Account_Mapping!A:A, Account_Mapping!B:B,"Unmapped")</f>
        <v>Operating Expense</v>
      </c>
      <c r="O71" cm="1">
        <f t="array" ref="O71">_xlfn.XLOOKUP(
  1,
  (FX_Rates[Currency]=Cleaned[[#This Row],[Currency]])*
  (FX_Rates[RateDate]&lt;=Cleaned[[#This Row],[TxnDate]]),
  FX_Rates[Rate_To_INR],
  ,
  -1
)</f>
        <v>56</v>
      </c>
      <c r="P71" s="2">
        <f>Cleaned[[#This Row],[Net Amount]] *  Cleaned[[#This Row],[FX_rates]]</f>
        <v>-61337.919999999998</v>
      </c>
    </row>
    <row r="72" spans="1:16" x14ac:dyDescent="0.45">
      <c r="A72" t="s">
        <v>80</v>
      </c>
      <c r="B72" s="1">
        <v>45430</v>
      </c>
      <c r="C72" s="2" t="s">
        <v>2012</v>
      </c>
      <c r="D72" t="s">
        <v>2017</v>
      </c>
      <c r="E72">
        <v>553.17999999999995</v>
      </c>
      <c r="F72">
        <f>Cleaned[[#This Row],[Debit]] * Cleaned[[#This Row],[FX_rates]]</f>
        <v>45360.759999999995</v>
      </c>
      <c r="G72">
        <v>0</v>
      </c>
      <c r="H72">
        <f>Cleaned[[#This Row],[Credit]] *  Cleaned[[#This Row],[FX_rates]]</f>
        <v>0</v>
      </c>
      <c r="I72" t="s">
        <v>2022</v>
      </c>
      <c r="J72" t="s">
        <v>2027</v>
      </c>
      <c r="K72" t="s">
        <v>2101</v>
      </c>
      <c r="L72" t="s">
        <v>4034</v>
      </c>
      <c r="M72">
        <f>Cleaned[[#This Row],[Credit]]-Cleaned[[#This Row],[Debit]]</f>
        <v>-553.17999999999995</v>
      </c>
      <c r="N72" t="str">
        <f>_xlfn.XLOOKUP(Cleaned[[#This Row],[AccountName]], Account_Mapping!A:A, Account_Mapping!B:B,"Unmapped")</f>
        <v>Operating Expense</v>
      </c>
      <c r="O72" cm="1">
        <f t="array" ref="O72">_xlfn.XLOOKUP(
  1,
  (FX_Rates[Currency]=Cleaned[[#This Row],[Currency]])*
  (FX_Rates[RateDate]&lt;=Cleaned[[#This Row],[TxnDate]]),
  FX_Rates[Rate_To_INR],
  ,
  -1
)</f>
        <v>82</v>
      </c>
      <c r="P72" s="2">
        <f>Cleaned[[#This Row],[Net Amount]] *  Cleaned[[#This Row],[FX_rates]]</f>
        <v>-45360.759999999995</v>
      </c>
    </row>
    <row r="73" spans="1:16" x14ac:dyDescent="0.45">
      <c r="A73" t="s">
        <v>81</v>
      </c>
      <c r="B73" s="1">
        <v>45781</v>
      </c>
      <c r="C73" s="2" t="s">
        <v>2010</v>
      </c>
      <c r="D73" t="s">
        <v>2015</v>
      </c>
      <c r="E73">
        <v>0</v>
      </c>
      <c r="F73">
        <f>Cleaned[[#This Row],[Debit]] * Cleaned[[#This Row],[FX_rates]]</f>
        <v>0</v>
      </c>
      <c r="G73">
        <v>2434.5500000000002</v>
      </c>
      <c r="H73">
        <f>Cleaned[[#This Row],[Credit]] *  Cleaned[[#This Row],[FX_rates]]</f>
        <v>148507.55000000002</v>
      </c>
      <c r="I73" t="s">
        <v>2024</v>
      </c>
      <c r="J73" t="s">
        <v>2027</v>
      </c>
      <c r="K73" t="s">
        <v>2102</v>
      </c>
      <c r="L73" t="s">
        <v>4035</v>
      </c>
      <c r="M73">
        <f>Cleaned[[#This Row],[Credit]]-Cleaned[[#This Row],[Debit]]</f>
        <v>2434.5500000000002</v>
      </c>
      <c r="N73" t="str">
        <f>_xlfn.XLOOKUP(Cleaned[[#This Row],[AccountName]], Account_Mapping!A:A, Account_Mapping!B:B,"Unmapped")</f>
        <v>Revenue</v>
      </c>
      <c r="O73" cm="1">
        <f t="array" ref="O73">_xlfn.XLOOKUP(
  1,
  (FX_Rates[Currency]=Cleaned[[#This Row],[Currency]])*
  (FX_Rates[RateDate]&lt;=Cleaned[[#This Row],[TxnDate]]),
  FX_Rates[Rate_To_INR],
  ,
  -1
)</f>
        <v>61</v>
      </c>
      <c r="P73" s="2">
        <f>Cleaned[[#This Row],[Net Amount]] *  Cleaned[[#This Row],[FX_rates]]</f>
        <v>148507.55000000002</v>
      </c>
    </row>
    <row r="74" spans="1:16" x14ac:dyDescent="0.45">
      <c r="A74" t="s">
        <v>82</v>
      </c>
      <c r="B74" s="1">
        <v>45343</v>
      </c>
      <c r="C74" s="2" t="s">
        <v>2011</v>
      </c>
      <c r="D74" t="s">
        <v>2016</v>
      </c>
      <c r="E74">
        <v>156.53</v>
      </c>
      <c r="F74">
        <f>Cleaned[[#This Row],[Debit]] * Cleaned[[#This Row],[FX_rates]]</f>
        <v>12835.460000000001</v>
      </c>
      <c r="G74">
        <v>0</v>
      </c>
      <c r="H74">
        <f>Cleaned[[#This Row],[Credit]] *  Cleaned[[#This Row],[FX_rates]]</f>
        <v>0</v>
      </c>
      <c r="I74" t="s">
        <v>2024</v>
      </c>
      <c r="J74" t="s">
        <v>2026</v>
      </c>
      <c r="K74" t="s">
        <v>2103</v>
      </c>
      <c r="L74" t="s">
        <v>4034</v>
      </c>
      <c r="M74">
        <f>Cleaned[[#This Row],[Credit]]-Cleaned[[#This Row],[Debit]]</f>
        <v>-156.53</v>
      </c>
      <c r="N74" t="str">
        <f>_xlfn.XLOOKUP(Cleaned[[#This Row],[AccountName]], Account_Mapping!A:A, Account_Mapping!B:B,"Unmapped")</f>
        <v>COGS</v>
      </c>
      <c r="O74" cm="1">
        <f t="array" ref="O74">_xlfn.XLOOKUP(
  1,
  (FX_Rates[Currency]=Cleaned[[#This Row],[Currency]])*
  (FX_Rates[RateDate]&lt;=Cleaned[[#This Row],[TxnDate]]),
  FX_Rates[Rate_To_INR],
  ,
  -1
)</f>
        <v>82</v>
      </c>
      <c r="P74" s="2">
        <f>Cleaned[[#This Row],[Net Amount]] *  Cleaned[[#This Row],[FX_rates]]</f>
        <v>-12835.460000000001</v>
      </c>
    </row>
    <row r="75" spans="1:16" x14ac:dyDescent="0.45">
      <c r="A75" t="s">
        <v>83</v>
      </c>
      <c r="B75" s="1">
        <v>45690</v>
      </c>
      <c r="C75" s="2" t="s">
        <v>2012</v>
      </c>
      <c r="D75" t="s">
        <v>2017</v>
      </c>
      <c r="E75">
        <v>1231.32</v>
      </c>
      <c r="F75">
        <f>Cleaned[[#This Row],[Debit]] * Cleaned[[#This Row],[FX_rates]]</f>
        <v>126825.95999999999</v>
      </c>
      <c r="G75">
        <v>0</v>
      </c>
      <c r="H75">
        <f>Cleaned[[#This Row],[Credit]] *  Cleaned[[#This Row],[FX_rates]]</f>
        <v>0</v>
      </c>
      <c r="I75" t="s">
        <v>2021</v>
      </c>
      <c r="J75" t="s">
        <v>2029</v>
      </c>
      <c r="K75" t="s">
        <v>2104</v>
      </c>
      <c r="L75" t="s">
        <v>4031</v>
      </c>
      <c r="M75">
        <f>Cleaned[[#This Row],[Credit]]-Cleaned[[#This Row],[Debit]]</f>
        <v>-1231.32</v>
      </c>
      <c r="N75" t="str">
        <f>_xlfn.XLOOKUP(Cleaned[[#This Row],[AccountName]], Account_Mapping!A:A, Account_Mapping!B:B,"Unmapped")</f>
        <v>Operating Expense</v>
      </c>
      <c r="O75" cm="1">
        <f t="array" ref="O75">_xlfn.XLOOKUP(
  1,
  (FX_Rates[Currency]=Cleaned[[#This Row],[Currency]])*
  (FX_Rates[RateDate]&lt;=Cleaned[[#This Row],[TxnDate]]),
  FX_Rates[Rate_To_INR],
  ,
  -1
)</f>
        <v>103</v>
      </c>
      <c r="P75" s="2">
        <f>Cleaned[[#This Row],[Net Amount]] *  Cleaned[[#This Row],[FX_rates]]</f>
        <v>-126825.95999999999</v>
      </c>
    </row>
    <row r="76" spans="1:16" x14ac:dyDescent="0.45">
      <c r="A76" t="s">
        <v>84</v>
      </c>
      <c r="B76" s="1">
        <v>45551</v>
      </c>
      <c r="C76" s="2" t="s">
        <v>2013</v>
      </c>
      <c r="D76" t="s">
        <v>2018</v>
      </c>
      <c r="E76">
        <v>1844.88</v>
      </c>
      <c r="F76">
        <f>Cleaned[[#This Row],[Debit]] * Cleaned[[#This Row],[FX_rates]]</f>
        <v>103313.28</v>
      </c>
      <c r="G76">
        <v>0</v>
      </c>
      <c r="H76">
        <f>Cleaned[[#This Row],[Credit]] *  Cleaned[[#This Row],[FX_rates]]</f>
        <v>0</v>
      </c>
      <c r="I76" t="s">
        <v>2020</v>
      </c>
      <c r="J76" t="s">
        <v>2030</v>
      </c>
      <c r="K76" t="s">
        <v>2105</v>
      </c>
      <c r="L76" t="s">
        <v>4033</v>
      </c>
      <c r="M76">
        <f>Cleaned[[#This Row],[Credit]]-Cleaned[[#This Row],[Debit]]</f>
        <v>-1844.88</v>
      </c>
      <c r="N76" t="str">
        <f>_xlfn.XLOOKUP(Cleaned[[#This Row],[AccountName]], Account_Mapping!A:A, Account_Mapping!B:B,"Unmapped")</f>
        <v>Operating Expense</v>
      </c>
      <c r="O76" cm="1">
        <f t="array" ref="O76">_xlfn.XLOOKUP(
  1,
  (FX_Rates[Currency]=Cleaned[[#This Row],[Currency]])*
  (FX_Rates[RateDate]&lt;=Cleaned[[#This Row],[TxnDate]]),
  FX_Rates[Rate_To_INR],
  ,
  -1
)</f>
        <v>56</v>
      </c>
      <c r="P76" s="2">
        <f>Cleaned[[#This Row],[Net Amount]] *  Cleaned[[#This Row],[FX_rates]]</f>
        <v>-103313.28</v>
      </c>
    </row>
    <row r="77" spans="1:16" x14ac:dyDescent="0.45">
      <c r="A77" t="s">
        <v>85</v>
      </c>
      <c r="B77" s="1">
        <v>45751</v>
      </c>
      <c r="C77" s="2" t="s">
        <v>2013</v>
      </c>
      <c r="D77" t="s">
        <v>2018</v>
      </c>
      <c r="E77">
        <v>1368.26</v>
      </c>
      <c r="F77">
        <f>Cleaned[[#This Row],[Debit]] * Cleaned[[#This Row],[FX_rates]]</f>
        <v>140930.78</v>
      </c>
      <c r="G77">
        <v>0</v>
      </c>
      <c r="H77">
        <f>Cleaned[[#This Row],[Credit]] *  Cleaned[[#This Row],[FX_rates]]</f>
        <v>0</v>
      </c>
      <c r="I77" t="s">
        <v>2024</v>
      </c>
      <c r="J77" t="s">
        <v>2026</v>
      </c>
      <c r="K77" t="s">
        <v>2106</v>
      </c>
      <c r="L77" t="s">
        <v>4031</v>
      </c>
      <c r="M77">
        <f>Cleaned[[#This Row],[Credit]]-Cleaned[[#This Row],[Debit]]</f>
        <v>-1368.26</v>
      </c>
      <c r="N77" t="str">
        <f>_xlfn.XLOOKUP(Cleaned[[#This Row],[AccountName]], Account_Mapping!A:A, Account_Mapping!B:B,"Unmapped")</f>
        <v>Operating Expense</v>
      </c>
      <c r="O77" cm="1">
        <f t="array" ref="O77">_xlfn.XLOOKUP(
  1,
  (FX_Rates[Currency]=Cleaned[[#This Row],[Currency]])*
  (FX_Rates[RateDate]&lt;=Cleaned[[#This Row],[TxnDate]]),
  FX_Rates[Rate_To_INR],
  ,
  -1
)</f>
        <v>103</v>
      </c>
      <c r="P77" s="2">
        <f>Cleaned[[#This Row],[Net Amount]] *  Cleaned[[#This Row],[FX_rates]]</f>
        <v>-140930.78</v>
      </c>
    </row>
    <row r="78" spans="1:16" x14ac:dyDescent="0.45">
      <c r="A78" t="s">
        <v>86</v>
      </c>
      <c r="B78" s="1">
        <v>45437</v>
      </c>
      <c r="C78" s="2" t="s">
        <v>2010</v>
      </c>
      <c r="D78" t="s">
        <v>2015</v>
      </c>
      <c r="E78">
        <v>0</v>
      </c>
      <c r="F78">
        <f>Cleaned[[#This Row],[Debit]] * Cleaned[[#This Row],[FX_rates]]</f>
        <v>0</v>
      </c>
      <c r="G78">
        <v>2609.56</v>
      </c>
      <c r="H78">
        <f>Cleaned[[#This Row],[Credit]] *  Cleaned[[#This Row],[FX_rates]]</f>
        <v>268784.68</v>
      </c>
      <c r="I78" t="s">
        <v>2020</v>
      </c>
      <c r="J78" t="s">
        <v>2028</v>
      </c>
      <c r="K78" t="s">
        <v>2107</v>
      </c>
      <c r="L78" t="s">
        <v>4031</v>
      </c>
      <c r="M78">
        <f>Cleaned[[#This Row],[Credit]]-Cleaned[[#This Row],[Debit]]</f>
        <v>2609.56</v>
      </c>
      <c r="N78" t="str">
        <f>_xlfn.XLOOKUP(Cleaned[[#This Row],[AccountName]], Account_Mapping!A:A, Account_Mapping!B:B,"Unmapped")</f>
        <v>Revenue</v>
      </c>
      <c r="O78" cm="1">
        <f t="array" ref="O78">_xlfn.XLOOKUP(
  1,
  (FX_Rates[Currency]=Cleaned[[#This Row],[Currency]])*
  (FX_Rates[RateDate]&lt;=Cleaned[[#This Row],[TxnDate]]),
  FX_Rates[Rate_To_INR],
  ,
  -1
)</f>
        <v>103</v>
      </c>
      <c r="P78" s="2">
        <f>Cleaned[[#This Row],[Net Amount]] *  Cleaned[[#This Row],[FX_rates]]</f>
        <v>268784.68</v>
      </c>
    </row>
    <row r="79" spans="1:16" x14ac:dyDescent="0.45">
      <c r="A79" t="s">
        <v>87</v>
      </c>
      <c r="B79" s="1">
        <v>45012</v>
      </c>
      <c r="C79" s="2" t="s">
        <v>2012</v>
      </c>
      <c r="D79" t="s">
        <v>2017</v>
      </c>
      <c r="E79">
        <v>1420.84</v>
      </c>
      <c r="F79">
        <f>Cleaned[[#This Row],[Debit]] * Cleaned[[#This Row],[FX_rates]]</f>
        <v>79567.039999999994</v>
      </c>
      <c r="G79">
        <v>0</v>
      </c>
      <c r="H79">
        <f>Cleaned[[#This Row],[Credit]] *  Cleaned[[#This Row],[FX_rates]]</f>
        <v>0</v>
      </c>
      <c r="I79" t="s">
        <v>2022</v>
      </c>
      <c r="J79" t="s">
        <v>2028</v>
      </c>
      <c r="K79" t="s">
        <v>2108</v>
      </c>
      <c r="L79" t="s">
        <v>4033</v>
      </c>
      <c r="M79">
        <f>Cleaned[[#This Row],[Credit]]-Cleaned[[#This Row],[Debit]]</f>
        <v>-1420.84</v>
      </c>
      <c r="N79" t="str">
        <f>_xlfn.XLOOKUP(Cleaned[[#This Row],[AccountName]], Account_Mapping!A:A, Account_Mapping!B:B,"Unmapped")</f>
        <v>Operating Expense</v>
      </c>
      <c r="O79" cm="1">
        <f t="array" ref="O79">_xlfn.XLOOKUP(
  1,
  (FX_Rates[Currency]=Cleaned[[#This Row],[Currency]])*
  (FX_Rates[RateDate]&lt;=Cleaned[[#This Row],[TxnDate]]),
  FX_Rates[Rate_To_INR],
  ,
  -1
)</f>
        <v>56</v>
      </c>
      <c r="P79" s="2">
        <f>Cleaned[[#This Row],[Net Amount]] *  Cleaned[[#This Row],[FX_rates]]</f>
        <v>-79567.039999999994</v>
      </c>
    </row>
    <row r="80" spans="1:16" x14ac:dyDescent="0.45">
      <c r="A80" t="s">
        <v>88</v>
      </c>
      <c r="B80" s="1">
        <v>45742</v>
      </c>
      <c r="C80" s="2" t="s">
        <v>2011</v>
      </c>
      <c r="D80" t="s">
        <v>2016</v>
      </c>
      <c r="E80">
        <v>1671.57</v>
      </c>
      <c r="F80">
        <f>Cleaned[[#This Row],[Debit]] * Cleaned[[#This Row],[FX_rates]]</f>
        <v>172171.71</v>
      </c>
      <c r="G80">
        <v>0</v>
      </c>
      <c r="H80">
        <f>Cleaned[[#This Row],[Credit]] *  Cleaned[[#This Row],[FX_rates]]</f>
        <v>0</v>
      </c>
      <c r="I80" t="s">
        <v>2024</v>
      </c>
      <c r="J80" t="s">
        <v>2027</v>
      </c>
      <c r="K80" t="s">
        <v>2109</v>
      </c>
      <c r="L80" t="s">
        <v>4031</v>
      </c>
      <c r="M80">
        <f>Cleaned[[#This Row],[Credit]]-Cleaned[[#This Row],[Debit]]</f>
        <v>-1671.57</v>
      </c>
      <c r="N80" t="str">
        <f>_xlfn.XLOOKUP(Cleaned[[#This Row],[AccountName]], Account_Mapping!A:A, Account_Mapping!B:B,"Unmapped")</f>
        <v>COGS</v>
      </c>
      <c r="O80" cm="1">
        <f t="array" ref="O80">_xlfn.XLOOKUP(
  1,
  (FX_Rates[Currency]=Cleaned[[#This Row],[Currency]])*
  (FX_Rates[RateDate]&lt;=Cleaned[[#This Row],[TxnDate]]),
  FX_Rates[Rate_To_INR],
  ,
  -1
)</f>
        <v>103</v>
      </c>
      <c r="P80" s="2">
        <f>Cleaned[[#This Row],[Net Amount]] *  Cleaned[[#This Row],[FX_rates]]</f>
        <v>-172171.71</v>
      </c>
    </row>
    <row r="81" spans="1:16" x14ac:dyDescent="0.45">
      <c r="A81" t="s">
        <v>89</v>
      </c>
      <c r="B81" s="1">
        <v>45001</v>
      </c>
      <c r="C81" s="2" t="s">
        <v>2012</v>
      </c>
      <c r="D81" t="s">
        <v>2017</v>
      </c>
      <c r="E81">
        <v>498.83</v>
      </c>
      <c r="F81">
        <f>Cleaned[[#This Row],[Debit]] * Cleaned[[#This Row],[FX_rates]]</f>
        <v>27934.48</v>
      </c>
      <c r="G81">
        <v>0</v>
      </c>
      <c r="H81">
        <f>Cleaned[[#This Row],[Credit]] *  Cleaned[[#This Row],[FX_rates]]</f>
        <v>0</v>
      </c>
      <c r="I81" t="s">
        <v>2025</v>
      </c>
      <c r="J81" t="s">
        <v>2027</v>
      </c>
      <c r="K81" t="s">
        <v>2110</v>
      </c>
      <c r="L81" t="s">
        <v>4033</v>
      </c>
      <c r="M81">
        <f>Cleaned[[#This Row],[Credit]]-Cleaned[[#This Row],[Debit]]</f>
        <v>-498.83</v>
      </c>
      <c r="N81" t="str">
        <f>_xlfn.XLOOKUP(Cleaned[[#This Row],[AccountName]], Account_Mapping!A:A, Account_Mapping!B:B,"Unmapped")</f>
        <v>Operating Expense</v>
      </c>
      <c r="O81" cm="1">
        <f t="array" ref="O81">_xlfn.XLOOKUP(
  1,
  (FX_Rates[Currency]=Cleaned[[#This Row],[Currency]])*
  (FX_Rates[RateDate]&lt;=Cleaned[[#This Row],[TxnDate]]),
  FX_Rates[Rate_To_INR],
  ,
  -1
)</f>
        <v>56</v>
      </c>
      <c r="P81" s="2">
        <f>Cleaned[[#This Row],[Net Amount]] *  Cleaned[[#This Row],[FX_rates]]</f>
        <v>-27934.48</v>
      </c>
    </row>
    <row r="82" spans="1:16" x14ac:dyDescent="0.45">
      <c r="A82" t="s">
        <v>90</v>
      </c>
      <c r="B82" s="1">
        <v>45799</v>
      </c>
      <c r="C82" s="2" t="s">
        <v>2013</v>
      </c>
      <c r="D82" t="s">
        <v>2018</v>
      </c>
      <c r="E82">
        <v>1528.9</v>
      </c>
      <c r="F82">
        <f>Cleaned[[#This Row],[Debit]] * Cleaned[[#This Row],[FX_rates]]</f>
        <v>125369.8</v>
      </c>
      <c r="G82">
        <v>0</v>
      </c>
      <c r="H82">
        <f>Cleaned[[#This Row],[Credit]] *  Cleaned[[#This Row],[FX_rates]]</f>
        <v>0</v>
      </c>
      <c r="I82" t="s">
        <v>2020</v>
      </c>
      <c r="J82" t="s">
        <v>2029</v>
      </c>
      <c r="K82" t="s">
        <v>2111</v>
      </c>
      <c r="L82" t="s">
        <v>4034</v>
      </c>
      <c r="M82">
        <f>Cleaned[[#This Row],[Credit]]-Cleaned[[#This Row],[Debit]]</f>
        <v>-1528.9</v>
      </c>
      <c r="N82" t="str">
        <f>_xlfn.XLOOKUP(Cleaned[[#This Row],[AccountName]], Account_Mapping!A:A, Account_Mapping!B:B,"Unmapped")</f>
        <v>Operating Expense</v>
      </c>
      <c r="O82" cm="1">
        <f t="array" ref="O82">_xlfn.XLOOKUP(
  1,
  (FX_Rates[Currency]=Cleaned[[#This Row],[Currency]])*
  (FX_Rates[RateDate]&lt;=Cleaned[[#This Row],[TxnDate]]),
  FX_Rates[Rate_To_INR],
  ,
  -1
)</f>
        <v>82</v>
      </c>
      <c r="P82" s="2">
        <f>Cleaned[[#This Row],[Net Amount]] *  Cleaned[[#This Row],[FX_rates]]</f>
        <v>-125369.8</v>
      </c>
    </row>
    <row r="83" spans="1:16" x14ac:dyDescent="0.45">
      <c r="A83" t="s">
        <v>91</v>
      </c>
      <c r="B83" s="1">
        <v>45172</v>
      </c>
      <c r="C83" s="2" t="s">
        <v>2010</v>
      </c>
      <c r="D83" t="s">
        <v>2015</v>
      </c>
      <c r="E83">
        <v>0</v>
      </c>
      <c r="F83">
        <f>Cleaned[[#This Row],[Debit]] * Cleaned[[#This Row],[FX_rates]]</f>
        <v>0</v>
      </c>
      <c r="G83">
        <v>4706.6099999999997</v>
      </c>
      <c r="H83">
        <f>Cleaned[[#This Row],[Credit]] *  Cleaned[[#This Row],[FX_rates]]</f>
        <v>414181.68</v>
      </c>
      <c r="I83" t="s">
        <v>2022</v>
      </c>
      <c r="J83" t="s">
        <v>2027</v>
      </c>
      <c r="K83" t="s">
        <v>2112</v>
      </c>
      <c r="L83" t="s">
        <v>4032</v>
      </c>
      <c r="M83">
        <f>Cleaned[[#This Row],[Credit]]-Cleaned[[#This Row],[Debit]]</f>
        <v>4706.6099999999997</v>
      </c>
      <c r="N83" t="str">
        <f>_xlfn.XLOOKUP(Cleaned[[#This Row],[AccountName]], Account_Mapping!A:A, Account_Mapping!B:B,"Unmapped")</f>
        <v>Revenue</v>
      </c>
      <c r="O83" cm="1">
        <f t="array" ref="O83">_xlfn.XLOOKUP(
  1,
  (FX_Rates[Currency]=Cleaned[[#This Row],[Currency]])*
  (FX_Rates[RateDate]&lt;=Cleaned[[#This Row],[TxnDate]]),
  FX_Rates[Rate_To_INR],
  ,
  -1
)</f>
        <v>88</v>
      </c>
      <c r="P83" s="2">
        <f>Cleaned[[#This Row],[Net Amount]] *  Cleaned[[#This Row],[FX_rates]]</f>
        <v>414181.68</v>
      </c>
    </row>
    <row r="84" spans="1:16" x14ac:dyDescent="0.45">
      <c r="A84" t="s">
        <v>92</v>
      </c>
      <c r="B84" s="1">
        <v>45284</v>
      </c>
      <c r="C84" s="2" t="s">
        <v>2013</v>
      </c>
      <c r="D84" t="s">
        <v>2018</v>
      </c>
      <c r="E84">
        <v>1105.6300000000001</v>
      </c>
      <c r="F84">
        <f>Cleaned[[#This Row],[Debit]] * Cleaned[[#This Row],[FX_rates]]</f>
        <v>61915.280000000006</v>
      </c>
      <c r="G84">
        <v>0</v>
      </c>
      <c r="H84">
        <f>Cleaned[[#This Row],[Credit]] *  Cleaned[[#This Row],[FX_rates]]</f>
        <v>0</v>
      </c>
      <c r="I84" t="s">
        <v>2020</v>
      </c>
      <c r="J84" t="s">
        <v>2027</v>
      </c>
      <c r="K84" t="s">
        <v>2113</v>
      </c>
      <c r="L84" t="s">
        <v>4033</v>
      </c>
      <c r="M84">
        <f>Cleaned[[#This Row],[Credit]]-Cleaned[[#This Row],[Debit]]</f>
        <v>-1105.6300000000001</v>
      </c>
      <c r="N84" t="str">
        <f>_xlfn.XLOOKUP(Cleaned[[#This Row],[AccountName]], Account_Mapping!A:A, Account_Mapping!B:B,"Unmapped")</f>
        <v>Operating Expense</v>
      </c>
      <c r="O84" cm="1">
        <f t="array" ref="O84">_xlfn.XLOOKUP(
  1,
  (FX_Rates[Currency]=Cleaned[[#This Row],[Currency]])*
  (FX_Rates[RateDate]&lt;=Cleaned[[#This Row],[TxnDate]]),
  FX_Rates[Rate_To_INR],
  ,
  -1
)</f>
        <v>56</v>
      </c>
      <c r="P84" s="2">
        <f>Cleaned[[#This Row],[Net Amount]] *  Cleaned[[#This Row],[FX_rates]]</f>
        <v>-61915.280000000006</v>
      </c>
    </row>
    <row r="85" spans="1:16" x14ac:dyDescent="0.45">
      <c r="A85" t="s">
        <v>93</v>
      </c>
      <c r="B85" s="1">
        <v>45222</v>
      </c>
      <c r="C85" s="2" t="s">
        <v>2014</v>
      </c>
      <c r="D85" t="s">
        <v>2019</v>
      </c>
      <c r="E85">
        <v>0</v>
      </c>
      <c r="F85">
        <f>Cleaned[[#This Row],[Debit]] * Cleaned[[#This Row],[FX_rates]]</f>
        <v>0</v>
      </c>
      <c r="G85">
        <v>3399.04</v>
      </c>
      <c r="H85">
        <f>Cleaned[[#This Row],[Credit]] *  Cleaned[[#This Row],[FX_rates]]</f>
        <v>190346.23999999999</v>
      </c>
      <c r="I85" t="s">
        <v>2022</v>
      </c>
      <c r="J85" t="s">
        <v>2029</v>
      </c>
      <c r="K85" t="s">
        <v>2114</v>
      </c>
      <c r="L85" t="s">
        <v>4033</v>
      </c>
      <c r="M85">
        <f>Cleaned[[#This Row],[Credit]]-Cleaned[[#This Row],[Debit]]</f>
        <v>3399.04</v>
      </c>
      <c r="N85" t="str">
        <f>_xlfn.XLOOKUP(Cleaned[[#This Row],[AccountName]], Account_Mapping!A:A, Account_Mapping!B:B,"Unmapped")</f>
        <v>Revenue</v>
      </c>
      <c r="O85" cm="1">
        <f t="array" ref="O85">_xlfn.XLOOKUP(
  1,
  (FX_Rates[Currency]=Cleaned[[#This Row],[Currency]])*
  (FX_Rates[RateDate]&lt;=Cleaned[[#This Row],[TxnDate]]),
  FX_Rates[Rate_To_INR],
  ,
  -1
)</f>
        <v>56</v>
      </c>
      <c r="P85" s="2">
        <f>Cleaned[[#This Row],[Net Amount]] *  Cleaned[[#This Row],[FX_rates]]</f>
        <v>190346.23999999999</v>
      </c>
    </row>
    <row r="86" spans="1:16" x14ac:dyDescent="0.45">
      <c r="A86" t="s">
        <v>94</v>
      </c>
      <c r="B86" s="1">
        <v>45291</v>
      </c>
      <c r="C86" s="2" t="s">
        <v>2013</v>
      </c>
      <c r="D86" t="s">
        <v>2018</v>
      </c>
      <c r="E86">
        <v>1163.98</v>
      </c>
      <c r="F86">
        <f>Cleaned[[#This Row],[Debit]] * Cleaned[[#This Row],[FX_rates]]</f>
        <v>119889.94</v>
      </c>
      <c r="G86">
        <v>0</v>
      </c>
      <c r="H86">
        <f>Cleaned[[#This Row],[Credit]] *  Cleaned[[#This Row],[FX_rates]]</f>
        <v>0</v>
      </c>
      <c r="I86" t="s">
        <v>2020</v>
      </c>
      <c r="J86" t="s">
        <v>2030</v>
      </c>
      <c r="K86" t="s">
        <v>2115</v>
      </c>
      <c r="L86" t="s">
        <v>4031</v>
      </c>
      <c r="M86">
        <f>Cleaned[[#This Row],[Credit]]-Cleaned[[#This Row],[Debit]]</f>
        <v>-1163.98</v>
      </c>
      <c r="N86" t="str">
        <f>_xlfn.XLOOKUP(Cleaned[[#This Row],[AccountName]], Account_Mapping!A:A, Account_Mapping!B:B,"Unmapped")</f>
        <v>Operating Expense</v>
      </c>
      <c r="O86" cm="1">
        <f t="array" ref="O86">_xlfn.XLOOKUP(
  1,
  (FX_Rates[Currency]=Cleaned[[#This Row],[Currency]])*
  (FX_Rates[RateDate]&lt;=Cleaned[[#This Row],[TxnDate]]),
  FX_Rates[Rate_To_INR],
  ,
  -1
)</f>
        <v>103</v>
      </c>
      <c r="P86" s="2">
        <f>Cleaned[[#This Row],[Net Amount]] *  Cleaned[[#This Row],[FX_rates]]</f>
        <v>-119889.94</v>
      </c>
    </row>
    <row r="87" spans="1:16" x14ac:dyDescent="0.45">
      <c r="A87" t="s">
        <v>95</v>
      </c>
      <c r="B87" s="1">
        <v>45221</v>
      </c>
      <c r="C87" s="2" t="s">
        <v>2010</v>
      </c>
      <c r="D87" t="s">
        <v>2015</v>
      </c>
      <c r="E87">
        <v>0</v>
      </c>
      <c r="F87">
        <f>Cleaned[[#This Row],[Debit]] * Cleaned[[#This Row],[FX_rates]]</f>
        <v>0</v>
      </c>
      <c r="G87">
        <v>3532.66</v>
      </c>
      <c r="H87">
        <f>Cleaned[[#This Row],[Credit]] *  Cleaned[[#This Row],[FX_rates]]</f>
        <v>289678.12</v>
      </c>
      <c r="I87" t="s">
        <v>2022</v>
      </c>
      <c r="J87" t="s">
        <v>2027</v>
      </c>
      <c r="K87" t="s">
        <v>2116</v>
      </c>
      <c r="L87" t="s">
        <v>4034</v>
      </c>
      <c r="M87">
        <f>Cleaned[[#This Row],[Credit]]-Cleaned[[#This Row],[Debit]]</f>
        <v>3532.66</v>
      </c>
      <c r="N87" t="str">
        <f>_xlfn.XLOOKUP(Cleaned[[#This Row],[AccountName]], Account_Mapping!A:A, Account_Mapping!B:B,"Unmapped")</f>
        <v>Revenue</v>
      </c>
      <c r="O87" cm="1">
        <f t="array" ref="O87">_xlfn.XLOOKUP(
  1,
  (FX_Rates[Currency]=Cleaned[[#This Row],[Currency]])*
  (FX_Rates[RateDate]&lt;=Cleaned[[#This Row],[TxnDate]]),
  FX_Rates[Rate_To_INR],
  ,
  -1
)</f>
        <v>82</v>
      </c>
      <c r="P87" s="2">
        <f>Cleaned[[#This Row],[Net Amount]] *  Cleaned[[#This Row],[FX_rates]]</f>
        <v>289678.12</v>
      </c>
    </row>
    <row r="88" spans="1:16" x14ac:dyDescent="0.45">
      <c r="A88" t="s">
        <v>96</v>
      </c>
      <c r="B88" s="1">
        <v>45709</v>
      </c>
      <c r="C88" s="2" t="s">
        <v>2013</v>
      </c>
      <c r="D88" t="s">
        <v>2018</v>
      </c>
      <c r="E88">
        <v>1395.59</v>
      </c>
      <c r="F88">
        <f>Cleaned[[#This Row],[Debit]] * Cleaned[[#This Row],[FX_rates]]</f>
        <v>114438.37999999999</v>
      </c>
      <c r="G88">
        <v>0</v>
      </c>
      <c r="H88">
        <f>Cleaned[[#This Row],[Credit]] *  Cleaned[[#This Row],[FX_rates]]</f>
        <v>0</v>
      </c>
      <c r="I88" t="s">
        <v>2021</v>
      </c>
      <c r="J88" t="s">
        <v>2030</v>
      </c>
      <c r="K88" t="s">
        <v>2117</v>
      </c>
      <c r="L88" t="s">
        <v>4034</v>
      </c>
      <c r="M88">
        <f>Cleaned[[#This Row],[Credit]]-Cleaned[[#This Row],[Debit]]</f>
        <v>-1395.59</v>
      </c>
      <c r="N88" t="str">
        <f>_xlfn.XLOOKUP(Cleaned[[#This Row],[AccountName]], Account_Mapping!A:A, Account_Mapping!B:B,"Unmapped")</f>
        <v>Operating Expense</v>
      </c>
      <c r="O88" cm="1">
        <f t="array" ref="O88">_xlfn.XLOOKUP(
  1,
  (FX_Rates[Currency]=Cleaned[[#This Row],[Currency]])*
  (FX_Rates[RateDate]&lt;=Cleaned[[#This Row],[TxnDate]]),
  FX_Rates[Rate_To_INR],
  ,
  -1
)</f>
        <v>82</v>
      </c>
      <c r="P88" s="2">
        <f>Cleaned[[#This Row],[Net Amount]] *  Cleaned[[#This Row],[FX_rates]]</f>
        <v>-114438.37999999999</v>
      </c>
    </row>
    <row r="89" spans="1:16" x14ac:dyDescent="0.45">
      <c r="A89" t="s">
        <v>97</v>
      </c>
      <c r="B89" s="1">
        <v>45618</v>
      </c>
      <c r="C89" s="2" t="s">
        <v>2011</v>
      </c>
      <c r="D89" t="s">
        <v>2016</v>
      </c>
      <c r="E89">
        <v>1441.07</v>
      </c>
      <c r="F89">
        <f>Cleaned[[#This Row],[Debit]] * Cleaned[[#This Row],[FX_rates]]</f>
        <v>87905.26999999999</v>
      </c>
      <c r="G89">
        <v>0</v>
      </c>
      <c r="H89">
        <f>Cleaned[[#This Row],[Credit]] *  Cleaned[[#This Row],[FX_rates]]</f>
        <v>0</v>
      </c>
      <c r="I89" t="s">
        <v>2024</v>
      </c>
      <c r="J89" t="s">
        <v>2030</v>
      </c>
      <c r="K89" t="s">
        <v>2118</v>
      </c>
      <c r="L89" t="s">
        <v>4035</v>
      </c>
      <c r="M89">
        <f>Cleaned[[#This Row],[Credit]]-Cleaned[[#This Row],[Debit]]</f>
        <v>-1441.07</v>
      </c>
      <c r="N89" t="str">
        <f>_xlfn.XLOOKUP(Cleaned[[#This Row],[AccountName]], Account_Mapping!A:A, Account_Mapping!B:B,"Unmapped")</f>
        <v>COGS</v>
      </c>
      <c r="O89" cm="1">
        <f t="array" ref="O89">_xlfn.XLOOKUP(
  1,
  (FX_Rates[Currency]=Cleaned[[#This Row],[Currency]])*
  (FX_Rates[RateDate]&lt;=Cleaned[[#This Row],[TxnDate]]),
  FX_Rates[Rate_To_INR],
  ,
  -1
)</f>
        <v>61</v>
      </c>
      <c r="P89" s="2">
        <f>Cleaned[[#This Row],[Net Amount]] *  Cleaned[[#This Row],[FX_rates]]</f>
        <v>-87905.26999999999</v>
      </c>
    </row>
    <row r="90" spans="1:16" x14ac:dyDescent="0.45">
      <c r="A90" t="s">
        <v>98</v>
      </c>
      <c r="B90" s="1">
        <v>45275</v>
      </c>
      <c r="C90" s="2" t="s">
        <v>2014</v>
      </c>
      <c r="D90" t="s">
        <v>2019</v>
      </c>
      <c r="E90">
        <v>0</v>
      </c>
      <c r="F90">
        <f>Cleaned[[#This Row],[Debit]] * Cleaned[[#This Row],[FX_rates]]</f>
        <v>0</v>
      </c>
      <c r="G90">
        <v>3845.76</v>
      </c>
      <c r="H90">
        <f>Cleaned[[#This Row],[Credit]] *  Cleaned[[#This Row],[FX_rates]]</f>
        <v>315352.32000000001</v>
      </c>
      <c r="I90" t="s">
        <v>2020</v>
      </c>
      <c r="J90" t="s">
        <v>2026</v>
      </c>
      <c r="K90" t="s">
        <v>2119</v>
      </c>
      <c r="L90" t="s">
        <v>4034</v>
      </c>
      <c r="M90">
        <f>Cleaned[[#This Row],[Credit]]-Cleaned[[#This Row],[Debit]]</f>
        <v>3845.76</v>
      </c>
      <c r="N90" t="str">
        <f>_xlfn.XLOOKUP(Cleaned[[#This Row],[AccountName]], Account_Mapping!A:A, Account_Mapping!B:B,"Unmapped")</f>
        <v>Revenue</v>
      </c>
      <c r="O90" cm="1">
        <f t="array" ref="O90">_xlfn.XLOOKUP(
  1,
  (FX_Rates[Currency]=Cleaned[[#This Row],[Currency]])*
  (FX_Rates[RateDate]&lt;=Cleaned[[#This Row],[TxnDate]]),
  FX_Rates[Rate_To_INR],
  ,
  -1
)</f>
        <v>82</v>
      </c>
      <c r="P90" s="2">
        <f>Cleaned[[#This Row],[Net Amount]] *  Cleaned[[#This Row],[FX_rates]]</f>
        <v>315352.32000000001</v>
      </c>
    </row>
    <row r="91" spans="1:16" x14ac:dyDescent="0.45">
      <c r="A91" t="s">
        <v>99</v>
      </c>
      <c r="B91" s="1">
        <v>45135</v>
      </c>
      <c r="C91" s="2" t="s">
        <v>2012</v>
      </c>
      <c r="D91" t="s">
        <v>2017</v>
      </c>
      <c r="E91">
        <v>1448.69</v>
      </c>
      <c r="F91">
        <f>Cleaned[[#This Row],[Debit]] * Cleaned[[#This Row],[FX_rates]]</f>
        <v>88370.09</v>
      </c>
      <c r="G91">
        <v>0</v>
      </c>
      <c r="H91">
        <f>Cleaned[[#This Row],[Credit]] *  Cleaned[[#This Row],[FX_rates]]</f>
        <v>0</v>
      </c>
      <c r="I91" t="s">
        <v>2023</v>
      </c>
      <c r="J91" t="s">
        <v>2027</v>
      </c>
      <c r="K91" t="s">
        <v>2120</v>
      </c>
      <c r="L91" t="s">
        <v>4035</v>
      </c>
      <c r="M91">
        <f>Cleaned[[#This Row],[Credit]]-Cleaned[[#This Row],[Debit]]</f>
        <v>-1448.69</v>
      </c>
      <c r="N91" t="str">
        <f>_xlfn.XLOOKUP(Cleaned[[#This Row],[AccountName]], Account_Mapping!A:A, Account_Mapping!B:B,"Unmapped")</f>
        <v>Operating Expense</v>
      </c>
      <c r="O91" cm="1">
        <f t="array" ref="O91">_xlfn.XLOOKUP(
  1,
  (FX_Rates[Currency]=Cleaned[[#This Row],[Currency]])*
  (FX_Rates[RateDate]&lt;=Cleaned[[#This Row],[TxnDate]]),
  FX_Rates[Rate_To_INR],
  ,
  -1
)</f>
        <v>61</v>
      </c>
      <c r="P91" s="2">
        <f>Cleaned[[#This Row],[Net Amount]] *  Cleaned[[#This Row],[FX_rates]]</f>
        <v>-88370.09</v>
      </c>
    </row>
    <row r="92" spans="1:16" x14ac:dyDescent="0.45">
      <c r="A92" t="s">
        <v>100</v>
      </c>
      <c r="B92" s="1">
        <v>45396</v>
      </c>
      <c r="C92" s="2" t="s">
        <v>2011</v>
      </c>
      <c r="D92" t="s">
        <v>2016</v>
      </c>
      <c r="E92">
        <v>74.5</v>
      </c>
      <c r="F92">
        <f>Cleaned[[#This Row],[Debit]] * Cleaned[[#This Row],[FX_rates]]</f>
        <v>7673.5</v>
      </c>
      <c r="G92">
        <v>0</v>
      </c>
      <c r="H92">
        <f>Cleaned[[#This Row],[Credit]] *  Cleaned[[#This Row],[FX_rates]]</f>
        <v>0</v>
      </c>
      <c r="I92" t="s">
        <v>2022</v>
      </c>
      <c r="J92" t="s">
        <v>2026</v>
      </c>
      <c r="K92" t="s">
        <v>2121</v>
      </c>
      <c r="L92" t="s">
        <v>4031</v>
      </c>
      <c r="M92">
        <f>Cleaned[[#This Row],[Credit]]-Cleaned[[#This Row],[Debit]]</f>
        <v>-74.5</v>
      </c>
      <c r="N92" t="str">
        <f>_xlfn.XLOOKUP(Cleaned[[#This Row],[AccountName]], Account_Mapping!A:A, Account_Mapping!B:B,"Unmapped")</f>
        <v>COGS</v>
      </c>
      <c r="O92" cm="1">
        <f t="array" ref="O92">_xlfn.XLOOKUP(
  1,
  (FX_Rates[Currency]=Cleaned[[#This Row],[Currency]])*
  (FX_Rates[RateDate]&lt;=Cleaned[[#This Row],[TxnDate]]),
  FX_Rates[Rate_To_INR],
  ,
  -1
)</f>
        <v>103</v>
      </c>
      <c r="P92" s="2">
        <f>Cleaned[[#This Row],[Net Amount]] *  Cleaned[[#This Row],[FX_rates]]</f>
        <v>-7673.5</v>
      </c>
    </row>
    <row r="93" spans="1:16" x14ac:dyDescent="0.45">
      <c r="A93" t="s">
        <v>101</v>
      </c>
      <c r="B93" s="1">
        <v>45620</v>
      </c>
      <c r="C93" s="2" t="s">
        <v>2010</v>
      </c>
      <c r="D93" t="s">
        <v>2015</v>
      </c>
      <c r="E93">
        <v>0</v>
      </c>
      <c r="F93">
        <f>Cleaned[[#This Row],[Debit]] * Cleaned[[#This Row],[FX_rates]]</f>
        <v>0</v>
      </c>
      <c r="G93">
        <v>1071.73</v>
      </c>
      <c r="H93">
        <f>Cleaned[[#This Row],[Credit]] *  Cleaned[[#This Row],[FX_rates]]</f>
        <v>87881.86</v>
      </c>
      <c r="I93" t="s">
        <v>2025</v>
      </c>
      <c r="J93" t="s">
        <v>2028</v>
      </c>
      <c r="K93" t="s">
        <v>2122</v>
      </c>
      <c r="L93" t="s">
        <v>4034</v>
      </c>
      <c r="M93">
        <f>Cleaned[[#This Row],[Credit]]-Cleaned[[#This Row],[Debit]]</f>
        <v>1071.73</v>
      </c>
      <c r="N93" t="str">
        <f>_xlfn.XLOOKUP(Cleaned[[#This Row],[AccountName]], Account_Mapping!A:A, Account_Mapping!B:B,"Unmapped")</f>
        <v>Revenue</v>
      </c>
      <c r="O93" cm="1">
        <f t="array" ref="O93">_xlfn.XLOOKUP(
  1,
  (FX_Rates[Currency]=Cleaned[[#This Row],[Currency]])*
  (FX_Rates[RateDate]&lt;=Cleaned[[#This Row],[TxnDate]]),
  FX_Rates[Rate_To_INR],
  ,
  -1
)</f>
        <v>82</v>
      </c>
      <c r="P93" s="2">
        <f>Cleaned[[#This Row],[Net Amount]] *  Cleaned[[#This Row],[FX_rates]]</f>
        <v>87881.86</v>
      </c>
    </row>
    <row r="94" spans="1:16" x14ac:dyDescent="0.45">
      <c r="A94" t="s">
        <v>102</v>
      </c>
      <c r="B94" s="1">
        <v>45709</v>
      </c>
      <c r="C94" s="2" t="s">
        <v>2011</v>
      </c>
      <c r="D94" t="s">
        <v>2016</v>
      </c>
      <c r="E94">
        <v>1875.56</v>
      </c>
      <c r="F94">
        <f>Cleaned[[#This Row],[Debit]] * Cleaned[[#This Row],[FX_rates]]</f>
        <v>193182.68</v>
      </c>
      <c r="G94">
        <v>0</v>
      </c>
      <c r="H94">
        <f>Cleaned[[#This Row],[Credit]] *  Cleaned[[#This Row],[FX_rates]]</f>
        <v>0</v>
      </c>
      <c r="I94" t="s">
        <v>2024</v>
      </c>
      <c r="J94" t="s">
        <v>2027</v>
      </c>
      <c r="K94" t="s">
        <v>2123</v>
      </c>
      <c r="L94" t="s">
        <v>4031</v>
      </c>
      <c r="M94">
        <f>Cleaned[[#This Row],[Credit]]-Cleaned[[#This Row],[Debit]]</f>
        <v>-1875.56</v>
      </c>
      <c r="N94" t="str">
        <f>_xlfn.XLOOKUP(Cleaned[[#This Row],[AccountName]], Account_Mapping!A:A, Account_Mapping!B:B,"Unmapped")</f>
        <v>COGS</v>
      </c>
      <c r="O94" cm="1">
        <f t="array" ref="O94">_xlfn.XLOOKUP(
  1,
  (FX_Rates[Currency]=Cleaned[[#This Row],[Currency]])*
  (FX_Rates[RateDate]&lt;=Cleaned[[#This Row],[TxnDate]]),
  FX_Rates[Rate_To_INR],
  ,
  -1
)</f>
        <v>103</v>
      </c>
      <c r="P94" s="2">
        <f>Cleaned[[#This Row],[Net Amount]] *  Cleaned[[#This Row],[FX_rates]]</f>
        <v>-193182.68</v>
      </c>
    </row>
    <row r="95" spans="1:16" x14ac:dyDescent="0.45">
      <c r="A95" t="s">
        <v>103</v>
      </c>
      <c r="B95" s="1">
        <v>45424</v>
      </c>
      <c r="C95" s="2" t="s">
        <v>2012</v>
      </c>
      <c r="D95" t="s">
        <v>2017</v>
      </c>
      <c r="E95">
        <v>1449.67</v>
      </c>
      <c r="F95">
        <f>Cleaned[[#This Row],[Debit]] * Cleaned[[#This Row],[FX_rates]]</f>
        <v>118872.94</v>
      </c>
      <c r="G95">
        <v>0</v>
      </c>
      <c r="H95">
        <f>Cleaned[[#This Row],[Credit]] *  Cleaned[[#This Row],[FX_rates]]</f>
        <v>0</v>
      </c>
      <c r="I95" t="s">
        <v>2020</v>
      </c>
      <c r="J95" t="s">
        <v>2029</v>
      </c>
      <c r="K95" t="s">
        <v>2124</v>
      </c>
      <c r="L95" t="s">
        <v>4034</v>
      </c>
      <c r="M95">
        <f>Cleaned[[#This Row],[Credit]]-Cleaned[[#This Row],[Debit]]</f>
        <v>-1449.67</v>
      </c>
      <c r="N95" t="str">
        <f>_xlfn.XLOOKUP(Cleaned[[#This Row],[AccountName]], Account_Mapping!A:A, Account_Mapping!B:B,"Unmapped")</f>
        <v>Operating Expense</v>
      </c>
      <c r="O95" cm="1">
        <f t="array" ref="O95">_xlfn.XLOOKUP(
  1,
  (FX_Rates[Currency]=Cleaned[[#This Row],[Currency]])*
  (FX_Rates[RateDate]&lt;=Cleaned[[#This Row],[TxnDate]]),
  FX_Rates[Rate_To_INR],
  ,
  -1
)</f>
        <v>82</v>
      </c>
      <c r="P95" s="2">
        <f>Cleaned[[#This Row],[Net Amount]] *  Cleaned[[#This Row],[FX_rates]]</f>
        <v>-118872.94</v>
      </c>
    </row>
    <row r="96" spans="1:16" x14ac:dyDescent="0.45">
      <c r="A96" t="s">
        <v>104</v>
      </c>
      <c r="B96" s="1">
        <v>45215</v>
      </c>
      <c r="C96" s="2" t="s">
        <v>2011</v>
      </c>
      <c r="D96" t="s">
        <v>2016</v>
      </c>
      <c r="E96">
        <v>1782.21</v>
      </c>
      <c r="F96">
        <f>Cleaned[[#This Row],[Debit]] * Cleaned[[#This Row],[FX_rates]]</f>
        <v>99803.760000000009</v>
      </c>
      <c r="G96">
        <v>0</v>
      </c>
      <c r="H96">
        <f>Cleaned[[#This Row],[Credit]] *  Cleaned[[#This Row],[FX_rates]]</f>
        <v>0</v>
      </c>
      <c r="I96" t="s">
        <v>2025</v>
      </c>
      <c r="J96" t="s">
        <v>2026</v>
      </c>
      <c r="K96" t="s">
        <v>2125</v>
      </c>
      <c r="L96" t="s">
        <v>4033</v>
      </c>
      <c r="M96">
        <f>Cleaned[[#This Row],[Credit]]-Cleaned[[#This Row],[Debit]]</f>
        <v>-1782.21</v>
      </c>
      <c r="N96" t="str">
        <f>_xlfn.XLOOKUP(Cleaned[[#This Row],[AccountName]], Account_Mapping!A:A, Account_Mapping!B:B,"Unmapped")</f>
        <v>COGS</v>
      </c>
      <c r="O96" cm="1">
        <f t="array" ref="O96">_xlfn.XLOOKUP(
  1,
  (FX_Rates[Currency]=Cleaned[[#This Row],[Currency]])*
  (FX_Rates[RateDate]&lt;=Cleaned[[#This Row],[TxnDate]]),
  FX_Rates[Rate_To_INR],
  ,
  -1
)</f>
        <v>56</v>
      </c>
      <c r="P96" s="2">
        <f>Cleaned[[#This Row],[Net Amount]] *  Cleaned[[#This Row],[FX_rates]]</f>
        <v>-99803.760000000009</v>
      </c>
    </row>
    <row r="97" spans="1:16" x14ac:dyDescent="0.45">
      <c r="A97" t="s">
        <v>105</v>
      </c>
      <c r="B97" s="1">
        <v>45041</v>
      </c>
      <c r="C97" s="2" t="s">
        <v>2014</v>
      </c>
      <c r="D97" t="s">
        <v>2019</v>
      </c>
      <c r="E97">
        <v>0</v>
      </c>
      <c r="F97">
        <f>Cleaned[[#This Row],[Debit]] * Cleaned[[#This Row],[FX_rates]]</f>
        <v>0</v>
      </c>
      <c r="G97">
        <v>4889.25</v>
      </c>
      <c r="H97">
        <f>Cleaned[[#This Row],[Credit]] *  Cleaned[[#This Row],[FX_rates]]</f>
        <v>273798</v>
      </c>
      <c r="I97" t="s">
        <v>2025</v>
      </c>
      <c r="J97" t="s">
        <v>2027</v>
      </c>
      <c r="K97" t="s">
        <v>2126</v>
      </c>
      <c r="L97" t="s">
        <v>4033</v>
      </c>
      <c r="M97">
        <f>Cleaned[[#This Row],[Credit]]-Cleaned[[#This Row],[Debit]]</f>
        <v>4889.25</v>
      </c>
      <c r="N97" t="str">
        <f>_xlfn.XLOOKUP(Cleaned[[#This Row],[AccountName]], Account_Mapping!A:A, Account_Mapping!B:B,"Unmapped")</f>
        <v>Revenue</v>
      </c>
      <c r="O97" cm="1">
        <f t="array" ref="O97">_xlfn.XLOOKUP(
  1,
  (FX_Rates[Currency]=Cleaned[[#This Row],[Currency]])*
  (FX_Rates[RateDate]&lt;=Cleaned[[#This Row],[TxnDate]]),
  FX_Rates[Rate_To_INR],
  ,
  -1
)</f>
        <v>56</v>
      </c>
      <c r="P97" s="2">
        <f>Cleaned[[#This Row],[Net Amount]] *  Cleaned[[#This Row],[FX_rates]]</f>
        <v>273798</v>
      </c>
    </row>
    <row r="98" spans="1:16" x14ac:dyDescent="0.45">
      <c r="A98" t="s">
        <v>106</v>
      </c>
      <c r="B98" s="1">
        <v>45211</v>
      </c>
      <c r="C98" s="2" t="s">
        <v>2012</v>
      </c>
      <c r="D98" t="s">
        <v>2017</v>
      </c>
      <c r="E98">
        <v>1101.33</v>
      </c>
      <c r="F98">
        <f>Cleaned[[#This Row],[Debit]] * Cleaned[[#This Row],[FX_rates]]</f>
        <v>113436.98999999999</v>
      </c>
      <c r="G98">
        <v>0</v>
      </c>
      <c r="H98">
        <f>Cleaned[[#This Row],[Credit]] *  Cleaned[[#This Row],[FX_rates]]</f>
        <v>0</v>
      </c>
      <c r="I98" t="s">
        <v>2020</v>
      </c>
      <c r="J98" t="s">
        <v>2026</v>
      </c>
      <c r="K98" t="s">
        <v>2127</v>
      </c>
      <c r="L98" t="s">
        <v>4031</v>
      </c>
      <c r="M98">
        <f>Cleaned[[#This Row],[Credit]]-Cleaned[[#This Row],[Debit]]</f>
        <v>-1101.33</v>
      </c>
      <c r="N98" t="str">
        <f>_xlfn.XLOOKUP(Cleaned[[#This Row],[AccountName]], Account_Mapping!A:A, Account_Mapping!B:B,"Unmapped")</f>
        <v>Operating Expense</v>
      </c>
      <c r="O98" cm="1">
        <f t="array" ref="O98">_xlfn.XLOOKUP(
  1,
  (FX_Rates[Currency]=Cleaned[[#This Row],[Currency]])*
  (FX_Rates[RateDate]&lt;=Cleaned[[#This Row],[TxnDate]]),
  FX_Rates[Rate_To_INR],
  ,
  -1
)</f>
        <v>103</v>
      </c>
      <c r="P98" s="2">
        <f>Cleaned[[#This Row],[Net Amount]] *  Cleaned[[#This Row],[FX_rates]]</f>
        <v>-113436.98999999999</v>
      </c>
    </row>
    <row r="99" spans="1:16" x14ac:dyDescent="0.45">
      <c r="A99" t="s">
        <v>107</v>
      </c>
      <c r="B99" s="1">
        <v>45789</v>
      </c>
      <c r="C99" s="2" t="s">
        <v>2013</v>
      </c>
      <c r="D99" t="s">
        <v>2018</v>
      </c>
      <c r="E99">
        <v>121.65</v>
      </c>
      <c r="F99">
        <f>Cleaned[[#This Row],[Debit]] * Cleaned[[#This Row],[FX_rates]]</f>
        <v>9975.3000000000011</v>
      </c>
      <c r="G99">
        <v>0</v>
      </c>
      <c r="H99">
        <f>Cleaned[[#This Row],[Credit]] *  Cleaned[[#This Row],[FX_rates]]</f>
        <v>0</v>
      </c>
      <c r="I99" t="s">
        <v>2021</v>
      </c>
      <c r="J99" t="s">
        <v>2029</v>
      </c>
      <c r="K99" t="s">
        <v>2128</v>
      </c>
      <c r="L99" t="s">
        <v>4034</v>
      </c>
      <c r="M99">
        <f>Cleaned[[#This Row],[Credit]]-Cleaned[[#This Row],[Debit]]</f>
        <v>-121.65</v>
      </c>
      <c r="N99" t="str">
        <f>_xlfn.XLOOKUP(Cleaned[[#This Row],[AccountName]], Account_Mapping!A:A, Account_Mapping!B:B,"Unmapped")</f>
        <v>Operating Expense</v>
      </c>
      <c r="O99" cm="1">
        <f t="array" ref="O99">_xlfn.XLOOKUP(
  1,
  (FX_Rates[Currency]=Cleaned[[#This Row],[Currency]])*
  (FX_Rates[RateDate]&lt;=Cleaned[[#This Row],[TxnDate]]),
  FX_Rates[Rate_To_INR],
  ,
  -1
)</f>
        <v>82</v>
      </c>
      <c r="P99" s="2">
        <f>Cleaned[[#This Row],[Net Amount]] *  Cleaned[[#This Row],[FX_rates]]</f>
        <v>-9975.3000000000011</v>
      </c>
    </row>
    <row r="100" spans="1:16" x14ac:dyDescent="0.45">
      <c r="A100" t="s">
        <v>108</v>
      </c>
      <c r="B100" s="1">
        <v>44972</v>
      </c>
      <c r="C100" s="2" t="s">
        <v>2013</v>
      </c>
      <c r="D100" t="s">
        <v>2018</v>
      </c>
      <c r="E100">
        <v>137.87</v>
      </c>
      <c r="F100">
        <f>Cleaned[[#This Row],[Debit]] * Cleaned[[#This Row],[FX_rates]]</f>
        <v>7720.72</v>
      </c>
      <c r="G100">
        <v>0</v>
      </c>
      <c r="H100">
        <f>Cleaned[[#This Row],[Credit]] *  Cleaned[[#This Row],[FX_rates]]</f>
        <v>0</v>
      </c>
      <c r="I100" t="s">
        <v>2020</v>
      </c>
      <c r="J100" t="s">
        <v>2026</v>
      </c>
      <c r="K100" t="s">
        <v>2129</v>
      </c>
      <c r="L100" t="s">
        <v>4033</v>
      </c>
      <c r="M100">
        <f>Cleaned[[#This Row],[Credit]]-Cleaned[[#This Row],[Debit]]</f>
        <v>-137.87</v>
      </c>
      <c r="N100" t="str">
        <f>_xlfn.XLOOKUP(Cleaned[[#This Row],[AccountName]], Account_Mapping!A:A, Account_Mapping!B:B,"Unmapped")</f>
        <v>Operating Expense</v>
      </c>
      <c r="O100" cm="1">
        <f t="array" ref="O100">_xlfn.XLOOKUP(
  1,
  (FX_Rates[Currency]=Cleaned[[#This Row],[Currency]])*
  (FX_Rates[RateDate]&lt;=Cleaned[[#This Row],[TxnDate]]),
  FX_Rates[Rate_To_INR],
  ,
  -1
)</f>
        <v>56</v>
      </c>
      <c r="P100" s="2">
        <f>Cleaned[[#This Row],[Net Amount]] *  Cleaned[[#This Row],[FX_rates]]</f>
        <v>-7720.72</v>
      </c>
    </row>
    <row r="101" spans="1:16" x14ac:dyDescent="0.45">
      <c r="A101" t="s">
        <v>109</v>
      </c>
      <c r="B101" s="1">
        <v>44935</v>
      </c>
      <c r="C101" s="2" t="s">
        <v>2010</v>
      </c>
      <c r="D101" t="s">
        <v>2015</v>
      </c>
      <c r="E101">
        <v>0</v>
      </c>
      <c r="F101">
        <f>Cleaned[[#This Row],[Debit]] * Cleaned[[#This Row],[FX_rates]]</f>
        <v>0</v>
      </c>
      <c r="G101">
        <v>792.94</v>
      </c>
      <c r="H101">
        <f>Cleaned[[#This Row],[Credit]] *  Cleaned[[#This Row],[FX_rates]]</f>
        <v>48369.340000000004</v>
      </c>
      <c r="I101" t="s">
        <v>2024</v>
      </c>
      <c r="J101" t="s">
        <v>2028</v>
      </c>
      <c r="K101" t="s">
        <v>2130</v>
      </c>
      <c r="L101" t="s">
        <v>4035</v>
      </c>
      <c r="M101">
        <f>Cleaned[[#This Row],[Credit]]-Cleaned[[#This Row],[Debit]]</f>
        <v>792.94</v>
      </c>
      <c r="N101" t="str">
        <f>_xlfn.XLOOKUP(Cleaned[[#This Row],[AccountName]], Account_Mapping!A:A, Account_Mapping!B:B,"Unmapped")</f>
        <v>Revenue</v>
      </c>
      <c r="O101" cm="1">
        <f t="array" ref="O101">_xlfn.XLOOKUP(
  1,
  (FX_Rates[Currency]=Cleaned[[#This Row],[Currency]])*
  (FX_Rates[RateDate]&lt;=Cleaned[[#This Row],[TxnDate]]),
  FX_Rates[Rate_To_INR],
  ,
  -1
)</f>
        <v>61</v>
      </c>
      <c r="P101" s="2">
        <f>Cleaned[[#This Row],[Net Amount]] *  Cleaned[[#This Row],[FX_rates]]</f>
        <v>48369.340000000004</v>
      </c>
    </row>
    <row r="102" spans="1:16" x14ac:dyDescent="0.45">
      <c r="A102" t="s">
        <v>110</v>
      </c>
      <c r="B102" s="1">
        <v>45667</v>
      </c>
      <c r="C102" s="2" t="s">
        <v>2014</v>
      </c>
      <c r="D102" t="s">
        <v>2019</v>
      </c>
      <c r="E102">
        <v>0</v>
      </c>
      <c r="F102">
        <f>Cleaned[[#This Row],[Debit]] * Cleaned[[#This Row],[FX_rates]]</f>
        <v>0</v>
      </c>
      <c r="G102">
        <v>1346.1</v>
      </c>
      <c r="H102">
        <f>Cleaned[[#This Row],[Credit]] *  Cleaned[[#This Row],[FX_rates]]</f>
        <v>110380.2</v>
      </c>
      <c r="I102" t="s">
        <v>2021</v>
      </c>
      <c r="J102" t="s">
        <v>2027</v>
      </c>
      <c r="K102" t="s">
        <v>2131</v>
      </c>
      <c r="L102" t="s">
        <v>4034</v>
      </c>
      <c r="M102">
        <f>Cleaned[[#This Row],[Credit]]-Cleaned[[#This Row],[Debit]]</f>
        <v>1346.1</v>
      </c>
      <c r="N102" t="str">
        <f>_xlfn.XLOOKUP(Cleaned[[#This Row],[AccountName]], Account_Mapping!A:A, Account_Mapping!B:B,"Unmapped")</f>
        <v>Revenue</v>
      </c>
      <c r="O102" cm="1">
        <f t="array" ref="O102">_xlfn.XLOOKUP(
  1,
  (FX_Rates[Currency]=Cleaned[[#This Row],[Currency]])*
  (FX_Rates[RateDate]&lt;=Cleaned[[#This Row],[TxnDate]]),
  FX_Rates[Rate_To_INR],
  ,
  -1
)</f>
        <v>82</v>
      </c>
      <c r="P102" s="2">
        <f>Cleaned[[#This Row],[Net Amount]] *  Cleaned[[#This Row],[FX_rates]]</f>
        <v>110380.2</v>
      </c>
    </row>
    <row r="103" spans="1:16" x14ac:dyDescent="0.45">
      <c r="A103" t="s">
        <v>111</v>
      </c>
      <c r="B103" s="1">
        <v>45478</v>
      </c>
      <c r="C103" s="2" t="s">
        <v>2014</v>
      </c>
      <c r="D103" t="s">
        <v>2019</v>
      </c>
      <c r="E103">
        <v>0</v>
      </c>
      <c r="F103">
        <f>Cleaned[[#This Row],[Debit]] * Cleaned[[#This Row],[FX_rates]]</f>
        <v>0</v>
      </c>
      <c r="G103">
        <v>961.26</v>
      </c>
      <c r="H103">
        <f>Cleaned[[#This Row],[Credit]] *  Cleaned[[#This Row],[FX_rates]]</f>
        <v>58636.86</v>
      </c>
      <c r="I103" t="s">
        <v>2025</v>
      </c>
      <c r="J103" t="s">
        <v>2027</v>
      </c>
      <c r="K103" t="s">
        <v>2132</v>
      </c>
      <c r="L103" t="s">
        <v>4035</v>
      </c>
      <c r="M103">
        <f>Cleaned[[#This Row],[Credit]]-Cleaned[[#This Row],[Debit]]</f>
        <v>961.26</v>
      </c>
      <c r="N103" t="str">
        <f>_xlfn.XLOOKUP(Cleaned[[#This Row],[AccountName]], Account_Mapping!A:A, Account_Mapping!B:B,"Unmapped")</f>
        <v>Revenue</v>
      </c>
      <c r="O103" cm="1">
        <f t="array" ref="O103">_xlfn.XLOOKUP(
  1,
  (FX_Rates[Currency]=Cleaned[[#This Row],[Currency]])*
  (FX_Rates[RateDate]&lt;=Cleaned[[#This Row],[TxnDate]]),
  FX_Rates[Rate_To_INR],
  ,
  -1
)</f>
        <v>61</v>
      </c>
      <c r="P103" s="2">
        <f>Cleaned[[#This Row],[Net Amount]] *  Cleaned[[#This Row],[FX_rates]]</f>
        <v>58636.86</v>
      </c>
    </row>
    <row r="104" spans="1:16" x14ac:dyDescent="0.45">
      <c r="A104" t="s">
        <v>112</v>
      </c>
      <c r="B104" s="1">
        <v>45572</v>
      </c>
      <c r="C104" s="2" t="s">
        <v>2011</v>
      </c>
      <c r="D104" t="s">
        <v>2016</v>
      </c>
      <c r="E104">
        <v>421.91</v>
      </c>
      <c r="F104">
        <f>Cleaned[[#This Row],[Debit]] * Cleaned[[#This Row],[FX_rates]]</f>
        <v>37128.080000000002</v>
      </c>
      <c r="G104">
        <v>0</v>
      </c>
      <c r="H104">
        <f>Cleaned[[#This Row],[Credit]] *  Cleaned[[#This Row],[FX_rates]]</f>
        <v>0</v>
      </c>
      <c r="I104" t="s">
        <v>2025</v>
      </c>
      <c r="J104" t="s">
        <v>2027</v>
      </c>
      <c r="K104" t="s">
        <v>2133</v>
      </c>
      <c r="L104" t="s">
        <v>4032</v>
      </c>
      <c r="M104">
        <f>Cleaned[[#This Row],[Credit]]-Cleaned[[#This Row],[Debit]]</f>
        <v>-421.91</v>
      </c>
      <c r="N104" t="str">
        <f>_xlfn.XLOOKUP(Cleaned[[#This Row],[AccountName]], Account_Mapping!A:A, Account_Mapping!B:B,"Unmapped")</f>
        <v>COGS</v>
      </c>
      <c r="O104" cm="1">
        <f t="array" ref="O104">_xlfn.XLOOKUP(
  1,
  (FX_Rates[Currency]=Cleaned[[#This Row],[Currency]])*
  (FX_Rates[RateDate]&lt;=Cleaned[[#This Row],[TxnDate]]),
  FX_Rates[Rate_To_INR],
  ,
  -1
)</f>
        <v>88</v>
      </c>
      <c r="P104" s="2">
        <f>Cleaned[[#This Row],[Net Amount]] *  Cleaned[[#This Row],[FX_rates]]</f>
        <v>-37128.080000000002</v>
      </c>
    </row>
    <row r="105" spans="1:16" x14ac:dyDescent="0.45">
      <c r="A105" t="s">
        <v>113</v>
      </c>
      <c r="B105" s="1">
        <v>45799</v>
      </c>
      <c r="C105" s="2" t="s">
        <v>2010</v>
      </c>
      <c r="D105" t="s">
        <v>2015</v>
      </c>
      <c r="E105">
        <v>0</v>
      </c>
      <c r="F105">
        <f>Cleaned[[#This Row],[Debit]] * Cleaned[[#This Row],[FX_rates]]</f>
        <v>0</v>
      </c>
      <c r="G105">
        <v>1902.45</v>
      </c>
      <c r="H105">
        <f>Cleaned[[#This Row],[Credit]] *  Cleaned[[#This Row],[FX_rates]]</f>
        <v>195952.35</v>
      </c>
      <c r="I105" t="s">
        <v>2022</v>
      </c>
      <c r="J105" t="s">
        <v>2026</v>
      </c>
      <c r="K105" t="s">
        <v>2134</v>
      </c>
      <c r="L105" t="s">
        <v>4031</v>
      </c>
      <c r="M105">
        <f>Cleaned[[#This Row],[Credit]]-Cleaned[[#This Row],[Debit]]</f>
        <v>1902.45</v>
      </c>
      <c r="N105" t="str">
        <f>_xlfn.XLOOKUP(Cleaned[[#This Row],[AccountName]], Account_Mapping!A:A, Account_Mapping!B:B,"Unmapped")</f>
        <v>Revenue</v>
      </c>
      <c r="O105" cm="1">
        <f t="array" ref="O105">_xlfn.XLOOKUP(
  1,
  (FX_Rates[Currency]=Cleaned[[#This Row],[Currency]])*
  (FX_Rates[RateDate]&lt;=Cleaned[[#This Row],[TxnDate]]),
  FX_Rates[Rate_To_INR],
  ,
  -1
)</f>
        <v>103</v>
      </c>
      <c r="P105" s="2">
        <f>Cleaned[[#This Row],[Net Amount]] *  Cleaned[[#This Row],[FX_rates]]</f>
        <v>195952.35</v>
      </c>
    </row>
    <row r="106" spans="1:16" x14ac:dyDescent="0.45">
      <c r="A106" t="s">
        <v>114</v>
      </c>
      <c r="B106" s="1">
        <v>45170</v>
      </c>
      <c r="C106" s="2" t="s">
        <v>2012</v>
      </c>
      <c r="D106" t="s">
        <v>2017</v>
      </c>
      <c r="E106">
        <v>764.96</v>
      </c>
      <c r="F106">
        <f>Cleaned[[#This Row],[Debit]] * Cleaned[[#This Row],[FX_rates]]</f>
        <v>62726.720000000001</v>
      </c>
      <c r="G106">
        <v>0</v>
      </c>
      <c r="H106">
        <f>Cleaned[[#This Row],[Credit]] *  Cleaned[[#This Row],[FX_rates]]</f>
        <v>0</v>
      </c>
      <c r="I106" t="s">
        <v>2024</v>
      </c>
      <c r="J106" t="s">
        <v>2029</v>
      </c>
      <c r="K106" t="s">
        <v>2135</v>
      </c>
      <c r="L106" t="s">
        <v>4034</v>
      </c>
      <c r="M106">
        <f>Cleaned[[#This Row],[Credit]]-Cleaned[[#This Row],[Debit]]</f>
        <v>-764.96</v>
      </c>
      <c r="N106" t="str">
        <f>_xlfn.XLOOKUP(Cleaned[[#This Row],[AccountName]], Account_Mapping!A:A, Account_Mapping!B:B,"Unmapped")</f>
        <v>Operating Expense</v>
      </c>
      <c r="O106" cm="1">
        <f t="array" ref="O106">_xlfn.XLOOKUP(
  1,
  (FX_Rates[Currency]=Cleaned[[#This Row],[Currency]])*
  (FX_Rates[RateDate]&lt;=Cleaned[[#This Row],[TxnDate]]),
  FX_Rates[Rate_To_INR],
  ,
  -1
)</f>
        <v>82</v>
      </c>
      <c r="P106" s="2">
        <f>Cleaned[[#This Row],[Net Amount]] *  Cleaned[[#This Row],[FX_rates]]</f>
        <v>-62726.720000000001</v>
      </c>
    </row>
    <row r="107" spans="1:16" x14ac:dyDescent="0.45">
      <c r="A107" t="s">
        <v>115</v>
      </c>
      <c r="B107" s="1">
        <v>45162</v>
      </c>
      <c r="C107" s="2" t="s">
        <v>2010</v>
      </c>
      <c r="D107" t="s">
        <v>2015</v>
      </c>
      <c r="E107">
        <v>0</v>
      </c>
      <c r="F107">
        <f>Cleaned[[#This Row],[Debit]] * Cleaned[[#This Row],[FX_rates]]</f>
        <v>0</v>
      </c>
      <c r="G107">
        <v>734.03</v>
      </c>
      <c r="H107">
        <f>Cleaned[[#This Row],[Credit]] *  Cleaned[[#This Row],[FX_rates]]</f>
        <v>64594.64</v>
      </c>
      <c r="I107" t="s">
        <v>2020</v>
      </c>
      <c r="J107" t="s">
        <v>2030</v>
      </c>
      <c r="K107" t="s">
        <v>2136</v>
      </c>
      <c r="L107" t="s">
        <v>4032</v>
      </c>
      <c r="M107">
        <f>Cleaned[[#This Row],[Credit]]-Cleaned[[#This Row],[Debit]]</f>
        <v>734.03</v>
      </c>
      <c r="N107" t="str">
        <f>_xlfn.XLOOKUP(Cleaned[[#This Row],[AccountName]], Account_Mapping!A:A, Account_Mapping!B:B,"Unmapped")</f>
        <v>Revenue</v>
      </c>
      <c r="O107" cm="1">
        <f t="array" ref="O107">_xlfn.XLOOKUP(
  1,
  (FX_Rates[Currency]=Cleaned[[#This Row],[Currency]])*
  (FX_Rates[RateDate]&lt;=Cleaned[[#This Row],[TxnDate]]),
  FX_Rates[Rate_To_INR],
  ,
  -1
)</f>
        <v>88</v>
      </c>
      <c r="P107" s="2">
        <f>Cleaned[[#This Row],[Net Amount]] *  Cleaned[[#This Row],[FX_rates]]</f>
        <v>64594.64</v>
      </c>
    </row>
    <row r="108" spans="1:16" x14ac:dyDescent="0.45">
      <c r="A108" t="s">
        <v>116</v>
      </c>
      <c r="B108" s="1">
        <v>45107</v>
      </c>
      <c r="C108" s="2" t="s">
        <v>2011</v>
      </c>
      <c r="D108" t="s">
        <v>2016</v>
      </c>
      <c r="E108">
        <v>1157.81</v>
      </c>
      <c r="F108">
        <f>Cleaned[[#This Row],[Debit]] * Cleaned[[#This Row],[FX_rates]]</f>
        <v>64837.36</v>
      </c>
      <c r="G108">
        <v>0</v>
      </c>
      <c r="H108">
        <f>Cleaned[[#This Row],[Credit]] *  Cleaned[[#This Row],[FX_rates]]</f>
        <v>0</v>
      </c>
      <c r="I108" t="s">
        <v>2023</v>
      </c>
      <c r="J108" t="s">
        <v>2028</v>
      </c>
      <c r="K108" t="s">
        <v>2137</v>
      </c>
      <c r="L108" t="s">
        <v>4033</v>
      </c>
      <c r="M108">
        <f>Cleaned[[#This Row],[Credit]]-Cleaned[[#This Row],[Debit]]</f>
        <v>-1157.81</v>
      </c>
      <c r="N108" t="str">
        <f>_xlfn.XLOOKUP(Cleaned[[#This Row],[AccountName]], Account_Mapping!A:A, Account_Mapping!B:B,"Unmapped")</f>
        <v>COGS</v>
      </c>
      <c r="O108" cm="1">
        <f t="array" ref="O108">_xlfn.XLOOKUP(
  1,
  (FX_Rates[Currency]=Cleaned[[#This Row],[Currency]])*
  (FX_Rates[RateDate]&lt;=Cleaned[[#This Row],[TxnDate]]),
  FX_Rates[Rate_To_INR],
  ,
  -1
)</f>
        <v>56</v>
      </c>
      <c r="P108" s="2">
        <f>Cleaned[[#This Row],[Net Amount]] *  Cleaned[[#This Row],[FX_rates]]</f>
        <v>-64837.36</v>
      </c>
    </row>
    <row r="109" spans="1:16" x14ac:dyDescent="0.45">
      <c r="A109" t="s">
        <v>117</v>
      </c>
      <c r="B109" s="1">
        <v>45823</v>
      </c>
      <c r="C109" s="2" t="s">
        <v>2013</v>
      </c>
      <c r="D109" t="s">
        <v>2018</v>
      </c>
      <c r="E109">
        <v>1552.29</v>
      </c>
      <c r="F109">
        <f>Cleaned[[#This Row],[Debit]] * Cleaned[[#This Row],[FX_rates]]</f>
        <v>159885.87</v>
      </c>
      <c r="G109">
        <v>0</v>
      </c>
      <c r="H109">
        <f>Cleaned[[#This Row],[Credit]] *  Cleaned[[#This Row],[FX_rates]]</f>
        <v>0</v>
      </c>
      <c r="I109" t="s">
        <v>2024</v>
      </c>
      <c r="J109" t="s">
        <v>2028</v>
      </c>
      <c r="K109" t="s">
        <v>2138</v>
      </c>
      <c r="L109" t="s">
        <v>4031</v>
      </c>
      <c r="M109">
        <f>Cleaned[[#This Row],[Credit]]-Cleaned[[#This Row],[Debit]]</f>
        <v>-1552.29</v>
      </c>
      <c r="N109" t="str">
        <f>_xlfn.XLOOKUP(Cleaned[[#This Row],[AccountName]], Account_Mapping!A:A, Account_Mapping!B:B,"Unmapped")</f>
        <v>Operating Expense</v>
      </c>
      <c r="O109" cm="1">
        <f t="array" ref="O109">_xlfn.XLOOKUP(
  1,
  (FX_Rates[Currency]=Cleaned[[#This Row],[Currency]])*
  (FX_Rates[RateDate]&lt;=Cleaned[[#This Row],[TxnDate]]),
  FX_Rates[Rate_To_INR],
  ,
  -1
)</f>
        <v>103</v>
      </c>
      <c r="P109" s="2">
        <f>Cleaned[[#This Row],[Net Amount]] *  Cleaned[[#This Row],[FX_rates]]</f>
        <v>-159885.87</v>
      </c>
    </row>
    <row r="110" spans="1:16" x14ac:dyDescent="0.45">
      <c r="A110" t="s">
        <v>118</v>
      </c>
      <c r="B110" s="1">
        <v>45319</v>
      </c>
      <c r="C110" s="2" t="s">
        <v>2012</v>
      </c>
      <c r="D110" t="s">
        <v>2017</v>
      </c>
      <c r="E110">
        <v>1400.69</v>
      </c>
      <c r="F110">
        <f>Cleaned[[#This Row],[Debit]] * Cleaned[[#This Row],[FX_rates]]</f>
        <v>144271.07</v>
      </c>
      <c r="G110">
        <v>0</v>
      </c>
      <c r="H110">
        <f>Cleaned[[#This Row],[Credit]] *  Cleaned[[#This Row],[FX_rates]]</f>
        <v>0</v>
      </c>
      <c r="I110" t="s">
        <v>2021</v>
      </c>
      <c r="J110" t="s">
        <v>2028</v>
      </c>
      <c r="K110" t="s">
        <v>2139</v>
      </c>
      <c r="L110" t="s">
        <v>4031</v>
      </c>
      <c r="M110">
        <f>Cleaned[[#This Row],[Credit]]-Cleaned[[#This Row],[Debit]]</f>
        <v>-1400.69</v>
      </c>
      <c r="N110" t="str">
        <f>_xlfn.XLOOKUP(Cleaned[[#This Row],[AccountName]], Account_Mapping!A:A, Account_Mapping!B:B,"Unmapped")</f>
        <v>Operating Expense</v>
      </c>
      <c r="O110" cm="1">
        <f t="array" ref="O110">_xlfn.XLOOKUP(
  1,
  (FX_Rates[Currency]=Cleaned[[#This Row],[Currency]])*
  (FX_Rates[RateDate]&lt;=Cleaned[[#This Row],[TxnDate]]),
  FX_Rates[Rate_To_INR],
  ,
  -1
)</f>
        <v>103</v>
      </c>
      <c r="P110" s="2">
        <f>Cleaned[[#This Row],[Net Amount]] *  Cleaned[[#This Row],[FX_rates]]</f>
        <v>-144271.07</v>
      </c>
    </row>
    <row r="111" spans="1:16" x14ac:dyDescent="0.45">
      <c r="A111" t="s">
        <v>119</v>
      </c>
      <c r="B111" s="1">
        <v>45355</v>
      </c>
      <c r="C111" s="2" t="s">
        <v>2013</v>
      </c>
      <c r="D111" t="s">
        <v>2018</v>
      </c>
      <c r="E111">
        <v>1548.81</v>
      </c>
      <c r="F111">
        <f>Cleaned[[#This Row],[Debit]] * Cleaned[[#This Row],[FX_rates]]</f>
        <v>86733.36</v>
      </c>
      <c r="G111">
        <v>0</v>
      </c>
      <c r="H111">
        <f>Cleaned[[#This Row],[Credit]] *  Cleaned[[#This Row],[FX_rates]]</f>
        <v>0</v>
      </c>
      <c r="I111" t="s">
        <v>2025</v>
      </c>
      <c r="J111" t="s">
        <v>2030</v>
      </c>
      <c r="K111" t="s">
        <v>2140</v>
      </c>
      <c r="L111" t="s">
        <v>4033</v>
      </c>
      <c r="M111">
        <f>Cleaned[[#This Row],[Credit]]-Cleaned[[#This Row],[Debit]]</f>
        <v>-1548.81</v>
      </c>
      <c r="N111" t="str">
        <f>_xlfn.XLOOKUP(Cleaned[[#This Row],[AccountName]], Account_Mapping!A:A, Account_Mapping!B:B,"Unmapped")</f>
        <v>Operating Expense</v>
      </c>
      <c r="O111" cm="1">
        <f t="array" ref="O111">_xlfn.XLOOKUP(
  1,
  (FX_Rates[Currency]=Cleaned[[#This Row],[Currency]])*
  (FX_Rates[RateDate]&lt;=Cleaned[[#This Row],[TxnDate]]),
  FX_Rates[Rate_To_INR],
  ,
  -1
)</f>
        <v>56</v>
      </c>
      <c r="P111" s="2">
        <f>Cleaned[[#This Row],[Net Amount]] *  Cleaned[[#This Row],[FX_rates]]</f>
        <v>-86733.36</v>
      </c>
    </row>
    <row r="112" spans="1:16" x14ac:dyDescent="0.45">
      <c r="A112" t="s">
        <v>120</v>
      </c>
      <c r="B112" s="1">
        <v>45702</v>
      </c>
      <c r="C112" s="2" t="s">
        <v>2012</v>
      </c>
      <c r="D112" t="s">
        <v>2017</v>
      </c>
      <c r="E112">
        <v>1166.95</v>
      </c>
      <c r="F112">
        <f>Cleaned[[#This Row],[Debit]] * Cleaned[[#This Row],[FX_rates]]</f>
        <v>120195.85</v>
      </c>
      <c r="G112">
        <v>0</v>
      </c>
      <c r="H112">
        <f>Cleaned[[#This Row],[Credit]] *  Cleaned[[#This Row],[FX_rates]]</f>
        <v>0</v>
      </c>
      <c r="I112" t="s">
        <v>2020</v>
      </c>
      <c r="J112" t="s">
        <v>2030</v>
      </c>
      <c r="K112" t="s">
        <v>2141</v>
      </c>
      <c r="L112" t="s">
        <v>4031</v>
      </c>
      <c r="M112">
        <f>Cleaned[[#This Row],[Credit]]-Cleaned[[#This Row],[Debit]]</f>
        <v>-1166.95</v>
      </c>
      <c r="N112" t="str">
        <f>_xlfn.XLOOKUP(Cleaned[[#This Row],[AccountName]], Account_Mapping!A:A, Account_Mapping!B:B,"Unmapped")</f>
        <v>Operating Expense</v>
      </c>
      <c r="O112" cm="1">
        <f t="array" ref="O112">_xlfn.XLOOKUP(
  1,
  (FX_Rates[Currency]=Cleaned[[#This Row],[Currency]])*
  (FX_Rates[RateDate]&lt;=Cleaned[[#This Row],[TxnDate]]),
  FX_Rates[Rate_To_INR],
  ,
  -1
)</f>
        <v>103</v>
      </c>
      <c r="P112" s="2">
        <f>Cleaned[[#This Row],[Net Amount]] *  Cleaned[[#This Row],[FX_rates]]</f>
        <v>-120195.85</v>
      </c>
    </row>
    <row r="113" spans="1:16" x14ac:dyDescent="0.45">
      <c r="A113" t="s">
        <v>121</v>
      </c>
      <c r="B113" s="1">
        <v>45102</v>
      </c>
      <c r="C113" s="2" t="s">
        <v>2010</v>
      </c>
      <c r="D113" t="s">
        <v>2015</v>
      </c>
      <c r="E113">
        <v>0</v>
      </c>
      <c r="F113">
        <f>Cleaned[[#This Row],[Debit]] * Cleaned[[#This Row],[FX_rates]]</f>
        <v>0</v>
      </c>
      <c r="G113">
        <v>3630.78</v>
      </c>
      <c r="H113">
        <f>Cleaned[[#This Row],[Credit]] *  Cleaned[[#This Row],[FX_rates]]</f>
        <v>221477.58000000002</v>
      </c>
      <c r="I113" t="s">
        <v>2024</v>
      </c>
      <c r="J113" t="s">
        <v>2027</v>
      </c>
      <c r="K113" t="s">
        <v>2142</v>
      </c>
      <c r="L113" t="s">
        <v>4035</v>
      </c>
      <c r="M113">
        <f>Cleaned[[#This Row],[Credit]]-Cleaned[[#This Row],[Debit]]</f>
        <v>3630.78</v>
      </c>
      <c r="N113" t="str">
        <f>_xlfn.XLOOKUP(Cleaned[[#This Row],[AccountName]], Account_Mapping!A:A, Account_Mapping!B:B,"Unmapped")</f>
        <v>Revenue</v>
      </c>
      <c r="O113" cm="1">
        <f t="array" ref="O113">_xlfn.XLOOKUP(
  1,
  (FX_Rates[Currency]=Cleaned[[#This Row],[Currency]])*
  (FX_Rates[RateDate]&lt;=Cleaned[[#This Row],[TxnDate]]),
  FX_Rates[Rate_To_INR],
  ,
  -1
)</f>
        <v>61</v>
      </c>
      <c r="P113" s="2">
        <f>Cleaned[[#This Row],[Net Amount]] *  Cleaned[[#This Row],[FX_rates]]</f>
        <v>221477.58000000002</v>
      </c>
    </row>
    <row r="114" spans="1:16" x14ac:dyDescent="0.45">
      <c r="A114" t="s">
        <v>122</v>
      </c>
      <c r="B114" s="1">
        <v>45381</v>
      </c>
      <c r="C114" s="2" t="s">
        <v>2010</v>
      </c>
      <c r="D114" t="s">
        <v>2015</v>
      </c>
      <c r="E114">
        <v>0</v>
      </c>
      <c r="F114">
        <f>Cleaned[[#This Row],[Debit]] * Cleaned[[#This Row],[FX_rates]]</f>
        <v>0</v>
      </c>
      <c r="G114">
        <v>1148.97</v>
      </c>
      <c r="H114">
        <f>Cleaned[[#This Row],[Credit]] *  Cleaned[[#This Row],[FX_rates]]</f>
        <v>70087.17</v>
      </c>
      <c r="I114" t="s">
        <v>2021</v>
      </c>
      <c r="J114" t="s">
        <v>2030</v>
      </c>
      <c r="K114" t="s">
        <v>2143</v>
      </c>
      <c r="L114" t="s">
        <v>4035</v>
      </c>
      <c r="M114">
        <f>Cleaned[[#This Row],[Credit]]-Cleaned[[#This Row],[Debit]]</f>
        <v>1148.97</v>
      </c>
      <c r="N114" t="str">
        <f>_xlfn.XLOOKUP(Cleaned[[#This Row],[AccountName]], Account_Mapping!A:A, Account_Mapping!B:B,"Unmapped")</f>
        <v>Revenue</v>
      </c>
      <c r="O114" cm="1">
        <f t="array" ref="O114">_xlfn.XLOOKUP(
  1,
  (FX_Rates[Currency]=Cleaned[[#This Row],[Currency]])*
  (FX_Rates[RateDate]&lt;=Cleaned[[#This Row],[TxnDate]]),
  FX_Rates[Rate_To_INR],
  ,
  -1
)</f>
        <v>61</v>
      </c>
      <c r="P114" s="2">
        <f>Cleaned[[#This Row],[Net Amount]] *  Cleaned[[#This Row],[FX_rates]]</f>
        <v>70087.17</v>
      </c>
    </row>
    <row r="115" spans="1:16" x14ac:dyDescent="0.45">
      <c r="A115" t="s">
        <v>123</v>
      </c>
      <c r="B115" s="1">
        <v>45545</v>
      </c>
      <c r="C115" s="2" t="s">
        <v>2010</v>
      </c>
      <c r="D115" t="s">
        <v>2015</v>
      </c>
      <c r="E115">
        <v>0</v>
      </c>
      <c r="F115">
        <f>Cleaned[[#This Row],[Debit]] * Cleaned[[#This Row],[FX_rates]]</f>
        <v>0</v>
      </c>
      <c r="G115">
        <v>1826.98</v>
      </c>
      <c r="H115">
        <f>Cleaned[[#This Row],[Credit]] *  Cleaned[[#This Row],[FX_rates]]</f>
        <v>102310.88</v>
      </c>
      <c r="I115" t="s">
        <v>2024</v>
      </c>
      <c r="J115" t="s">
        <v>2029</v>
      </c>
      <c r="K115" t="s">
        <v>2144</v>
      </c>
      <c r="L115" t="s">
        <v>4033</v>
      </c>
      <c r="M115">
        <f>Cleaned[[#This Row],[Credit]]-Cleaned[[#This Row],[Debit]]</f>
        <v>1826.98</v>
      </c>
      <c r="N115" t="str">
        <f>_xlfn.XLOOKUP(Cleaned[[#This Row],[AccountName]], Account_Mapping!A:A, Account_Mapping!B:B,"Unmapped")</f>
        <v>Revenue</v>
      </c>
      <c r="O115" cm="1">
        <f t="array" ref="O115">_xlfn.XLOOKUP(
  1,
  (FX_Rates[Currency]=Cleaned[[#This Row],[Currency]])*
  (FX_Rates[RateDate]&lt;=Cleaned[[#This Row],[TxnDate]]),
  FX_Rates[Rate_To_INR],
  ,
  -1
)</f>
        <v>56</v>
      </c>
      <c r="P115" s="2">
        <f>Cleaned[[#This Row],[Net Amount]] *  Cleaned[[#This Row],[FX_rates]]</f>
        <v>102310.88</v>
      </c>
    </row>
    <row r="116" spans="1:16" x14ac:dyDescent="0.45">
      <c r="A116" t="s">
        <v>124</v>
      </c>
      <c r="B116" s="1">
        <v>45227</v>
      </c>
      <c r="C116" s="2" t="s">
        <v>2013</v>
      </c>
      <c r="D116" t="s">
        <v>2018</v>
      </c>
      <c r="E116">
        <v>464.27</v>
      </c>
      <c r="F116">
        <f>Cleaned[[#This Row],[Debit]] * Cleaned[[#This Row],[FX_rates]]</f>
        <v>38070.14</v>
      </c>
      <c r="G116">
        <v>0</v>
      </c>
      <c r="H116">
        <f>Cleaned[[#This Row],[Credit]] *  Cleaned[[#This Row],[FX_rates]]</f>
        <v>0</v>
      </c>
      <c r="I116" t="s">
        <v>2024</v>
      </c>
      <c r="J116" t="s">
        <v>2026</v>
      </c>
      <c r="K116" t="s">
        <v>2145</v>
      </c>
      <c r="L116" t="s">
        <v>4034</v>
      </c>
      <c r="M116">
        <f>Cleaned[[#This Row],[Credit]]-Cleaned[[#This Row],[Debit]]</f>
        <v>-464.27</v>
      </c>
      <c r="N116" t="str">
        <f>_xlfn.XLOOKUP(Cleaned[[#This Row],[AccountName]], Account_Mapping!A:A, Account_Mapping!B:B,"Unmapped")</f>
        <v>Operating Expense</v>
      </c>
      <c r="O116" cm="1">
        <f t="array" ref="O116">_xlfn.XLOOKUP(
  1,
  (FX_Rates[Currency]=Cleaned[[#This Row],[Currency]])*
  (FX_Rates[RateDate]&lt;=Cleaned[[#This Row],[TxnDate]]),
  FX_Rates[Rate_To_INR],
  ,
  -1
)</f>
        <v>82</v>
      </c>
      <c r="P116" s="2">
        <f>Cleaned[[#This Row],[Net Amount]] *  Cleaned[[#This Row],[FX_rates]]</f>
        <v>-38070.14</v>
      </c>
    </row>
    <row r="117" spans="1:16" x14ac:dyDescent="0.45">
      <c r="A117" t="s">
        <v>125</v>
      </c>
      <c r="B117" s="1">
        <v>45762</v>
      </c>
      <c r="C117" s="2" t="s">
        <v>2013</v>
      </c>
      <c r="D117" t="s">
        <v>2018</v>
      </c>
      <c r="E117">
        <v>325.08999999999997</v>
      </c>
      <c r="F117">
        <f>Cleaned[[#This Row],[Debit]] * Cleaned[[#This Row],[FX_rates]]</f>
        <v>26657.379999999997</v>
      </c>
      <c r="G117">
        <v>0</v>
      </c>
      <c r="H117">
        <f>Cleaned[[#This Row],[Credit]] *  Cleaned[[#This Row],[FX_rates]]</f>
        <v>0</v>
      </c>
      <c r="I117" t="s">
        <v>2024</v>
      </c>
      <c r="J117" t="s">
        <v>2028</v>
      </c>
      <c r="K117" t="s">
        <v>2146</v>
      </c>
      <c r="L117" t="s">
        <v>4034</v>
      </c>
      <c r="M117">
        <f>Cleaned[[#This Row],[Credit]]-Cleaned[[#This Row],[Debit]]</f>
        <v>-325.08999999999997</v>
      </c>
      <c r="N117" t="str">
        <f>_xlfn.XLOOKUP(Cleaned[[#This Row],[AccountName]], Account_Mapping!A:A, Account_Mapping!B:B,"Unmapped")</f>
        <v>Operating Expense</v>
      </c>
      <c r="O117" cm="1">
        <f t="array" ref="O117">_xlfn.XLOOKUP(
  1,
  (FX_Rates[Currency]=Cleaned[[#This Row],[Currency]])*
  (FX_Rates[RateDate]&lt;=Cleaned[[#This Row],[TxnDate]]),
  FX_Rates[Rate_To_INR],
  ,
  -1
)</f>
        <v>82</v>
      </c>
      <c r="P117" s="2">
        <f>Cleaned[[#This Row],[Net Amount]] *  Cleaned[[#This Row],[FX_rates]]</f>
        <v>-26657.379999999997</v>
      </c>
    </row>
    <row r="118" spans="1:16" x14ac:dyDescent="0.45">
      <c r="A118" t="s">
        <v>126</v>
      </c>
      <c r="B118" s="1">
        <v>45029</v>
      </c>
      <c r="C118" s="2" t="s">
        <v>2010</v>
      </c>
      <c r="D118" t="s">
        <v>2015</v>
      </c>
      <c r="E118">
        <v>0</v>
      </c>
      <c r="F118">
        <f>Cleaned[[#This Row],[Debit]] * Cleaned[[#This Row],[FX_rates]]</f>
        <v>0</v>
      </c>
      <c r="G118">
        <v>3674.13</v>
      </c>
      <c r="H118">
        <f>Cleaned[[#This Row],[Credit]] *  Cleaned[[#This Row],[FX_rates]]</f>
        <v>224121.93</v>
      </c>
      <c r="I118" t="s">
        <v>2021</v>
      </c>
      <c r="J118" t="s">
        <v>2030</v>
      </c>
      <c r="K118" t="s">
        <v>2147</v>
      </c>
      <c r="L118" t="s">
        <v>4035</v>
      </c>
      <c r="M118">
        <f>Cleaned[[#This Row],[Credit]]-Cleaned[[#This Row],[Debit]]</f>
        <v>3674.13</v>
      </c>
      <c r="N118" t="str">
        <f>_xlfn.XLOOKUP(Cleaned[[#This Row],[AccountName]], Account_Mapping!A:A, Account_Mapping!B:B,"Unmapped")</f>
        <v>Revenue</v>
      </c>
      <c r="O118" cm="1">
        <f t="array" ref="O118">_xlfn.XLOOKUP(
  1,
  (FX_Rates[Currency]=Cleaned[[#This Row],[Currency]])*
  (FX_Rates[RateDate]&lt;=Cleaned[[#This Row],[TxnDate]]),
  FX_Rates[Rate_To_INR],
  ,
  -1
)</f>
        <v>61</v>
      </c>
      <c r="P118" s="2">
        <f>Cleaned[[#This Row],[Net Amount]] *  Cleaned[[#This Row],[FX_rates]]</f>
        <v>224121.93</v>
      </c>
    </row>
    <row r="119" spans="1:16" x14ac:dyDescent="0.45">
      <c r="A119" t="s">
        <v>127</v>
      </c>
      <c r="B119" s="1">
        <v>45170</v>
      </c>
      <c r="C119" s="2" t="s">
        <v>2014</v>
      </c>
      <c r="D119" t="s">
        <v>2019</v>
      </c>
      <c r="E119">
        <v>0</v>
      </c>
      <c r="F119">
        <f>Cleaned[[#This Row],[Debit]] * Cleaned[[#This Row],[FX_rates]]</f>
        <v>0</v>
      </c>
      <c r="G119">
        <v>2578.4299999999998</v>
      </c>
      <c r="H119">
        <f>Cleaned[[#This Row],[Credit]] *  Cleaned[[#This Row],[FX_rates]]</f>
        <v>265578.28999999998</v>
      </c>
      <c r="I119" t="s">
        <v>2024</v>
      </c>
      <c r="J119" t="s">
        <v>2027</v>
      </c>
      <c r="K119" t="s">
        <v>2148</v>
      </c>
      <c r="L119" t="s">
        <v>4031</v>
      </c>
      <c r="M119">
        <f>Cleaned[[#This Row],[Credit]]-Cleaned[[#This Row],[Debit]]</f>
        <v>2578.4299999999998</v>
      </c>
      <c r="N119" t="str">
        <f>_xlfn.XLOOKUP(Cleaned[[#This Row],[AccountName]], Account_Mapping!A:A, Account_Mapping!B:B,"Unmapped")</f>
        <v>Revenue</v>
      </c>
      <c r="O119" cm="1">
        <f t="array" ref="O119">_xlfn.XLOOKUP(
  1,
  (FX_Rates[Currency]=Cleaned[[#This Row],[Currency]])*
  (FX_Rates[RateDate]&lt;=Cleaned[[#This Row],[TxnDate]]),
  FX_Rates[Rate_To_INR],
  ,
  -1
)</f>
        <v>103</v>
      </c>
      <c r="P119" s="2">
        <f>Cleaned[[#This Row],[Net Amount]] *  Cleaned[[#This Row],[FX_rates]]</f>
        <v>265578.28999999998</v>
      </c>
    </row>
    <row r="120" spans="1:16" x14ac:dyDescent="0.45">
      <c r="A120" t="s">
        <v>128</v>
      </c>
      <c r="B120" s="1">
        <v>45669</v>
      </c>
      <c r="C120" s="2" t="s">
        <v>2012</v>
      </c>
      <c r="D120" t="s">
        <v>2017</v>
      </c>
      <c r="E120">
        <v>523.80999999999995</v>
      </c>
      <c r="F120">
        <f>Cleaned[[#This Row],[Debit]] * Cleaned[[#This Row],[FX_rates]]</f>
        <v>29333.359999999997</v>
      </c>
      <c r="G120">
        <v>0</v>
      </c>
      <c r="H120">
        <f>Cleaned[[#This Row],[Credit]] *  Cleaned[[#This Row],[FX_rates]]</f>
        <v>0</v>
      </c>
      <c r="I120" t="s">
        <v>2023</v>
      </c>
      <c r="J120" t="s">
        <v>2026</v>
      </c>
      <c r="K120" t="s">
        <v>2149</v>
      </c>
      <c r="L120" t="s">
        <v>4033</v>
      </c>
      <c r="M120">
        <f>Cleaned[[#This Row],[Credit]]-Cleaned[[#This Row],[Debit]]</f>
        <v>-523.80999999999995</v>
      </c>
      <c r="N120" t="str">
        <f>_xlfn.XLOOKUP(Cleaned[[#This Row],[AccountName]], Account_Mapping!A:A, Account_Mapping!B:B,"Unmapped")</f>
        <v>Operating Expense</v>
      </c>
      <c r="O120" cm="1">
        <f t="array" ref="O120">_xlfn.XLOOKUP(
  1,
  (FX_Rates[Currency]=Cleaned[[#This Row],[Currency]])*
  (FX_Rates[RateDate]&lt;=Cleaned[[#This Row],[TxnDate]]),
  FX_Rates[Rate_To_INR],
  ,
  -1
)</f>
        <v>56</v>
      </c>
      <c r="P120" s="2">
        <f>Cleaned[[#This Row],[Net Amount]] *  Cleaned[[#This Row],[FX_rates]]</f>
        <v>-29333.359999999997</v>
      </c>
    </row>
    <row r="121" spans="1:16" x14ac:dyDescent="0.45">
      <c r="A121" t="s">
        <v>129</v>
      </c>
      <c r="B121" s="1">
        <v>45626</v>
      </c>
      <c r="C121" s="2" t="s">
        <v>2013</v>
      </c>
      <c r="D121" t="s">
        <v>2018</v>
      </c>
      <c r="E121">
        <v>1120.46</v>
      </c>
      <c r="F121">
        <f>Cleaned[[#This Row],[Debit]] * Cleaned[[#This Row],[FX_rates]]</f>
        <v>62745.760000000002</v>
      </c>
      <c r="G121">
        <v>0</v>
      </c>
      <c r="H121">
        <f>Cleaned[[#This Row],[Credit]] *  Cleaned[[#This Row],[FX_rates]]</f>
        <v>0</v>
      </c>
      <c r="I121" t="s">
        <v>2024</v>
      </c>
      <c r="J121" t="s">
        <v>2027</v>
      </c>
      <c r="K121" t="s">
        <v>2150</v>
      </c>
      <c r="L121" t="s">
        <v>4033</v>
      </c>
      <c r="M121">
        <f>Cleaned[[#This Row],[Credit]]-Cleaned[[#This Row],[Debit]]</f>
        <v>-1120.46</v>
      </c>
      <c r="N121" t="str">
        <f>_xlfn.XLOOKUP(Cleaned[[#This Row],[AccountName]], Account_Mapping!A:A, Account_Mapping!B:B,"Unmapped")</f>
        <v>Operating Expense</v>
      </c>
      <c r="O121" cm="1">
        <f t="array" ref="O121">_xlfn.XLOOKUP(
  1,
  (FX_Rates[Currency]=Cleaned[[#This Row],[Currency]])*
  (FX_Rates[RateDate]&lt;=Cleaned[[#This Row],[TxnDate]]),
  FX_Rates[Rate_To_INR],
  ,
  -1
)</f>
        <v>56</v>
      </c>
      <c r="P121" s="2">
        <f>Cleaned[[#This Row],[Net Amount]] *  Cleaned[[#This Row],[FX_rates]]</f>
        <v>-62745.760000000002</v>
      </c>
    </row>
    <row r="122" spans="1:16" x14ac:dyDescent="0.45">
      <c r="A122" t="s">
        <v>130</v>
      </c>
      <c r="B122" s="1">
        <v>45000</v>
      </c>
      <c r="C122" s="2" t="s">
        <v>2011</v>
      </c>
      <c r="D122" t="s">
        <v>2016</v>
      </c>
      <c r="E122">
        <v>547.59</v>
      </c>
      <c r="F122">
        <f>Cleaned[[#This Row],[Debit]] * Cleaned[[#This Row],[FX_rates]]</f>
        <v>30665.040000000001</v>
      </c>
      <c r="G122">
        <v>0</v>
      </c>
      <c r="H122">
        <f>Cleaned[[#This Row],[Credit]] *  Cleaned[[#This Row],[FX_rates]]</f>
        <v>0</v>
      </c>
      <c r="I122" t="s">
        <v>2022</v>
      </c>
      <c r="J122" t="s">
        <v>2026</v>
      </c>
      <c r="K122" t="s">
        <v>2151</v>
      </c>
      <c r="L122" t="s">
        <v>4033</v>
      </c>
      <c r="M122">
        <f>Cleaned[[#This Row],[Credit]]-Cleaned[[#This Row],[Debit]]</f>
        <v>-547.59</v>
      </c>
      <c r="N122" t="str">
        <f>_xlfn.XLOOKUP(Cleaned[[#This Row],[AccountName]], Account_Mapping!A:A, Account_Mapping!B:B,"Unmapped")</f>
        <v>COGS</v>
      </c>
      <c r="O122" cm="1">
        <f t="array" ref="O122">_xlfn.XLOOKUP(
  1,
  (FX_Rates[Currency]=Cleaned[[#This Row],[Currency]])*
  (FX_Rates[RateDate]&lt;=Cleaned[[#This Row],[TxnDate]]),
  FX_Rates[Rate_To_INR],
  ,
  -1
)</f>
        <v>56</v>
      </c>
      <c r="P122" s="2">
        <f>Cleaned[[#This Row],[Net Amount]] *  Cleaned[[#This Row],[FX_rates]]</f>
        <v>-30665.040000000001</v>
      </c>
    </row>
    <row r="123" spans="1:16" x14ac:dyDescent="0.45">
      <c r="A123" t="s">
        <v>131</v>
      </c>
      <c r="B123" s="1">
        <v>45681</v>
      </c>
      <c r="C123" s="2" t="s">
        <v>2014</v>
      </c>
      <c r="D123" t="s">
        <v>2019</v>
      </c>
      <c r="E123">
        <v>0</v>
      </c>
      <c r="F123">
        <f>Cleaned[[#This Row],[Debit]] * Cleaned[[#This Row],[FX_rates]]</f>
        <v>0</v>
      </c>
      <c r="G123">
        <v>2032.52</v>
      </c>
      <c r="H123">
        <f>Cleaned[[#This Row],[Credit]] *  Cleaned[[#This Row],[FX_rates]]</f>
        <v>123983.72</v>
      </c>
      <c r="I123" t="s">
        <v>2025</v>
      </c>
      <c r="J123" t="s">
        <v>2028</v>
      </c>
      <c r="K123" t="s">
        <v>2152</v>
      </c>
      <c r="L123" t="s">
        <v>4035</v>
      </c>
      <c r="M123">
        <f>Cleaned[[#This Row],[Credit]]-Cleaned[[#This Row],[Debit]]</f>
        <v>2032.52</v>
      </c>
      <c r="N123" t="str">
        <f>_xlfn.XLOOKUP(Cleaned[[#This Row],[AccountName]], Account_Mapping!A:A, Account_Mapping!B:B,"Unmapped")</f>
        <v>Revenue</v>
      </c>
      <c r="O123" cm="1">
        <f t="array" ref="O123">_xlfn.XLOOKUP(
  1,
  (FX_Rates[Currency]=Cleaned[[#This Row],[Currency]])*
  (FX_Rates[RateDate]&lt;=Cleaned[[#This Row],[TxnDate]]),
  FX_Rates[Rate_To_INR],
  ,
  -1
)</f>
        <v>61</v>
      </c>
      <c r="P123" s="2">
        <f>Cleaned[[#This Row],[Net Amount]] *  Cleaned[[#This Row],[FX_rates]]</f>
        <v>123983.72</v>
      </c>
    </row>
    <row r="124" spans="1:16" x14ac:dyDescent="0.45">
      <c r="A124" t="s">
        <v>132</v>
      </c>
      <c r="B124" s="1">
        <v>45128</v>
      </c>
      <c r="C124" s="2" t="s">
        <v>2012</v>
      </c>
      <c r="D124" t="s">
        <v>2017</v>
      </c>
      <c r="E124">
        <v>1405.18</v>
      </c>
      <c r="F124">
        <f>Cleaned[[#This Row],[Debit]] * Cleaned[[#This Row],[FX_rates]]</f>
        <v>144733.54</v>
      </c>
      <c r="G124">
        <v>0</v>
      </c>
      <c r="H124">
        <f>Cleaned[[#This Row],[Credit]] *  Cleaned[[#This Row],[FX_rates]]</f>
        <v>0</v>
      </c>
      <c r="I124" t="s">
        <v>2025</v>
      </c>
      <c r="J124" t="s">
        <v>2027</v>
      </c>
      <c r="K124" t="s">
        <v>2153</v>
      </c>
      <c r="L124" t="s">
        <v>4031</v>
      </c>
      <c r="M124">
        <f>Cleaned[[#This Row],[Credit]]-Cleaned[[#This Row],[Debit]]</f>
        <v>-1405.18</v>
      </c>
      <c r="N124" t="str">
        <f>_xlfn.XLOOKUP(Cleaned[[#This Row],[AccountName]], Account_Mapping!A:A, Account_Mapping!B:B,"Unmapped")</f>
        <v>Operating Expense</v>
      </c>
      <c r="O124" cm="1">
        <f t="array" ref="O124">_xlfn.XLOOKUP(
  1,
  (FX_Rates[Currency]=Cleaned[[#This Row],[Currency]])*
  (FX_Rates[RateDate]&lt;=Cleaned[[#This Row],[TxnDate]]),
  FX_Rates[Rate_To_INR],
  ,
  -1
)</f>
        <v>103</v>
      </c>
      <c r="P124" s="2">
        <f>Cleaned[[#This Row],[Net Amount]] *  Cleaned[[#This Row],[FX_rates]]</f>
        <v>-144733.54</v>
      </c>
    </row>
    <row r="125" spans="1:16" x14ac:dyDescent="0.45">
      <c r="A125" t="s">
        <v>133</v>
      </c>
      <c r="B125" s="1">
        <v>45345</v>
      </c>
      <c r="C125" s="2" t="s">
        <v>2011</v>
      </c>
      <c r="D125" t="s">
        <v>2016</v>
      </c>
      <c r="E125">
        <v>150.66999999999999</v>
      </c>
      <c r="F125">
        <f>Cleaned[[#This Row],[Debit]] * Cleaned[[#This Row],[FX_rates]]</f>
        <v>9190.869999999999</v>
      </c>
      <c r="G125">
        <v>0</v>
      </c>
      <c r="H125">
        <f>Cleaned[[#This Row],[Credit]] *  Cleaned[[#This Row],[FX_rates]]</f>
        <v>0</v>
      </c>
      <c r="I125" t="s">
        <v>2023</v>
      </c>
      <c r="J125" t="s">
        <v>2026</v>
      </c>
      <c r="K125" t="s">
        <v>2154</v>
      </c>
      <c r="L125" t="s">
        <v>4035</v>
      </c>
      <c r="M125">
        <f>Cleaned[[#This Row],[Credit]]-Cleaned[[#This Row],[Debit]]</f>
        <v>-150.66999999999999</v>
      </c>
      <c r="N125" t="str">
        <f>_xlfn.XLOOKUP(Cleaned[[#This Row],[AccountName]], Account_Mapping!A:A, Account_Mapping!B:B,"Unmapped")</f>
        <v>COGS</v>
      </c>
      <c r="O125" cm="1">
        <f t="array" ref="O125">_xlfn.XLOOKUP(
  1,
  (FX_Rates[Currency]=Cleaned[[#This Row],[Currency]])*
  (FX_Rates[RateDate]&lt;=Cleaned[[#This Row],[TxnDate]]),
  FX_Rates[Rate_To_INR],
  ,
  -1
)</f>
        <v>61</v>
      </c>
      <c r="P125" s="2">
        <f>Cleaned[[#This Row],[Net Amount]] *  Cleaned[[#This Row],[FX_rates]]</f>
        <v>-9190.869999999999</v>
      </c>
    </row>
    <row r="126" spans="1:16" x14ac:dyDescent="0.45">
      <c r="A126" t="s">
        <v>134</v>
      </c>
      <c r="B126" s="1">
        <v>45510</v>
      </c>
      <c r="C126" s="2" t="s">
        <v>2014</v>
      </c>
      <c r="D126" t="s">
        <v>2019</v>
      </c>
      <c r="E126">
        <v>0</v>
      </c>
      <c r="F126">
        <f>Cleaned[[#This Row],[Debit]] * Cleaned[[#This Row],[FX_rates]]</f>
        <v>0</v>
      </c>
      <c r="G126">
        <v>902.67</v>
      </c>
      <c r="H126">
        <f>Cleaned[[#This Row],[Credit]] *  Cleaned[[#This Row],[FX_rates]]</f>
        <v>55062.869999999995</v>
      </c>
      <c r="I126" t="s">
        <v>2022</v>
      </c>
      <c r="J126" t="s">
        <v>2027</v>
      </c>
      <c r="K126" t="s">
        <v>2155</v>
      </c>
      <c r="L126" t="s">
        <v>4035</v>
      </c>
      <c r="M126">
        <f>Cleaned[[#This Row],[Credit]]-Cleaned[[#This Row],[Debit]]</f>
        <v>902.67</v>
      </c>
      <c r="N126" t="str">
        <f>_xlfn.XLOOKUP(Cleaned[[#This Row],[AccountName]], Account_Mapping!A:A, Account_Mapping!B:B,"Unmapped")</f>
        <v>Revenue</v>
      </c>
      <c r="O126" cm="1">
        <f t="array" ref="O126">_xlfn.XLOOKUP(
  1,
  (FX_Rates[Currency]=Cleaned[[#This Row],[Currency]])*
  (FX_Rates[RateDate]&lt;=Cleaned[[#This Row],[TxnDate]]),
  FX_Rates[Rate_To_INR],
  ,
  -1
)</f>
        <v>61</v>
      </c>
      <c r="P126" s="2">
        <f>Cleaned[[#This Row],[Net Amount]] *  Cleaned[[#This Row],[FX_rates]]</f>
        <v>55062.869999999995</v>
      </c>
    </row>
    <row r="127" spans="1:16" x14ac:dyDescent="0.45">
      <c r="A127" t="s">
        <v>135</v>
      </c>
      <c r="B127" s="1">
        <v>45260</v>
      </c>
      <c r="C127" s="2" t="s">
        <v>2010</v>
      </c>
      <c r="D127" t="s">
        <v>2015</v>
      </c>
      <c r="E127">
        <v>0</v>
      </c>
      <c r="F127">
        <f>Cleaned[[#This Row],[Debit]] * Cleaned[[#This Row],[FX_rates]]</f>
        <v>0</v>
      </c>
      <c r="G127">
        <v>160.09</v>
      </c>
      <c r="H127">
        <f>Cleaned[[#This Row],[Credit]] *  Cleaned[[#This Row],[FX_rates]]</f>
        <v>9765.49</v>
      </c>
      <c r="I127" t="s">
        <v>2024</v>
      </c>
      <c r="J127" t="s">
        <v>2026</v>
      </c>
      <c r="K127" t="s">
        <v>2156</v>
      </c>
      <c r="L127" t="s">
        <v>4035</v>
      </c>
      <c r="M127">
        <f>Cleaned[[#This Row],[Credit]]-Cleaned[[#This Row],[Debit]]</f>
        <v>160.09</v>
      </c>
      <c r="N127" t="str">
        <f>_xlfn.XLOOKUP(Cleaned[[#This Row],[AccountName]], Account_Mapping!A:A, Account_Mapping!B:B,"Unmapped")</f>
        <v>Revenue</v>
      </c>
      <c r="O127" cm="1">
        <f t="array" ref="O127">_xlfn.XLOOKUP(
  1,
  (FX_Rates[Currency]=Cleaned[[#This Row],[Currency]])*
  (FX_Rates[RateDate]&lt;=Cleaned[[#This Row],[TxnDate]]),
  FX_Rates[Rate_To_INR],
  ,
  -1
)</f>
        <v>61</v>
      </c>
      <c r="P127" s="2">
        <f>Cleaned[[#This Row],[Net Amount]] *  Cleaned[[#This Row],[FX_rates]]</f>
        <v>9765.49</v>
      </c>
    </row>
    <row r="128" spans="1:16" x14ac:dyDescent="0.45">
      <c r="A128" t="s">
        <v>136</v>
      </c>
      <c r="B128" s="1">
        <v>45276</v>
      </c>
      <c r="C128" s="2" t="s">
        <v>2013</v>
      </c>
      <c r="D128" t="s">
        <v>2018</v>
      </c>
      <c r="E128">
        <v>367.4</v>
      </c>
      <c r="F128">
        <f>Cleaned[[#This Row],[Debit]] * Cleaned[[#This Row],[FX_rates]]</f>
        <v>20574.399999999998</v>
      </c>
      <c r="G128">
        <v>0</v>
      </c>
      <c r="H128">
        <f>Cleaned[[#This Row],[Credit]] *  Cleaned[[#This Row],[FX_rates]]</f>
        <v>0</v>
      </c>
      <c r="I128" t="s">
        <v>2022</v>
      </c>
      <c r="J128" t="s">
        <v>2026</v>
      </c>
      <c r="K128" t="s">
        <v>2157</v>
      </c>
      <c r="L128" t="s">
        <v>4033</v>
      </c>
      <c r="M128">
        <f>Cleaned[[#This Row],[Credit]]-Cleaned[[#This Row],[Debit]]</f>
        <v>-367.4</v>
      </c>
      <c r="N128" t="str">
        <f>_xlfn.XLOOKUP(Cleaned[[#This Row],[AccountName]], Account_Mapping!A:A, Account_Mapping!B:B,"Unmapped")</f>
        <v>Operating Expense</v>
      </c>
      <c r="O128" cm="1">
        <f t="array" ref="O128">_xlfn.XLOOKUP(
  1,
  (FX_Rates[Currency]=Cleaned[[#This Row],[Currency]])*
  (FX_Rates[RateDate]&lt;=Cleaned[[#This Row],[TxnDate]]),
  FX_Rates[Rate_To_INR],
  ,
  -1
)</f>
        <v>56</v>
      </c>
      <c r="P128" s="2">
        <f>Cleaned[[#This Row],[Net Amount]] *  Cleaned[[#This Row],[FX_rates]]</f>
        <v>-20574.399999999998</v>
      </c>
    </row>
    <row r="129" spans="1:16" x14ac:dyDescent="0.45">
      <c r="A129" t="s">
        <v>137</v>
      </c>
      <c r="B129" s="1">
        <v>44962</v>
      </c>
      <c r="C129" s="2" t="s">
        <v>2010</v>
      </c>
      <c r="D129" t="s">
        <v>2015</v>
      </c>
      <c r="E129">
        <v>0</v>
      </c>
      <c r="F129">
        <f>Cleaned[[#This Row],[Debit]] * Cleaned[[#This Row],[FX_rates]]</f>
        <v>0</v>
      </c>
      <c r="G129">
        <v>4964.84</v>
      </c>
      <c r="H129">
        <f>Cleaned[[#This Row],[Credit]] *  Cleaned[[#This Row],[FX_rates]]</f>
        <v>511378.52</v>
      </c>
      <c r="I129" t="s">
        <v>2021</v>
      </c>
      <c r="J129" t="s">
        <v>2026</v>
      </c>
      <c r="K129" t="s">
        <v>2158</v>
      </c>
      <c r="L129" t="s">
        <v>4031</v>
      </c>
      <c r="M129">
        <f>Cleaned[[#This Row],[Credit]]-Cleaned[[#This Row],[Debit]]</f>
        <v>4964.84</v>
      </c>
      <c r="N129" t="str">
        <f>_xlfn.XLOOKUP(Cleaned[[#This Row],[AccountName]], Account_Mapping!A:A, Account_Mapping!B:B,"Unmapped")</f>
        <v>Revenue</v>
      </c>
      <c r="O129" cm="1">
        <f t="array" ref="O129">_xlfn.XLOOKUP(
  1,
  (FX_Rates[Currency]=Cleaned[[#This Row],[Currency]])*
  (FX_Rates[RateDate]&lt;=Cleaned[[#This Row],[TxnDate]]),
  FX_Rates[Rate_To_INR],
  ,
  -1
)</f>
        <v>103</v>
      </c>
      <c r="P129" s="2">
        <f>Cleaned[[#This Row],[Net Amount]] *  Cleaned[[#This Row],[FX_rates]]</f>
        <v>511378.52</v>
      </c>
    </row>
    <row r="130" spans="1:16" x14ac:dyDescent="0.45">
      <c r="A130" t="s">
        <v>138</v>
      </c>
      <c r="B130" s="1">
        <v>45762</v>
      </c>
      <c r="C130" s="2" t="s">
        <v>2013</v>
      </c>
      <c r="D130" t="s">
        <v>2018</v>
      </c>
      <c r="E130">
        <v>925</v>
      </c>
      <c r="F130">
        <f>Cleaned[[#This Row],[Debit]] * Cleaned[[#This Row],[FX_rates]]</f>
        <v>81400</v>
      </c>
      <c r="G130">
        <v>0</v>
      </c>
      <c r="H130">
        <f>Cleaned[[#This Row],[Credit]] *  Cleaned[[#This Row],[FX_rates]]</f>
        <v>0</v>
      </c>
      <c r="I130" t="s">
        <v>2020</v>
      </c>
      <c r="J130" t="s">
        <v>2026</v>
      </c>
      <c r="K130" t="s">
        <v>2159</v>
      </c>
      <c r="L130" t="s">
        <v>4032</v>
      </c>
      <c r="M130">
        <f>Cleaned[[#This Row],[Credit]]-Cleaned[[#This Row],[Debit]]</f>
        <v>-925</v>
      </c>
      <c r="N130" t="str">
        <f>_xlfn.XLOOKUP(Cleaned[[#This Row],[AccountName]], Account_Mapping!A:A, Account_Mapping!B:B,"Unmapped")</f>
        <v>Operating Expense</v>
      </c>
      <c r="O130" cm="1">
        <f t="array" ref="O130">_xlfn.XLOOKUP(
  1,
  (FX_Rates[Currency]=Cleaned[[#This Row],[Currency]])*
  (FX_Rates[RateDate]&lt;=Cleaned[[#This Row],[TxnDate]]),
  FX_Rates[Rate_To_INR],
  ,
  -1
)</f>
        <v>88</v>
      </c>
      <c r="P130" s="2">
        <f>Cleaned[[#This Row],[Net Amount]] *  Cleaned[[#This Row],[FX_rates]]</f>
        <v>-81400</v>
      </c>
    </row>
    <row r="131" spans="1:16" x14ac:dyDescent="0.45">
      <c r="A131" t="s">
        <v>139</v>
      </c>
      <c r="B131" s="1">
        <v>45671</v>
      </c>
      <c r="C131" s="2" t="s">
        <v>2011</v>
      </c>
      <c r="D131" t="s">
        <v>2016</v>
      </c>
      <c r="E131">
        <v>1697.34</v>
      </c>
      <c r="F131">
        <f>Cleaned[[#This Row],[Debit]] * Cleaned[[#This Row],[FX_rates]]</f>
        <v>149365.91999999998</v>
      </c>
      <c r="G131">
        <v>0</v>
      </c>
      <c r="H131">
        <f>Cleaned[[#This Row],[Credit]] *  Cleaned[[#This Row],[FX_rates]]</f>
        <v>0</v>
      </c>
      <c r="I131" t="s">
        <v>2022</v>
      </c>
      <c r="J131" t="s">
        <v>2026</v>
      </c>
      <c r="K131" t="s">
        <v>2160</v>
      </c>
      <c r="L131" t="s">
        <v>4032</v>
      </c>
      <c r="M131">
        <f>Cleaned[[#This Row],[Credit]]-Cleaned[[#This Row],[Debit]]</f>
        <v>-1697.34</v>
      </c>
      <c r="N131" t="str">
        <f>_xlfn.XLOOKUP(Cleaned[[#This Row],[AccountName]], Account_Mapping!A:A, Account_Mapping!B:B,"Unmapped")</f>
        <v>COGS</v>
      </c>
      <c r="O131" cm="1">
        <f t="array" ref="O131">_xlfn.XLOOKUP(
  1,
  (FX_Rates[Currency]=Cleaned[[#This Row],[Currency]])*
  (FX_Rates[RateDate]&lt;=Cleaned[[#This Row],[TxnDate]]),
  FX_Rates[Rate_To_INR],
  ,
  -1
)</f>
        <v>88</v>
      </c>
      <c r="P131" s="2">
        <f>Cleaned[[#This Row],[Net Amount]] *  Cleaned[[#This Row],[FX_rates]]</f>
        <v>-149365.91999999998</v>
      </c>
    </row>
    <row r="132" spans="1:16" x14ac:dyDescent="0.45">
      <c r="A132" t="s">
        <v>140</v>
      </c>
      <c r="B132" s="1">
        <v>45174</v>
      </c>
      <c r="C132" s="2" t="s">
        <v>2011</v>
      </c>
      <c r="D132" t="s">
        <v>2016</v>
      </c>
      <c r="E132">
        <v>308.37</v>
      </c>
      <c r="F132">
        <f>Cleaned[[#This Row],[Debit]] * Cleaned[[#This Row],[FX_rates]]</f>
        <v>18810.57</v>
      </c>
      <c r="G132">
        <v>0</v>
      </c>
      <c r="H132">
        <f>Cleaned[[#This Row],[Credit]] *  Cleaned[[#This Row],[FX_rates]]</f>
        <v>0</v>
      </c>
      <c r="I132" t="s">
        <v>2025</v>
      </c>
      <c r="J132" t="s">
        <v>2026</v>
      </c>
      <c r="K132" t="s">
        <v>2161</v>
      </c>
      <c r="L132" t="s">
        <v>4035</v>
      </c>
      <c r="M132">
        <f>Cleaned[[#This Row],[Credit]]-Cleaned[[#This Row],[Debit]]</f>
        <v>-308.37</v>
      </c>
      <c r="N132" t="str">
        <f>_xlfn.XLOOKUP(Cleaned[[#This Row],[AccountName]], Account_Mapping!A:A, Account_Mapping!B:B,"Unmapped")</f>
        <v>COGS</v>
      </c>
      <c r="O132" cm="1">
        <f t="array" ref="O132">_xlfn.XLOOKUP(
  1,
  (FX_Rates[Currency]=Cleaned[[#This Row],[Currency]])*
  (FX_Rates[RateDate]&lt;=Cleaned[[#This Row],[TxnDate]]),
  FX_Rates[Rate_To_INR],
  ,
  -1
)</f>
        <v>61</v>
      </c>
      <c r="P132" s="2">
        <f>Cleaned[[#This Row],[Net Amount]] *  Cleaned[[#This Row],[FX_rates]]</f>
        <v>-18810.57</v>
      </c>
    </row>
    <row r="133" spans="1:16" x14ac:dyDescent="0.45">
      <c r="A133" t="s">
        <v>141</v>
      </c>
      <c r="B133" s="1">
        <v>45478</v>
      </c>
      <c r="C133" s="2" t="s">
        <v>2011</v>
      </c>
      <c r="D133" t="s">
        <v>2016</v>
      </c>
      <c r="E133">
        <v>1304.32</v>
      </c>
      <c r="F133">
        <f>Cleaned[[#This Row],[Debit]] * Cleaned[[#This Row],[FX_rates]]</f>
        <v>106954.23999999999</v>
      </c>
      <c r="G133">
        <v>0</v>
      </c>
      <c r="H133">
        <f>Cleaned[[#This Row],[Credit]] *  Cleaned[[#This Row],[FX_rates]]</f>
        <v>0</v>
      </c>
      <c r="I133" t="s">
        <v>2025</v>
      </c>
      <c r="J133" t="s">
        <v>2028</v>
      </c>
      <c r="K133" t="s">
        <v>2162</v>
      </c>
      <c r="L133" t="s">
        <v>4034</v>
      </c>
      <c r="M133">
        <f>Cleaned[[#This Row],[Credit]]-Cleaned[[#This Row],[Debit]]</f>
        <v>-1304.32</v>
      </c>
      <c r="N133" t="str">
        <f>_xlfn.XLOOKUP(Cleaned[[#This Row],[AccountName]], Account_Mapping!A:A, Account_Mapping!B:B,"Unmapped")</f>
        <v>COGS</v>
      </c>
      <c r="O133" cm="1">
        <f t="array" ref="O133">_xlfn.XLOOKUP(
  1,
  (FX_Rates[Currency]=Cleaned[[#This Row],[Currency]])*
  (FX_Rates[RateDate]&lt;=Cleaned[[#This Row],[TxnDate]]),
  FX_Rates[Rate_To_INR],
  ,
  -1
)</f>
        <v>82</v>
      </c>
      <c r="P133" s="2">
        <f>Cleaned[[#This Row],[Net Amount]] *  Cleaned[[#This Row],[FX_rates]]</f>
        <v>-106954.23999999999</v>
      </c>
    </row>
    <row r="134" spans="1:16" x14ac:dyDescent="0.45">
      <c r="A134" t="s">
        <v>142</v>
      </c>
      <c r="B134" s="1">
        <v>45355</v>
      </c>
      <c r="C134" s="2" t="s">
        <v>2014</v>
      </c>
      <c r="D134" t="s">
        <v>2019</v>
      </c>
      <c r="E134">
        <v>0</v>
      </c>
      <c r="F134">
        <f>Cleaned[[#This Row],[Debit]] * Cleaned[[#This Row],[FX_rates]]</f>
        <v>0</v>
      </c>
      <c r="G134">
        <v>3993.88</v>
      </c>
      <c r="H134">
        <f>Cleaned[[#This Row],[Credit]] *  Cleaned[[#This Row],[FX_rates]]</f>
        <v>223657.28</v>
      </c>
      <c r="I134" t="s">
        <v>2022</v>
      </c>
      <c r="J134" t="s">
        <v>2030</v>
      </c>
      <c r="K134" t="s">
        <v>2163</v>
      </c>
      <c r="L134" t="s">
        <v>4033</v>
      </c>
      <c r="M134">
        <f>Cleaned[[#This Row],[Credit]]-Cleaned[[#This Row],[Debit]]</f>
        <v>3993.88</v>
      </c>
      <c r="N134" t="str">
        <f>_xlfn.XLOOKUP(Cleaned[[#This Row],[AccountName]], Account_Mapping!A:A, Account_Mapping!B:B,"Unmapped")</f>
        <v>Revenue</v>
      </c>
      <c r="O134" cm="1">
        <f t="array" ref="O134">_xlfn.XLOOKUP(
  1,
  (FX_Rates[Currency]=Cleaned[[#This Row],[Currency]])*
  (FX_Rates[RateDate]&lt;=Cleaned[[#This Row],[TxnDate]]),
  FX_Rates[Rate_To_INR],
  ,
  -1
)</f>
        <v>56</v>
      </c>
      <c r="P134" s="2">
        <f>Cleaned[[#This Row],[Net Amount]] *  Cleaned[[#This Row],[FX_rates]]</f>
        <v>223657.28</v>
      </c>
    </row>
    <row r="135" spans="1:16" x14ac:dyDescent="0.45">
      <c r="A135" t="s">
        <v>143</v>
      </c>
      <c r="B135" s="1">
        <v>45710</v>
      </c>
      <c r="C135" s="2" t="s">
        <v>2010</v>
      </c>
      <c r="D135" t="s">
        <v>2015</v>
      </c>
      <c r="E135">
        <v>0</v>
      </c>
      <c r="F135">
        <f>Cleaned[[#This Row],[Debit]] * Cleaned[[#This Row],[FX_rates]]</f>
        <v>0</v>
      </c>
      <c r="G135">
        <v>703.6</v>
      </c>
      <c r="H135">
        <f>Cleaned[[#This Row],[Credit]] *  Cleaned[[#This Row],[FX_rates]]</f>
        <v>72470.8</v>
      </c>
      <c r="I135" t="s">
        <v>2023</v>
      </c>
      <c r="J135" t="s">
        <v>2030</v>
      </c>
      <c r="K135" t="s">
        <v>2164</v>
      </c>
      <c r="L135" t="s">
        <v>4031</v>
      </c>
      <c r="M135">
        <f>Cleaned[[#This Row],[Credit]]-Cleaned[[#This Row],[Debit]]</f>
        <v>703.6</v>
      </c>
      <c r="N135" t="str">
        <f>_xlfn.XLOOKUP(Cleaned[[#This Row],[AccountName]], Account_Mapping!A:A, Account_Mapping!B:B,"Unmapped")</f>
        <v>Revenue</v>
      </c>
      <c r="O135" cm="1">
        <f t="array" ref="O135">_xlfn.XLOOKUP(
  1,
  (FX_Rates[Currency]=Cleaned[[#This Row],[Currency]])*
  (FX_Rates[RateDate]&lt;=Cleaned[[#This Row],[TxnDate]]),
  FX_Rates[Rate_To_INR],
  ,
  -1
)</f>
        <v>103</v>
      </c>
      <c r="P135" s="2">
        <f>Cleaned[[#This Row],[Net Amount]] *  Cleaned[[#This Row],[FX_rates]]</f>
        <v>72470.8</v>
      </c>
    </row>
    <row r="136" spans="1:16" x14ac:dyDescent="0.45">
      <c r="A136" t="s">
        <v>144</v>
      </c>
      <c r="B136" s="1">
        <v>45535</v>
      </c>
      <c r="C136" s="2" t="s">
        <v>2013</v>
      </c>
      <c r="D136" t="s">
        <v>2018</v>
      </c>
      <c r="E136">
        <v>355.53</v>
      </c>
      <c r="F136">
        <f>Cleaned[[#This Row],[Debit]] * Cleaned[[#This Row],[FX_rates]]</f>
        <v>31286.639999999999</v>
      </c>
      <c r="G136">
        <v>0</v>
      </c>
      <c r="H136">
        <f>Cleaned[[#This Row],[Credit]] *  Cleaned[[#This Row],[FX_rates]]</f>
        <v>0</v>
      </c>
      <c r="I136" t="s">
        <v>2023</v>
      </c>
      <c r="J136" t="s">
        <v>2028</v>
      </c>
      <c r="K136" t="s">
        <v>2165</v>
      </c>
      <c r="L136" t="s">
        <v>4032</v>
      </c>
      <c r="M136">
        <f>Cleaned[[#This Row],[Credit]]-Cleaned[[#This Row],[Debit]]</f>
        <v>-355.53</v>
      </c>
      <c r="N136" t="str">
        <f>_xlfn.XLOOKUP(Cleaned[[#This Row],[AccountName]], Account_Mapping!A:A, Account_Mapping!B:B,"Unmapped")</f>
        <v>Operating Expense</v>
      </c>
      <c r="O136" cm="1">
        <f t="array" ref="O136">_xlfn.XLOOKUP(
  1,
  (FX_Rates[Currency]=Cleaned[[#This Row],[Currency]])*
  (FX_Rates[RateDate]&lt;=Cleaned[[#This Row],[TxnDate]]),
  FX_Rates[Rate_To_INR],
  ,
  -1
)</f>
        <v>88</v>
      </c>
      <c r="P136" s="2">
        <f>Cleaned[[#This Row],[Net Amount]] *  Cleaned[[#This Row],[FX_rates]]</f>
        <v>-31286.639999999999</v>
      </c>
    </row>
    <row r="137" spans="1:16" x14ac:dyDescent="0.45">
      <c r="A137" t="s">
        <v>145</v>
      </c>
      <c r="B137" s="1">
        <v>45537</v>
      </c>
      <c r="C137" s="2" t="s">
        <v>2011</v>
      </c>
      <c r="D137" t="s">
        <v>2016</v>
      </c>
      <c r="E137">
        <v>1915.19</v>
      </c>
      <c r="F137">
        <f>Cleaned[[#This Row],[Debit]] * Cleaned[[#This Row],[FX_rates]]</f>
        <v>157045.58000000002</v>
      </c>
      <c r="G137">
        <v>0</v>
      </c>
      <c r="H137">
        <f>Cleaned[[#This Row],[Credit]] *  Cleaned[[#This Row],[FX_rates]]</f>
        <v>0</v>
      </c>
      <c r="I137" t="s">
        <v>2021</v>
      </c>
      <c r="J137" t="s">
        <v>2027</v>
      </c>
      <c r="K137" t="s">
        <v>2166</v>
      </c>
      <c r="L137" t="s">
        <v>4034</v>
      </c>
      <c r="M137">
        <f>Cleaned[[#This Row],[Credit]]-Cleaned[[#This Row],[Debit]]</f>
        <v>-1915.19</v>
      </c>
      <c r="N137" t="str">
        <f>_xlfn.XLOOKUP(Cleaned[[#This Row],[AccountName]], Account_Mapping!A:A, Account_Mapping!B:B,"Unmapped")</f>
        <v>COGS</v>
      </c>
      <c r="O137" cm="1">
        <f t="array" ref="O137">_xlfn.XLOOKUP(
  1,
  (FX_Rates[Currency]=Cleaned[[#This Row],[Currency]])*
  (FX_Rates[RateDate]&lt;=Cleaned[[#This Row],[TxnDate]]),
  FX_Rates[Rate_To_INR],
  ,
  -1
)</f>
        <v>82</v>
      </c>
      <c r="P137" s="2">
        <f>Cleaned[[#This Row],[Net Amount]] *  Cleaned[[#This Row],[FX_rates]]</f>
        <v>-157045.58000000002</v>
      </c>
    </row>
    <row r="138" spans="1:16" x14ac:dyDescent="0.45">
      <c r="A138" t="s">
        <v>146</v>
      </c>
      <c r="B138" s="1">
        <v>45177</v>
      </c>
      <c r="C138" s="2" t="s">
        <v>2014</v>
      </c>
      <c r="D138" t="s">
        <v>2019</v>
      </c>
      <c r="E138">
        <v>0</v>
      </c>
      <c r="F138">
        <f>Cleaned[[#This Row],[Debit]] * Cleaned[[#This Row],[FX_rates]]</f>
        <v>0</v>
      </c>
      <c r="G138">
        <v>877.66</v>
      </c>
      <c r="H138">
        <f>Cleaned[[#This Row],[Credit]] *  Cleaned[[#This Row],[FX_rates]]</f>
        <v>49148.959999999999</v>
      </c>
      <c r="I138" t="s">
        <v>2021</v>
      </c>
      <c r="J138" t="s">
        <v>2027</v>
      </c>
      <c r="K138" t="s">
        <v>2167</v>
      </c>
      <c r="L138" t="s">
        <v>4033</v>
      </c>
      <c r="M138">
        <f>Cleaned[[#This Row],[Credit]]-Cleaned[[#This Row],[Debit]]</f>
        <v>877.66</v>
      </c>
      <c r="N138" t="str">
        <f>_xlfn.XLOOKUP(Cleaned[[#This Row],[AccountName]], Account_Mapping!A:A, Account_Mapping!B:B,"Unmapped")</f>
        <v>Revenue</v>
      </c>
      <c r="O138" cm="1">
        <f t="array" ref="O138">_xlfn.XLOOKUP(
  1,
  (FX_Rates[Currency]=Cleaned[[#This Row],[Currency]])*
  (FX_Rates[RateDate]&lt;=Cleaned[[#This Row],[TxnDate]]),
  FX_Rates[Rate_To_INR],
  ,
  -1
)</f>
        <v>56</v>
      </c>
      <c r="P138" s="2">
        <f>Cleaned[[#This Row],[Net Amount]] *  Cleaned[[#This Row],[FX_rates]]</f>
        <v>49148.959999999999</v>
      </c>
    </row>
    <row r="139" spans="1:16" x14ac:dyDescent="0.45">
      <c r="A139" t="s">
        <v>147</v>
      </c>
      <c r="B139" s="1">
        <v>45582</v>
      </c>
      <c r="C139" s="2" t="s">
        <v>2014</v>
      </c>
      <c r="D139" t="s">
        <v>2019</v>
      </c>
      <c r="E139">
        <v>0</v>
      </c>
      <c r="F139">
        <f>Cleaned[[#This Row],[Debit]] * Cleaned[[#This Row],[FX_rates]]</f>
        <v>0</v>
      </c>
      <c r="G139">
        <v>2719.49</v>
      </c>
      <c r="H139">
        <f>Cleaned[[#This Row],[Credit]] *  Cleaned[[#This Row],[FX_rates]]</f>
        <v>222998.18</v>
      </c>
      <c r="I139" t="s">
        <v>2023</v>
      </c>
      <c r="J139" t="s">
        <v>2027</v>
      </c>
      <c r="K139" t="s">
        <v>2168</v>
      </c>
      <c r="L139" t="s">
        <v>4034</v>
      </c>
      <c r="M139">
        <f>Cleaned[[#This Row],[Credit]]-Cleaned[[#This Row],[Debit]]</f>
        <v>2719.49</v>
      </c>
      <c r="N139" t="str">
        <f>_xlfn.XLOOKUP(Cleaned[[#This Row],[AccountName]], Account_Mapping!A:A, Account_Mapping!B:B,"Unmapped")</f>
        <v>Revenue</v>
      </c>
      <c r="O139" cm="1">
        <f t="array" ref="O139">_xlfn.XLOOKUP(
  1,
  (FX_Rates[Currency]=Cleaned[[#This Row],[Currency]])*
  (FX_Rates[RateDate]&lt;=Cleaned[[#This Row],[TxnDate]]),
  FX_Rates[Rate_To_INR],
  ,
  -1
)</f>
        <v>82</v>
      </c>
      <c r="P139" s="2">
        <f>Cleaned[[#This Row],[Net Amount]] *  Cleaned[[#This Row],[FX_rates]]</f>
        <v>222998.18</v>
      </c>
    </row>
    <row r="140" spans="1:16" x14ac:dyDescent="0.45">
      <c r="A140" t="s">
        <v>148</v>
      </c>
      <c r="B140" s="1">
        <v>45661</v>
      </c>
      <c r="C140" s="2" t="s">
        <v>2013</v>
      </c>
      <c r="D140" t="s">
        <v>2018</v>
      </c>
      <c r="E140">
        <v>1695.8</v>
      </c>
      <c r="F140">
        <f>Cleaned[[#This Row],[Debit]] * Cleaned[[#This Row],[FX_rates]]</f>
        <v>149230.39999999999</v>
      </c>
      <c r="G140">
        <v>0</v>
      </c>
      <c r="H140">
        <f>Cleaned[[#This Row],[Credit]] *  Cleaned[[#This Row],[FX_rates]]</f>
        <v>0</v>
      </c>
      <c r="I140" t="s">
        <v>2021</v>
      </c>
      <c r="J140" t="s">
        <v>2030</v>
      </c>
      <c r="K140" t="s">
        <v>2169</v>
      </c>
      <c r="L140" t="s">
        <v>4032</v>
      </c>
      <c r="M140">
        <f>Cleaned[[#This Row],[Credit]]-Cleaned[[#This Row],[Debit]]</f>
        <v>-1695.8</v>
      </c>
      <c r="N140" t="str">
        <f>_xlfn.XLOOKUP(Cleaned[[#This Row],[AccountName]], Account_Mapping!A:A, Account_Mapping!B:B,"Unmapped")</f>
        <v>Operating Expense</v>
      </c>
      <c r="O140" cm="1">
        <f t="array" ref="O140">_xlfn.XLOOKUP(
  1,
  (FX_Rates[Currency]=Cleaned[[#This Row],[Currency]])*
  (FX_Rates[RateDate]&lt;=Cleaned[[#This Row],[TxnDate]]),
  FX_Rates[Rate_To_INR],
  ,
  -1
)</f>
        <v>88</v>
      </c>
      <c r="P140" s="2">
        <f>Cleaned[[#This Row],[Net Amount]] *  Cleaned[[#This Row],[FX_rates]]</f>
        <v>-149230.39999999999</v>
      </c>
    </row>
    <row r="141" spans="1:16" x14ac:dyDescent="0.45">
      <c r="A141" t="s">
        <v>149</v>
      </c>
      <c r="B141" s="1">
        <v>45558</v>
      </c>
      <c r="C141" s="2" t="s">
        <v>2012</v>
      </c>
      <c r="D141" t="s">
        <v>2017</v>
      </c>
      <c r="E141">
        <v>1304.8399999999999</v>
      </c>
      <c r="F141">
        <f>Cleaned[[#This Row],[Debit]] * Cleaned[[#This Row],[FX_rates]]</f>
        <v>73071.039999999994</v>
      </c>
      <c r="G141">
        <v>0</v>
      </c>
      <c r="H141">
        <f>Cleaned[[#This Row],[Credit]] *  Cleaned[[#This Row],[FX_rates]]</f>
        <v>0</v>
      </c>
      <c r="I141" t="s">
        <v>2021</v>
      </c>
      <c r="J141" t="s">
        <v>2030</v>
      </c>
      <c r="K141" t="s">
        <v>2170</v>
      </c>
      <c r="L141" t="s">
        <v>4033</v>
      </c>
      <c r="M141">
        <f>Cleaned[[#This Row],[Credit]]-Cleaned[[#This Row],[Debit]]</f>
        <v>-1304.8399999999999</v>
      </c>
      <c r="N141" t="str">
        <f>_xlfn.XLOOKUP(Cleaned[[#This Row],[AccountName]], Account_Mapping!A:A, Account_Mapping!B:B,"Unmapped")</f>
        <v>Operating Expense</v>
      </c>
      <c r="O141" cm="1">
        <f t="array" ref="O141">_xlfn.XLOOKUP(
  1,
  (FX_Rates[Currency]=Cleaned[[#This Row],[Currency]])*
  (FX_Rates[RateDate]&lt;=Cleaned[[#This Row],[TxnDate]]),
  FX_Rates[Rate_To_INR],
  ,
  -1
)</f>
        <v>56</v>
      </c>
      <c r="P141" s="2">
        <f>Cleaned[[#This Row],[Net Amount]] *  Cleaned[[#This Row],[FX_rates]]</f>
        <v>-73071.039999999994</v>
      </c>
    </row>
    <row r="142" spans="1:16" x14ac:dyDescent="0.45">
      <c r="A142" t="s">
        <v>150</v>
      </c>
      <c r="B142" s="1">
        <v>45832</v>
      </c>
      <c r="C142" s="2" t="s">
        <v>2010</v>
      </c>
      <c r="D142" t="s">
        <v>2015</v>
      </c>
      <c r="E142">
        <v>0</v>
      </c>
      <c r="F142">
        <f>Cleaned[[#This Row],[Debit]] * Cleaned[[#This Row],[FX_rates]]</f>
        <v>0</v>
      </c>
      <c r="G142">
        <v>708.58</v>
      </c>
      <c r="H142">
        <f>Cleaned[[#This Row],[Credit]] *  Cleaned[[#This Row],[FX_rates]]</f>
        <v>72983.740000000005</v>
      </c>
      <c r="I142" t="s">
        <v>2022</v>
      </c>
      <c r="J142" t="s">
        <v>2029</v>
      </c>
      <c r="K142" t="s">
        <v>2171</v>
      </c>
      <c r="L142" t="s">
        <v>4031</v>
      </c>
      <c r="M142">
        <f>Cleaned[[#This Row],[Credit]]-Cleaned[[#This Row],[Debit]]</f>
        <v>708.58</v>
      </c>
      <c r="N142" t="str">
        <f>_xlfn.XLOOKUP(Cleaned[[#This Row],[AccountName]], Account_Mapping!A:A, Account_Mapping!B:B,"Unmapped")</f>
        <v>Revenue</v>
      </c>
      <c r="O142" cm="1">
        <f t="array" ref="O142">_xlfn.XLOOKUP(
  1,
  (FX_Rates[Currency]=Cleaned[[#This Row],[Currency]])*
  (FX_Rates[RateDate]&lt;=Cleaned[[#This Row],[TxnDate]]),
  FX_Rates[Rate_To_INR],
  ,
  -1
)</f>
        <v>103</v>
      </c>
      <c r="P142" s="2">
        <f>Cleaned[[#This Row],[Net Amount]] *  Cleaned[[#This Row],[FX_rates]]</f>
        <v>72983.740000000005</v>
      </c>
    </row>
    <row r="143" spans="1:16" x14ac:dyDescent="0.45">
      <c r="A143" t="s">
        <v>151</v>
      </c>
      <c r="B143" s="1">
        <v>45285</v>
      </c>
      <c r="C143" s="2" t="s">
        <v>2013</v>
      </c>
      <c r="D143" t="s">
        <v>2018</v>
      </c>
      <c r="E143">
        <v>1650.46</v>
      </c>
      <c r="F143">
        <f>Cleaned[[#This Row],[Debit]] * Cleaned[[#This Row],[FX_rates]]</f>
        <v>100678.06</v>
      </c>
      <c r="G143">
        <v>0</v>
      </c>
      <c r="H143">
        <f>Cleaned[[#This Row],[Credit]] *  Cleaned[[#This Row],[FX_rates]]</f>
        <v>0</v>
      </c>
      <c r="I143" t="s">
        <v>2023</v>
      </c>
      <c r="J143" t="s">
        <v>2030</v>
      </c>
      <c r="K143" t="s">
        <v>2172</v>
      </c>
      <c r="L143" t="s">
        <v>4035</v>
      </c>
      <c r="M143">
        <f>Cleaned[[#This Row],[Credit]]-Cleaned[[#This Row],[Debit]]</f>
        <v>-1650.46</v>
      </c>
      <c r="N143" t="str">
        <f>_xlfn.XLOOKUP(Cleaned[[#This Row],[AccountName]], Account_Mapping!A:A, Account_Mapping!B:B,"Unmapped")</f>
        <v>Operating Expense</v>
      </c>
      <c r="O143" cm="1">
        <f t="array" ref="O143">_xlfn.XLOOKUP(
  1,
  (FX_Rates[Currency]=Cleaned[[#This Row],[Currency]])*
  (FX_Rates[RateDate]&lt;=Cleaned[[#This Row],[TxnDate]]),
  FX_Rates[Rate_To_INR],
  ,
  -1
)</f>
        <v>61</v>
      </c>
      <c r="P143" s="2">
        <f>Cleaned[[#This Row],[Net Amount]] *  Cleaned[[#This Row],[FX_rates]]</f>
        <v>-100678.06</v>
      </c>
    </row>
    <row r="144" spans="1:16" x14ac:dyDescent="0.45">
      <c r="A144" t="s">
        <v>152</v>
      </c>
      <c r="B144" s="1">
        <v>45147</v>
      </c>
      <c r="C144" s="2" t="s">
        <v>2014</v>
      </c>
      <c r="D144" t="s">
        <v>2019</v>
      </c>
      <c r="E144">
        <v>0</v>
      </c>
      <c r="F144">
        <f>Cleaned[[#This Row],[Debit]] * Cleaned[[#This Row],[FX_rates]]</f>
        <v>0</v>
      </c>
      <c r="G144">
        <v>1112.1600000000001</v>
      </c>
      <c r="H144">
        <f>Cleaned[[#This Row],[Credit]] *  Cleaned[[#This Row],[FX_rates]]</f>
        <v>67841.760000000009</v>
      </c>
      <c r="I144" t="s">
        <v>2024</v>
      </c>
      <c r="J144" t="s">
        <v>2029</v>
      </c>
      <c r="K144" t="s">
        <v>2173</v>
      </c>
      <c r="L144" t="s">
        <v>4035</v>
      </c>
      <c r="M144">
        <f>Cleaned[[#This Row],[Credit]]-Cleaned[[#This Row],[Debit]]</f>
        <v>1112.1600000000001</v>
      </c>
      <c r="N144" t="str">
        <f>_xlfn.XLOOKUP(Cleaned[[#This Row],[AccountName]], Account_Mapping!A:A, Account_Mapping!B:B,"Unmapped")</f>
        <v>Revenue</v>
      </c>
      <c r="O144" cm="1">
        <f t="array" ref="O144">_xlfn.XLOOKUP(
  1,
  (FX_Rates[Currency]=Cleaned[[#This Row],[Currency]])*
  (FX_Rates[RateDate]&lt;=Cleaned[[#This Row],[TxnDate]]),
  FX_Rates[Rate_To_INR],
  ,
  -1
)</f>
        <v>61</v>
      </c>
      <c r="P144" s="2">
        <f>Cleaned[[#This Row],[Net Amount]] *  Cleaned[[#This Row],[FX_rates]]</f>
        <v>67841.760000000009</v>
      </c>
    </row>
    <row r="145" spans="1:16" x14ac:dyDescent="0.45">
      <c r="A145" t="s">
        <v>153</v>
      </c>
      <c r="B145" s="1">
        <v>45461</v>
      </c>
      <c r="C145" s="2" t="s">
        <v>2010</v>
      </c>
      <c r="D145" t="s">
        <v>2015</v>
      </c>
      <c r="E145">
        <v>0</v>
      </c>
      <c r="F145">
        <f>Cleaned[[#This Row],[Debit]] * Cleaned[[#This Row],[FX_rates]]</f>
        <v>0</v>
      </c>
      <c r="G145">
        <v>3711.83</v>
      </c>
      <c r="H145">
        <f>Cleaned[[#This Row],[Credit]] *  Cleaned[[#This Row],[FX_rates]]</f>
        <v>226421.63</v>
      </c>
      <c r="I145" t="s">
        <v>2020</v>
      </c>
      <c r="J145" t="s">
        <v>2028</v>
      </c>
      <c r="K145" t="s">
        <v>2174</v>
      </c>
      <c r="L145" t="s">
        <v>4035</v>
      </c>
      <c r="M145">
        <f>Cleaned[[#This Row],[Credit]]-Cleaned[[#This Row],[Debit]]</f>
        <v>3711.83</v>
      </c>
      <c r="N145" t="str">
        <f>_xlfn.XLOOKUP(Cleaned[[#This Row],[AccountName]], Account_Mapping!A:A, Account_Mapping!B:B,"Unmapped")</f>
        <v>Revenue</v>
      </c>
      <c r="O145" cm="1">
        <f t="array" ref="O145">_xlfn.XLOOKUP(
  1,
  (FX_Rates[Currency]=Cleaned[[#This Row],[Currency]])*
  (FX_Rates[RateDate]&lt;=Cleaned[[#This Row],[TxnDate]]),
  FX_Rates[Rate_To_INR],
  ,
  -1
)</f>
        <v>61</v>
      </c>
      <c r="P145" s="2">
        <f>Cleaned[[#This Row],[Net Amount]] *  Cleaned[[#This Row],[FX_rates]]</f>
        <v>226421.63</v>
      </c>
    </row>
    <row r="146" spans="1:16" x14ac:dyDescent="0.45">
      <c r="A146" t="s">
        <v>154</v>
      </c>
      <c r="B146" s="1">
        <v>45046</v>
      </c>
      <c r="C146" s="2" t="s">
        <v>2011</v>
      </c>
      <c r="D146" t="s">
        <v>2016</v>
      </c>
      <c r="E146">
        <v>715.32</v>
      </c>
      <c r="F146">
        <f>Cleaned[[#This Row],[Debit]] * Cleaned[[#This Row],[FX_rates]]</f>
        <v>73677.960000000006</v>
      </c>
      <c r="G146">
        <v>0</v>
      </c>
      <c r="H146">
        <f>Cleaned[[#This Row],[Credit]] *  Cleaned[[#This Row],[FX_rates]]</f>
        <v>0</v>
      </c>
      <c r="I146" t="s">
        <v>2023</v>
      </c>
      <c r="J146" t="s">
        <v>2027</v>
      </c>
      <c r="K146" t="s">
        <v>2175</v>
      </c>
      <c r="L146" t="s">
        <v>4031</v>
      </c>
      <c r="M146">
        <f>Cleaned[[#This Row],[Credit]]-Cleaned[[#This Row],[Debit]]</f>
        <v>-715.32</v>
      </c>
      <c r="N146" t="str">
        <f>_xlfn.XLOOKUP(Cleaned[[#This Row],[AccountName]], Account_Mapping!A:A, Account_Mapping!B:B,"Unmapped")</f>
        <v>COGS</v>
      </c>
      <c r="O146" cm="1">
        <f t="array" ref="O146">_xlfn.XLOOKUP(
  1,
  (FX_Rates[Currency]=Cleaned[[#This Row],[Currency]])*
  (FX_Rates[RateDate]&lt;=Cleaned[[#This Row],[TxnDate]]),
  FX_Rates[Rate_To_INR],
  ,
  -1
)</f>
        <v>103</v>
      </c>
      <c r="P146" s="2">
        <f>Cleaned[[#This Row],[Net Amount]] *  Cleaned[[#This Row],[FX_rates]]</f>
        <v>-73677.960000000006</v>
      </c>
    </row>
    <row r="147" spans="1:16" x14ac:dyDescent="0.45">
      <c r="A147" t="s">
        <v>155</v>
      </c>
      <c r="B147" s="1">
        <v>45080</v>
      </c>
      <c r="C147" s="2" t="s">
        <v>2012</v>
      </c>
      <c r="D147" t="s">
        <v>2017</v>
      </c>
      <c r="E147">
        <v>1366.61</v>
      </c>
      <c r="F147">
        <f>Cleaned[[#This Row],[Debit]] * Cleaned[[#This Row],[FX_rates]]</f>
        <v>112062.01999999999</v>
      </c>
      <c r="G147">
        <v>0</v>
      </c>
      <c r="H147">
        <f>Cleaned[[#This Row],[Credit]] *  Cleaned[[#This Row],[FX_rates]]</f>
        <v>0</v>
      </c>
      <c r="I147" t="s">
        <v>2021</v>
      </c>
      <c r="J147" t="s">
        <v>2029</v>
      </c>
      <c r="K147" t="s">
        <v>2176</v>
      </c>
      <c r="L147" t="s">
        <v>4034</v>
      </c>
      <c r="M147">
        <f>Cleaned[[#This Row],[Credit]]-Cleaned[[#This Row],[Debit]]</f>
        <v>-1366.61</v>
      </c>
      <c r="N147" t="str">
        <f>_xlfn.XLOOKUP(Cleaned[[#This Row],[AccountName]], Account_Mapping!A:A, Account_Mapping!B:B,"Unmapped")</f>
        <v>Operating Expense</v>
      </c>
      <c r="O147" cm="1">
        <f t="array" ref="O147">_xlfn.XLOOKUP(
  1,
  (FX_Rates[Currency]=Cleaned[[#This Row],[Currency]])*
  (FX_Rates[RateDate]&lt;=Cleaned[[#This Row],[TxnDate]]),
  FX_Rates[Rate_To_INR],
  ,
  -1
)</f>
        <v>82</v>
      </c>
      <c r="P147" s="2">
        <f>Cleaned[[#This Row],[Net Amount]] *  Cleaned[[#This Row],[FX_rates]]</f>
        <v>-112062.01999999999</v>
      </c>
    </row>
    <row r="148" spans="1:16" x14ac:dyDescent="0.45">
      <c r="A148" t="s">
        <v>156</v>
      </c>
      <c r="B148" s="1">
        <v>45068</v>
      </c>
      <c r="C148" s="2" t="s">
        <v>2011</v>
      </c>
      <c r="D148" t="s">
        <v>2016</v>
      </c>
      <c r="E148">
        <v>1091.43</v>
      </c>
      <c r="F148">
        <f>Cleaned[[#This Row],[Debit]] * Cleaned[[#This Row],[FX_rates]]</f>
        <v>66577.23000000001</v>
      </c>
      <c r="G148">
        <v>0</v>
      </c>
      <c r="H148">
        <f>Cleaned[[#This Row],[Credit]] *  Cleaned[[#This Row],[FX_rates]]</f>
        <v>0</v>
      </c>
      <c r="I148" t="s">
        <v>2022</v>
      </c>
      <c r="J148" t="s">
        <v>2029</v>
      </c>
      <c r="K148" t="s">
        <v>2177</v>
      </c>
      <c r="L148" t="s">
        <v>4035</v>
      </c>
      <c r="M148">
        <f>Cleaned[[#This Row],[Credit]]-Cleaned[[#This Row],[Debit]]</f>
        <v>-1091.43</v>
      </c>
      <c r="N148" t="str">
        <f>_xlfn.XLOOKUP(Cleaned[[#This Row],[AccountName]], Account_Mapping!A:A, Account_Mapping!B:B,"Unmapped")</f>
        <v>COGS</v>
      </c>
      <c r="O148" cm="1">
        <f t="array" ref="O148">_xlfn.XLOOKUP(
  1,
  (FX_Rates[Currency]=Cleaned[[#This Row],[Currency]])*
  (FX_Rates[RateDate]&lt;=Cleaned[[#This Row],[TxnDate]]),
  FX_Rates[Rate_To_INR],
  ,
  -1
)</f>
        <v>61</v>
      </c>
      <c r="P148" s="2">
        <f>Cleaned[[#This Row],[Net Amount]] *  Cleaned[[#This Row],[FX_rates]]</f>
        <v>-66577.23000000001</v>
      </c>
    </row>
    <row r="149" spans="1:16" x14ac:dyDescent="0.45">
      <c r="A149" t="s">
        <v>157</v>
      </c>
      <c r="B149" s="1">
        <v>45468</v>
      </c>
      <c r="C149" s="2" t="s">
        <v>2010</v>
      </c>
      <c r="D149" t="s">
        <v>2015</v>
      </c>
      <c r="E149">
        <v>0</v>
      </c>
      <c r="F149">
        <f>Cleaned[[#This Row],[Debit]] * Cleaned[[#This Row],[FX_rates]]</f>
        <v>0</v>
      </c>
      <c r="G149">
        <v>1164.3499999999999</v>
      </c>
      <c r="H149">
        <f>Cleaned[[#This Row],[Credit]] *  Cleaned[[#This Row],[FX_rates]]</f>
        <v>119928.04999999999</v>
      </c>
      <c r="I149" t="s">
        <v>2025</v>
      </c>
      <c r="J149" t="s">
        <v>2029</v>
      </c>
      <c r="K149" t="s">
        <v>2178</v>
      </c>
      <c r="L149" t="s">
        <v>4031</v>
      </c>
      <c r="M149">
        <f>Cleaned[[#This Row],[Credit]]-Cleaned[[#This Row],[Debit]]</f>
        <v>1164.3499999999999</v>
      </c>
      <c r="N149" t="str">
        <f>_xlfn.XLOOKUP(Cleaned[[#This Row],[AccountName]], Account_Mapping!A:A, Account_Mapping!B:B,"Unmapped")</f>
        <v>Revenue</v>
      </c>
      <c r="O149" cm="1">
        <f t="array" ref="O149">_xlfn.XLOOKUP(
  1,
  (FX_Rates[Currency]=Cleaned[[#This Row],[Currency]])*
  (FX_Rates[RateDate]&lt;=Cleaned[[#This Row],[TxnDate]]),
  FX_Rates[Rate_To_INR],
  ,
  -1
)</f>
        <v>103</v>
      </c>
      <c r="P149" s="2">
        <f>Cleaned[[#This Row],[Net Amount]] *  Cleaned[[#This Row],[FX_rates]]</f>
        <v>119928.04999999999</v>
      </c>
    </row>
    <row r="150" spans="1:16" x14ac:dyDescent="0.45">
      <c r="A150" t="s">
        <v>158</v>
      </c>
      <c r="B150" s="1">
        <v>45352</v>
      </c>
      <c r="C150" s="2" t="s">
        <v>2013</v>
      </c>
      <c r="D150" t="s">
        <v>2018</v>
      </c>
      <c r="E150">
        <v>1139.5</v>
      </c>
      <c r="F150">
        <f>Cleaned[[#This Row],[Debit]] * Cleaned[[#This Row],[FX_rates]]</f>
        <v>63812</v>
      </c>
      <c r="G150">
        <v>0</v>
      </c>
      <c r="H150">
        <f>Cleaned[[#This Row],[Credit]] *  Cleaned[[#This Row],[FX_rates]]</f>
        <v>0</v>
      </c>
      <c r="I150" t="s">
        <v>2025</v>
      </c>
      <c r="J150" t="s">
        <v>2029</v>
      </c>
      <c r="K150" t="s">
        <v>2179</v>
      </c>
      <c r="L150" t="s">
        <v>4033</v>
      </c>
      <c r="M150">
        <f>Cleaned[[#This Row],[Credit]]-Cleaned[[#This Row],[Debit]]</f>
        <v>-1139.5</v>
      </c>
      <c r="N150" t="str">
        <f>_xlfn.XLOOKUP(Cleaned[[#This Row],[AccountName]], Account_Mapping!A:A, Account_Mapping!B:B,"Unmapped")</f>
        <v>Operating Expense</v>
      </c>
      <c r="O150" cm="1">
        <f t="array" ref="O150">_xlfn.XLOOKUP(
  1,
  (FX_Rates[Currency]=Cleaned[[#This Row],[Currency]])*
  (FX_Rates[RateDate]&lt;=Cleaned[[#This Row],[TxnDate]]),
  FX_Rates[Rate_To_INR],
  ,
  -1
)</f>
        <v>56</v>
      </c>
      <c r="P150" s="2">
        <f>Cleaned[[#This Row],[Net Amount]] *  Cleaned[[#This Row],[FX_rates]]</f>
        <v>-63812</v>
      </c>
    </row>
    <row r="151" spans="1:16" x14ac:dyDescent="0.45">
      <c r="A151" t="s">
        <v>159</v>
      </c>
      <c r="B151" s="1">
        <v>45668</v>
      </c>
      <c r="C151" s="2" t="s">
        <v>2010</v>
      </c>
      <c r="D151" t="s">
        <v>2015</v>
      </c>
      <c r="E151">
        <v>0</v>
      </c>
      <c r="F151">
        <f>Cleaned[[#This Row],[Debit]] * Cleaned[[#This Row],[FX_rates]]</f>
        <v>0</v>
      </c>
      <c r="G151">
        <v>338.86</v>
      </c>
      <c r="H151">
        <f>Cleaned[[#This Row],[Credit]] *  Cleaned[[#This Row],[FX_rates]]</f>
        <v>27786.52</v>
      </c>
      <c r="I151" t="s">
        <v>2024</v>
      </c>
      <c r="J151" t="s">
        <v>2028</v>
      </c>
      <c r="K151" t="s">
        <v>2180</v>
      </c>
      <c r="L151" t="s">
        <v>4034</v>
      </c>
      <c r="M151">
        <f>Cleaned[[#This Row],[Credit]]-Cleaned[[#This Row],[Debit]]</f>
        <v>338.86</v>
      </c>
      <c r="N151" t="str">
        <f>_xlfn.XLOOKUP(Cleaned[[#This Row],[AccountName]], Account_Mapping!A:A, Account_Mapping!B:B,"Unmapped")</f>
        <v>Revenue</v>
      </c>
      <c r="O151" cm="1">
        <f t="array" ref="O151">_xlfn.XLOOKUP(
  1,
  (FX_Rates[Currency]=Cleaned[[#This Row],[Currency]])*
  (FX_Rates[RateDate]&lt;=Cleaned[[#This Row],[TxnDate]]),
  FX_Rates[Rate_To_INR],
  ,
  -1
)</f>
        <v>82</v>
      </c>
      <c r="P151" s="2">
        <f>Cleaned[[#This Row],[Net Amount]] *  Cleaned[[#This Row],[FX_rates]]</f>
        <v>27786.52</v>
      </c>
    </row>
    <row r="152" spans="1:16" x14ac:dyDescent="0.45">
      <c r="A152" t="s">
        <v>160</v>
      </c>
      <c r="B152" s="1">
        <v>45706</v>
      </c>
      <c r="C152" s="2" t="s">
        <v>2011</v>
      </c>
      <c r="D152" t="s">
        <v>2016</v>
      </c>
      <c r="E152">
        <v>1379.51</v>
      </c>
      <c r="F152">
        <f>Cleaned[[#This Row],[Debit]] * Cleaned[[#This Row],[FX_rates]]</f>
        <v>113119.81999999999</v>
      </c>
      <c r="G152">
        <v>0</v>
      </c>
      <c r="H152">
        <f>Cleaned[[#This Row],[Credit]] *  Cleaned[[#This Row],[FX_rates]]</f>
        <v>0</v>
      </c>
      <c r="I152" t="s">
        <v>2021</v>
      </c>
      <c r="J152" t="s">
        <v>2028</v>
      </c>
      <c r="K152" t="s">
        <v>2181</v>
      </c>
      <c r="L152" t="s">
        <v>4034</v>
      </c>
      <c r="M152">
        <f>Cleaned[[#This Row],[Credit]]-Cleaned[[#This Row],[Debit]]</f>
        <v>-1379.51</v>
      </c>
      <c r="N152" t="str">
        <f>_xlfn.XLOOKUP(Cleaned[[#This Row],[AccountName]], Account_Mapping!A:A, Account_Mapping!B:B,"Unmapped")</f>
        <v>COGS</v>
      </c>
      <c r="O152" cm="1">
        <f t="array" ref="O152">_xlfn.XLOOKUP(
  1,
  (FX_Rates[Currency]=Cleaned[[#This Row],[Currency]])*
  (FX_Rates[RateDate]&lt;=Cleaned[[#This Row],[TxnDate]]),
  FX_Rates[Rate_To_INR],
  ,
  -1
)</f>
        <v>82</v>
      </c>
      <c r="P152" s="2">
        <f>Cleaned[[#This Row],[Net Amount]] *  Cleaned[[#This Row],[FX_rates]]</f>
        <v>-113119.81999999999</v>
      </c>
    </row>
    <row r="153" spans="1:16" x14ac:dyDescent="0.45">
      <c r="A153" t="s">
        <v>161</v>
      </c>
      <c r="B153" s="1">
        <v>45368</v>
      </c>
      <c r="C153" s="2" t="s">
        <v>2014</v>
      </c>
      <c r="D153" t="s">
        <v>2019</v>
      </c>
      <c r="E153">
        <v>0</v>
      </c>
      <c r="F153">
        <f>Cleaned[[#This Row],[Debit]] * Cleaned[[#This Row],[FX_rates]]</f>
        <v>0</v>
      </c>
      <c r="G153">
        <v>978.34</v>
      </c>
      <c r="H153">
        <f>Cleaned[[#This Row],[Credit]] *  Cleaned[[#This Row],[FX_rates]]</f>
        <v>54787.040000000001</v>
      </c>
      <c r="I153" t="s">
        <v>2023</v>
      </c>
      <c r="J153" t="s">
        <v>2027</v>
      </c>
      <c r="K153" t="s">
        <v>2182</v>
      </c>
      <c r="L153" t="s">
        <v>4033</v>
      </c>
      <c r="M153">
        <f>Cleaned[[#This Row],[Credit]]-Cleaned[[#This Row],[Debit]]</f>
        <v>978.34</v>
      </c>
      <c r="N153" t="str">
        <f>_xlfn.XLOOKUP(Cleaned[[#This Row],[AccountName]], Account_Mapping!A:A, Account_Mapping!B:B,"Unmapped")</f>
        <v>Revenue</v>
      </c>
      <c r="O153" cm="1">
        <f t="array" ref="O153">_xlfn.XLOOKUP(
  1,
  (FX_Rates[Currency]=Cleaned[[#This Row],[Currency]])*
  (FX_Rates[RateDate]&lt;=Cleaned[[#This Row],[TxnDate]]),
  FX_Rates[Rate_To_INR],
  ,
  -1
)</f>
        <v>56</v>
      </c>
      <c r="P153" s="2">
        <f>Cleaned[[#This Row],[Net Amount]] *  Cleaned[[#This Row],[FX_rates]]</f>
        <v>54787.040000000001</v>
      </c>
    </row>
    <row r="154" spans="1:16" x14ac:dyDescent="0.45">
      <c r="A154" t="s">
        <v>162</v>
      </c>
      <c r="B154" s="1">
        <v>45811</v>
      </c>
      <c r="C154" s="2" t="s">
        <v>2012</v>
      </c>
      <c r="D154" t="s">
        <v>2017</v>
      </c>
      <c r="E154">
        <v>1490.29</v>
      </c>
      <c r="F154">
        <f>Cleaned[[#This Row],[Debit]] * Cleaned[[#This Row],[FX_rates]]</f>
        <v>131145.51999999999</v>
      </c>
      <c r="G154">
        <v>0</v>
      </c>
      <c r="H154">
        <f>Cleaned[[#This Row],[Credit]] *  Cleaned[[#This Row],[FX_rates]]</f>
        <v>0</v>
      </c>
      <c r="I154" t="s">
        <v>2020</v>
      </c>
      <c r="J154" t="s">
        <v>2027</v>
      </c>
      <c r="K154" t="s">
        <v>2183</v>
      </c>
      <c r="L154" t="s">
        <v>4032</v>
      </c>
      <c r="M154">
        <f>Cleaned[[#This Row],[Credit]]-Cleaned[[#This Row],[Debit]]</f>
        <v>-1490.29</v>
      </c>
      <c r="N154" t="str">
        <f>_xlfn.XLOOKUP(Cleaned[[#This Row],[AccountName]], Account_Mapping!A:A, Account_Mapping!B:B,"Unmapped")</f>
        <v>Operating Expense</v>
      </c>
      <c r="O154" cm="1">
        <f t="array" ref="O154">_xlfn.XLOOKUP(
  1,
  (FX_Rates[Currency]=Cleaned[[#This Row],[Currency]])*
  (FX_Rates[RateDate]&lt;=Cleaned[[#This Row],[TxnDate]]),
  FX_Rates[Rate_To_INR],
  ,
  -1
)</f>
        <v>88</v>
      </c>
      <c r="P154" s="2">
        <f>Cleaned[[#This Row],[Net Amount]] *  Cleaned[[#This Row],[FX_rates]]</f>
        <v>-131145.51999999999</v>
      </c>
    </row>
    <row r="155" spans="1:16" x14ac:dyDescent="0.45">
      <c r="A155" t="s">
        <v>163</v>
      </c>
      <c r="B155" s="1">
        <v>45576</v>
      </c>
      <c r="C155" s="2" t="s">
        <v>2013</v>
      </c>
      <c r="D155" t="s">
        <v>2018</v>
      </c>
      <c r="E155">
        <v>1515.7</v>
      </c>
      <c r="F155">
        <f>Cleaned[[#This Row],[Debit]] * Cleaned[[#This Row],[FX_rates]]</f>
        <v>124287.40000000001</v>
      </c>
      <c r="G155">
        <v>0</v>
      </c>
      <c r="H155">
        <f>Cleaned[[#This Row],[Credit]] *  Cleaned[[#This Row],[FX_rates]]</f>
        <v>0</v>
      </c>
      <c r="I155" t="s">
        <v>2025</v>
      </c>
      <c r="J155" t="s">
        <v>2028</v>
      </c>
      <c r="K155" t="s">
        <v>2184</v>
      </c>
      <c r="L155" t="s">
        <v>4034</v>
      </c>
      <c r="M155">
        <f>Cleaned[[#This Row],[Credit]]-Cleaned[[#This Row],[Debit]]</f>
        <v>-1515.7</v>
      </c>
      <c r="N155" t="str">
        <f>_xlfn.XLOOKUP(Cleaned[[#This Row],[AccountName]], Account_Mapping!A:A, Account_Mapping!B:B,"Unmapped")</f>
        <v>Operating Expense</v>
      </c>
      <c r="O155" cm="1">
        <f t="array" ref="O155">_xlfn.XLOOKUP(
  1,
  (FX_Rates[Currency]=Cleaned[[#This Row],[Currency]])*
  (FX_Rates[RateDate]&lt;=Cleaned[[#This Row],[TxnDate]]),
  FX_Rates[Rate_To_INR],
  ,
  -1
)</f>
        <v>82</v>
      </c>
      <c r="P155" s="2">
        <f>Cleaned[[#This Row],[Net Amount]] *  Cleaned[[#This Row],[FX_rates]]</f>
        <v>-124287.40000000001</v>
      </c>
    </row>
    <row r="156" spans="1:16" x14ac:dyDescent="0.45">
      <c r="A156" t="s">
        <v>164</v>
      </c>
      <c r="B156" s="1">
        <v>45822</v>
      </c>
      <c r="C156" s="2" t="s">
        <v>2010</v>
      </c>
      <c r="D156" t="s">
        <v>2015</v>
      </c>
      <c r="E156">
        <v>0</v>
      </c>
      <c r="F156">
        <f>Cleaned[[#This Row],[Debit]] * Cleaned[[#This Row],[FX_rates]]</f>
        <v>0</v>
      </c>
      <c r="G156">
        <v>1736.2</v>
      </c>
      <c r="H156">
        <f>Cleaned[[#This Row],[Credit]] *  Cleaned[[#This Row],[FX_rates]]</f>
        <v>178828.6</v>
      </c>
      <c r="I156" t="s">
        <v>2025</v>
      </c>
      <c r="J156" t="s">
        <v>2028</v>
      </c>
      <c r="K156" t="s">
        <v>2185</v>
      </c>
      <c r="L156" t="s">
        <v>4031</v>
      </c>
      <c r="M156">
        <f>Cleaned[[#This Row],[Credit]]-Cleaned[[#This Row],[Debit]]</f>
        <v>1736.2</v>
      </c>
      <c r="N156" t="str">
        <f>_xlfn.XLOOKUP(Cleaned[[#This Row],[AccountName]], Account_Mapping!A:A, Account_Mapping!B:B,"Unmapped")</f>
        <v>Revenue</v>
      </c>
      <c r="O156" cm="1">
        <f t="array" ref="O156">_xlfn.XLOOKUP(
  1,
  (FX_Rates[Currency]=Cleaned[[#This Row],[Currency]])*
  (FX_Rates[RateDate]&lt;=Cleaned[[#This Row],[TxnDate]]),
  FX_Rates[Rate_To_INR],
  ,
  -1
)</f>
        <v>103</v>
      </c>
      <c r="P156" s="2">
        <f>Cleaned[[#This Row],[Net Amount]] *  Cleaned[[#This Row],[FX_rates]]</f>
        <v>178828.6</v>
      </c>
    </row>
    <row r="157" spans="1:16" x14ac:dyDescent="0.45">
      <c r="A157" t="s">
        <v>165</v>
      </c>
      <c r="B157" s="1">
        <v>45116</v>
      </c>
      <c r="C157" s="2" t="s">
        <v>2012</v>
      </c>
      <c r="D157" t="s">
        <v>2017</v>
      </c>
      <c r="E157">
        <v>1711.43</v>
      </c>
      <c r="F157">
        <f>Cleaned[[#This Row],[Debit]] * Cleaned[[#This Row],[FX_rates]]</f>
        <v>104397.23000000001</v>
      </c>
      <c r="G157">
        <v>0</v>
      </c>
      <c r="H157">
        <f>Cleaned[[#This Row],[Credit]] *  Cleaned[[#This Row],[FX_rates]]</f>
        <v>0</v>
      </c>
      <c r="I157" t="s">
        <v>2024</v>
      </c>
      <c r="J157" t="s">
        <v>2028</v>
      </c>
      <c r="K157" t="s">
        <v>2186</v>
      </c>
      <c r="L157" t="s">
        <v>4035</v>
      </c>
      <c r="M157">
        <f>Cleaned[[#This Row],[Credit]]-Cleaned[[#This Row],[Debit]]</f>
        <v>-1711.43</v>
      </c>
      <c r="N157" t="str">
        <f>_xlfn.XLOOKUP(Cleaned[[#This Row],[AccountName]], Account_Mapping!A:A, Account_Mapping!B:B,"Unmapped")</f>
        <v>Operating Expense</v>
      </c>
      <c r="O157" cm="1">
        <f t="array" ref="O157">_xlfn.XLOOKUP(
  1,
  (FX_Rates[Currency]=Cleaned[[#This Row],[Currency]])*
  (FX_Rates[RateDate]&lt;=Cleaned[[#This Row],[TxnDate]]),
  FX_Rates[Rate_To_INR],
  ,
  -1
)</f>
        <v>61</v>
      </c>
      <c r="P157" s="2">
        <f>Cleaned[[#This Row],[Net Amount]] *  Cleaned[[#This Row],[FX_rates]]</f>
        <v>-104397.23000000001</v>
      </c>
    </row>
    <row r="158" spans="1:16" x14ac:dyDescent="0.45">
      <c r="A158" t="s">
        <v>166</v>
      </c>
      <c r="B158" s="1">
        <v>45035</v>
      </c>
      <c r="C158" s="2" t="s">
        <v>2012</v>
      </c>
      <c r="D158" t="s">
        <v>2017</v>
      </c>
      <c r="E158">
        <v>511.34</v>
      </c>
      <c r="F158">
        <f>Cleaned[[#This Row],[Debit]] * Cleaned[[#This Row],[FX_rates]]</f>
        <v>52668.02</v>
      </c>
      <c r="G158">
        <v>0</v>
      </c>
      <c r="H158">
        <f>Cleaned[[#This Row],[Credit]] *  Cleaned[[#This Row],[FX_rates]]</f>
        <v>0</v>
      </c>
      <c r="I158" t="s">
        <v>2023</v>
      </c>
      <c r="J158" t="s">
        <v>2029</v>
      </c>
      <c r="K158" t="s">
        <v>2187</v>
      </c>
      <c r="L158" t="s">
        <v>4031</v>
      </c>
      <c r="M158">
        <f>Cleaned[[#This Row],[Credit]]-Cleaned[[#This Row],[Debit]]</f>
        <v>-511.34</v>
      </c>
      <c r="N158" t="str">
        <f>_xlfn.XLOOKUP(Cleaned[[#This Row],[AccountName]], Account_Mapping!A:A, Account_Mapping!B:B,"Unmapped")</f>
        <v>Operating Expense</v>
      </c>
      <c r="O158" cm="1">
        <f t="array" ref="O158">_xlfn.XLOOKUP(
  1,
  (FX_Rates[Currency]=Cleaned[[#This Row],[Currency]])*
  (FX_Rates[RateDate]&lt;=Cleaned[[#This Row],[TxnDate]]),
  FX_Rates[Rate_To_INR],
  ,
  -1
)</f>
        <v>103</v>
      </c>
      <c r="P158" s="2">
        <f>Cleaned[[#This Row],[Net Amount]] *  Cleaned[[#This Row],[FX_rates]]</f>
        <v>-52668.02</v>
      </c>
    </row>
    <row r="159" spans="1:16" x14ac:dyDescent="0.45">
      <c r="A159" t="s">
        <v>167</v>
      </c>
      <c r="B159" s="1">
        <v>45037</v>
      </c>
      <c r="C159" s="2" t="s">
        <v>2010</v>
      </c>
      <c r="D159" t="s">
        <v>2015</v>
      </c>
      <c r="E159">
        <v>0</v>
      </c>
      <c r="F159">
        <f>Cleaned[[#This Row],[Debit]] * Cleaned[[#This Row],[FX_rates]]</f>
        <v>0</v>
      </c>
      <c r="G159">
        <v>4520.9799999999996</v>
      </c>
      <c r="H159">
        <f>Cleaned[[#This Row],[Credit]] *  Cleaned[[#This Row],[FX_rates]]</f>
        <v>253174.87999999998</v>
      </c>
      <c r="I159" t="s">
        <v>2020</v>
      </c>
      <c r="J159" t="s">
        <v>2028</v>
      </c>
      <c r="K159" t="s">
        <v>2188</v>
      </c>
      <c r="L159" t="s">
        <v>4033</v>
      </c>
      <c r="M159">
        <f>Cleaned[[#This Row],[Credit]]-Cleaned[[#This Row],[Debit]]</f>
        <v>4520.9799999999996</v>
      </c>
      <c r="N159" t="str">
        <f>_xlfn.XLOOKUP(Cleaned[[#This Row],[AccountName]], Account_Mapping!A:A, Account_Mapping!B:B,"Unmapped")</f>
        <v>Revenue</v>
      </c>
      <c r="O159" cm="1">
        <f t="array" ref="O159">_xlfn.XLOOKUP(
  1,
  (FX_Rates[Currency]=Cleaned[[#This Row],[Currency]])*
  (FX_Rates[RateDate]&lt;=Cleaned[[#This Row],[TxnDate]]),
  FX_Rates[Rate_To_INR],
  ,
  -1
)</f>
        <v>56</v>
      </c>
      <c r="P159" s="2">
        <f>Cleaned[[#This Row],[Net Amount]] *  Cleaned[[#This Row],[FX_rates]]</f>
        <v>253174.87999999998</v>
      </c>
    </row>
    <row r="160" spans="1:16" x14ac:dyDescent="0.45">
      <c r="A160" t="s">
        <v>168</v>
      </c>
      <c r="B160" s="1">
        <v>44955</v>
      </c>
      <c r="C160" s="2" t="s">
        <v>2011</v>
      </c>
      <c r="D160" t="s">
        <v>2016</v>
      </c>
      <c r="E160">
        <v>1483.66</v>
      </c>
      <c r="F160">
        <f>Cleaned[[#This Row],[Debit]] * Cleaned[[#This Row],[FX_rates]]</f>
        <v>83084.960000000006</v>
      </c>
      <c r="G160">
        <v>0</v>
      </c>
      <c r="H160">
        <f>Cleaned[[#This Row],[Credit]] *  Cleaned[[#This Row],[FX_rates]]</f>
        <v>0</v>
      </c>
      <c r="I160" t="s">
        <v>2022</v>
      </c>
      <c r="J160" t="s">
        <v>2029</v>
      </c>
      <c r="K160" t="s">
        <v>2189</v>
      </c>
      <c r="L160" t="s">
        <v>4033</v>
      </c>
      <c r="M160">
        <f>Cleaned[[#This Row],[Credit]]-Cleaned[[#This Row],[Debit]]</f>
        <v>-1483.66</v>
      </c>
      <c r="N160" t="str">
        <f>_xlfn.XLOOKUP(Cleaned[[#This Row],[AccountName]], Account_Mapping!A:A, Account_Mapping!B:B,"Unmapped")</f>
        <v>COGS</v>
      </c>
      <c r="O160" cm="1">
        <f t="array" ref="O160">_xlfn.XLOOKUP(
  1,
  (FX_Rates[Currency]=Cleaned[[#This Row],[Currency]])*
  (FX_Rates[RateDate]&lt;=Cleaned[[#This Row],[TxnDate]]),
  FX_Rates[Rate_To_INR],
  ,
  -1
)</f>
        <v>56</v>
      </c>
      <c r="P160" s="2">
        <f>Cleaned[[#This Row],[Net Amount]] *  Cleaned[[#This Row],[FX_rates]]</f>
        <v>-83084.960000000006</v>
      </c>
    </row>
    <row r="161" spans="1:16" x14ac:dyDescent="0.45">
      <c r="A161" t="s">
        <v>169</v>
      </c>
      <c r="B161" s="1">
        <v>45828</v>
      </c>
      <c r="C161" s="2" t="s">
        <v>2013</v>
      </c>
      <c r="D161" t="s">
        <v>2018</v>
      </c>
      <c r="E161">
        <v>571.01</v>
      </c>
      <c r="F161">
        <f>Cleaned[[#This Row],[Debit]] * Cleaned[[#This Row],[FX_rates]]</f>
        <v>50248.88</v>
      </c>
      <c r="G161">
        <v>0</v>
      </c>
      <c r="H161">
        <f>Cleaned[[#This Row],[Credit]] *  Cleaned[[#This Row],[FX_rates]]</f>
        <v>0</v>
      </c>
      <c r="I161" t="s">
        <v>2024</v>
      </c>
      <c r="J161" t="s">
        <v>2027</v>
      </c>
      <c r="K161" t="s">
        <v>2190</v>
      </c>
      <c r="L161" t="s">
        <v>4032</v>
      </c>
      <c r="M161">
        <f>Cleaned[[#This Row],[Credit]]-Cleaned[[#This Row],[Debit]]</f>
        <v>-571.01</v>
      </c>
      <c r="N161" t="str">
        <f>_xlfn.XLOOKUP(Cleaned[[#This Row],[AccountName]], Account_Mapping!A:A, Account_Mapping!B:B,"Unmapped")</f>
        <v>Operating Expense</v>
      </c>
      <c r="O161" cm="1">
        <f t="array" ref="O161">_xlfn.XLOOKUP(
  1,
  (FX_Rates[Currency]=Cleaned[[#This Row],[Currency]])*
  (FX_Rates[RateDate]&lt;=Cleaned[[#This Row],[TxnDate]]),
  FX_Rates[Rate_To_INR],
  ,
  -1
)</f>
        <v>88</v>
      </c>
      <c r="P161" s="2">
        <f>Cleaned[[#This Row],[Net Amount]] *  Cleaned[[#This Row],[FX_rates]]</f>
        <v>-50248.88</v>
      </c>
    </row>
    <row r="162" spans="1:16" x14ac:dyDescent="0.45">
      <c r="A162" t="s">
        <v>170</v>
      </c>
      <c r="B162" s="1">
        <v>45269</v>
      </c>
      <c r="C162" s="2" t="s">
        <v>2012</v>
      </c>
      <c r="D162" t="s">
        <v>2017</v>
      </c>
      <c r="E162">
        <v>1556.44</v>
      </c>
      <c r="F162">
        <f>Cleaned[[#This Row],[Debit]] * Cleaned[[#This Row],[FX_rates]]</f>
        <v>127628.08</v>
      </c>
      <c r="G162">
        <v>0</v>
      </c>
      <c r="H162">
        <f>Cleaned[[#This Row],[Credit]] *  Cleaned[[#This Row],[FX_rates]]</f>
        <v>0</v>
      </c>
      <c r="I162" t="s">
        <v>2025</v>
      </c>
      <c r="J162" t="s">
        <v>2028</v>
      </c>
      <c r="K162" t="s">
        <v>2191</v>
      </c>
      <c r="L162" t="s">
        <v>4034</v>
      </c>
      <c r="M162">
        <f>Cleaned[[#This Row],[Credit]]-Cleaned[[#This Row],[Debit]]</f>
        <v>-1556.44</v>
      </c>
      <c r="N162" t="str">
        <f>_xlfn.XLOOKUP(Cleaned[[#This Row],[AccountName]], Account_Mapping!A:A, Account_Mapping!B:B,"Unmapped")</f>
        <v>Operating Expense</v>
      </c>
      <c r="O162" cm="1">
        <f t="array" ref="O162">_xlfn.XLOOKUP(
  1,
  (FX_Rates[Currency]=Cleaned[[#This Row],[Currency]])*
  (FX_Rates[RateDate]&lt;=Cleaned[[#This Row],[TxnDate]]),
  FX_Rates[Rate_To_INR],
  ,
  -1
)</f>
        <v>82</v>
      </c>
      <c r="P162" s="2">
        <f>Cleaned[[#This Row],[Net Amount]] *  Cleaned[[#This Row],[FX_rates]]</f>
        <v>-127628.08</v>
      </c>
    </row>
    <row r="163" spans="1:16" x14ac:dyDescent="0.45">
      <c r="A163" t="s">
        <v>171</v>
      </c>
      <c r="B163" s="1">
        <v>45705</v>
      </c>
      <c r="C163" s="2" t="s">
        <v>2010</v>
      </c>
      <c r="D163" t="s">
        <v>2015</v>
      </c>
      <c r="E163">
        <v>0</v>
      </c>
      <c r="F163">
        <f>Cleaned[[#This Row],[Debit]] * Cleaned[[#This Row],[FX_rates]]</f>
        <v>0</v>
      </c>
      <c r="G163">
        <v>2614.6799999999998</v>
      </c>
      <c r="H163">
        <f>Cleaned[[#This Row],[Credit]] *  Cleaned[[#This Row],[FX_rates]]</f>
        <v>146422.07999999999</v>
      </c>
      <c r="I163" t="s">
        <v>2021</v>
      </c>
      <c r="J163" t="s">
        <v>2030</v>
      </c>
      <c r="K163" t="s">
        <v>2192</v>
      </c>
      <c r="L163" t="s">
        <v>4033</v>
      </c>
      <c r="M163">
        <f>Cleaned[[#This Row],[Credit]]-Cleaned[[#This Row],[Debit]]</f>
        <v>2614.6799999999998</v>
      </c>
      <c r="N163" t="str">
        <f>_xlfn.XLOOKUP(Cleaned[[#This Row],[AccountName]], Account_Mapping!A:A, Account_Mapping!B:B,"Unmapped")</f>
        <v>Revenue</v>
      </c>
      <c r="O163" cm="1">
        <f t="array" ref="O163">_xlfn.XLOOKUP(
  1,
  (FX_Rates[Currency]=Cleaned[[#This Row],[Currency]])*
  (FX_Rates[RateDate]&lt;=Cleaned[[#This Row],[TxnDate]]),
  FX_Rates[Rate_To_INR],
  ,
  -1
)</f>
        <v>56</v>
      </c>
      <c r="P163" s="2">
        <f>Cleaned[[#This Row],[Net Amount]] *  Cleaned[[#This Row],[FX_rates]]</f>
        <v>146422.07999999999</v>
      </c>
    </row>
    <row r="164" spans="1:16" x14ac:dyDescent="0.45">
      <c r="A164" t="s">
        <v>172</v>
      </c>
      <c r="B164" s="1">
        <v>45647</v>
      </c>
      <c r="C164" s="2" t="s">
        <v>2010</v>
      </c>
      <c r="D164" t="s">
        <v>2015</v>
      </c>
      <c r="E164">
        <v>0</v>
      </c>
      <c r="F164">
        <f>Cleaned[[#This Row],[Debit]] * Cleaned[[#This Row],[FX_rates]]</f>
        <v>0</v>
      </c>
      <c r="G164">
        <v>3901.69</v>
      </c>
      <c r="H164">
        <f>Cleaned[[#This Row],[Credit]] *  Cleaned[[#This Row],[FX_rates]]</f>
        <v>343348.72000000003</v>
      </c>
      <c r="I164" t="s">
        <v>2025</v>
      </c>
      <c r="J164" t="s">
        <v>2030</v>
      </c>
      <c r="K164" t="s">
        <v>2193</v>
      </c>
      <c r="L164" t="s">
        <v>4032</v>
      </c>
      <c r="M164">
        <f>Cleaned[[#This Row],[Credit]]-Cleaned[[#This Row],[Debit]]</f>
        <v>3901.69</v>
      </c>
      <c r="N164" t="str">
        <f>_xlfn.XLOOKUP(Cleaned[[#This Row],[AccountName]], Account_Mapping!A:A, Account_Mapping!B:B,"Unmapped")</f>
        <v>Revenue</v>
      </c>
      <c r="O164" cm="1">
        <f t="array" ref="O164">_xlfn.XLOOKUP(
  1,
  (FX_Rates[Currency]=Cleaned[[#This Row],[Currency]])*
  (FX_Rates[RateDate]&lt;=Cleaned[[#This Row],[TxnDate]]),
  FX_Rates[Rate_To_INR],
  ,
  -1
)</f>
        <v>88</v>
      </c>
      <c r="P164" s="2">
        <f>Cleaned[[#This Row],[Net Amount]] *  Cleaned[[#This Row],[FX_rates]]</f>
        <v>343348.72000000003</v>
      </c>
    </row>
    <row r="165" spans="1:16" x14ac:dyDescent="0.45">
      <c r="A165" t="s">
        <v>173</v>
      </c>
      <c r="B165" s="1">
        <v>45714</v>
      </c>
      <c r="C165" s="2" t="s">
        <v>2014</v>
      </c>
      <c r="D165" t="s">
        <v>2019</v>
      </c>
      <c r="E165">
        <v>0</v>
      </c>
      <c r="F165">
        <f>Cleaned[[#This Row],[Debit]] * Cleaned[[#This Row],[FX_rates]]</f>
        <v>0</v>
      </c>
      <c r="G165">
        <v>1890.76</v>
      </c>
      <c r="H165">
        <f>Cleaned[[#This Row],[Credit]] *  Cleaned[[#This Row],[FX_rates]]</f>
        <v>115336.36</v>
      </c>
      <c r="I165" t="s">
        <v>2021</v>
      </c>
      <c r="J165" t="s">
        <v>2029</v>
      </c>
      <c r="K165" t="s">
        <v>2194</v>
      </c>
      <c r="L165" t="s">
        <v>4035</v>
      </c>
      <c r="M165">
        <f>Cleaned[[#This Row],[Credit]]-Cleaned[[#This Row],[Debit]]</f>
        <v>1890.76</v>
      </c>
      <c r="N165" t="str">
        <f>_xlfn.XLOOKUP(Cleaned[[#This Row],[AccountName]], Account_Mapping!A:A, Account_Mapping!B:B,"Unmapped")</f>
        <v>Revenue</v>
      </c>
      <c r="O165" cm="1">
        <f t="array" ref="O165">_xlfn.XLOOKUP(
  1,
  (FX_Rates[Currency]=Cleaned[[#This Row],[Currency]])*
  (FX_Rates[RateDate]&lt;=Cleaned[[#This Row],[TxnDate]]),
  FX_Rates[Rate_To_INR],
  ,
  -1
)</f>
        <v>61</v>
      </c>
      <c r="P165" s="2">
        <f>Cleaned[[#This Row],[Net Amount]] *  Cleaned[[#This Row],[FX_rates]]</f>
        <v>115336.36</v>
      </c>
    </row>
    <row r="166" spans="1:16" x14ac:dyDescent="0.45">
      <c r="A166" t="s">
        <v>174</v>
      </c>
      <c r="B166" s="1">
        <v>45490</v>
      </c>
      <c r="C166" s="2" t="s">
        <v>2014</v>
      </c>
      <c r="D166" t="s">
        <v>2019</v>
      </c>
      <c r="E166">
        <v>0</v>
      </c>
      <c r="F166">
        <f>Cleaned[[#This Row],[Debit]] * Cleaned[[#This Row],[FX_rates]]</f>
        <v>0</v>
      </c>
      <c r="G166">
        <v>1829.98</v>
      </c>
      <c r="H166">
        <f>Cleaned[[#This Row],[Credit]] *  Cleaned[[#This Row],[FX_rates]]</f>
        <v>111628.78</v>
      </c>
      <c r="I166" t="s">
        <v>2021</v>
      </c>
      <c r="J166" t="s">
        <v>2030</v>
      </c>
      <c r="K166" t="s">
        <v>2195</v>
      </c>
      <c r="L166" t="s">
        <v>4035</v>
      </c>
      <c r="M166">
        <f>Cleaned[[#This Row],[Credit]]-Cleaned[[#This Row],[Debit]]</f>
        <v>1829.98</v>
      </c>
      <c r="N166" t="str">
        <f>_xlfn.XLOOKUP(Cleaned[[#This Row],[AccountName]], Account_Mapping!A:A, Account_Mapping!B:B,"Unmapped")</f>
        <v>Revenue</v>
      </c>
      <c r="O166" cm="1">
        <f t="array" ref="O166">_xlfn.XLOOKUP(
  1,
  (FX_Rates[Currency]=Cleaned[[#This Row],[Currency]])*
  (FX_Rates[RateDate]&lt;=Cleaned[[#This Row],[TxnDate]]),
  FX_Rates[Rate_To_INR],
  ,
  -1
)</f>
        <v>61</v>
      </c>
      <c r="P166" s="2">
        <f>Cleaned[[#This Row],[Net Amount]] *  Cleaned[[#This Row],[FX_rates]]</f>
        <v>111628.78</v>
      </c>
    </row>
    <row r="167" spans="1:16" x14ac:dyDescent="0.45">
      <c r="A167" t="s">
        <v>175</v>
      </c>
      <c r="B167" s="1">
        <v>45447</v>
      </c>
      <c r="C167" s="2" t="s">
        <v>2010</v>
      </c>
      <c r="D167" t="s">
        <v>2015</v>
      </c>
      <c r="E167">
        <v>0</v>
      </c>
      <c r="F167">
        <f>Cleaned[[#This Row],[Debit]] * Cleaned[[#This Row],[FX_rates]]</f>
        <v>0</v>
      </c>
      <c r="G167">
        <v>1161.94</v>
      </c>
      <c r="H167">
        <f>Cleaned[[#This Row],[Credit]] *  Cleaned[[#This Row],[FX_rates]]</f>
        <v>102250.72</v>
      </c>
      <c r="I167" t="s">
        <v>2024</v>
      </c>
      <c r="J167" t="s">
        <v>2027</v>
      </c>
      <c r="K167" t="s">
        <v>2196</v>
      </c>
      <c r="L167" t="s">
        <v>4032</v>
      </c>
      <c r="M167">
        <f>Cleaned[[#This Row],[Credit]]-Cleaned[[#This Row],[Debit]]</f>
        <v>1161.94</v>
      </c>
      <c r="N167" t="str">
        <f>_xlfn.XLOOKUP(Cleaned[[#This Row],[AccountName]], Account_Mapping!A:A, Account_Mapping!B:B,"Unmapped")</f>
        <v>Revenue</v>
      </c>
      <c r="O167" cm="1">
        <f t="array" ref="O167">_xlfn.XLOOKUP(
  1,
  (FX_Rates[Currency]=Cleaned[[#This Row],[Currency]])*
  (FX_Rates[RateDate]&lt;=Cleaned[[#This Row],[TxnDate]]),
  FX_Rates[Rate_To_INR],
  ,
  -1
)</f>
        <v>88</v>
      </c>
      <c r="P167" s="2">
        <f>Cleaned[[#This Row],[Net Amount]] *  Cleaned[[#This Row],[FX_rates]]</f>
        <v>102250.72</v>
      </c>
    </row>
    <row r="168" spans="1:16" x14ac:dyDescent="0.45">
      <c r="A168" t="s">
        <v>176</v>
      </c>
      <c r="B168" s="1">
        <v>45252</v>
      </c>
      <c r="C168" s="2" t="s">
        <v>2012</v>
      </c>
      <c r="D168" t="s">
        <v>2017</v>
      </c>
      <c r="E168">
        <v>1114.08</v>
      </c>
      <c r="F168">
        <f>Cleaned[[#This Row],[Debit]] * Cleaned[[#This Row],[FX_rates]]</f>
        <v>98039.039999999994</v>
      </c>
      <c r="G168">
        <v>0</v>
      </c>
      <c r="H168">
        <f>Cleaned[[#This Row],[Credit]] *  Cleaned[[#This Row],[FX_rates]]</f>
        <v>0</v>
      </c>
      <c r="I168" t="s">
        <v>2020</v>
      </c>
      <c r="J168" t="s">
        <v>2030</v>
      </c>
      <c r="K168" t="s">
        <v>2197</v>
      </c>
      <c r="L168" t="s">
        <v>4032</v>
      </c>
      <c r="M168">
        <f>Cleaned[[#This Row],[Credit]]-Cleaned[[#This Row],[Debit]]</f>
        <v>-1114.08</v>
      </c>
      <c r="N168" t="str">
        <f>_xlfn.XLOOKUP(Cleaned[[#This Row],[AccountName]], Account_Mapping!A:A, Account_Mapping!B:B,"Unmapped")</f>
        <v>Operating Expense</v>
      </c>
      <c r="O168" cm="1">
        <f t="array" ref="O168">_xlfn.XLOOKUP(
  1,
  (FX_Rates[Currency]=Cleaned[[#This Row],[Currency]])*
  (FX_Rates[RateDate]&lt;=Cleaned[[#This Row],[TxnDate]]),
  FX_Rates[Rate_To_INR],
  ,
  -1
)</f>
        <v>88</v>
      </c>
      <c r="P168" s="2">
        <f>Cleaned[[#This Row],[Net Amount]] *  Cleaned[[#This Row],[FX_rates]]</f>
        <v>-98039.039999999994</v>
      </c>
    </row>
    <row r="169" spans="1:16" x14ac:dyDescent="0.45">
      <c r="A169" t="s">
        <v>177</v>
      </c>
      <c r="B169" s="1">
        <v>45418</v>
      </c>
      <c r="C169" s="2" t="s">
        <v>2014</v>
      </c>
      <c r="D169" t="s">
        <v>2019</v>
      </c>
      <c r="E169">
        <v>0</v>
      </c>
      <c r="F169">
        <f>Cleaned[[#This Row],[Debit]] * Cleaned[[#This Row],[FX_rates]]</f>
        <v>0</v>
      </c>
      <c r="G169">
        <v>859.97</v>
      </c>
      <c r="H169">
        <f>Cleaned[[#This Row],[Credit]] *  Cleaned[[#This Row],[FX_rates]]</f>
        <v>75677.36</v>
      </c>
      <c r="I169" t="s">
        <v>2020</v>
      </c>
      <c r="J169" t="s">
        <v>2030</v>
      </c>
      <c r="K169" t="s">
        <v>2198</v>
      </c>
      <c r="L169" t="s">
        <v>4032</v>
      </c>
      <c r="M169">
        <f>Cleaned[[#This Row],[Credit]]-Cleaned[[#This Row],[Debit]]</f>
        <v>859.97</v>
      </c>
      <c r="N169" t="str">
        <f>_xlfn.XLOOKUP(Cleaned[[#This Row],[AccountName]], Account_Mapping!A:A, Account_Mapping!B:B,"Unmapped")</f>
        <v>Revenue</v>
      </c>
      <c r="O169" cm="1">
        <f t="array" ref="O169">_xlfn.XLOOKUP(
  1,
  (FX_Rates[Currency]=Cleaned[[#This Row],[Currency]])*
  (FX_Rates[RateDate]&lt;=Cleaned[[#This Row],[TxnDate]]),
  FX_Rates[Rate_To_INR],
  ,
  -1
)</f>
        <v>88</v>
      </c>
      <c r="P169" s="2">
        <f>Cleaned[[#This Row],[Net Amount]] *  Cleaned[[#This Row],[FX_rates]]</f>
        <v>75677.36</v>
      </c>
    </row>
    <row r="170" spans="1:16" x14ac:dyDescent="0.45">
      <c r="A170" t="s">
        <v>178</v>
      </c>
      <c r="B170" s="1">
        <v>45182</v>
      </c>
      <c r="C170" s="2" t="s">
        <v>2011</v>
      </c>
      <c r="D170" t="s">
        <v>2016</v>
      </c>
      <c r="E170">
        <v>1369.63</v>
      </c>
      <c r="F170">
        <f>Cleaned[[#This Row],[Debit]] * Cleaned[[#This Row],[FX_rates]]</f>
        <v>112309.66</v>
      </c>
      <c r="G170">
        <v>0</v>
      </c>
      <c r="H170">
        <f>Cleaned[[#This Row],[Credit]] *  Cleaned[[#This Row],[FX_rates]]</f>
        <v>0</v>
      </c>
      <c r="I170" t="s">
        <v>2020</v>
      </c>
      <c r="J170" t="s">
        <v>2030</v>
      </c>
      <c r="K170" t="s">
        <v>2199</v>
      </c>
      <c r="L170" t="s">
        <v>4034</v>
      </c>
      <c r="M170">
        <f>Cleaned[[#This Row],[Credit]]-Cleaned[[#This Row],[Debit]]</f>
        <v>-1369.63</v>
      </c>
      <c r="N170" t="str">
        <f>_xlfn.XLOOKUP(Cleaned[[#This Row],[AccountName]], Account_Mapping!A:A, Account_Mapping!B:B,"Unmapped")</f>
        <v>COGS</v>
      </c>
      <c r="O170" cm="1">
        <f t="array" ref="O170">_xlfn.XLOOKUP(
  1,
  (FX_Rates[Currency]=Cleaned[[#This Row],[Currency]])*
  (FX_Rates[RateDate]&lt;=Cleaned[[#This Row],[TxnDate]]),
  FX_Rates[Rate_To_INR],
  ,
  -1
)</f>
        <v>82</v>
      </c>
      <c r="P170" s="2">
        <f>Cleaned[[#This Row],[Net Amount]] *  Cleaned[[#This Row],[FX_rates]]</f>
        <v>-112309.66</v>
      </c>
    </row>
    <row r="171" spans="1:16" x14ac:dyDescent="0.45">
      <c r="A171" t="s">
        <v>179</v>
      </c>
      <c r="B171" s="1">
        <v>44943</v>
      </c>
      <c r="C171" s="2" t="s">
        <v>2012</v>
      </c>
      <c r="D171" t="s">
        <v>2017</v>
      </c>
      <c r="E171">
        <v>1174.4100000000001</v>
      </c>
      <c r="F171">
        <f>Cleaned[[#This Row],[Debit]] * Cleaned[[#This Row],[FX_rates]]</f>
        <v>65766.960000000006</v>
      </c>
      <c r="G171">
        <v>0</v>
      </c>
      <c r="H171">
        <f>Cleaned[[#This Row],[Credit]] *  Cleaned[[#This Row],[FX_rates]]</f>
        <v>0</v>
      </c>
      <c r="I171" t="s">
        <v>2020</v>
      </c>
      <c r="J171" t="s">
        <v>2026</v>
      </c>
      <c r="K171" t="s">
        <v>2200</v>
      </c>
      <c r="L171" t="s">
        <v>4033</v>
      </c>
      <c r="M171">
        <f>Cleaned[[#This Row],[Credit]]-Cleaned[[#This Row],[Debit]]</f>
        <v>-1174.4100000000001</v>
      </c>
      <c r="N171" t="str">
        <f>_xlfn.XLOOKUP(Cleaned[[#This Row],[AccountName]], Account_Mapping!A:A, Account_Mapping!B:B,"Unmapped")</f>
        <v>Operating Expense</v>
      </c>
      <c r="O171" cm="1">
        <f t="array" ref="O171">_xlfn.XLOOKUP(
  1,
  (FX_Rates[Currency]=Cleaned[[#This Row],[Currency]])*
  (FX_Rates[RateDate]&lt;=Cleaned[[#This Row],[TxnDate]]),
  FX_Rates[Rate_To_INR],
  ,
  -1
)</f>
        <v>56</v>
      </c>
      <c r="P171" s="2">
        <f>Cleaned[[#This Row],[Net Amount]] *  Cleaned[[#This Row],[FX_rates]]</f>
        <v>-65766.960000000006</v>
      </c>
    </row>
    <row r="172" spans="1:16" x14ac:dyDescent="0.45">
      <c r="A172" t="s">
        <v>180</v>
      </c>
      <c r="B172" s="1">
        <v>45564</v>
      </c>
      <c r="C172" s="2" t="s">
        <v>2013</v>
      </c>
      <c r="D172" t="s">
        <v>2018</v>
      </c>
      <c r="E172">
        <v>605.78</v>
      </c>
      <c r="F172">
        <f>Cleaned[[#This Row],[Debit]] * Cleaned[[#This Row],[FX_rates]]</f>
        <v>53308.639999999999</v>
      </c>
      <c r="G172">
        <v>0</v>
      </c>
      <c r="H172">
        <f>Cleaned[[#This Row],[Credit]] *  Cleaned[[#This Row],[FX_rates]]</f>
        <v>0</v>
      </c>
      <c r="I172" t="s">
        <v>2023</v>
      </c>
      <c r="J172" t="s">
        <v>2029</v>
      </c>
      <c r="K172" t="s">
        <v>2201</v>
      </c>
      <c r="L172" t="s">
        <v>4032</v>
      </c>
      <c r="M172">
        <f>Cleaned[[#This Row],[Credit]]-Cleaned[[#This Row],[Debit]]</f>
        <v>-605.78</v>
      </c>
      <c r="N172" t="str">
        <f>_xlfn.XLOOKUP(Cleaned[[#This Row],[AccountName]], Account_Mapping!A:A, Account_Mapping!B:B,"Unmapped")</f>
        <v>Operating Expense</v>
      </c>
      <c r="O172" cm="1">
        <f t="array" ref="O172">_xlfn.XLOOKUP(
  1,
  (FX_Rates[Currency]=Cleaned[[#This Row],[Currency]])*
  (FX_Rates[RateDate]&lt;=Cleaned[[#This Row],[TxnDate]]),
  FX_Rates[Rate_To_INR],
  ,
  -1
)</f>
        <v>88</v>
      </c>
      <c r="P172" s="2">
        <f>Cleaned[[#This Row],[Net Amount]] *  Cleaned[[#This Row],[FX_rates]]</f>
        <v>-53308.639999999999</v>
      </c>
    </row>
    <row r="173" spans="1:16" x14ac:dyDescent="0.45">
      <c r="A173" t="s">
        <v>181</v>
      </c>
      <c r="B173" s="1">
        <v>45384</v>
      </c>
      <c r="C173" s="2" t="s">
        <v>2011</v>
      </c>
      <c r="D173" t="s">
        <v>2016</v>
      </c>
      <c r="E173">
        <v>60.93</v>
      </c>
      <c r="F173">
        <f>Cleaned[[#This Row],[Debit]] * Cleaned[[#This Row],[FX_rates]]</f>
        <v>3412.08</v>
      </c>
      <c r="G173">
        <v>0</v>
      </c>
      <c r="H173">
        <f>Cleaned[[#This Row],[Credit]] *  Cleaned[[#This Row],[FX_rates]]</f>
        <v>0</v>
      </c>
      <c r="I173" t="s">
        <v>2024</v>
      </c>
      <c r="J173" t="s">
        <v>2028</v>
      </c>
      <c r="K173" t="s">
        <v>2202</v>
      </c>
      <c r="L173" t="s">
        <v>4033</v>
      </c>
      <c r="M173">
        <f>Cleaned[[#This Row],[Credit]]-Cleaned[[#This Row],[Debit]]</f>
        <v>-60.93</v>
      </c>
      <c r="N173" t="str">
        <f>_xlfn.XLOOKUP(Cleaned[[#This Row],[AccountName]], Account_Mapping!A:A, Account_Mapping!B:B,"Unmapped")</f>
        <v>COGS</v>
      </c>
      <c r="O173" cm="1">
        <f t="array" ref="O173">_xlfn.XLOOKUP(
  1,
  (FX_Rates[Currency]=Cleaned[[#This Row],[Currency]])*
  (FX_Rates[RateDate]&lt;=Cleaned[[#This Row],[TxnDate]]),
  FX_Rates[Rate_To_INR],
  ,
  -1
)</f>
        <v>56</v>
      </c>
      <c r="P173" s="2">
        <f>Cleaned[[#This Row],[Net Amount]] *  Cleaned[[#This Row],[FX_rates]]</f>
        <v>-3412.08</v>
      </c>
    </row>
    <row r="174" spans="1:16" x14ac:dyDescent="0.45">
      <c r="A174" t="s">
        <v>182</v>
      </c>
      <c r="B174" s="1">
        <v>45489</v>
      </c>
      <c r="C174" s="2" t="s">
        <v>2013</v>
      </c>
      <c r="D174" t="s">
        <v>2018</v>
      </c>
      <c r="E174">
        <v>210.91</v>
      </c>
      <c r="F174">
        <f>Cleaned[[#This Row],[Debit]] * Cleaned[[#This Row],[FX_rates]]</f>
        <v>18560.079999999998</v>
      </c>
      <c r="G174">
        <v>0</v>
      </c>
      <c r="H174">
        <f>Cleaned[[#This Row],[Credit]] *  Cleaned[[#This Row],[FX_rates]]</f>
        <v>0</v>
      </c>
      <c r="I174" t="s">
        <v>2022</v>
      </c>
      <c r="J174" t="s">
        <v>2028</v>
      </c>
      <c r="K174" t="s">
        <v>2203</v>
      </c>
      <c r="L174" t="s">
        <v>4032</v>
      </c>
      <c r="M174">
        <f>Cleaned[[#This Row],[Credit]]-Cleaned[[#This Row],[Debit]]</f>
        <v>-210.91</v>
      </c>
      <c r="N174" t="str">
        <f>_xlfn.XLOOKUP(Cleaned[[#This Row],[AccountName]], Account_Mapping!A:A, Account_Mapping!B:B,"Unmapped")</f>
        <v>Operating Expense</v>
      </c>
      <c r="O174" cm="1">
        <f t="array" ref="O174">_xlfn.XLOOKUP(
  1,
  (FX_Rates[Currency]=Cleaned[[#This Row],[Currency]])*
  (FX_Rates[RateDate]&lt;=Cleaned[[#This Row],[TxnDate]]),
  FX_Rates[Rate_To_INR],
  ,
  -1
)</f>
        <v>88</v>
      </c>
      <c r="P174" s="2">
        <f>Cleaned[[#This Row],[Net Amount]] *  Cleaned[[#This Row],[FX_rates]]</f>
        <v>-18560.079999999998</v>
      </c>
    </row>
    <row r="175" spans="1:16" x14ac:dyDescent="0.45">
      <c r="A175" t="s">
        <v>183</v>
      </c>
      <c r="B175" s="1">
        <v>45729</v>
      </c>
      <c r="C175" s="2" t="s">
        <v>2013</v>
      </c>
      <c r="D175" t="s">
        <v>2018</v>
      </c>
      <c r="E175">
        <v>763.11</v>
      </c>
      <c r="F175">
        <f>Cleaned[[#This Row],[Debit]] * Cleaned[[#This Row],[FX_rates]]</f>
        <v>67153.680000000008</v>
      </c>
      <c r="G175">
        <v>0</v>
      </c>
      <c r="H175">
        <f>Cleaned[[#This Row],[Credit]] *  Cleaned[[#This Row],[FX_rates]]</f>
        <v>0</v>
      </c>
      <c r="I175" t="s">
        <v>2024</v>
      </c>
      <c r="J175" t="s">
        <v>2030</v>
      </c>
      <c r="K175" t="s">
        <v>2204</v>
      </c>
      <c r="L175" t="s">
        <v>4032</v>
      </c>
      <c r="M175">
        <f>Cleaned[[#This Row],[Credit]]-Cleaned[[#This Row],[Debit]]</f>
        <v>-763.11</v>
      </c>
      <c r="N175" t="str">
        <f>_xlfn.XLOOKUP(Cleaned[[#This Row],[AccountName]], Account_Mapping!A:A, Account_Mapping!B:B,"Unmapped")</f>
        <v>Operating Expense</v>
      </c>
      <c r="O175" cm="1">
        <f t="array" ref="O175">_xlfn.XLOOKUP(
  1,
  (FX_Rates[Currency]=Cleaned[[#This Row],[Currency]])*
  (FX_Rates[RateDate]&lt;=Cleaned[[#This Row],[TxnDate]]),
  FX_Rates[Rate_To_INR],
  ,
  -1
)</f>
        <v>88</v>
      </c>
      <c r="P175" s="2">
        <f>Cleaned[[#This Row],[Net Amount]] *  Cleaned[[#This Row],[FX_rates]]</f>
        <v>-67153.680000000008</v>
      </c>
    </row>
    <row r="176" spans="1:16" x14ac:dyDescent="0.45">
      <c r="A176" t="s">
        <v>184</v>
      </c>
      <c r="B176" s="1">
        <v>45526</v>
      </c>
      <c r="C176" s="2" t="s">
        <v>2011</v>
      </c>
      <c r="D176" t="s">
        <v>2016</v>
      </c>
      <c r="E176">
        <v>858.91</v>
      </c>
      <c r="F176">
        <f>Cleaned[[#This Row],[Debit]] * Cleaned[[#This Row],[FX_rates]]</f>
        <v>75584.08</v>
      </c>
      <c r="G176">
        <v>0</v>
      </c>
      <c r="H176">
        <f>Cleaned[[#This Row],[Credit]] *  Cleaned[[#This Row],[FX_rates]]</f>
        <v>0</v>
      </c>
      <c r="I176" t="s">
        <v>2023</v>
      </c>
      <c r="J176" t="s">
        <v>2028</v>
      </c>
      <c r="K176" t="s">
        <v>2205</v>
      </c>
      <c r="L176" t="s">
        <v>4032</v>
      </c>
      <c r="M176">
        <f>Cleaned[[#This Row],[Credit]]-Cleaned[[#This Row],[Debit]]</f>
        <v>-858.91</v>
      </c>
      <c r="N176" t="str">
        <f>_xlfn.XLOOKUP(Cleaned[[#This Row],[AccountName]], Account_Mapping!A:A, Account_Mapping!B:B,"Unmapped")</f>
        <v>COGS</v>
      </c>
      <c r="O176" cm="1">
        <f t="array" ref="O176">_xlfn.XLOOKUP(
  1,
  (FX_Rates[Currency]=Cleaned[[#This Row],[Currency]])*
  (FX_Rates[RateDate]&lt;=Cleaned[[#This Row],[TxnDate]]),
  FX_Rates[Rate_To_INR],
  ,
  -1
)</f>
        <v>88</v>
      </c>
      <c r="P176" s="2">
        <f>Cleaned[[#This Row],[Net Amount]] *  Cleaned[[#This Row],[FX_rates]]</f>
        <v>-75584.08</v>
      </c>
    </row>
    <row r="177" spans="1:16" x14ac:dyDescent="0.45">
      <c r="A177" t="s">
        <v>185</v>
      </c>
      <c r="B177" s="1">
        <v>45330</v>
      </c>
      <c r="C177" s="2" t="s">
        <v>2013</v>
      </c>
      <c r="D177" t="s">
        <v>2018</v>
      </c>
      <c r="E177">
        <v>1330.42</v>
      </c>
      <c r="F177">
        <f>Cleaned[[#This Row],[Debit]] * Cleaned[[#This Row],[FX_rates]]</f>
        <v>109094.44</v>
      </c>
      <c r="G177">
        <v>0</v>
      </c>
      <c r="H177">
        <f>Cleaned[[#This Row],[Credit]] *  Cleaned[[#This Row],[FX_rates]]</f>
        <v>0</v>
      </c>
      <c r="I177" t="s">
        <v>2020</v>
      </c>
      <c r="J177" t="s">
        <v>2027</v>
      </c>
      <c r="K177" t="s">
        <v>2206</v>
      </c>
      <c r="L177" t="s">
        <v>4034</v>
      </c>
      <c r="M177">
        <f>Cleaned[[#This Row],[Credit]]-Cleaned[[#This Row],[Debit]]</f>
        <v>-1330.42</v>
      </c>
      <c r="N177" t="str">
        <f>_xlfn.XLOOKUP(Cleaned[[#This Row],[AccountName]], Account_Mapping!A:A, Account_Mapping!B:B,"Unmapped")</f>
        <v>Operating Expense</v>
      </c>
      <c r="O177" cm="1">
        <f t="array" ref="O177">_xlfn.XLOOKUP(
  1,
  (FX_Rates[Currency]=Cleaned[[#This Row],[Currency]])*
  (FX_Rates[RateDate]&lt;=Cleaned[[#This Row],[TxnDate]]),
  FX_Rates[Rate_To_INR],
  ,
  -1
)</f>
        <v>82</v>
      </c>
      <c r="P177" s="2">
        <f>Cleaned[[#This Row],[Net Amount]] *  Cleaned[[#This Row],[FX_rates]]</f>
        <v>-109094.44</v>
      </c>
    </row>
    <row r="178" spans="1:16" x14ac:dyDescent="0.45">
      <c r="A178" t="s">
        <v>186</v>
      </c>
      <c r="B178" s="1">
        <v>45511</v>
      </c>
      <c r="C178" s="2" t="s">
        <v>2010</v>
      </c>
      <c r="D178" t="s">
        <v>2015</v>
      </c>
      <c r="E178">
        <v>0</v>
      </c>
      <c r="F178">
        <f>Cleaned[[#This Row],[Debit]] * Cleaned[[#This Row],[FX_rates]]</f>
        <v>0</v>
      </c>
      <c r="G178">
        <v>1750.45</v>
      </c>
      <c r="H178">
        <f>Cleaned[[#This Row],[Credit]] *  Cleaned[[#This Row],[FX_rates]]</f>
        <v>143536.9</v>
      </c>
      <c r="I178" t="s">
        <v>2021</v>
      </c>
      <c r="J178" t="s">
        <v>2028</v>
      </c>
      <c r="K178" t="s">
        <v>2207</v>
      </c>
      <c r="L178" t="s">
        <v>4034</v>
      </c>
      <c r="M178">
        <f>Cleaned[[#This Row],[Credit]]-Cleaned[[#This Row],[Debit]]</f>
        <v>1750.45</v>
      </c>
      <c r="N178" t="str">
        <f>_xlfn.XLOOKUP(Cleaned[[#This Row],[AccountName]], Account_Mapping!A:A, Account_Mapping!B:B,"Unmapped")</f>
        <v>Revenue</v>
      </c>
      <c r="O178" cm="1">
        <f t="array" ref="O178">_xlfn.XLOOKUP(
  1,
  (FX_Rates[Currency]=Cleaned[[#This Row],[Currency]])*
  (FX_Rates[RateDate]&lt;=Cleaned[[#This Row],[TxnDate]]),
  FX_Rates[Rate_To_INR],
  ,
  -1
)</f>
        <v>82</v>
      </c>
      <c r="P178" s="2">
        <f>Cleaned[[#This Row],[Net Amount]] *  Cleaned[[#This Row],[FX_rates]]</f>
        <v>143536.9</v>
      </c>
    </row>
    <row r="179" spans="1:16" x14ac:dyDescent="0.45">
      <c r="A179" t="s">
        <v>187</v>
      </c>
      <c r="B179" s="1">
        <v>45269</v>
      </c>
      <c r="C179" s="2" t="s">
        <v>2010</v>
      </c>
      <c r="D179" t="s">
        <v>2015</v>
      </c>
      <c r="E179">
        <v>0</v>
      </c>
      <c r="F179">
        <f>Cleaned[[#This Row],[Debit]] * Cleaned[[#This Row],[FX_rates]]</f>
        <v>0</v>
      </c>
      <c r="G179">
        <v>335.99</v>
      </c>
      <c r="H179">
        <f>Cleaned[[#This Row],[Credit]] *  Cleaned[[#This Row],[FX_rates]]</f>
        <v>34606.97</v>
      </c>
      <c r="I179" t="s">
        <v>2022</v>
      </c>
      <c r="J179" t="s">
        <v>2026</v>
      </c>
      <c r="K179" t="s">
        <v>2208</v>
      </c>
      <c r="L179" t="s">
        <v>4031</v>
      </c>
      <c r="M179">
        <f>Cleaned[[#This Row],[Credit]]-Cleaned[[#This Row],[Debit]]</f>
        <v>335.99</v>
      </c>
      <c r="N179" t="str">
        <f>_xlfn.XLOOKUP(Cleaned[[#This Row],[AccountName]], Account_Mapping!A:A, Account_Mapping!B:B,"Unmapped")</f>
        <v>Revenue</v>
      </c>
      <c r="O179" cm="1">
        <f t="array" ref="O179">_xlfn.XLOOKUP(
  1,
  (FX_Rates[Currency]=Cleaned[[#This Row],[Currency]])*
  (FX_Rates[RateDate]&lt;=Cleaned[[#This Row],[TxnDate]]),
  FX_Rates[Rate_To_INR],
  ,
  -1
)</f>
        <v>103</v>
      </c>
      <c r="P179" s="2">
        <f>Cleaned[[#This Row],[Net Amount]] *  Cleaned[[#This Row],[FX_rates]]</f>
        <v>34606.97</v>
      </c>
    </row>
    <row r="180" spans="1:16" x14ac:dyDescent="0.45">
      <c r="A180" t="s">
        <v>188</v>
      </c>
      <c r="B180" s="1">
        <v>45816</v>
      </c>
      <c r="C180" s="2" t="s">
        <v>2012</v>
      </c>
      <c r="D180" t="s">
        <v>2017</v>
      </c>
      <c r="E180">
        <v>1783.05</v>
      </c>
      <c r="F180">
        <f>Cleaned[[#This Row],[Debit]] * Cleaned[[#This Row],[FX_rates]]</f>
        <v>146210.1</v>
      </c>
      <c r="G180">
        <v>0</v>
      </c>
      <c r="H180">
        <f>Cleaned[[#This Row],[Credit]] *  Cleaned[[#This Row],[FX_rates]]</f>
        <v>0</v>
      </c>
      <c r="I180" t="s">
        <v>2022</v>
      </c>
      <c r="J180" t="s">
        <v>2029</v>
      </c>
      <c r="K180" t="s">
        <v>2209</v>
      </c>
      <c r="L180" t="s">
        <v>4034</v>
      </c>
      <c r="M180">
        <f>Cleaned[[#This Row],[Credit]]-Cleaned[[#This Row],[Debit]]</f>
        <v>-1783.05</v>
      </c>
      <c r="N180" t="str">
        <f>_xlfn.XLOOKUP(Cleaned[[#This Row],[AccountName]], Account_Mapping!A:A, Account_Mapping!B:B,"Unmapped")</f>
        <v>Operating Expense</v>
      </c>
      <c r="O180" cm="1">
        <f t="array" ref="O180">_xlfn.XLOOKUP(
  1,
  (FX_Rates[Currency]=Cleaned[[#This Row],[Currency]])*
  (FX_Rates[RateDate]&lt;=Cleaned[[#This Row],[TxnDate]]),
  FX_Rates[Rate_To_INR],
  ,
  -1
)</f>
        <v>82</v>
      </c>
      <c r="P180" s="2">
        <f>Cleaned[[#This Row],[Net Amount]] *  Cleaned[[#This Row],[FX_rates]]</f>
        <v>-146210.1</v>
      </c>
    </row>
    <row r="181" spans="1:16" x14ac:dyDescent="0.45">
      <c r="A181" t="s">
        <v>189</v>
      </c>
      <c r="B181" s="1">
        <v>45036</v>
      </c>
      <c r="C181" s="2" t="s">
        <v>2013</v>
      </c>
      <c r="D181" t="s">
        <v>2018</v>
      </c>
      <c r="E181">
        <v>278.89</v>
      </c>
      <c r="F181">
        <f>Cleaned[[#This Row],[Debit]] * Cleaned[[#This Row],[FX_rates]]</f>
        <v>17012.29</v>
      </c>
      <c r="G181">
        <v>0</v>
      </c>
      <c r="H181">
        <f>Cleaned[[#This Row],[Credit]] *  Cleaned[[#This Row],[FX_rates]]</f>
        <v>0</v>
      </c>
      <c r="I181" t="s">
        <v>2020</v>
      </c>
      <c r="J181" t="s">
        <v>2028</v>
      </c>
      <c r="K181" t="s">
        <v>2210</v>
      </c>
      <c r="L181" t="s">
        <v>4035</v>
      </c>
      <c r="M181">
        <f>Cleaned[[#This Row],[Credit]]-Cleaned[[#This Row],[Debit]]</f>
        <v>-278.89</v>
      </c>
      <c r="N181" t="str">
        <f>_xlfn.XLOOKUP(Cleaned[[#This Row],[AccountName]], Account_Mapping!A:A, Account_Mapping!B:B,"Unmapped")</f>
        <v>Operating Expense</v>
      </c>
      <c r="O181" cm="1">
        <f t="array" ref="O181">_xlfn.XLOOKUP(
  1,
  (FX_Rates[Currency]=Cleaned[[#This Row],[Currency]])*
  (FX_Rates[RateDate]&lt;=Cleaned[[#This Row],[TxnDate]]),
  FX_Rates[Rate_To_INR],
  ,
  -1
)</f>
        <v>61</v>
      </c>
      <c r="P181" s="2">
        <f>Cleaned[[#This Row],[Net Amount]] *  Cleaned[[#This Row],[FX_rates]]</f>
        <v>-17012.29</v>
      </c>
    </row>
    <row r="182" spans="1:16" x14ac:dyDescent="0.45">
      <c r="A182" t="s">
        <v>190</v>
      </c>
      <c r="B182" s="1">
        <v>45770</v>
      </c>
      <c r="C182" s="2" t="s">
        <v>2014</v>
      </c>
      <c r="D182" t="s">
        <v>2019</v>
      </c>
      <c r="E182">
        <v>0</v>
      </c>
      <c r="F182">
        <f>Cleaned[[#This Row],[Debit]] * Cleaned[[#This Row],[FX_rates]]</f>
        <v>0</v>
      </c>
      <c r="G182">
        <v>4714.1099999999997</v>
      </c>
      <c r="H182">
        <f>Cleaned[[#This Row],[Credit]] *  Cleaned[[#This Row],[FX_rates]]</f>
        <v>485553.32999999996</v>
      </c>
      <c r="I182" t="s">
        <v>2020</v>
      </c>
      <c r="J182" t="s">
        <v>2026</v>
      </c>
      <c r="K182" t="s">
        <v>2211</v>
      </c>
      <c r="L182" t="s">
        <v>4031</v>
      </c>
      <c r="M182">
        <f>Cleaned[[#This Row],[Credit]]-Cleaned[[#This Row],[Debit]]</f>
        <v>4714.1099999999997</v>
      </c>
      <c r="N182" t="str">
        <f>_xlfn.XLOOKUP(Cleaned[[#This Row],[AccountName]], Account_Mapping!A:A, Account_Mapping!B:B,"Unmapped")</f>
        <v>Revenue</v>
      </c>
      <c r="O182" cm="1">
        <f t="array" ref="O182">_xlfn.XLOOKUP(
  1,
  (FX_Rates[Currency]=Cleaned[[#This Row],[Currency]])*
  (FX_Rates[RateDate]&lt;=Cleaned[[#This Row],[TxnDate]]),
  FX_Rates[Rate_To_INR],
  ,
  -1
)</f>
        <v>103</v>
      </c>
      <c r="P182" s="2">
        <f>Cleaned[[#This Row],[Net Amount]] *  Cleaned[[#This Row],[FX_rates]]</f>
        <v>485553.32999999996</v>
      </c>
    </row>
    <row r="183" spans="1:16" x14ac:dyDescent="0.45">
      <c r="A183" t="s">
        <v>191</v>
      </c>
      <c r="B183" s="1">
        <v>44936</v>
      </c>
      <c r="C183" s="2" t="s">
        <v>2013</v>
      </c>
      <c r="D183" t="s">
        <v>2018</v>
      </c>
      <c r="E183">
        <v>782.32</v>
      </c>
      <c r="F183">
        <f>Cleaned[[#This Row],[Debit]] * Cleaned[[#This Row],[FX_rates]]</f>
        <v>64150.240000000005</v>
      </c>
      <c r="G183">
        <v>0</v>
      </c>
      <c r="H183">
        <f>Cleaned[[#This Row],[Credit]] *  Cleaned[[#This Row],[FX_rates]]</f>
        <v>0</v>
      </c>
      <c r="I183" t="s">
        <v>2023</v>
      </c>
      <c r="J183" t="s">
        <v>2030</v>
      </c>
      <c r="K183" t="s">
        <v>2212</v>
      </c>
      <c r="L183" t="s">
        <v>4034</v>
      </c>
      <c r="M183">
        <f>Cleaned[[#This Row],[Credit]]-Cleaned[[#This Row],[Debit]]</f>
        <v>-782.32</v>
      </c>
      <c r="N183" t="str">
        <f>_xlfn.XLOOKUP(Cleaned[[#This Row],[AccountName]], Account_Mapping!A:A, Account_Mapping!B:B,"Unmapped")</f>
        <v>Operating Expense</v>
      </c>
      <c r="O183" cm="1">
        <f t="array" ref="O183">_xlfn.XLOOKUP(
  1,
  (FX_Rates[Currency]=Cleaned[[#This Row],[Currency]])*
  (FX_Rates[RateDate]&lt;=Cleaned[[#This Row],[TxnDate]]),
  FX_Rates[Rate_To_INR],
  ,
  -1
)</f>
        <v>82</v>
      </c>
      <c r="P183" s="2">
        <f>Cleaned[[#This Row],[Net Amount]] *  Cleaned[[#This Row],[FX_rates]]</f>
        <v>-64150.240000000005</v>
      </c>
    </row>
    <row r="184" spans="1:16" x14ac:dyDescent="0.45">
      <c r="A184" t="s">
        <v>192</v>
      </c>
      <c r="B184" s="1">
        <v>45545</v>
      </c>
      <c r="C184" s="2" t="s">
        <v>2011</v>
      </c>
      <c r="D184" t="s">
        <v>2016</v>
      </c>
      <c r="E184">
        <v>209.01</v>
      </c>
      <c r="F184">
        <f>Cleaned[[#This Row],[Debit]] * Cleaned[[#This Row],[FX_rates]]</f>
        <v>21528.03</v>
      </c>
      <c r="G184">
        <v>0</v>
      </c>
      <c r="H184">
        <f>Cleaned[[#This Row],[Credit]] *  Cleaned[[#This Row],[FX_rates]]</f>
        <v>0</v>
      </c>
      <c r="I184" t="s">
        <v>2023</v>
      </c>
      <c r="J184" t="s">
        <v>2029</v>
      </c>
      <c r="K184" t="s">
        <v>2213</v>
      </c>
      <c r="L184" t="s">
        <v>4031</v>
      </c>
      <c r="M184">
        <f>Cleaned[[#This Row],[Credit]]-Cleaned[[#This Row],[Debit]]</f>
        <v>-209.01</v>
      </c>
      <c r="N184" t="str">
        <f>_xlfn.XLOOKUP(Cleaned[[#This Row],[AccountName]], Account_Mapping!A:A, Account_Mapping!B:B,"Unmapped")</f>
        <v>COGS</v>
      </c>
      <c r="O184" cm="1">
        <f t="array" ref="O184">_xlfn.XLOOKUP(
  1,
  (FX_Rates[Currency]=Cleaned[[#This Row],[Currency]])*
  (FX_Rates[RateDate]&lt;=Cleaned[[#This Row],[TxnDate]]),
  FX_Rates[Rate_To_INR],
  ,
  -1
)</f>
        <v>103</v>
      </c>
      <c r="P184" s="2">
        <f>Cleaned[[#This Row],[Net Amount]] *  Cleaned[[#This Row],[FX_rates]]</f>
        <v>-21528.03</v>
      </c>
    </row>
    <row r="185" spans="1:16" x14ac:dyDescent="0.45">
      <c r="A185" t="s">
        <v>193</v>
      </c>
      <c r="B185" s="1">
        <v>45352</v>
      </c>
      <c r="C185" s="2" t="s">
        <v>2011</v>
      </c>
      <c r="D185" t="s">
        <v>2016</v>
      </c>
      <c r="E185">
        <v>449.54</v>
      </c>
      <c r="F185">
        <f>Cleaned[[#This Row],[Debit]] * Cleaned[[#This Row],[FX_rates]]</f>
        <v>39559.520000000004</v>
      </c>
      <c r="G185">
        <v>0</v>
      </c>
      <c r="H185">
        <f>Cleaned[[#This Row],[Credit]] *  Cleaned[[#This Row],[FX_rates]]</f>
        <v>0</v>
      </c>
      <c r="I185" t="s">
        <v>2025</v>
      </c>
      <c r="J185" t="s">
        <v>2030</v>
      </c>
      <c r="K185" t="s">
        <v>2214</v>
      </c>
      <c r="L185" t="s">
        <v>4032</v>
      </c>
      <c r="M185">
        <f>Cleaned[[#This Row],[Credit]]-Cleaned[[#This Row],[Debit]]</f>
        <v>-449.54</v>
      </c>
      <c r="N185" t="str">
        <f>_xlfn.XLOOKUP(Cleaned[[#This Row],[AccountName]], Account_Mapping!A:A, Account_Mapping!B:B,"Unmapped")</f>
        <v>COGS</v>
      </c>
      <c r="O185" cm="1">
        <f t="array" ref="O185">_xlfn.XLOOKUP(
  1,
  (FX_Rates[Currency]=Cleaned[[#This Row],[Currency]])*
  (FX_Rates[RateDate]&lt;=Cleaned[[#This Row],[TxnDate]]),
  FX_Rates[Rate_To_INR],
  ,
  -1
)</f>
        <v>88</v>
      </c>
      <c r="P185" s="2">
        <f>Cleaned[[#This Row],[Net Amount]] *  Cleaned[[#This Row],[FX_rates]]</f>
        <v>-39559.520000000004</v>
      </c>
    </row>
    <row r="186" spans="1:16" x14ac:dyDescent="0.45">
      <c r="A186" t="s">
        <v>194</v>
      </c>
      <c r="B186" s="1">
        <v>45187</v>
      </c>
      <c r="C186" s="2" t="s">
        <v>2012</v>
      </c>
      <c r="D186" t="s">
        <v>2017</v>
      </c>
      <c r="E186">
        <v>1740.12</v>
      </c>
      <c r="F186">
        <f>Cleaned[[#This Row],[Debit]] * Cleaned[[#This Row],[FX_rates]]</f>
        <v>97446.720000000001</v>
      </c>
      <c r="G186">
        <v>0</v>
      </c>
      <c r="H186">
        <f>Cleaned[[#This Row],[Credit]] *  Cleaned[[#This Row],[FX_rates]]</f>
        <v>0</v>
      </c>
      <c r="I186" t="s">
        <v>2023</v>
      </c>
      <c r="J186" t="s">
        <v>2030</v>
      </c>
      <c r="K186" t="s">
        <v>2215</v>
      </c>
      <c r="L186" t="s">
        <v>4033</v>
      </c>
      <c r="M186">
        <f>Cleaned[[#This Row],[Credit]]-Cleaned[[#This Row],[Debit]]</f>
        <v>-1740.12</v>
      </c>
      <c r="N186" t="str">
        <f>_xlfn.XLOOKUP(Cleaned[[#This Row],[AccountName]], Account_Mapping!A:A, Account_Mapping!B:B,"Unmapped")</f>
        <v>Operating Expense</v>
      </c>
      <c r="O186" cm="1">
        <f t="array" ref="O186">_xlfn.XLOOKUP(
  1,
  (FX_Rates[Currency]=Cleaned[[#This Row],[Currency]])*
  (FX_Rates[RateDate]&lt;=Cleaned[[#This Row],[TxnDate]]),
  FX_Rates[Rate_To_INR],
  ,
  -1
)</f>
        <v>56</v>
      </c>
      <c r="P186" s="2">
        <f>Cleaned[[#This Row],[Net Amount]] *  Cleaned[[#This Row],[FX_rates]]</f>
        <v>-97446.720000000001</v>
      </c>
    </row>
    <row r="187" spans="1:16" x14ac:dyDescent="0.45">
      <c r="A187" t="s">
        <v>195</v>
      </c>
      <c r="B187" s="1">
        <v>45069</v>
      </c>
      <c r="C187" s="2" t="s">
        <v>2011</v>
      </c>
      <c r="D187" t="s">
        <v>2016</v>
      </c>
      <c r="E187">
        <v>1625.69</v>
      </c>
      <c r="F187">
        <f>Cleaned[[#This Row],[Debit]] * Cleaned[[#This Row],[FX_rates]]</f>
        <v>167446.07</v>
      </c>
      <c r="G187">
        <v>0</v>
      </c>
      <c r="H187">
        <f>Cleaned[[#This Row],[Credit]] *  Cleaned[[#This Row],[FX_rates]]</f>
        <v>0</v>
      </c>
      <c r="I187" t="s">
        <v>2023</v>
      </c>
      <c r="J187" t="s">
        <v>2027</v>
      </c>
      <c r="K187" t="s">
        <v>2216</v>
      </c>
      <c r="L187" t="s">
        <v>4031</v>
      </c>
      <c r="M187">
        <f>Cleaned[[#This Row],[Credit]]-Cleaned[[#This Row],[Debit]]</f>
        <v>-1625.69</v>
      </c>
      <c r="N187" t="str">
        <f>_xlfn.XLOOKUP(Cleaned[[#This Row],[AccountName]], Account_Mapping!A:A, Account_Mapping!B:B,"Unmapped")</f>
        <v>COGS</v>
      </c>
      <c r="O187" cm="1">
        <f t="array" ref="O187">_xlfn.XLOOKUP(
  1,
  (FX_Rates[Currency]=Cleaned[[#This Row],[Currency]])*
  (FX_Rates[RateDate]&lt;=Cleaned[[#This Row],[TxnDate]]),
  FX_Rates[Rate_To_INR],
  ,
  -1
)</f>
        <v>103</v>
      </c>
      <c r="P187" s="2">
        <f>Cleaned[[#This Row],[Net Amount]] *  Cleaned[[#This Row],[FX_rates]]</f>
        <v>-167446.07</v>
      </c>
    </row>
    <row r="188" spans="1:16" x14ac:dyDescent="0.45">
      <c r="A188" t="s">
        <v>196</v>
      </c>
      <c r="B188" s="1">
        <v>45635</v>
      </c>
      <c r="C188" s="2" t="s">
        <v>2011</v>
      </c>
      <c r="D188" t="s">
        <v>2016</v>
      </c>
      <c r="E188">
        <v>586.76</v>
      </c>
      <c r="F188">
        <f>Cleaned[[#This Row],[Debit]] * Cleaned[[#This Row],[FX_rates]]</f>
        <v>32858.559999999998</v>
      </c>
      <c r="G188">
        <v>0</v>
      </c>
      <c r="H188">
        <f>Cleaned[[#This Row],[Credit]] *  Cleaned[[#This Row],[FX_rates]]</f>
        <v>0</v>
      </c>
      <c r="I188" t="s">
        <v>2024</v>
      </c>
      <c r="J188" t="s">
        <v>2028</v>
      </c>
      <c r="K188" t="s">
        <v>2217</v>
      </c>
      <c r="L188" t="s">
        <v>4033</v>
      </c>
      <c r="M188">
        <f>Cleaned[[#This Row],[Credit]]-Cleaned[[#This Row],[Debit]]</f>
        <v>-586.76</v>
      </c>
      <c r="N188" t="str">
        <f>_xlfn.XLOOKUP(Cleaned[[#This Row],[AccountName]], Account_Mapping!A:A, Account_Mapping!B:B,"Unmapped")</f>
        <v>COGS</v>
      </c>
      <c r="O188" cm="1">
        <f t="array" ref="O188">_xlfn.XLOOKUP(
  1,
  (FX_Rates[Currency]=Cleaned[[#This Row],[Currency]])*
  (FX_Rates[RateDate]&lt;=Cleaned[[#This Row],[TxnDate]]),
  FX_Rates[Rate_To_INR],
  ,
  -1
)</f>
        <v>56</v>
      </c>
      <c r="P188" s="2">
        <f>Cleaned[[#This Row],[Net Amount]] *  Cleaned[[#This Row],[FX_rates]]</f>
        <v>-32858.559999999998</v>
      </c>
    </row>
    <row r="189" spans="1:16" x14ac:dyDescent="0.45">
      <c r="A189" t="s">
        <v>197</v>
      </c>
      <c r="B189" s="1">
        <v>45005</v>
      </c>
      <c r="C189" s="2" t="s">
        <v>2010</v>
      </c>
      <c r="D189" t="s">
        <v>2015</v>
      </c>
      <c r="E189">
        <v>0</v>
      </c>
      <c r="F189">
        <f>Cleaned[[#This Row],[Debit]] * Cleaned[[#This Row],[FX_rates]]</f>
        <v>0</v>
      </c>
      <c r="G189">
        <v>2824.84</v>
      </c>
      <c r="H189">
        <f>Cleaned[[#This Row],[Credit]] *  Cleaned[[#This Row],[FX_rates]]</f>
        <v>290958.52</v>
      </c>
      <c r="I189" t="s">
        <v>2023</v>
      </c>
      <c r="J189" t="s">
        <v>2030</v>
      </c>
      <c r="K189" t="s">
        <v>2218</v>
      </c>
      <c r="L189" t="s">
        <v>4031</v>
      </c>
      <c r="M189">
        <f>Cleaned[[#This Row],[Credit]]-Cleaned[[#This Row],[Debit]]</f>
        <v>2824.84</v>
      </c>
      <c r="N189" t="str">
        <f>_xlfn.XLOOKUP(Cleaned[[#This Row],[AccountName]], Account_Mapping!A:A, Account_Mapping!B:B,"Unmapped")</f>
        <v>Revenue</v>
      </c>
      <c r="O189" cm="1">
        <f t="array" ref="O189">_xlfn.XLOOKUP(
  1,
  (FX_Rates[Currency]=Cleaned[[#This Row],[Currency]])*
  (FX_Rates[RateDate]&lt;=Cleaned[[#This Row],[TxnDate]]),
  FX_Rates[Rate_To_INR],
  ,
  -1
)</f>
        <v>103</v>
      </c>
      <c r="P189" s="2">
        <f>Cleaned[[#This Row],[Net Amount]] *  Cleaned[[#This Row],[FX_rates]]</f>
        <v>290958.52</v>
      </c>
    </row>
    <row r="190" spans="1:16" x14ac:dyDescent="0.45">
      <c r="A190" t="s">
        <v>198</v>
      </c>
      <c r="B190" s="1">
        <v>45597</v>
      </c>
      <c r="C190" s="2" t="s">
        <v>2010</v>
      </c>
      <c r="D190" t="s">
        <v>2015</v>
      </c>
      <c r="E190">
        <v>0</v>
      </c>
      <c r="F190">
        <f>Cleaned[[#This Row],[Debit]] * Cleaned[[#This Row],[FX_rates]]</f>
        <v>0</v>
      </c>
      <c r="G190">
        <v>1046.78</v>
      </c>
      <c r="H190">
        <f>Cleaned[[#This Row],[Credit]] *  Cleaned[[#This Row],[FX_rates]]</f>
        <v>58619.68</v>
      </c>
      <c r="I190" t="s">
        <v>2023</v>
      </c>
      <c r="J190" t="s">
        <v>2026</v>
      </c>
      <c r="K190" t="s">
        <v>2219</v>
      </c>
      <c r="L190" t="s">
        <v>4033</v>
      </c>
      <c r="M190">
        <f>Cleaned[[#This Row],[Credit]]-Cleaned[[#This Row],[Debit]]</f>
        <v>1046.78</v>
      </c>
      <c r="N190" t="str">
        <f>_xlfn.XLOOKUP(Cleaned[[#This Row],[AccountName]], Account_Mapping!A:A, Account_Mapping!B:B,"Unmapped")</f>
        <v>Revenue</v>
      </c>
      <c r="O190" cm="1">
        <f t="array" ref="O190">_xlfn.XLOOKUP(
  1,
  (FX_Rates[Currency]=Cleaned[[#This Row],[Currency]])*
  (FX_Rates[RateDate]&lt;=Cleaned[[#This Row],[TxnDate]]),
  FX_Rates[Rate_To_INR],
  ,
  -1
)</f>
        <v>56</v>
      </c>
      <c r="P190" s="2">
        <f>Cleaned[[#This Row],[Net Amount]] *  Cleaned[[#This Row],[FX_rates]]</f>
        <v>58619.68</v>
      </c>
    </row>
    <row r="191" spans="1:16" x14ac:dyDescent="0.45">
      <c r="A191" t="s">
        <v>199</v>
      </c>
      <c r="B191" s="1">
        <v>44963</v>
      </c>
      <c r="C191" s="2" t="s">
        <v>2014</v>
      </c>
      <c r="D191" t="s">
        <v>2019</v>
      </c>
      <c r="E191">
        <v>0</v>
      </c>
      <c r="F191">
        <f>Cleaned[[#This Row],[Debit]] * Cleaned[[#This Row],[FX_rates]]</f>
        <v>0</v>
      </c>
      <c r="G191">
        <v>3930.36</v>
      </c>
      <c r="H191">
        <f>Cleaned[[#This Row],[Credit]] *  Cleaned[[#This Row],[FX_rates]]</f>
        <v>404827.08</v>
      </c>
      <c r="I191" t="s">
        <v>2020</v>
      </c>
      <c r="J191" t="s">
        <v>2027</v>
      </c>
      <c r="K191" t="s">
        <v>2220</v>
      </c>
      <c r="L191" t="s">
        <v>4031</v>
      </c>
      <c r="M191">
        <f>Cleaned[[#This Row],[Credit]]-Cleaned[[#This Row],[Debit]]</f>
        <v>3930.36</v>
      </c>
      <c r="N191" t="str">
        <f>_xlfn.XLOOKUP(Cleaned[[#This Row],[AccountName]], Account_Mapping!A:A, Account_Mapping!B:B,"Unmapped")</f>
        <v>Revenue</v>
      </c>
      <c r="O191" cm="1">
        <f t="array" ref="O191">_xlfn.XLOOKUP(
  1,
  (FX_Rates[Currency]=Cleaned[[#This Row],[Currency]])*
  (FX_Rates[RateDate]&lt;=Cleaned[[#This Row],[TxnDate]]),
  FX_Rates[Rate_To_INR],
  ,
  -1
)</f>
        <v>103</v>
      </c>
      <c r="P191" s="2">
        <f>Cleaned[[#This Row],[Net Amount]] *  Cleaned[[#This Row],[FX_rates]]</f>
        <v>404827.08</v>
      </c>
    </row>
    <row r="192" spans="1:16" x14ac:dyDescent="0.45">
      <c r="A192" t="s">
        <v>200</v>
      </c>
      <c r="B192" s="1">
        <v>45546</v>
      </c>
      <c r="C192" s="2" t="s">
        <v>2010</v>
      </c>
      <c r="D192" t="s">
        <v>2015</v>
      </c>
      <c r="E192">
        <v>0</v>
      </c>
      <c r="F192">
        <f>Cleaned[[#This Row],[Debit]] * Cleaned[[#This Row],[FX_rates]]</f>
        <v>0</v>
      </c>
      <c r="G192">
        <v>2772.6</v>
      </c>
      <c r="H192">
        <f>Cleaned[[#This Row],[Credit]] *  Cleaned[[#This Row],[FX_rates]]</f>
        <v>155265.60000000001</v>
      </c>
      <c r="I192" t="s">
        <v>2024</v>
      </c>
      <c r="J192" t="s">
        <v>2029</v>
      </c>
      <c r="K192" t="s">
        <v>2221</v>
      </c>
      <c r="L192" t="s">
        <v>4033</v>
      </c>
      <c r="M192">
        <f>Cleaned[[#This Row],[Credit]]-Cleaned[[#This Row],[Debit]]</f>
        <v>2772.6</v>
      </c>
      <c r="N192" t="str">
        <f>_xlfn.XLOOKUP(Cleaned[[#This Row],[AccountName]], Account_Mapping!A:A, Account_Mapping!B:B,"Unmapped")</f>
        <v>Revenue</v>
      </c>
      <c r="O192" cm="1">
        <f t="array" ref="O192">_xlfn.XLOOKUP(
  1,
  (FX_Rates[Currency]=Cleaned[[#This Row],[Currency]])*
  (FX_Rates[RateDate]&lt;=Cleaned[[#This Row],[TxnDate]]),
  FX_Rates[Rate_To_INR],
  ,
  -1
)</f>
        <v>56</v>
      </c>
      <c r="P192" s="2">
        <f>Cleaned[[#This Row],[Net Amount]] *  Cleaned[[#This Row],[FX_rates]]</f>
        <v>155265.60000000001</v>
      </c>
    </row>
    <row r="193" spans="1:16" x14ac:dyDescent="0.45">
      <c r="A193" t="s">
        <v>201</v>
      </c>
      <c r="B193" s="1">
        <v>45838</v>
      </c>
      <c r="C193" s="2" t="s">
        <v>2011</v>
      </c>
      <c r="D193" t="s">
        <v>2016</v>
      </c>
      <c r="E193">
        <v>1409.16</v>
      </c>
      <c r="F193">
        <f>Cleaned[[#This Row],[Debit]] * Cleaned[[#This Row],[FX_rates]]</f>
        <v>124006.08</v>
      </c>
      <c r="G193">
        <v>0</v>
      </c>
      <c r="H193">
        <f>Cleaned[[#This Row],[Credit]] *  Cleaned[[#This Row],[FX_rates]]</f>
        <v>0</v>
      </c>
      <c r="I193" t="s">
        <v>2022</v>
      </c>
      <c r="J193" t="s">
        <v>2026</v>
      </c>
      <c r="K193" t="s">
        <v>2222</v>
      </c>
      <c r="L193" t="s">
        <v>4032</v>
      </c>
      <c r="M193">
        <f>Cleaned[[#This Row],[Credit]]-Cleaned[[#This Row],[Debit]]</f>
        <v>-1409.16</v>
      </c>
      <c r="N193" t="str">
        <f>_xlfn.XLOOKUP(Cleaned[[#This Row],[AccountName]], Account_Mapping!A:A, Account_Mapping!B:B,"Unmapped")</f>
        <v>COGS</v>
      </c>
      <c r="O193" cm="1">
        <f t="array" ref="O193">_xlfn.XLOOKUP(
  1,
  (FX_Rates[Currency]=Cleaned[[#This Row],[Currency]])*
  (FX_Rates[RateDate]&lt;=Cleaned[[#This Row],[TxnDate]]),
  FX_Rates[Rate_To_INR],
  ,
  -1
)</f>
        <v>88</v>
      </c>
      <c r="P193" s="2">
        <f>Cleaned[[#This Row],[Net Amount]] *  Cleaned[[#This Row],[FX_rates]]</f>
        <v>-124006.08</v>
      </c>
    </row>
    <row r="194" spans="1:16" x14ac:dyDescent="0.45">
      <c r="A194" t="s">
        <v>202</v>
      </c>
      <c r="B194" s="1">
        <v>45276</v>
      </c>
      <c r="C194" s="2" t="s">
        <v>2010</v>
      </c>
      <c r="D194" t="s">
        <v>2015</v>
      </c>
      <c r="E194">
        <v>0</v>
      </c>
      <c r="F194">
        <f>Cleaned[[#This Row],[Debit]] * Cleaned[[#This Row],[FX_rates]]</f>
        <v>0</v>
      </c>
      <c r="G194">
        <v>1470.69</v>
      </c>
      <c r="H194">
        <f>Cleaned[[#This Row],[Credit]] *  Cleaned[[#This Row],[FX_rates]]</f>
        <v>151481.07</v>
      </c>
      <c r="I194" t="s">
        <v>2022</v>
      </c>
      <c r="J194" t="s">
        <v>2027</v>
      </c>
      <c r="K194" t="s">
        <v>2223</v>
      </c>
      <c r="L194" t="s">
        <v>4031</v>
      </c>
      <c r="M194">
        <f>Cleaned[[#This Row],[Credit]]-Cleaned[[#This Row],[Debit]]</f>
        <v>1470.69</v>
      </c>
      <c r="N194" t="str">
        <f>_xlfn.XLOOKUP(Cleaned[[#This Row],[AccountName]], Account_Mapping!A:A, Account_Mapping!B:B,"Unmapped")</f>
        <v>Revenue</v>
      </c>
      <c r="O194" cm="1">
        <f t="array" ref="O194">_xlfn.XLOOKUP(
  1,
  (FX_Rates[Currency]=Cleaned[[#This Row],[Currency]])*
  (FX_Rates[RateDate]&lt;=Cleaned[[#This Row],[TxnDate]]),
  FX_Rates[Rate_To_INR],
  ,
  -1
)</f>
        <v>103</v>
      </c>
      <c r="P194" s="2">
        <f>Cleaned[[#This Row],[Net Amount]] *  Cleaned[[#This Row],[FX_rates]]</f>
        <v>151481.07</v>
      </c>
    </row>
    <row r="195" spans="1:16" x14ac:dyDescent="0.45">
      <c r="A195" t="s">
        <v>203</v>
      </c>
      <c r="B195" s="1">
        <v>45522</v>
      </c>
      <c r="C195" s="2" t="s">
        <v>2014</v>
      </c>
      <c r="D195" t="s">
        <v>2019</v>
      </c>
      <c r="E195">
        <v>0</v>
      </c>
      <c r="F195">
        <f>Cleaned[[#This Row],[Debit]] * Cleaned[[#This Row],[FX_rates]]</f>
        <v>0</v>
      </c>
      <c r="G195">
        <v>3549.99</v>
      </c>
      <c r="H195">
        <f>Cleaned[[#This Row],[Credit]] *  Cleaned[[#This Row],[FX_rates]]</f>
        <v>312399.12</v>
      </c>
      <c r="I195" t="s">
        <v>2020</v>
      </c>
      <c r="J195" t="s">
        <v>2030</v>
      </c>
      <c r="K195" t="s">
        <v>2224</v>
      </c>
      <c r="L195" t="s">
        <v>4032</v>
      </c>
      <c r="M195">
        <f>Cleaned[[#This Row],[Credit]]-Cleaned[[#This Row],[Debit]]</f>
        <v>3549.99</v>
      </c>
      <c r="N195" t="str">
        <f>_xlfn.XLOOKUP(Cleaned[[#This Row],[AccountName]], Account_Mapping!A:A, Account_Mapping!B:B,"Unmapped")</f>
        <v>Revenue</v>
      </c>
      <c r="O195" cm="1">
        <f t="array" ref="O195">_xlfn.XLOOKUP(
  1,
  (FX_Rates[Currency]=Cleaned[[#This Row],[Currency]])*
  (FX_Rates[RateDate]&lt;=Cleaned[[#This Row],[TxnDate]]),
  FX_Rates[Rate_To_INR],
  ,
  -1
)</f>
        <v>88</v>
      </c>
      <c r="P195" s="2">
        <f>Cleaned[[#This Row],[Net Amount]] *  Cleaned[[#This Row],[FX_rates]]</f>
        <v>312399.12</v>
      </c>
    </row>
    <row r="196" spans="1:16" x14ac:dyDescent="0.45">
      <c r="A196" t="s">
        <v>204</v>
      </c>
      <c r="B196" s="1">
        <v>44955</v>
      </c>
      <c r="C196" s="2" t="s">
        <v>2010</v>
      </c>
      <c r="D196" t="s">
        <v>2015</v>
      </c>
      <c r="E196">
        <v>0</v>
      </c>
      <c r="F196">
        <f>Cleaned[[#This Row],[Debit]] * Cleaned[[#This Row],[FX_rates]]</f>
        <v>0</v>
      </c>
      <c r="G196">
        <v>2371.4</v>
      </c>
      <c r="H196">
        <f>Cleaned[[#This Row],[Credit]] *  Cleaned[[#This Row],[FX_rates]]</f>
        <v>144655.4</v>
      </c>
      <c r="I196" t="s">
        <v>2023</v>
      </c>
      <c r="J196" t="s">
        <v>2029</v>
      </c>
      <c r="K196" t="s">
        <v>2225</v>
      </c>
      <c r="L196" t="s">
        <v>4035</v>
      </c>
      <c r="M196">
        <f>Cleaned[[#This Row],[Credit]]-Cleaned[[#This Row],[Debit]]</f>
        <v>2371.4</v>
      </c>
      <c r="N196" t="str">
        <f>_xlfn.XLOOKUP(Cleaned[[#This Row],[AccountName]], Account_Mapping!A:A, Account_Mapping!B:B,"Unmapped")</f>
        <v>Revenue</v>
      </c>
      <c r="O196" cm="1">
        <f t="array" ref="O196">_xlfn.XLOOKUP(
  1,
  (FX_Rates[Currency]=Cleaned[[#This Row],[Currency]])*
  (FX_Rates[RateDate]&lt;=Cleaned[[#This Row],[TxnDate]]),
  FX_Rates[Rate_To_INR],
  ,
  -1
)</f>
        <v>61</v>
      </c>
      <c r="P196" s="2">
        <f>Cleaned[[#This Row],[Net Amount]] *  Cleaned[[#This Row],[FX_rates]]</f>
        <v>144655.4</v>
      </c>
    </row>
    <row r="197" spans="1:16" x14ac:dyDescent="0.45">
      <c r="A197" t="s">
        <v>205</v>
      </c>
      <c r="B197" s="1">
        <v>44970</v>
      </c>
      <c r="C197" s="2" t="s">
        <v>2012</v>
      </c>
      <c r="D197" t="s">
        <v>2017</v>
      </c>
      <c r="E197">
        <v>1869.71</v>
      </c>
      <c r="F197">
        <f>Cleaned[[#This Row],[Debit]] * Cleaned[[#This Row],[FX_rates]]</f>
        <v>104703.76000000001</v>
      </c>
      <c r="G197">
        <v>0</v>
      </c>
      <c r="H197">
        <f>Cleaned[[#This Row],[Credit]] *  Cleaned[[#This Row],[FX_rates]]</f>
        <v>0</v>
      </c>
      <c r="I197" t="s">
        <v>2021</v>
      </c>
      <c r="J197" t="s">
        <v>2028</v>
      </c>
      <c r="K197" t="s">
        <v>2226</v>
      </c>
      <c r="L197" t="s">
        <v>4033</v>
      </c>
      <c r="M197">
        <f>Cleaned[[#This Row],[Credit]]-Cleaned[[#This Row],[Debit]]</f>
        <v>-1869.71</v>
      </c>
      <c r="N197" t="str">
        <f>_xlfn.XLOOKUP(Cleaned[[#This Row],[AccountName]], Account_Mapping!A:A, Account_Mapping!B:B,"Unmapped")</f>
        <v>Operating Expense</v>
      </c>
      <c r="O197" cm="1">
        <f t="array" ref="O197">_xlfn.XLOOKUP(
  1,
  (FX_Rates[Currency]=Cleaned[[#This Row],[Currency]])*
  (FX_Rates[RateDate]&lt;=Cleaned[[#This Row],[TxnDate]]),
  FX_Rates[Rate_To_INR],
  ,
  -1
)</f>
        <v>56</v>
      </c>
      <c r="P197" s="2">
        <f>Cleaned[[#This Row],[Net Amount]] *  Cleaned[[#This Row],[FX_rates]]</f>
        <v>-104703.76000000001</v>
      </c>
    </row>
    <row r="198" spans="1:16" x14ac:dyDescent="0.45">
      <c r="A198" t="s">
        <v>206</v>
      </c>
      <c r="B198" s="1">
        <v>45306</v>
      </c>
      <c r="C198" s="2" t="s">
        <v>2011</v>
      </c>
      <c r="D198" t="s">
        <v>2016</v>
      </c>
      <c r="E198">
        <v>1812.22</v>
      </c>
      <c r="F198">
        <f>Cleaned[[#This Row],[Debit]] * Cleaned[[#This Row],[FX_rates]]</f>
        <v>110545.42</v>
      </c>
      <c r="G198">
        <v>0</v>
      </c>
      <c r="H198">
        <f>Cleaned[[#This Row],[Credit]] *  Cleaned[[#This Row],[FX_rates]]</f>
        <v>0</v>
      </c>
      <c r="I198" t="s">
        <v>2023</v>
      </c>
      <c r="J198" t="s">
        <v>2029</v>
      </c>
      <c r="K198" t="s">
        <v>2227</v>
      </c>
      <c r="L198" t="s">
        <v>4035</v>
      </c>
      <c r="M198">
        <f>Cleaned[[#This Row],[Credit]]-Cleaned[[#This Row],[Debit]]</f>
        <v>-1812.22</v>
      </c>
      <c r="N198" t="str">
        <f>_xlfn.XLOOKUP(Cleaned[[#This Row],[AccountName]], Account_Mapping!A:A, Account_Mapping!B:B,"Unmapped")</f>
        <v>COGS</v>
      </c>
      <c r="O198" cm="1">
        <f t="array" ref="O198">_xlfn.XLOOKUP(
  1,
  (FX_Rates[Currency]=Cleaned[[#This Row],[Currency]])*
  (FX_Rates[RateDate]&lt;=Cleaned[[#This Row],[TxnDate]]),
  FX_Rates[Rate_To_INR],
  ,
  -1
)</f>
        <v>61</v>
      </c>
      <c r="P198" s="2">
        <f>Cleaned[[#This Row],[Net Amount]] *  Cleaned[[#This Row],[FX_rates]]</f>
        <v>-110545.42</v>
      </c>
    </row>
    <row r="199" spans="1:16" x14ac:dyDescent="0.45">
      <c r="A199" t="s">
        <v>207</v>
      </c>
      <c r="B199" s="1">
        <v>44969</v>
      </c>
      <c r="C199" s="2" t="s">
        <v>2011</v>
      </c>
      <c r="D199" t="s">
        <v>2016</v>
      </c>
      <c r="E199">
        <v>218.2</v>
      </c>
      <c r="F199">
        <f>Cleaned[[#This Row],[Debit]] * Cleaned[[#This Row],[FX_rates]]</f>
        <v>22474.6</v>
      </c>
      <c r="G199">
        <v>0</v>
      </c>
      <c r="H199">
        <f>Cleaned[[#This Row],[Credit]] *  Cleaned[[#This Row],[FX_rates]]</f>
        <v>0</v>
      </c>
      <c r="I199" t="s">
        <v>2025</v>
      </c>
      <c r="J199" t="s">
        <v>2026</v>
      </c>
      <c r="K199" t="s">
        <v>2228</v>
      </c>
      <c r="L199" t="s">
        <v>4031</v>
      </c>
      <c r="M199">
        <f>Cleaned[[#This Row],[Credit]]-Cleaned[[#This Row],[Debit]]</f>
        <v>-218.2</v>
      </c>
      <c r="N199" t="str">
        <f>_xlfn.XLOOKUP(Cleaned[[#This Row],[AccountName]], Account_Mapping!A:A, Account_Mapping!B:B,"Unmapped")</f>
        <v>COGS</v>
      </c>
      <c r="O199" cm="1">
        <f t="array" ref="O199">_xlfn.XLOOKUP(
  1,
  (FX_Rates[Currency]=Cleaned[[#This Row],[Currency]])*
  (FX_Rates[RateDate]&lt;=Cleaned[[#This Row],[TxnDate]]),
  FX_Rates[Rate_To_INR],
  ,
  -1
)</f>
        <v>103</v>
      </c>
      <c r="P199" s="2">
        <f>Cleaned[[#This Row],[Net Amount]] *  Cleaned[[#This Row],[FX_rates]]</f>
        <v>-22474.6</v>
      </c>
    </row>
    <row r="200" spans="1:16" x14ac:dyDescent="0.45">
      <c r="A200" t="s">
        <v>208</v>
      </c>
      <c r="B200" s="1">
        <v>44997</v>
      </c>
      <c r="C200" s="2" t="s">
        <v>2014</v>
      </c>
      <c r="D200" t="s">
        <v>2019</v>
      </c>
      <c r="E200">
        <v>0</v>
      </c>
      <c r="F200">
        <f>Cleaned[[#This Row],[Debit]] * Cleaned[[#This Row],[FX_rates]]</f>
        <v>0</v>
      </c>
      <c r="G200">
        <v>965.46</v>
      </c>
      <c r="H200">
        <f>Cleaned[[#This Row],[Credit]] *  Cleaned[[#This Row],[FX_rates]]</f>
        <v>54065.760000000002</v>
      </c>
      <c r="I200" t="s">
        <v>2022</v>
      </c>
      <c r="J200" t="s">
        <v>2030</v>
      </c>
      <c r="K200" t="s">
        <v>2229</v>
      </c>
      <c r="L200" t="s">
        <v>4033</v>
      </c>
      <c r="M200">
        <f>Cleaned[[#This Row],[Credit]]-Cleaned[[#This Row],[Debit]]</f>
        <v>965.46</v>
      </c>
      <c r="N200" t="str">
        <f>_xlfn.XLOOKUP(Cleaned[[#This Row],[AccountName]], Account_Mapping!A:A, Account_Mapping!B:B,"Unmapped")</f>
        <v>Revenue</v>
      </c>
      <c r="O200" cm="1">
        <f t="array" ref="O200">_xlfn.XLOOKUP(
  1,
  (FX_Rates[Currency]=Cleaned[[#This Row],[Currency]])*
  (FX_Rates[RateDate]&lt;=Cleaned[[#This Row],[TxnDate]]),
  FX_Rates[Rate_To_INR],
  ,
  -1
)</f>
        <v>56</v>
      </c>
      <c r="P200" s="2">
        <f>Cleaned[[#This Row],[Net Amount]] *  Cleaned[[#This Row],[FX_rates]]</f>
        <v>54065.760000000002</v>
      </c>
    </row>
    <row r="201" spans="1:16" x14ac:dyDescent="0.45">
      <c r="A201" t="s">
        <v>209</v>
      </c>
      <c r="B201" s="1">
        <v>45549</v>
      </c>
      <c r="C201" s="2" t="s">
        <v>2010</v>
      </c>
      <c r="D201" t="s">
        <v>2015</v>
      </c>
      <c r="E201">
        <v>0</v>
      </c>
      <c r="F201">
        <f>Cleaned[[#This Row],[Debit]] * Cleaned[[#This Row],[FX_rates]]</f>
        <v>0</v>
      </c>
      <c r="G201">
        <v>321.5</v>
      </c>
      <c r="H201">
        <f>Cleaned[[#This Row],[Credit]] *  Cleaned[[#This Row],[FX_rates]]</f>
        <v>18004</v>
      </c>
      <c r="I201" t="s">
        <v>2022</v>
      </c>
      <c r="J201" t="s">
        <v>2030</v>
      </c>
      <c r="K201" t="s">
        <v>2230</v>
      </c>
      <c r="L201" t="s">
        <v>4033</v>
      </c>
      <c r="M201">
        <f>Cleaned[[#This Row],[Credit]]-Cleaned[[#This Row],[Debit]]</f>
        <v>321.5</v>
      </c>
      <c r="N201" t="str">
        <f>_xlfn.XLOOKUP(Cleaned[[#This Row],[AccountName]], Account_Mapping!A:A, Account_Mapping!B:B,"Unmapped")</f>
        <v>Revenue</v>
      </c>
      <c r="O201" cm="1">
        <f t="array" ref="O201">_xlfn.XLOOKUP(
  1,
  (FX_Rates[Currency]=Cleaned[[#This Row],[Currency]])*
  (FX_Rates[RateDate]&lt;=Cleaned[[#This Row],[TxnDate]]),
  FX_Rates[Rate_To_INR],
  ,
  -1
)</f>
        <v>56</v>
      </c>
      <c r="P201" s="2">
        <f>Cleaned[[#This Row],[Net Amount]] *  Cleaned[[#This Row],[FX_rates]]</f>
        <v>18004</v>
      </c>
    </row>
    <row r="202" spans="1:16" x14ac:dyDescent="0.45">
      <c r="A202" t="s">
        <v>210</v>
      </c>
      <c r="B202" s="1">
        <v>45347</v>
      </c>
      <c r="C202" s="2" t="s">
        <v>2012</v>
      </c>
      <c r="D202" t="s">
        <v>2017</v>
      </c>
      <c r="E202">
        <v>763.01</v>
      </c>
      <c r="F202">
        <f>Cleaned[[#This Row],[Debit]] * Cleaned[[#This Row],[FX_rates]]</f>
        <v>78590.03</v>
      </c>
      <c r="G202">
        <v>0</v>
      </c>
      <c r="H202">
        <f>Cleaned[[#This Row],[Credit]] *  Cleaned[[#This Row],[FX_rates]]</f>
        <v>0</v>
      </c>
      <c r="I202" t="s">
        <v>2021</v>
      </c>
      <c r="J202" t="s">
        <v>2030</v>
      </c>
      <c r="K202" t="s">
        <v>2231</v>
      </c>
      <c r="L202" t="s">
        <v>4031</v>
      </c>
      <c r="M202">
        <f>Cleaned[[#This Row],[Credit]]-Cleaned[[#This Row],[Debit]]</f>
        <v>-763.01</v>
      </c>
      <c r="N202" t="str">
        <f>_xlfn.XLOOKUP(Cleaned[[#This Row],[AccountName]], Account_Mapping!A:A, Account_Mapping!B:B,"Unmapped")</f>
        <v>Operating Expense</v>
      </c>
      <c r="O202" cm="1">
        <f t="array" ref="O202">_xlfn.XLOOKUP(
  1,
  (FX_Rates[Currency]=Cleaned[[#This Row],[Currency]])*
  (FX_Rates[RateDate]&lt;=Cleaned[[#This Row],[TxnDate]]),
  FX_Rates[Rate_To_INR],
  ,
  -1
)</f>
        <v>103</v>
      </c>
      <c r="P202" s="2">
        <f>Cleaned[[#This Row],[Net Amount]] *  Cleaned[[#This Row],[FX_rates]]</f>
        <v>-78590.03</v>
      </c>
    </row>
    <row r="203" spans="1:16" x14ac:dyDescent="0.45">
      <c r="A203" t="s">
        <v>211</v>
      </c>
      <c r="B203" s="1">
        <v>44954</v>
      </c>
      <c r="C203" s="2" t="s">
        <v>2014</v>
      </c>
      <c r="D203" t="s">
        <v>2019</v>
      </c>
      <c r="E203">
        <v>0</v>
      </c>
      <c r="F203">
        <f>Cleaned[[#This Row],[Debit]] * Cleaned[[#This Row],[FX_rates]]</f>
        <v>0</v>
      </c>
      <c r="G203">
        <v>2497.61</v>
      </c>
      <c r="H203">
        <f>Cleaned[[#This Row],[Credit]] *  Cleaned[[#This Row],[FX_rates]]</f>
        <v>204804.02000000002</v>
      </c>
      <c r="I203" t="s">
        <v>2022</v>
      </c>
      <c r="J203" t="s">
        <v>2028</v>
      </c>
      <c r="K203" t="s">
        <v>2232</v>
      </c>
      <c r="L203" t="s">
        <v>4034</v>
      </c>
      <c r="M203">
        <f>Cleaned[[#This Row],[Credit]]-Cleaned[[#This Row],[Debit]]</f>
        <v>2497.61</v>
      </c>
      <c r="N203" t="str">
        <f>_xlfn.XLOOKUP(Cleaned[[#This Row],[AccountName]], Account_Mapping!A:A, Account_Mapping!B:B,"Unmapped")</f>
        <v>Revenue</v>
      </c>
      <c r="O203" cm="1">
        <f t="array" ref="O203">_xlfn.XLOOKUP(
  1,
  (FX_Rates[Currency]=Cleaned[[#This Row],[Currency]])*
  (FX_Rates[RateDate]&lt;=Cleaned[[#This Row],[TxnDate]]),
  FX_Rates[Rate_To_INR],
  ,
  -1
)</f>
        <v>82</v>
      </c>
      <c r="P203" s="2">
        <f>Cleaned[[#This Row],[Net Amount]] *  Cleaned[[#This Row],[FX_rates]]</f>
        <v>204804.02000000002</v>
      </c>
    </row>
    <row r="204" spans="1:16" x14ac:dyDescent="0.45">
      <c r="A204" t="s">
        <v>212</v>
      </c>
      <c r="B204" s="1">
        <v>45538</v>
      </c>
      <c r="C204" s="2" t="s">
        <v>2010</v>
      </c>
      <c r="D204" t="s">
        <v>2015</v>
      </c>
      <c r="E204">
        <v>0</v>
      </c>
      <c r="F204">
        <f>Cleaned[[#This Row],[Debit]] * Cleaned[[#This Row],[FX_rates]]</f>
        <v>0</v>
      </c>
      <c r="G204">
        <v>4299.82</v>
      </c>
      <c r="H204">
        <f>Cleaned[[#This Row],[Credit]] *  Cleaned[[#This Row],[FX_rates]]</f>
        <v>262289.01999999996</v>
      </c>
      <c r="I204" t="s">
        <v>2020</v>
      </c>
      <c r="J204" t="s">
        <v>2029</v>
      </c>
      <c r="K204" t="s">
        <v>2233</v>
      </c>
      <c r="L204" t="s">
        <v>4035</v>
      </c>
      <c r="M204">
        <f>Cleaned[[#This Row],[Credit]]-Cleaned[[#This Row],[Debit]]</f>
        <v>4299.82</v>
      </c>
      <c r="N204" t="str">
        <f>_xlfn.XLOOKUP(Cleaned[[#This Row],[AccountName]], Account_Mapping!A:A, Account_Mapping!B:B,"Unmapped")</f>
        <v>Revenue</v>
      </c>
      <c r="O204" cm="1">
        <f t="array" ref="O204">_xlfn.XLOOKUP(
  1,
  (FX_Rates[Currency]=Cleaned[[#This Row],[Currency]])*
  (FX_Rates[RateDate]&lt;=Cleaned[[#This Row],[TxnDate]]),
  FX_Rates[Rate_To_INR],
  ,
  -1
)</f>
        <v>61</v>
      </c>
      <c r="P204" s="2">
        <f>Cleaned[[#This Row],[Net Amount]] *  Cleaned[[#This Row],[FX_rates]]</f>
        <v>262289.01999999996</v>
      </c>
    </row>
    <row r="205" spans="1:16" x14ac:dyDescent="0.45">
      <c r="A205" t="s">
        <v>213</v>
      </c>
      <c r="B205" s="1">
        <v>45591</v>
      </c>
      <c r="C205" s="2" t="s">
        <v>2012</v>
      </c>
      <c r="D205" t="s">
        <v>2017</v>
      </c>
      <c r="E205">
        <v>492.26</v>
      </c>
      <c r="F205">
        <f>Cleaned[[#This Row],[Debit]] * Cleaned[[#This Row],[FX_rates]]</f>
        <v>40365.32</v>
      </c>
      <c r="G205">
        <v>0</v>
      </c>
      <c r="H205">
        <f>Cleaned[[#This Row],[Credit]] *  Cleaned[[#This Row],[FX_rates]]</f>
        <v>0</v>
      </c>
      <c r="I205" t="s">
        <v>2020</v>
      </c>
      <c r="J205" t="s">
        <v>2028</v>
      </c>
      <c r="K205" t="s">
        <v>2234</v>
      </c>
      <c r="L205" t="s">
        <v>4034</v>
      </c>
      <c r="M205">
        <f>Cleaned[[#This Row],[Credit]]-Cleaned[[#This Row],[Debit]]</f>
        <v>-492.26</v>
      </c>
      <c r="N205" t="str">
        <f>_xlfn.XLOOKUP(Cleaned[[#This Row],[AccountName]], Account_Mapping!A:A, Account_Mapping!B:B,"Unmapped")</f>
        <v>Operating Expense</v>
      </c>
      <c r="O205" cm="1">
        <f t="array" ref="O205">_xlfn.XLOOKUP(
  1,
  (FX_Rates[Currency]=Cleaned[[#This Row],[Currency]])*
  (FX_Rates[RateDate]&lt;=Cleaned[[#This Row],[TxnDate]]),
  FX_Rates[Rate_To_INR],
  ,
  -1
)</f>
        <v>82</v>
      </c>
      <c r="P205" s="2">
        <f>Cleaned[[#This Row],[Net Amount]] *  Cleaned[[#This Row],[FX_rates]]</f>
        <v>-40365.32</v>
      </c>
    </row>
    <row r="206" spans="1:16" x14ac:dyDescent="0.45">
      <c r="A206" t="s">
        <v>214</v>
      </c>
      <c r="B206" s="1">
        <v>45156</v>
      </c>
      <c r="C206" s="2" t="s">
        <v>2010</v>
      </c>
      <c r="D206" t="s">
        <v>2015</v>
      </c>
      <c r="E206">
        <v>0</v>
      </c>
      <c r="F206">
        <f>Cleaned[[#This Row],[Debit]] * Cleaned[[#This Row],[FX_rates]]</f>
        <v>0</v>
      </c>
      <c r="G206">
        <v>4036.79</v>
      </c>
      <c r="H206">
        <f>Cleaned[[#This Row],[Credit]] *  Cleaned[[#This Row],[FX_rates]]</f>
        <v>355237.52</v>
      </c>
      <c r="I206" t="s">
        <v>2022</v>
      </c>
      <c r="J206" t="s">
        <v>2026</v>
      </c>
      <c r="K206" t="s">
        <v>2235</v>
      </c>
      <c r="L206" t="s">
        <v>4032</v>
      </c>
      <c r="M206">
        <f>Cleaned[[#This Row],[Credit]]-Cleaned[[#This Row],[Debit]]</f>
        <v>4036.79</v>
      </c>
      <c r="N206" t="str">
        <f>_xlfn.XLOOKUP(Cleaned[[#This Row],[AccountName]], Account_Mapping!A:A, Account_Mapping!B:B,"Unmapped")</f>
        <v>Revenue</v>
      </c>
      <c r="O206" cm="1">
        <f t="array" ref="O206">_xlfn.XLOOKUP(
  1,
  (FX_Rates[Currency]=Cleaned[[#This Row],[Currency]])*
  (FX_Rates[RateDate]&lt;=Cleaned[[#This Row],[TxnDate]]),
  FX_Rates[Rate_To_INR],
  ,
  -1
)</f>
        <v>88</v>
      </c>
      <c r="P206" s="2">
        <f>Cleaned[[#This Row],[Net Amount]] *  Cleaned[[#This Row],[FX_rates]]</f>
        <v>355237.52</v>
      </c>
    </row>
    <row r="207" spans="1:16" x14ac:dyDescent="0.45">
      <c r="A207" t="s">
        <v>215</v>
      </c>
      <c r="B207" s="1">
        <v>45548</v>
      </c>
      <c r="C207" s="2" t="s">
        <v>2014</v>
      </c>
      <c r="D207" t="s">
        <v>2019</v>
      </c>
      <c r="E207">
        <v>0</v>
      </c>
      <c r="F207">
        <f>Cleaned[[#This Row],[Debit]] * Cleaned[[#This Row],[FX_rates]]</f>
        <v>0</v>
      </c>
      <c r="G207">
        <v>3885.84</v>
      </c>
      <c r="H207">
        <f>Cleaned[[#This Row],[Credit]] *  Cleaned[[#This Row],[FX_rates]]</f>
        <v>400241.52</v>
      </c>
      <c r="I207" t="s">
        <v>2022</v>
      </c>
      <c r="J207" t="s">
        <v>2027</v>
      </c>
      <c r="K207" t="s">
        <v>2236</v>
      </c>
      <c r="L207" t="s">
        <v>4031</v>
      </c>
      <c r="M207">
        <f>Cleaned[[#This Row],[Credit]]-Cleaned[[#This Row],[Debit]]</f>
        <v>3885.84</v>
      </c>
      <c r="N207" t="str">
        <f>_xlfn.XLOOKUP(Cleaned[[#This Row],[AccountName]], Account_Mapping!A:A, Account_Mapping!B:B,"Unmapped")</f>
        <v>Revenue</v>
      </c>
      <c r="O207" cm="1">
        <f t="array" ref="O207">_xlfn.XLOOKUP(
  1,
  (FX_Rates[Currency]=Cleaned[[#This Row],[Currency]])*
  (FX_Rates[RateDate]&lt;=Cleaned[[#This Row],[TxnDate]]),
  FX_Rates[Rate_To_INR],
  ,
  -1
)</f>
        <v>103</v>
      </c>
      <c r="P207" s="2">
        <f>Cleaned[[#This Row],[Net Amount]] *  Cleaned[[#This Row],[FX_rates]]</f>
        <v>400241.52</v>
      </c>
    </row>
    <row r="208" spans="1:16" x14ac:dyDescent="0.45">
      <c r="A208" t="s">
        <v>216</v>
      </c>
      <c r="B208" s="1">
        <v>44965</v>
      </c>
      <c r="C208" s="2" t="s">
        <v>2012</v>
      </c>
      <c r="D208" t="s">
        <v>2017</v>
      </c>
      <c r="E208">
        <v>1161.43</v>
      </c>
      <c r="F208">
        <f>Cleaned[[#This Row],[Debit]] * Cleaned[[#This Row],[FX_rates]]</f>
        <v>119627.29000000001</v>
      </c>
      <c r="G208">
        <v>0</v>
      </c>
      <c r="H208">
        <f>Cleaned[[#This Row],[Credit]] *  Cleaned[[#This Row],[FX_rates]]</f>
        <v>0</v>
      </c>
      <c r="I208" t="s">
        <v>2022</v>
      </c>
      <c r="J208" t="s">
        <v>2026</v>
      </c>
      <c r="K208" t="s">
        <v>2237</v>
      </c>
      <c r="L208" t="s">
        <v>4031</v>
      </c>
      <c r="M208">
        <f>Cleaned[[#This Row],[Credit]]-Cleaned[[#This Row],[Debit]]</f>
        <v>-1161.43</v>
      </c>
      <c r="N208" t="str">
        <f>_xlfn.XLOOKUP(Cleaned[[#This Row],[AccountName]], Account_Mapping!A:A, Account_Mapping!B:B,"Unmapped")</f>
        <v>Operating Expense</v>
      </c>
      <c r="O208" cm="1">
        <f t="array" ref="O208">_xlfn.XLOOKUP(
  1,
  (FX_Rates[Currency]=Cleaned[[#This Row],[Currency]])*
  (FX_Rates[RateDate]&lt;=Cleaned[[#This Row],[TxnDate]]),
  FX_Rates[Rate_To_INR],
  ,
  -1
)</f>
        <v>103</v>
      </c>
      <c r="P208" s="2">
        <f>Cleaned[[#This Row],[Net Amount]] *  Cleaned[[#This Row],[FX_rates]]</f>
        <v>-119627.29000000001</v>
      </c>
    </row>
    <row r="209" spans="1:16" x14ac:dyDescent="0.45">
      <c r="A209" t="s">
        <v>217</v>
      </c>
      <c r="B209" s="1">
        <v>45751</v>
      </c>
      <c r="C209" s="2" t="s">
        <v>2010</v>
      </c>
      <c r="D209" t="s">
        <v>2015</v>
      </c>
      <c r="E209">
        <v>0</v>
      </c>
      <c r="F209">
        <f>Cleaned[[#This Row],[Debit]] * Cleaned[[#This Row],[FX_rates]]</f>
        <v>0</v>
      </c>
      <c r="G209">
        <v>4478.0600000000004</v>
      </c>
      <c r="H209">
        <f>Cleaned[[#This Row],[Credit]] *  Cleaned[[#This Row],[FX_rates]]</f>
        <v>250771.36000000002</v>
      </c>
      <c r="I209" t="s">
        <v>2021</v>
      </c>
      <c r="J209" t="s">
        <v>2029</v>
      </c>
      <c r="K209" t="s">
        <v>2238</v>
      </c>
      <c r="L209" t="s">
        <v>4033</v>
      </c>
      <c r="M209">
        <f>Cleaned[[#This Row],[Credit]]-Cleaned[[#This Row],[Debit]]</f>
        <v>4478.0600000000004</v>
      </c>
      <c r="N209" t="str">
        <f>_xlfn.XLOOKUP(Cleaned[[#This Row],[AccountName]], Account_Mapping!A:A, Account_Mapping!B:B,"Unmapped")</f>
        <v>Revenue</v>
      </c>
      <c r="O209" cm="1">
        <f t="array" ref="O209">_xlfn.XLOOKUP(
  1,
  (FX_Rates[Currency]=Cleaned[[#This Row],[Currency]])*
  (FX_Rates[RateDate]&lt;=Cleaned[[#This Row],[TxnDate]]),
  FX_Rates[Rate_To_INR],
  ,
  -1
)</f>
        <v>56</v>
      </c>
      <c r="P209" s="2">
        <f>Cleaned[[#This Row],[Net Amount]] *  Cleaned[[#This Row],[FX_rates]]</f>
        <v>250771.36000000002</v>
      </c>
    </row>
    <row r="210" spans="1:16" x14ac:dyDescent="0.45">
      <c r="A210" t="s">
        <v>218</v>
      </c>
      <c r="B210" s="1">
        <v>45739</v>
      </c>
      <c r="C210" s="2" t="s">
        <v>2012</v>
      </c>
      <c r="D210" t="s">
        <v>2017</v>
      </c>
      <c r="E210">
        <v>169.1</v>
      </c>
      <c r="F210">
        <f>Cleaned[[#This Row],[Debit]] * Cleaned[[#This Row],[FX_rates]]</f>
        <v>10315.1</v>
      </c>
      <c r="G210">
        <v>0</v>
      </c>
      <c r="H210">
        <f>Cleaned[[#This Row],[Credit]] *  Cleaned[[#This Row],[FX_rates]]</f>
        <v>0</v>
      </c>
      <c r="I210" t="s">
        <v>2025</v>
      </c>
      <c r="J210" t="s">
        <v>2026</v>
      </c>
      <c r="K210" t="s">
        <v>2239</v>
      </c>
      <c r="L210" t="s">
        <v>4035</v>
      </c>
      <c r="M210">
        <f>Cleaned[[#This Row],[Credit]]-Cleaned[[#This Row],[Debit]]</f>
        <v>-169.1</v>
      </c>
      <c r="N210" t="str">
        <f>_xlfn.XLOOKUP(Cleaned[[#This Row],[AccountName]], Account_Mapping!A:A, Account_Mapping!B:B,"Unmapped")</f>
        <v>Operating Expense</v>
      </c>
      <c r="O210" cm="1">
        <f t="array" ref="O210">_xlfn.XLOOKUP(
  1,
  (FX_Rates[Currency]=Cleaned[[#This Row],[Currency]])*
  (FX_Rates[RateDate]&lt;=Cleaned[[#This Row],[TxnDate]]),
  FX_Rates[Rate_To_INR],
  ,
  -1
)</f>
        <v>61</v>
      </c>
      <c r="P210" s="2">
        <f>Cleaned[[#This Row],[Net Amount]] *  Cleaned[[#This Row],[FX_rates]]</f>
        <v>-10315.1</v>
      </c>
    </row>
    <row r="211" spans="1:16" x14ac:dyDescent="0.45">
      <c r="A211" t="s">
        <v>219</v>
      </c>
      <c r="B211" s="1">
        <v>45182</v>
      </c>
      <c r="C211" s="2" t="s">
        <v>2011</v>
      </c>
      <c r="D211" t="s">
        <v>2016</v>
      </c>
      <c r="E211">
        <v>1138.92</v>
      </c>
      <c r="F211">
        <f>Cleaned[[#This Row],[Debit]] * Cleaned[[#This Row],[FX_rates]]</f>
        <v>63779.520000000004</v>
      </c>
      <c r="G211">
        <v>0</v>
      </c>
      <c r="H211">
        <f>Cleaned[[#This Row],[Credit]] *  Cleaned[[#This Row],[FX_rates]]</f>
        <v>0</v>
      </c>
      <c r="I211" t="s">
        <v>2021</v>
      </c>
      <c r="J211" t="s">
        <v>2030</v>
      </c>
      <c r="K211" t="s">
        <v>2240</v>
      </c>
      <c r="L211" t="s">
        <v>4033</v>
      </c>
      <c r="M211">
        <f>Cleaned[[#This Row],[Credit]]-Cleaned[[#This Row],[Debit]]</f>
        <v>-1138.92</v>
      </c>
      <c r="N211" t="str">
        <f>_xlfn.XLOOKUP(Cleaned[[#This Row],[AccountName]], Account_Mapping!A:A, Account_Mapping!B:B,"Unmapped")</f>
        <v>COGS</v>
      </c>
      <c r="O211" cm="1">
        <f t="array" ref="O211">_xlfn.XLOOKUP(
  1,
  (FX_Rates[Currency]=Cleaned[[#This Row],[Currency]])*
  (FX_Rates[RateDate]&lt;=Cleaned[[#This Row],[TxnDate]]),
  FX_Rates[Rate_To_INR],
  ,
  -1
)</f>
        <v>56</v>
      </c>
      <c r="P211" s="2">
        <f>Cleaned[[#This Row],[Net Amount]] *  Cleaned[[#This Row],[FX_rates]]</f>
        <v>-63779.520000000004</v>
      </c>
    </row>
    <row r="212" spans="1:16" x14ac:dyDescent="0.45">
      <c r="A212" t="s">
        <v>220</v>
      </c>
      <c r="B212" s="1">
        <v>45159</v>
      </c>
      <c r="C212" s="2" t="s">
        <v>2014</v>
      </c>
      <c r="D212" t="s">
        <v>2019</v>
      </c>
      <c r="E212">
        <v>0</v>
      </c>
      <c r="F212">
        <f>Cleaned[[#This Row],[Debit]] * Cleaned[[#This Row],[FX_rates]]</f>
        <v>0</v>
      </c>
      <c r="G212">
        <v>3750.39</v>
      </c>
      <c r="H212">
        <f>Cleaned[[#This Row],[Credit]] *  Cleaned[[#This Row],[FX_rates]]</f>
        <v>228773.78999999998</v>
      </c>
      <c r="I212" t="s">
        <v>2024</v>
      </c>
      <c r="J212" t="s">
        <v>2027</v>
      </c>
      <c r="K212" t="s">
        <v>2241</v>
      </c>
      <c r="L212" t="s">
        <v>4035</v>
      </c>
      <c r="M212">
        <f>Cleaned[[#This Row],[Credit]]-Cleaned[[#This Row],[Debit]]</f>
        <v>3750.39</v>
      </c>
      <c r="N212" t="str">
        <f>_xlfn.XLOOKUP(Cleaned[[#This Row],[AccountName]], Account_Mapping!A:A, Account_Mapping!B:B,"Unmapped")</f>
        <v>Revenue</v>
      </c>
      <c r="O212" cm="1">
        <f t="array" ref="O212">_xlfn.XLOOKUP(
  1,
  (FX_Rates[Currency]=Cleaned[[#This Row],[Currency]])*
  (FX_Rates[RateDate]&lt;=Cleaned[[#This Row],[TxnDate]]),
  FX_Rates[Rate_To_INR],
  ,
  -1
)</f>
        <v>61</v>
      </c>
      <c r="P212" s="2">
        <f>Cleaned[[#This Row],[Net Amount]] *  Cleaned[[#This Row],[FX_rates]]</f>
        <v>228773.78999999998</v>
      </c>
    </row>
    <row r="213" spans="1:16" x14ac:dyDescent="0.45">
      <c r="A213" t="s">
        <v>221</v>
      </c>
      <c r="B213" s="1">
        <v>45259</v>
      </c>
      <c r="C213" s="2" t="s">
        <v>2013</v>
      </c>
      <c r="D213" t="s">
        <v>2018</v>
      </c>
      <c r="E213">
        <v>1619.58</v>
      </c>
      <c r="F213">
        <f>Cleaned[[#This Row],[Debit]] * Cleaned[[#This Row],[FX_rates]]</f>
        <v>132805.56</v>
      </c>
      <c r="G213">
        <v>0</v>
      </c>
      <c r="H213">
        <f>Cleaned[[#This Row],[Credit]] *  Cleaned[[#This Row],[FX_rates]]</f>
        <v>0</v>
      </c>
      <c r="I213" t="s">
        <v>2020</v>
      </c>
      <c r="J213" t="s">
        <v>2028</v>
      </c>
      <c r="K213" t="s">
        <v>2242</v>
      </c>
      <c r="L213" t="s">
        <v>4034</v>
      </c>
      <c r="M213">
        <f>Cleaned[[#This Row],[Credit]]-Cleaned[[#This Row],[Debit]]</f>
        <v>-1619.58</v>
      </c>
      <c r="N213" t="str">
        <f>_xlfn.XLOOKUP(Cleaned[[#This Row],[AccountName]], Account_Mapping!A:A, Account_Mapping!B:B,"Unmapped")</f>
        <v>Operating Expense</v>
      </c>
      <c r="O213" cm="1">
        <f t="array" ref="O213">_xlfn.XLOOKUP(
  1,
  (FX_Rates[Currency]=Cleaned[[#This Row],[Currency]])*
  (FX_Rates[RateDate]&lt;=Cleaned[[#This Row],[TxnDate]]),
  FX_Rates[Rate_To_INR],
  ,
  -1
)</f>
        <v>82</v>
      </c>
      <c r="P213" s="2">
        <f>Cleaned[[#This Row],[Net Amount]] *  Cleaned[[#This Row],[FX_rates]]</f>
        <v>-132805.56</v>
      </c>
    </row>
    <row r="214" spans="1:16" x14ac:dyDescent="0.45">
      <c r="A214" t="s">
        <v>222</v>
      </c>
      <c r="B214" s="1">
        <v>45608</v>
      </c>
      <c r="C214" s="2" t="s">
        <v>2014</v>
      </c>
      <c r="D214" t="s">
        <v>2019</v>
      </c>
      <c r="E214">
        <v>0</v>
      </c>
      <c r="F214">
        <f>Cleaned[[#This Row],[Debit]] * Cleaned[[#This Row],[FX_rates]]</f>
        <v>0</v>
      </c>
      <c r="G214">
        <v>668.17</v>
      </c>
      <c r="H214">
        <f>Cleaned[[#This Row],[Credit]] *  Cleaned[[#This Row],[FX_rates]]</f>
        <v>40758.369999999995</v>
      </c>
      <c r="I214" t="s">
        <v>2020</v>
      </c>
      <c r="J214" t="s">
        <v>2028</v>
      </c>
      <c r="K214" t="s">
        <v>2243</v>
      </c>
      <c r="L214" t="s">
        <v>4035</v>
      </c>
      <c r="M214">
        <f>Cleaned[[#This Row],[Credit]]-Cleaned[[#This Row],[Debit]]</f>
        <v>668.17</v>
      </c>
      <c r="N214" t="str">
        <f>_xlfn.XLOOKUP(Cleaned[[#This Row],[AccountName]], Account_Mapping!A:A, Account_Mapping!B:B,"Unmapped")</f>
        <v>Revenue</v>
      </c>
      <c r="O214" cm="1">
        <f t="array" ref="O214">_xlfn.XLOOKUP(
  1,
  (FX_Rates[Currency]=Cleaned[[#This Row],[Currency]])*
  (FX_Rates[RateDate]&lt;=Cleaned[[#This Row],[TxnDate]]),
  FX_Rates[Rate_To_INR],
  ,
  -1
)</f>
        <v>61</v>
      </c>
      <c r="P214" s="2">
        <f>Cleaned[[#This Row],[Net Amount]] *  Cleaned[[#This Row],[FX_rates]]</f>
        <v>40758.369999999995</v>
      </c>
    </row>
    <row r="215" spans="1:16" x14ac:dyDescent="0.45">
      <c r="A215" t="s">
        <v>223</v>
      </c>
      <c r="B215" s="1">
        <v>45707</v>
      </c>
      <c r="C215" s="2" t="s">
        <v>2011</v>
      </c>
      <c r="D215" t="s">
        <v>2016</v>
      </c>
      <c r="E215">
        <v>1003.8</v>
      </c>
      <c r="F215">
        <f>Cleaned[[#This Row],[Debit]] * Cleaned[[#This Row],[FX_rates]]</f>
        <v>56212.799999999996</v>
      </c>
      <c r="G215">
        <v>0</v>
      </c>
      <c r="H215">
        <f>Cleaned[[#This Row],[Credit]] *  Cleaned[[#This Row],[FX_rates]]</f>
        <v>0</v>
      </c>
      <c r="I215" t="s">
        <v>2023</v>
      </c>
      <c r="J215" t="s">
        <v>2030</v>
      </c>
      <c r="K215" t="s">
        <v>2244</v>
      </c>
      <c r="L215" t="s">
        <v>4033</v>
      </c>
      <c r="M215">
        <f>Cleaned[[#This Row],[Credit]]-Cleaned[[#This Row],[Debit]]</f>
        <v>-1003.8</v>
      </c>
      <c r="N215" t="str">
        <f>_xlfn.XLOOKUP(Cleaned[[#This Row],[AccountName]], Account_Mapping!A:A, Account_Mapping!B:B,"Unmapped")</f>
        <v>COGS</v>
      </c>
      <c r="O215" cm="1">
        <f t="array" ref="O215">_xlfn.XLOOKUP(
  1,
  (FX_Rates[Currency]=Cleaned[[#This Row],[Currency]])*
  (FX_Rates[RateDate]&lt;=Cleaned[[#This Row],[TxnDate]]),
  FX_Rates[Rate_To_INR],
  ,
  -1
)</f>
        <v>56</v>
      </c>
      <c r="P215" s="2">
        <f>Cleaned[[#This Row],[Net Amount]] *  Cleaned[[#This Row],[FX_rates]]</f>
        <v>-56212.799999999996</v>
      </c>
    </row>
    <row r="216" spans="1:16" x14ac:dyDescent="0.45">
      <c r="A216" t="s">
        <v>224</v>
      </c>
      <c r="B216" s="1">
        <v>45152</v>
      </c>
      <c r="C216" s="2" t="s">
        <v>2014</v>
      </c>
      <c r="D216" t="s">
        <v>2019</v>
      </c>
      <c r="E216">
        <v>0</v>
      </c>
      <c r="F216">
        <f>Cleaned[[#This Row],[Debit]] * Cleaned[[#This Row],[FX_rates]]</f>
        <v>0</v>
      </c>
      <c r="G216">
        <v>1941.69</v>
      </c>
      <c r="H216">
        <f>Cleaned[[#This Row],[Credit]] *  Cleaned[[#This Row],[FX_rates]]</f>
        <v>170868.72</v>
      </c>
      <c r="I216" t="s">
        <v>2020</v>
      </c>
      <c r="J216" t="s">
        <v>2029</v>
      </c>
      <c r="K216" t="s">
        <v>2245</v>
      </c>
      <c r="L216" t="s">
        <v>4032</v>
      </c>
      <c r="M216">
        <f>Cleaned[[#This Row],[Credit]]-Cleaned[[#This Row],[Debit]]</f>
        <v>1941.69</v>
      </c>
      <c r="N216" t="str">
        <f>_xlfn.XLOOKUP(Cleaned[[#This Row],[AccountName]], Account_Mapping!A:A, Account_Mapping!B:B,"Unmapped")</f>
        <v>Revenue</v>
      </c>
      <c r="O216" cm="1">
        <f t="array" ref="O216">_xlfn.XLOOKUP(
  1,
  (FX_Rates[Currency]=Cleaned[[#This Row],[Currency]])*
  (FX_Rates[RateDate]&lt;=Cleaned[[#This Row],[TxnDate]]),
  FX_Rates[Rate_To_INR],
  ,
  -1
)</f>
        <v>88</v>
      </c>
      <c r="P216" s="2">
        <f>Cleaned[[#This Row],[Net Amount]] *  Cleaned[[#This Row],[FX_rates]]</f>
        <v>170868.72</v>
      </c>
    </row>
    <row r="217" spans="1:16" x14ac:dyDescent="0.45">
      <c r="A217" t="s">
        <v>225</v>
      </c>
      <c r="B217" s="1">
        <v>45309</v>
      </c>
      <c r="C217" s="2" t="s">
        <v>2013</v>
      </c>
      <c r="D217" t="s">
        <v>2018</v>
      </c>
      <c r="E217">
        <v>521.33000000000004</v>
      </c>
      <c r="F217">
        <f>Cleaned[[#This Row],[Debit]] * Cleaned[[#This Row],[FX_rates]]</f>
        <v>29194.480000000003</v>
      </c>
      <c r="G217">
        <v>0</v>
      </c>
      <c r="H217">
        <f>Cleaned[[#This Row],[Credit]] *  Cleaned[[#This Row],[FX_rates]]</f>
        <v>0</v>
      </c>
      <c r="I217" t="s">
        <v>2024</v>
      </c>
      <c r="J217" t="s">
        <v>2030</v>
      </c>
      <c r="K217" t="s">
        <v>2246</v>
      </c>
      <c r="L217" t="s">
        <v>4033</v>
      </c>
      <c r="M217">
        <f>Cleaned[[#This Row],[Credit]]-Cleaned[[#This Row],[Debit]]</f>
        <v>-521.33000000000004</v>
      </c>
      <c r="N217" t="str">
        <f>_xlfn.XLOOKUP(Cleaned[[#This Row],[AccountName]], Account_Mapping!A:A, Account_Mapping!B:B,"Unmapped")</f>
        <v>Operating Expense</v>
      </c>
      <c r="O217" cm="1">
        <f t="array" ref="O217">_xlfn.XLOOKUP(
  1,
  (FX_Rates[Currency]=Cleaned[[#This Row],[Currency]])*
  (FX_Rates[RateDate]&lt;=Cleaned[[#This Row],[TxnDate]]),
  FX_Rates[Rate_To_INR],
  ,
  -1
)</f>
        <v>56</v>
      </c>
      <c r="P217" s="2">
        <f>Cleaned[[#This Row],[Net Amount]] *  Cleaned[[#This Row],[FX_rates]]</f>
        <v>-29194.480000000003</v>
      </c>
    </row>
    <row r="218" spans="1:16" x14ac:dyDescent="0.45">
      <c r="A218" t="s">
        <v>226</v>
      </c>
      <c r="B218" s="1">
        <v>45418</v>
      </c>
      <c r="C218" s="2" t="s">
        <v>2013</v>
      </c>
      <c r="D218" t="s">
        <v>2018</v>
      </c>
      <c r="E218">
        <v>1612.68</v>
      </c>
      <c r="F218">
        <f>Cleaned[[#This Row],[Debit]] * Cleaned[[#This Row],[FX_rates]]</f>
        <v>90310.080000000002</v>
      </c>
      <c r="G218">
        <v>0</v>
      </c>
      <c r="H218">
        <f>Cleaned[[#This Row],[Credit]] *  Cleaned[[#This Row],[FX_rates]]</f>
        <v>0</v>
      </c>
      <c r="I218" t="s">
        <v>2020</v>
      </c>
      <c r="J218" t="s">
        <v>2026</v>
      </c>
      <c r="K218" t="s">
        <v>2247</v>
      </c>
      <c r="L218" t="s">
        <v>4033</v>
      </c>
      <c r="M218">
        <f>Cleaned[[#This Row],[Credit]]-Cleaned[[#This Row],[Debit]]</f>
        <v>-1612.68</v>
      </c>
      <c r="N218" t="str">
        <f>_xlfn.XLOOKUP(Cleaned[[#This Row],[AccountName]], Account_Mapping!A:A, Account_Mapping!B:B,"Unmapped")</f>
        <v>Operating Expense</v>
      </c>
      <c r="O218" cm="1">
        <f t="array" ref="O218">_xlfn.XLOOKUP(
  1,
  (FX_Rates[Currency]=Cleaned[[#This Row],[Currency]])*
  (FX_Rates[RateDate]&lt;=Cleaned[[#This Row],[TxnDate]]),
  FX_Rates[Rate_To_INR],
  ,
  -1
)</f>
        <v>56</v>
      </c>
      <c r="P218" s="2">
        <f>Cleaned[[#This Row],[Net Amount]] *  Cleaned[[#This Row],[FX_rates]]</f>
        <v>-90310.080000000002</v>
      </c>
    </row>
    <row r="219" spans="1:16" x14ac:dyDescent="0.45">
      <c r="A219" t="s">
        <v>227</v>
      </c>
      <c r="B219" s="1">
        <v>45231</v>
      </c>
      <c r="C219" s="2" t="s">
        <v>2011</v>
      </c>
      <c r="D219" t="s">
        <v>2016</v>
      </c>
      <c r="E219">
        <v>1386.6</v>
      </c>
      <c r="F219">
        <f>Cleaned[[#This Row],[Debit]] * Cleaned[[#This Row],[FX_rates]]</f>
        <v>113701.2</v>
      </c>
      <c r="G219">
        <v>0</v>
      </c>
      <c r="H219">
        <f>Cleaned[[#This Row],[Credit]] *  Cleaned[[#This Row],[FX_rates]]</f>
        <v>0</v>
      </c>
      <c r="I219" t="s">
        <v>2022</v>
      </c>
      <c r="J219" t="s">
        <v>2030</v>
      </c>
      <c r="K219" t="s">
        <v>2248</v>
      </c>
      <c r="L219" t="s">
        <v>4034</v>
      </c>
      <c r="M219">
        <f>Cleaned[[#This Row],[Credit]]-Cleaned[[#This Row],[Debit]]</f>
        <v>-1386.6</v>
      </c>
      <c r="N219" t="str">
        <f>_xlfn.XLOOKUP(Cleaned[[#This Row],[AccountName]], Account_Mapping!A:A, Account_Mapping!B:B,"Unmapped")</f>
        <v>COGS</v>
      </c>
      <c r="O219" cm="1">
        <f t="array" ref="O219">_xlfn.XLOOKUP(
  1,
  (FX_Rates[Currency]=Cleaned[[#This Row],[Currency]])*
  (FX_Rates[RateDate]&lt;=Cleaned[[#This Row],[TxnDate]]),
  FX_Rates[Rate_To_INR],
  ,
  -1
)</f>
        <v>82</v>
      </c>
      <c r="P219" s="2">
        <f>Cleaned[[#This Row],[Net Amount]] *  Cleaned[[#This Row],[FX_rates]]</f>
        <v>-113701.2</v>
      </c>
    </row>
    <row r="220" spans="1:16" x14ac:dyDescent="0.45">
      <c r="A220" t="s">
        <v>228</v>
      </c>
      <c r="B220" s="1">
        <v>45334</v>
      </c>
      <c r="C220" s="2" t="s">
        <v>2013</v>
      </c>
      <c r="D220" t="s">
        <v>2018</v>
      </c>
      <c r="E220">
        <v>1060.0999999999999</v>
      </c>
      <c r="F220">
        <f>Cleaned[[#This Row],[Debit]] * Cleaned[[#This Row],[FX_rates]]</f>
        <v>93288.799999999988</v>
      </c>
      <c r="G220">
        <v>0</v>
      </c>
      <c r="H220">
        <f>Cleaned[[#This Row],[Credit]] *  Cleaned[[#This Row],[FX_rates]]</f>
        <v>0</v>
      </c>
      <c r="I220" t="s">
        <v>2025</v>
      </c>
      <c r="J220" t="s">
        <v>2030</v>
      </c>
      <c r="K220" t="s">
        <v>2249</v>
      </c>
      <c r="L220" t="s">
        <v>4032</v>
      </c>
      <c r="M220">
        <f>Cleaned[[#This Row],[Credit]]-Cleaned[[#This Row],[Debit]]</f>
        <v>-1060.0999999999999</v>
      </c>
      <c r="N220" t="str">
        <f>_xlfn.XLOOKUP(Cleaned[[#This Row],[AccountName]], Account_Mapping!A:A, Account_Mapping!B:B,"Unmapped")</f>
        <v>Operating Expense</v>
      </c>
      <c r="O220" cm="1">
        <f t="array" ref="O220">_xlfn.XLOOKUP(
  1,
  (FX_Rates[Currency]=Cleaned[[#This Row],[Currency]])*
  (FX_Rates[RateDate]&lt;=Cleaned[[#This Row],[TxnDate]]),
  FX_Rates[Rate_To_INR],
  ,
  -1
)</f>
        <v>88</v>
      </c>
      <c r="P220" s="2">
        <f>Cleaned[[#This Row],[Net Amount]] *  Cleaned[[#This Row],[FX_rates]]</f>
        <v>-93288.799999999988</v>
      </c>
    </row>
    <row r="221" spans="1:16" x14ac:dyDescent="0.45">
      <c r="A221" t="s">
        <v>229</v>
      </c>
      <c r="B221" s="1">
        <v>45723</v>
      </c>
      <c r="C221" s="2" t="s">
        <v>2011</v>
      </c>
      <c r="D221" t="s">
        <v>2016</v>
      </c>
      <c r="E221">
        <v>558.04</v>
      </c>
      <c r="F221">
        <f>Cleaned[[#This Row],[Debit]] * Cleaned[[#This Row],[FX_rates]]</f>
        <v>31250.239999999998</v>
      </c>
      <c r="G221">
        <v>0</v>
      </c>
      <c r="H221">
        <f>Cleaned[[#This Row],[Credit]] *  Cleaned[[#This Row],[FX_rates]]</f>
        <v>0</v>
      </c>
      <c r="I221" t="s">
        <v>2022</v>
      </c>
      <c r="J221" t="s">
        <v>2027</v>
      </c>
      <c r="K221" t="s">
        <v>2250</v>
      </c>
      <c r="L221" t="s">
        <v>4033</v>
      </c>
      <c r="M221">
        <f>Cleaned[[#This Row],[Credit]]-Cleaned[[#This Row],[Debit]]</f>
        <v>-558.04</v>
      </c>
      <c r="N221" t="str">
        <f>_xlfn.XLOOKUP(Cleaned[[#This Row],[AccountName]], Account_Mapping!A:A, Account_Mapping!B:B,"Unmapped")</f>
        <v>COGS</v>
      </c>
      <c r="O221" cm="1">
        <f t="array" ref="O221">_xlfn.XLOOKUP(
  1,
  (FX_Rates[Currency]=Cleaned[[#This Row],[Currency]])*
  (FX_Rates[RateDate]&lt;=Cleaned[[#This Row],[TxnDate]]),
  FX_Rates[Rate_To_INR],
  ,
  -1
)</f>
        <v>56</v>
      </c>
      <c r="P221" s="2">
        <f>Cleaned[[#This Row],[Net Amount]] *  Cleaned[[#This Row],[FX_rates]]</f>
        <v>-31250.239999999998</v>
      </c>
    </row>
    <row r="222" spans="1:16" x14ac:dyDescent="0.45">
      <c r="A222" t="s">
        <v>230</v>
      </c>
      <c r="B222" s="1">
        <v>45636</v>
      </c>
      <c r="C222" s="2" t="s">
        <v>2010</v>
      </c>
      <c r="D222" t="s">
        <v>2015</v>
      </c>
      <c r="E222">
        <v>0</v>
      </c>
      <c r="F222">
        <f>Cleaned[[#This Row],[Debit]] * Cleaned[[#This Row],[FX_rates]]</f>
        <v>0</v>
      </c>
      <c r="G222">
        <v>345.31</v>
      </c>
      <c r="H222">
        <f>Cleaned[[#This Row],[Credit]] *  Cleaned[[#This Row],[FX_rates]]</f>
        <v>19337.36</v>
      </c>
      <c r="I222" t="s">
        <v>2020</v>
      </c>
      <c r="J222" t="s">
        <v>2029</v>
      </c>
      <c r="K222" t="s">
        <v>2251</v>
      </c>
      <c r="L222" t="s">
        <v>4033</v>
      </c>
      <c r="M222">
        <f>Cleaned[[#This Row],[Credit]]-Cleaned[[#This Row],[Debit]]</f>
        <v>345.31</v>
      </c>
      <c r="N222" t="str">
        <f>_xlfn.XLOOKUP(Cleaned[[#This Row],[AccountName]], Account_Mapping!A:A, Account_Mapping!B:B,"Unmapped")</f>
        <v>Revenue</v>
      </c>
      <c r="O222" cm="1">
        <f t="array" ref="O222">_xlfn.XLOOKUP(
  1,
  (FX_Rates[Currency]=Cleaned[[#This Row],[Currency]])*
  (FX_Rates[RateDate]&lt;=Cleaned[[#This Row],[TxnDate]]),
  FX_Rates[Rate_To_INR],
  ,
  -1
)</f>
        <v>56</v>
      </c>
      <c r="P222" s="2">
        <f>Cleaned[[#This Row],[Net Amount]] *  Cleaned[[#This Row],[FX_rates]]</f>
        <v>19337.36</v>
      </c>
    </row>
    <row r="223" spans="1:16" x14ac:dyDescent="0.45">
      <c r="A223" t="s">
        <v>231</v>
      </c>
      <c r="B223" s="1">
        <v>45429</v>
      </c>
      <c r="C223" s="2" t="s">
        <v>2014</v>
      </c>
      <c r="D223" t="s">
        <v>2019</v>
      </c>
      <c r="E223">
        <v>0</v>
      </c>
      <c r="F223">
        <f>Cleaned[[#This Row],[Debit]] * Cleaned[[#This Row],[FX_rates]]</f>
        <v>0</v>
      </c>
      <c r="G223">
        <v>1449.49</v>
      </c>
      <c r="H223">
        <f>Cleaned[[#This Row],[Credit]] *  Cleaned[[#This Row],[FX_rates]]</f>
        <v>127555.12</v>
      </c>
      <c r="I223" t="s">
        <v>2020</v>
      </c>
      <c r="J223" t="s">
        <v>2029</v>
      </c>
      <c r="K223" t="s">
        <v>2252</v>
      </c>
      <c r="L223" t="s">
        <v>4032</v>
      </c>
      <c r="M223">
        <f>Cleaned[[#This Row],[Credit]]-Cleaned[[#This Row],[Debit]]</f>
        <v>1449.49</v>
      </c>
      <c r="N223" t="str">
        <f>_xlfn.XLOOKUP(Cleaned[[#This Row],[AccountName]], Account_Mapping!A:A, Account_Mapping!B:B,"Unmapped")</f>
        <v>Revenue</v>
      </c>
      <c r="O223" cm="1">
        <f t="array" ref="O223">_xlfn.XLOOKUP(
  1,
  (FX_Rates[Currency]=Cleaned[[#This Row],[Currency]])*
  (FX_Rates[RateDate]&lt;=Cleaned[[#This Row],[TxnDate]]),
  FX_Rates[Rate_To_INR],
  ,
  -1
)</f>
        <v>88</v>
      </c>
      <c r="P223" s="2">
        <f>Cleaned[[#This Row],[Net Amount]] *  Cleaned[[#This Row],[FX_rates]]</f>
        <v>127555.12</v>
      </c>
    </row>
    <row r="224" spans="1:16" x14ac:dyDescent="0.45">
      <c r="A224" t="s">
        <v>232</v>
      </c>
      <c r="B224" s="1">
        <v>45251</v>
      </c>
      <c r="C224" s="2" t="s">
        <v>2012</v>
      </c>
      <c r="D224" t="s">
        <v>2017</v>
      </c>
      <c r="E224">
        <v>491.91</v>
      </c>
      <c r="F224">
        <f>Cleaned[[#This Row],[Debit]] * Cleaned[[#This Row],[FX_rates]]</f>
        <v>40336.620000000003</v>
      </c>
      <c r="G224">
        <v>0</v>
      </c>
      <c r="H224">
        <f>Cleaned[[#This Row],[Credit]] *  Cleaned[[#This Row],[FX_rates]]</f>
        <v>0</v>
      </c>
      <c r="I224" t="s">
        <v>2020</v>
      </c>
      <c r="J224" t="s">
        <v>2026</v>
      </c>
      <c r="K224" t="s">
        <v>2253</v>
      </c>
      <c r="L224" t="s">
        <v>4034</v>
      </c>
      <c r="M224">
        <f>Cleaned[[#This Row],[Credit]]-Cleaned[[#This Row],[Debit]]</f>
        <v>-491.91</v>
      </c>
      <c r="N224" t="str">
        <f>_xlfn.XLOOKUP(Cleaned[[#This Row],[AccountName]], Account_Mapping!A:A, Account_Mapping!B:B,"Unmapped")</f>
        <v>Operating Expense</v>
      </c>
      <c r="O224" cm="1">
        <f t="array" ref="O224">_xlfn.XLOOKUP(
  1,
  (FX_Rates[Currency]=Cleaned[[#This Row],[Currency]])*
  (FX_Rates[RateDate]&lt;=Cleaned[[#This Row],[TxnDate]]),
  FX_Rates[Rate_To_INR],
  ,
  -1
)</f>
        <v>82</v>
      </c>
      <c r="P224" s="2">
        <f>Cleaned[[#This Row],[Net Amount]] *  Cleaned[[#This Row],[FX_rates]]</f>
        <v>-40336.620000000003</v>
      </c>
    </row>
    <row r="225" spans="1:16" x14ac:dyDescent="0.45">
      <c r="A225" t="s">
        <v>233</v>
      </c>
      <c r="B225" s="1">
        <v>45367</v>
      </c>
      <c r="C225" s="2" t="s">
        <v>2011</v>
      </c>
      <c r="D225" t="s">
        <v>2016</v>
      </c>
      <c r="E225">
        <v>1439</v>
      </c>
      <c r="F225">
        <f>Cleaned[[#This Row],[Debit]] * Cleaned[[#This Row],[FX_rates]]</f>
        <v>80584</v>
      </c>
      <c r="G225">
        <v>0</v>
      </c>
      <c r="H225">
        <f>Cleaned[[#This Row],[Credit]] *  Cleaned[[#This Row],[FX_rates]]</f>
        <v>0</v>
      </c>
      <c r="I225" t="s">
        <v>2025</v>
      </c>
      <c r="J225" t="s">
        <v>2027</v>
      </c>
      <c r="K225" t="s">
        <v>2254</v>
      </c>
      <c r="L225" t="s">
        <v>4033</v>
      </c>
      <c r="M225">
        <f>Cleaned[[#This Row],[Credit]]-Cleaned[[#This Row],[Debit]]</f>
        <v>-1439</v>
      </c>
      <c r="N225" t="str">
        <f>_xlfn.XLOOKUP(Cleaned[[#This Row],[AccountName]], Account_Mapping!A:A, Account_Mapping!B:B,"Unmapped")</f>
        <v>COGS</v>
      </c>
      <c r="O225" cm="1">
        <f t="array" ref="O225">_xlfn.XLOOKUP(
  1,
  (FX_Rates[Currency]=Cleaned[[#This Row],[Currency]])*
  (FX_Rates[RateDate]&lt;=Cleaned[[#This Row],[TxnDate]]),
  FX_Rates[Rate_To_INR],
  ,
  -1
)</f>
        <v>56</v>
      </c>
      <c r="P225" s="2">
        <f>Cleaned[[#This Row],[Net Amount]] *  Cleaned[[#This Row],[FX_rates]]</f>
        <v>-80584</v>
      </c>
    </row>
    <row r="226" spans="1:16" x14ac:dyDescent="0.45">
      <c r="A226" t="s">
        <v>234</v>
      </c>
      <c r="B226" s="1">
        <v>45027</v>
      </c>
      <c r="C226" s="2" t="s">
        <v>2012</v>
      </c>
      <c r="D226" t="s">
        <v>2017</v>
      </c>
      <c r="E226">
        <v>858.22</v>
      </c>
      <c r="F226">
        <f>Cleaned[[#This Row],[Debit]] * Cleaned[[#This Row],[FX_rates]]</f>
        <v>88396.66</v>
      </c>
      <c r="G226">
        <v>0</v>
      </c>
      <c r="H226">
        <f>Cleaned[[#This Row],[Credit]] *  Cleaned[[#This Row],[FX_rates]]</f>
        <v>0</v>
      </c>
      <c r="I226" t="s">
        <v>2020</v>
      </c>
      <c r="J226" t="s">
        <v>2027</v>
      </c>
      <c r="K226" t="s">
        <v>2255</v>
      </c>
      <c r="L226" t="s">
        <v>4031</v>
      </c>
      <c r="M226">
        <f>Cleaned[[#This Row],[Credit]]-Cleaned[[#This Row],[Debit]]</f>
        <v>-858.22</v>
      </c>
      <c r="N226" t="str">
        <f>_xlfn.XLOOKUP(Cleaned[[#This Row],[AccountName]], Account_Mapping!A:A, Account_Mapping!B:B,"Unmapped")</f>
        <v>Operating Expense</v>
      </c>
      <c r="O226" cm="1">
        <f t="array" ref="O226">_xlfn.XLOOKUP(
  1,
  (FX_Rates[Currency]=Cleaned[[#This Row],[Currency]])*
  (FX_Rates[RateDate]&lt;=Cleaned[[#This Row],[TxnDate]]),
  FX_Rates[Rate_To_INR],
  ,
  -1
)</f>
        <v>103</v>
      </c>
      <c r="P226" s="2">
        <f>Cleaned[[#This Row],[Net Amount]] *  Cleaned[[#This Row],[FX_rates]]</f>
        <v>-88396.66</v>
      </c>
    </row>
    <row r="227" spans="1:16" x14ac:dyDescent="0.45">
      <c r="A227" t="s">
        <v>235</v>
      </c>
      <c r="B227" s="1">
        <v>45280</v>
      </c>
      <c r="C227" s="2" t="s">
        <v>2014</v>
      </c>
      <c r="D227" t="s">
        <v>2019</v>
      </c>
      <c r="E227">
        <v>0</v>
      </c>
      <c r="F227">
        <f>Cleaned[[#This Row],[Debit]] * Cleaned[[#This Row],[FX_rates]]</f>
        <v>0</v>
      </c>
      <c r="G227">
        <v>4850.6400000000003</v>
      </c>
      <c r="H227">
        <f>Cleaned[[#This Row],[Credit]] *  Cleaned[[#This Row],[FX_rates]]</f>
        <v>499615.92000000004</v>
      </c>
      <c r="I227" t="s">
        <v>2025</v>
      </c>
      <c r="J227" t="s">
        <v>2027</v>
      </c>
      <c r="K227" t="s">
        <v>2256</v>
      </c>
      <c r="L227" t="s">
        <v>4031</v>
      </c>
      <c r="M227">
        <f>Cleaned[[#This Row],[Credit]]-Cleaned[[#This Row],[Debit]]</f>
        <v>4850.6400000000003</v>
      </c>
      <c r="N227" t="str">
        <f>_xlfn.XLOOKUP(Cleaned[[#This Row],[AccountName]], Account_Mapping!A:A, Account_Mapping!B:B,"Unmapped")</f>
        <v>Revenue</v>
      </c>
      <c r="O227" cm="1">
        <f t="array" ref="O227">_xlfn.XLOOKUP(
  1,
  (FX_Rates[Currency]=Cleaned[[#This Row],[Currency]])*
  (FX_Rates[RateDate]&lt;=Cleaned[[#This Row],[TxnDate]]),
  FX_Rates[Rate_To_INR],
  ,
  -1
)</f>
        <v>103</v>
      </c>
      <c r="P227" s="2">
        <f>Cleaned[[#This Row],[Net Amount]] *  Cleaned[[#This Row],[FX_rates]]</f>
        <v>499615.92000000004</v>
      </c>
    </row>
    <row r="228" spans="1:16" x14ac:dyDescent="0.45">
      <c r="A228" t="s">
        <v>236</v>
      </c>
      <c r="B228" s="1">
        <v>45607</v>
      </c>
      <c r="C228" s="2" t="s">
        <v>2012</v>
      </c>
      <c r="D228" t="s">
        <v>2017</v>
      </c>
      <c r="E228">
        <v>103.53</v>
      </c>
      <c r="F228">
        <f>Cleaned[[#This Row],[Debit]] * Cleaned[[#This Row],[FX_rates]]</f>
        <v>6315.33</v>
      </c>
      <c r="G228">
        <v>0</v>
      </c>
      <c r="H228">
        <f>Cleaned[[#This Row],[Credit]] *  Cleaned[[#This Row],[FX_rates]]</f>
        <v>0</v>
      </c>
      <c r="I228" t="s">
        <v>2022</v>
      </c>
      <c r="J228" t="s">
        <v>2028</v>
      </c>
      <c r="K228" t="s">
        <v>2257</v>
      </c>
      <c r="L228" t="s">
        <v>4035</v>
      </c>
      <c r="M228">
        <f>Cleaned[[#This Row],[Credit]]-Cleaned[[#This Row],[Debit]]</f>
        <v>-103.53</v>
      </c>
      <c r="N228" t="str">
        <f>_xlfn.XLOOKUP(Cleaned[[#This Row],[AccountName]], Account_Mapping!A:A, Account_Mapping!B:B,"Unmapped")</f>
        <v>Operating Expense</v>
      </c>
      <c r="O228" cm="1">
        <f t="array" ref="O228">_xlfn.XLOOKUP(
  1,
  (FX_Rates[Currency]=Cleaned[[#This Row],[Currency]])*
  (FX_Rates[RateDate]&lt;=Cleaned[[#This Row],[TxnDate]]),
  FX_Rates[Rate_To_INR],
  ,
  -1
)</f>
        <v>61</v>
      </c>
      <c r="P228" s="2">
        <f>Cleaned[[#This Row],[Net Amount]] *  Cleaned[[#This Row],[FX_rates]]</f>
        <v>-6315.33</v>
      </c>
    </row>
    <row r="229" spans="1:16" x14ac:dyDescent="0.45">
      <c r="A229" t="s">
        <v>237</v>
      </c>
      <c r="B229" s="1">
        <v>45779</v>
      </c>
      <c r="C229" s="2" t="s">
        <v>2014</v>
      </c>
      <c r="D229" t="s">
        <v>2019</v>
      </c>
      <c r="E229">
        <v>0</v>
      </c>
      <c r="F229">
        <f>Cleaned[[#This Row],[Debit]] * Cleaned[[#This Row],[FX_rates]]</f>
        <v>0</v>
      </c>
      <c r="G229">
        <v>4048.34</v>
      </c>
      <c r="H229">
        <f>Cleaned[[#This Row],[Credit]] *  Cleaned[[#This Row],[FX_rates]]</f>
        <v>416979.02</v>
      </c>
      <c r="I229" t="s">
        <v>2024</v>
      </c>
      <c r="J229" t="s">
        <v>2027</v>
      </c>
      <c r="K229" t="s">
        <v>2258</v>
      </c>
      <c r="L229" t="s">
        <v>4031</v>
      </c>
      <c r="M229">
        <f>Cleaned[[#This Row],[Credit]]-Cleaned[[#This Row],[Debit]]</f>
        <v>4048.34</v>
      </c>
      <c r="N229" t="str">
        <f>_xlfn.XLOOKUP(Cleaned[[#This Row],[AccountName]], Account_Mapping!A:A, Account_Mapping!B:B,"Unmapped")</f>
        <v>Revenue</v>
      </c>
      <c r="O229" cm="1">
        <f t="array" ref="O229">_xlfn.XLOOKUP(
  1,
  (FX_Rates[Currency]=Cleaned[[#This Row],[Currency]])*
  (FX_Rates[RateDate]&lt;=Cleaned[[#This Row],[TxnDate]]),
  FX_Rates[Rate_To_INR],
  ,
  -1
)</f>
        <v>103</v>
      </c>
      <c r="P229" s="2">
        <f>Cleaned[[#This Row],[Net Amount]] *  Cleaned[[#This Row],[FX_rates]]</f>
        <v>416979.02</v>
      </c>
    </row>
    <row r="230" spans="1:16" x14ac:dyDescent="0.45">
      <c r="A230" t="s">
        <v>238</v>
      </c>
      <c r="B230" s="1">
        <v>45822</v>
      </c>
      <c r="C230" s="2" t="s">
        <v>2013</v>
      </c>
      <c r="D230" t="s">
        <v>2018</v>
      </c>
      <c r="E230">
        <v>581.82000000000005</v>
      </c>
      <c r="F230">
        <f>Cleaned[[#This Row],[Debit]] * Cleaned[[#This Row],[FX_rates]]</f>
        <v>47709.240000000005</v>
      </c>
      <c r="G230">
        <v>0</v>
      </c>
      <c r="H230">
        <f>Cleaned[[#This Row],[Credit]] *  Cleaned[[#This Row],[FX_rates]]</f>
        <v>0</v>
      </c>
      <c r="I230" t="s">
        <v>2023</v>
      </c>
      <c r="J230" t="s">
        <v>2029</v>
      </c>
      <c r="K230" t="s">
        <v>2259</v>
      </c>
      <c r="L230" t="s">
        <v>4034</v>
      </c>
      <c r="M230">
        <f>Cleaned[[#This Row],[Credit]]-Cleaned[[#This Row],[Debit]]</f>
        <v>-581.82000000000005</v>
      </c>
      <c r="N230" t="str">
        <f>_xlfn.XLOOKUP(Cleaned[[#This Row],[AccountName]], Account_Mapping!A:A, Account_Mapping!B:B,"Unmapped")</f>
        <v>Operating Expense</v>
      </c>
      <c r="O230" cm="1">
        <f t="array" ref="O230">_xlfn.XLOOKUP(
  1,
  (FX_Rates[Currency]=Cleaned[[#This Row],[Currency]])*
  (FX_Rates[RateDate]&lt;=Cleaned[[#This Row],[TxnDate]]),
  FX_Rates[Rate_To_INR],
  ,
  -1
)</f>
        <v>82</v>
      </c>
      <c r="P230" s="2">
        <f>Cleaned[[#This Row],[Net Amount]] *  Cleaned[[#This Row],[FX_rates]]</f>
        <v>-47709.240000000005</v>
      </c>
    </row>
    <row r="231" spans="1:16" x14ac:dyDescent="0.45">
      <c r="A231" t="s">
        <v>239</v>
      </c>
      <c r="B231" s="1">
        <v>45148</v>
      </c>
      <c r="C231" s="2" t="s">
        <v>2012</v>
      </c>
      <c r="D231" t="s">
        <v>2017</v>
      </c>
      <c r="E231">
        <v>539.15</v>
      </c>
      <c r="F231">
        <f>Cleaned[[#This Row],[Debit]] * Cleaned[[#This Row],[FX_rates]]</f>
        <v>44210.299999999996</v>
      </c>
      <c r="G231">
        <v>0</v>
      </c>
      <c r="H231">
        <f>Cleaned[[#This Row],[Credit]] *  Cleaned[[#This Row],[FX_rates]]</f>
        <v>0</v>
      </c>
      <c r="I231" t="s">
        <v>2022</v>
      </c>
      <c r="J231" t="s">
        <v>2026</v>
      </c>
      <c r="K231" t="s">
        <v>2260</v>
      </c>
      <c r="L231" t="s">
        <v>4034</v>
      </c>
      <c r="M231">
        <f>Cleaned[[#This Row],[Credit]]-Cleaned[[#This Row],[Debit]]</f>
        <v>-539.15</v>
      </c>
      <c r="N231" t="str">
        <f>_xlfn.XLOOKUP(Cleaned[[#This Row],[AccountName]], Account_Mapping!A:A, Account_Mapping!B:B,"Unmapped")</f>
        <v>Operating Expense</v>
      </c>
      <c r="O231" cm="1">
        <f t="array" ref="O231">_xlfn.XLOOKUP(
  1,
  (FX_Rates[Currency]=Cleaned[[#This Row],[Currency]])*
  (FX_Rates[RateDate]&lt;=Cleaned[[#This Row],[TxnDate]]),
  FX_Rates[Rate_To_INR],
  ,
  -1
)</f>
        <v>82</v>
      </c>
      <c r="P231" s="2">
        <f>Cleaned[[#This Row],[Net Amount]] *  Cleaned[[#This Row],[FX_rates]]</f>
        <v>-44210.299999999996</v>
      </c>
    </row>
    <row r="232" spans="1:16" x14ac:dyDescent="0.45">
      <c r="A232" t="s">
        <v>240</v>
      </c>
      <c r="B232" s="1">
        <v>45704</v>
      </c>
      <c r="C232" s="2" t="s">
        <v>2010</v>
      </c>
      <c r="D232" t="s">
        <v>2015</v>
      </c>
      <c r="E232">
        <v>0</v>
      </c>
      <c r="F232">
        <f>Cleaned[[#This Row],[Debit]] * Cleaned[[#This Row],[FX_rates]]</f>
        <v>0</v>
      </c>
      <c r="G232">
        <v>2862.93</v>
      </c>
      <c r="H232">
        <f>Cleaned[[#This Row],[Credit]] *  Cleaned[[#This Row],[FX_rates]]</f>
        <v>251937.84</v>
      </c>
      <c r="I232" t="s">
        <v>2021</v>
      </c>
      <c r="J232" t="s">
        <v>2026</v>
      </c>
      <c r="K232" t="s">
        <v>2261</v>
      </c>
      <c r="L232" t="s">
        <v>4032</v>
      </c>
      <c r="M232">
        <f>Cleaned[[#This Row],[Credit]]-Cleaned[[#This Row],[Debit]]</f>
        <v>2862.93</v>
      </c>
      <c r="N232" t="str">
        <f>_xlfn.XLOOKUP(Cleaned[[#This Row],[AccountName]], Account_Mapping!A:A, Account_Mapping!B:B,"Unmapped")</f>
        <v>Revenue</v>
      </c>
      <c r="O232" cm="1">
        <f t="array" ref="O232">_xlfn.XLOOKUP(
  1,
  (FX_Rates[Currency]=Cleaned[[#This Row],[Currency]])*
  (FX_Rates[RateDate]&lt;=Cleaned[[#This Row],[TxnDate]]),
  FX_Rates[Rate_To_INR],
  ,
  -1
)</f>
        <v>88</v>
      </c>
      <c r="P232" s="2">
        <f>Cleaned[[#This Row],[Net Amount]] *  Cleaned[[#This Row],[FX_rates]]</f>
        <v>251937.84</v>
      </c>
    </row>
    <row r="233" spans="1:16" x14ac:dyDescent="0.45">
      <c r="A233" t="s">
        <v>241</v>
      </c>
      <c r="B233" s="1">
        <v>45294</v>
      </c>
      <c r="C233" s="2" t="s">
        <v>2014</v>
      </c>
      <c r="D233" t="s">
        <v>2019</v>
      </c>
      <c r="E233">
        <v>0</v>
      </c>
      <c r="F233">
        <f>Cleaned[[#This Row],[Debit]] * Cleaned[[#This Row],[FX_rates]]</f>
        <v>0</v>
      </c>
      <c r="G233">
        <v>3938.51</v>
      </c>
      <c r="H233">
        <f>Cleaned[[#This Row],[Credit]] *  Cleaned[[#This Row],[FX_rates]]</f>
        <v>405666.53</v>
      </c>
      <c r="I233" t="s">
        <v>2023</v>
      </c>
      <c r="J233" t="s">
        <v>2029</v>
      </c>
      <c r="K233" t="s">
        <v>2262</v>
      </c>
      <c r="L233" t="s">
        <v>4031</v>
      </c>
      <c r="M233">
        <f>Cleaned[[#This Row],[Credit]]-Cleaned[[#This Row],[Debit]]</f>
        <v>3938.51</v>
      </c>
      <c r="N233" t="str">
        <f>_xlfn.XLOOKUP(Cleaned[[#This Row],[AccountName]], Account_Mapping!A:A, Account_Mapping!B:B,"Unmapped")</f>
        <v>Revenue</v>
      </c>
      <c r="O233" cm="1">
        <f t="array" ref="O233">_xlfn.XLOOKUP(
  1,
  (FX_Rates[Currency]=Cleaned[[#This Row],[Currency]])*
  (FX_Rates[RateDate]&lt;=Cleaned[[#This Row],[TxnDate]]),
  FX_Rates[Rate_To_INR],
  ,
  -1
)</f>
        <v>103</v>
      </c>
      <c r="P233" s="2">
        <f>Cleaned[[#This Row],[Net Amount]] *  Cleaned[[#This Row],[FX_rates]]</f>
        <v>405666.53</v>
      </c>
    </row>
    <row r="234" spans="1:16" x14ac:dyDescent="0.45">
      <c r="A234" t="s">
        <v>242</v>
      </c>
      <c r="B234" s="1">
        <v>45150</v>
      </c>
      <c r="C234" s="2" t="s">
        <v>2013</v>
      </c>
      <c r="D234" t="s">
        <v>2018</v>
      </c>
      <c r="E234">
        <v>871.28</v>
      </c>
      <c r="F234">
        <f>Cleaned[[#This Row],[Debit]] * Cleaned[[#This Row],[FX_rates]]</f>
        <v>53148.08</v>
      </c>
      <c r="G234">
        <v>0</v>
      </c>
      <c r="H234">
        <f>Cleaned[[#This Row],[Credit]] *  Cleaned[[#This Row],[FX_rates]]</f>
        <v>0</v>
      </c>
      <c r="I234" t="s">
        <v>2022</v>
      </c>
      <c r="J234" t="s">
        <v>2027</v>
      </c>
      <c r="K234" t="s">
        <v>2263</v>
      </c>
      <c r="L234" t="s">
        <v>4035</v>
      </c>
      <c r="M234">
        <f>Cleaned[[#This Row],[Credit]]-Cleaned[[#This Row],[Debit]]</f>
        <v>-871.28</v>
      </c>
      <c r="N234" t="str">
        <f>_xlfn.XLOOKUP(Cleaned[[#This Row],[AccountName]], Account_Mapping!A:A, Account_Mapping!B:B,"Unmapped")</f>
        <v>Operating Expense</v>
      </c>
      <c r="O234" cm="1">
        <f t="array" ref="O234">_xlfn.XLOOKUP(
  1,
  (FX_Rates[Currency]=Cleaned[[#This Row],[Currency]])*
  (FX_Rates[RateDate]&lt;=Cleaned[[#This Row],[TxnDate]]),
  FX_Rates[Rate_To_INR],
  ,
  -1
)</f>
        <v>61</v>
      </c>
      <c r="P234" s="2">
        <f>Cleaned[[#This Row],[Net Amount]] *  Cleaned[[#This Row],[FX_rates]]</f>
        <v>-53148.08</v>
      </c>
    </row>
    <row r="235" spans="1:16" x14ac:dyDescent="0.45">
      <c r="A235" t="s">
        <v>243</v>
      </c>
      <c r="B235" s="1">
        <v>45121</v>
      </c>
      <c r="C235" s="2" t="s">
        <v>2011</v>
      </c>
      <c r="D235" t="s">
        <v>2016</v>
      </c>
      <c r="E235">
        <v>1527.74</v>
      </c>
      <c r="F235">
        <f>Cleaned[[#This Row],[Debit]] * Cleaned[[#This Row],[FX_rates]]</f>
        <v>157357.22</v>
      </c>
      <c r="G235">
        <v>0</v>
      </c>
      <c r="H235">
        <f>Cleaned[[#This Row],[Credit]] *  Cleaned[[#This Row],[FX_rates]]</f>
        <v>0</v>
      </c>
      <c r="I235" t="s">
        <v>2025</v>
      </c>
      <c r="J235" t="s">
        <v>2026</v>
      </c>
      <c r="K235" t="s">
        <v>2264</v>
      </c>
      <c r="L235" t="s">
        <v>4031</v>
      </c>
      <c r="M235">
        <f>Cleaned[[#This Row],[Credit]]-Cleaned[[#This Row],[Debit]]</f>
        <v>-1527.74</v>
      </c>
      <c r="N235" t="str">
        <f>_xlfn.XLOOKUP(Cleaned[[#This Row],[AccountName]], Account_Mapping!A:A, Account_Mapping!B:B,"Unmapped")</f>
        <v>COGS</v>
      </c>
      <c r="O235" cm="1">
        <f t="array" ref="O235">_xlfn.XLOOKUP(
  1,
  (FX_Rates[Currency]=Cleaned[[#This Row],[Currency]])*
  (FX_Rates[RateDate]&lt;=Cleaned[[#This Row],[TxnDate]]),
  FX_Rates[Rate_To_INR],
  ,
  -1
)</f>
        <v>103</v>
      </c>
      <c r="P235" s="2">
        <f>Cleaned[[#This Row],[Net Amount]] *  Cleaned[[#This Row],[FX_rates]]</f>
        <v>-157357.22</v>
      </c>
    </row>
    <row r="236" spans="1:16" x14ac:dyDescent="0.45">
      <c r="A236" t="s">
        <v>244</v>
      </c>
      <c r="B236" s="1">
        <v>45275</v>
      </c>
      <c r="C236" s="2" t="s">
        <v>2010</v>
      </c>
      <c r="D236" t="s">
        <v>2015</v>
      </c>
      <c r="E236">
        <v>0</v>
      </c>
      <c r="F236">
        <f>Cleaned[[#This Row],[Debit]] * Cleaned[[#This Row],[FX_rates]]</f>
        <v>0</v>
      </c>
      <c r="G236">
        <v>1075.51</v>
      </c>
      <c r="H236">
        <f>Cleaned[[#This Row],[Credit]] *  Cleaned[[#This Row],[FX_rates]]</f>
        <v>88191.819999999992</v>
      </c>
      <c r="I236" t="s">
        <v>2022</v>
      </c>
      <c r="J236" t="s">
        <v>2030</v>
      </c>
      <c r="K236" t="s">
        <v>2265</v>
      </c>
      <c r="L236" t="s">
        <v>4034</v>
      </c>
      <c r="M236">
        <f>Cleaned[[#This Row],[Credit]]-Cleaned[[#This Row],[Debit]]</f>
        <v>1075.51</v>
      </c>
      <c r="N236" t="str">
        <f>_xlfn.XLOOKUP(Cleaned[[#This Row],[AccountName]], Account_Mapping!A:A, Account_Mapping!B:B,"Unmapped")</f>
        <v>Revenue</v>
      </c>
      <c r="O236" cm="1">
        <f t="array" ref="O236">_xlfn.XLOOKUP(
  1,
  (FX_Rates[Currency]=Cleaned[[#This Row],[Currency]])*
  (FX_Rates[RateDate]&lt;=Cleaned[[#This Row],[TxnDate]]),
  FX_Rates[Rate_To_INR],
  ,
  -1
)</f>
        <v>82</v>
      </c>
      <c r="P236" s="2">
        <f>Cleaned[[#This Row],[Net Amount]] *  Cleaned[[#This Row],[FX_rates]]</f>
        <v>88191.819999999992</v>
      </c>
    </row>
    <row r="237" spans="1:16" x14ac:dyDescent="0.45">
      <c r="A237" t="s">
        <v>245</v>
      </c>
      <c r="B237" s="1">
        <v>45397</v>
      </c>
      <c r="C237" s="2" t="s">
        <v>2010</v>
      </c>
      <c r="D237" t="s">
        <v>2015</v>
      </c>
      <c r="E237">
        <v>0</v>
      </c>
      <c r="F237">
        <f>Cleaned[[#This Row],[Debit]] * Cleaned[[#This Row],[FX_rates]]</f>
        <v>0</v>
      </c>
      <c r="G237">
        <v>2361.1799999999998</v>
      </c>
      <c r="H237">
        <f>Cleaned[[#This Row],[Credit]] *  Cleaned[[#This Row],[FX_rates]]</f>
        <v>193616.75999999998</v>
      </c>
      <c r="I237" t="s">
        <v>2022</v>
      </c>
      <c r="J237" t="s">
        <v>2030</v>
      </c>
      <c r="K237" t="s">
        <v>2266</v>
      </c>
      <c r="L237" t="s">
        <v>4034</v>
      </c>
      <c r="M237">
        <f>Cleaned[[#This Row],[Credit]]-Cleaned[[#This Row],[Debit]]</f>
        <v>2361.1799999999998</v>
      </c>
      <c r="N237" t="str">
        <f>_xlfn.XLOOKUP(Cleaned[[#This Row],[AccountName]], Account_Mapping!A:A, Account_Mapping!B:B,"Unmapped")</f>
        <v>Revenue</v>
      </c>
      <c r="O237" cm="1">
        <f t="array" ref="O237">_xlfn.XLOOKUP(
  1,
  (FX_Rates[Currency]=Cleaned[[#This Row],[Currency]])*
  (FX_Rates[RateDate]&lt;=Cleaned[[#This Row],[TxnDate]]),
  FX_Rates[Rate_To_INR],
  ,
  -1
)</f>
        <v>82</v>
      </c>
      <c r="P237" s="2">
        <f>Cleaned[[#This Row],[Net Amount]] *  Cleaned[[#This Row],[FX_rates]]</f>
        <v>193616.75999999998</v>
      </c>
    </row>
    <row r="238" spans="1:16" x14ac:dyDescent="0.45">
      <c r="A238" t="s">
        <v>246</v>
      </c>
      <c r="B238" s="1">
        <v>45586</v>
      </c>
      <c r="C238" s="2" t="s">
        <v>2013</v>
      </c>
      <c r="D238" t="s">
        <v>2018</v>
      </c>
      <c r="E238">
        <v>151.34</v>
      </c>
      <c r="F238">
        <f>Cleaned[[#This Row],[Debit]] * Cleaned[[#This Row],[FX_rates]]</f>
        <v>8475.0400000000009</v>
      </c>
      <c r="G238">
        <v>0</v>
      </c>
      <c r="H238">
        <f>Cleaned[[#This Row],[Credit]] *  Cleaned[[#This Row],[FX_rates]]</f>
        <v>0</v>
      </c>
      <c r="I238" t="s">
        <v>2023</v>
      </c>
      <c r="J238" t="s">
        <v>2026</v>
      </c>
      <c r="K238" t="s">
        <v>2267</v>
      </c>
      <c r="L238" t="s">
        <v>4033</v>
      </c>
      <c r="M238">
        <f>Cleaned[[#This Row],[Credit]]-Cleaned[[#This Row],[Debit]]</f>
        <v>-151.34</v>
      </c>
      <c r="N238" t="str">
        <f>_xlfn.XLOOKUP(Cleaned[[#This Row],[AccountName]], Account_Mapping!A:A, Account_Mapping!B:B,"Unmapped")</f>
        <v>Operating Expense</v>
      </c>
      <c r="O238" cm="1">
        <f t="array" ref="O238">_xlfn.XLOOKUP(
  1,
  (FX_Rates[Currency]=Cleaned[[#This Row],[Currency]])*
  (FX_Rates[RateDate]&lt;=Cleaned[[#This Row],[TxnDate]]),
  FX_Rates[Rate_To_INR],
  ,
  -1
)</f>
        <v>56</v>
      </c>
      <c r="P238" s="2">
        <f>Cleaned[[#This Row],[Net Amount]] *  Cleaned[[#This Row],[FX_rates]]</f>
        <v>-8475.0400000000009</v>
      </c>
    </row>
    <row r="239" spans="1:16" x14ac:dyDescent="0.45">
      <c r="A239" t="s">
        <v>247</v>
      </c>
      <c r="B239" s="1">
        <v>44950</v>
      </c>
      <c r="C239" s="2" t="s">
        <v>2014</v>
      </c>
      <c r="D239" t="s">
        <v>2019</v>
      </c>
      <c r="E239">
        <v>0</v>
      </c>
      <c r="F239">
        <f>Cleaned[[#This Row],[Debit]] * Cleaned[[#This Row],[FX_rates]]</f>
        <v>0</v>
      </c>
      <c r="G239">
        <v>1299.3699999999999</v>
      </c>
      <c r="H239">
        <f>Cleaned[[#This Row],[Credit]] *  Cleaned[[#This Row],[FX_rates]]</f>
        <v>106548.34</v>
      </c>
      <c r="I239" t="s">
        <v>2023</v>
      </c>
      <c r="J239" t="s">
        <v>2027</v>
      </c>
      <c r="K239" t="s">
        <v>2268</v>
      </c>
      <c r="L239" t="s">
        <v>4034</v>
      </c>
      <c r="M239">
        <f>Cleaned[[#This Row],[Credit]]-Cleaned[[#This Row],[Debit]]</f>
        <v>1299.3699999999999</v>
      </c>
      <c r="N239" t="str">
        <f>_xlfn.XLOOKUP(Cleaned[[#This Row],[AccountName]], Account_Mapping!A:A, Account_Mapping!B:B,"Unmapped")</f>
        <v>Revenue</v>
      </c>
      <c r="O239" cm="1">
        <f t="array" ref="O239">_xlfn.XLOOKUP(
  1,
  (FX_Rates[Currency]=Cleaned[[#This Row],[Currency]])*
  (FX_Rates[RateDate]&lt;=Cleaned[[#This Row],[TxnDate]]),
  FX_Rates[Rate_To_INR],
  ,
  -1
)</f>
        <v>82</v>
      </c>
      <c r="P239" s="2">
        <f>Cleaned[[#This Row],[Net Amount]] *  Cleaned[[#This Row],[FX_rates]]</f>
        <v>106548.34</v>
      </c>
    </row>
    <row r="240" spans="1:16" x14ac:dyDescent="0.45">
      <c r="A240" t="s">
        <v>248</v>
      </c>
      <c r="B240" s="1">
        <v>45534</v>
      </c>
      <c r="C240" s="2" t="s">
        <v>2011</v>
      </c>
      <c r="D240" t="s">
        <v>2016</v>
      </c>
      <c r="E240">
        <v>118.21</v>
      </c>
      <c r="F240">
        <f>Cleaned[[#This Row],[Debit]] * Cleaned[[#This Row],[FX_rates]]</f>
        <v>10402.48</v>
      </c>
      <c r="G240">
        <v>0</v>
      </c>
      <c r="H240">
        <f>Cleaned[[#This Row],[Credit]] *  Cleaned[[#This Row],[FX_rates]]</f>
        <v>0</v>
      </c>
      <c r="I240" t="s">
        <v>2022</v>
      </c>
      <c r="J240" t="s">
        <v>2027</v>
      </c>
      <c r="K240" t="s">
        <v>2269</v>
      </c>
      <c r="L240" t="s">
        <v>4032</v>
      </c>
      <c r="M240">
        <f>Cleaned[[#This Row],[Credit]]-Cleaned[[#This Row],[Debit]]</f>
        <v>-118.21</v>
      </c>
      <c r="N240" t="str">
        <f>_xlfn.XLOOKUP(Cleaned[[#This Row],[AccountName]], Account_Mapping!A:A, Account_Mapping!B:B,"Unmapped")</f>
        <v>COGS</v>
      </c>
      <c r="O240" cm="1">
        <f t="array" ref="O240">_xlfn.XLOOKUP(
  1,
  (FX_Rates[Currency]=Cleaned[[#This Row],[Currency]])*
  (FX_Rates[RateDate]&lt;=Cleaned[[#This Row],[TxnDate]]),
  FX_Rates[Rate_To_INR],
  ,
  -1
)</f>
        <v>88</v>
      </c>
      <c r="P240" s="2">
        <f>Cleaned[[#This Row],[Net Amount]] *  Cleaned[[#This Row],[FX_rates]]</f>
        <v>-10402.48</v>
      </c>
    </row>
    <row r="241" spans="1:16" x14ac:dyDescent="0.45">
      <c r="A241" t="s">
        <v>249</v>
      </c>
      <c r="B241" s="1">
        <v>45113</v>
      </c>
      <c r="C241" s="2" t="s">
        <v>2010</v>
      </c>
      <c r="D241" t="s">
        <v>2015</v>
      </c>
      <c r="E241">
        <v>0</v>
      </c>
      <c r="F241">
        <f>Cleaned[[#This Row],[Debit]] * Cleaned[[#This Row],[FX_rates]]</f>
        <v>0</v>
      </c>
      <c r="G241">
        <v>4864.04</v>
      </c>
      <c r="H241">
        <f>Cleaned[[#This Row],[Credit]] *  Cleaned[[#This Row],[FX_rates]]</f>
        <v>500996.12</v>
      </c>
      <c r="I241" t="s">
        <v>2021</v>
      </c>
      <c r="J241" t="s">
        <v>2026</v>
      </c>
      <c r="K241" t="s">
        <v>2270</v>
      </c>
      <c r="L241" t="s">
        <v>4031</v>
      </c>
      <c r="M241">
        <f>Cleaned[[#This Row],[Credit]]-Cleaned[[#This Row],[Debit]]</f>
        <v>4864.04</v>
      </c>
      <c r="N241" t="str">
        <f>_xlfn.XLOOKUP(Cleaned[[#This Row],[AccountName]], Account_Mapping!A:A, Account_Mapping!B:B,"Unmapped")</f>
        <v>Revenue</v>
      </c>
      <c r="O241" cm="1">
        <f t="array" ref="O241">_xlfn.XLOOKUP(
  1,
  (FX_Rates[Currency]=Cleaned[[#This Row],[Currency]])*
  (FX_Rates[RateDate]&lt;=Cleaned[[#This Row],[TxnDate]]),
  FX_Rates[Rate_To_INR],
  ,
  -1
)</f>
        <v>103</v>
      </c>
      <c r="P241" s="2">
        <f>Cleaned[[#This Row],[Net Amount]] *  Cleaned[[#This Row],[FX_rates]]</f>
        <v>500996.12</v>
      </c>
    </row>
    <row r="242" spans="1:16" x14ac:dyDescent="0.45">
      <c r="A242" t="s">
        <v>250</v>
      </c>
      <c r="B242" s="1">
        <v>45712</v>
      </c>
      <c r="C242" s="2" t="s">
        <v>2010</v>
      </c>
      <c r="D242" t="s">
        <v>2015</v>
      </c>
      <c r="E242">
        <v>0</v>
      </c>
      <c r="F242">
        <f>Cleaned[[#This Row],[Debit]] * Cleaned[[#This Row],[FX_rates]]</f>
        <v>0</v>
      </c>
      <c r="G242">
        <v>4495.32</v>
      </c>
      <c r="H242">
        <f>Cleaned[[#This Row],[Credit]] *  Cleaned[[#This Row],[FX_rates]]</f>
        <v>463017.95999999996</v>
      </c>
      <c r="I242" t="s">
        <v>2024</v>
      </c>
      <c r="J242" t="s">
        <v>2029</v>
      </c>
      <c r="K242" t="s">
        <v>2271</v>
      </c>
      <c r="L242" t="s">
        <v>4031</v>
      </c>
      <c r="M242">
        <f>Cleaned[[#This Row],[Credit]]-Cleaned[[#This Row],[Debit]]</f>
        <v>4495.32</v>
      </c>
      <c r="N242" t="str">
        <f>_xlfn.XLOOKUP(Cleaned[[#This Row],[AccountName]], Account_Mapping!A:A, Account_Mapping!B:B,"Unmapped")</f>
        <v>Revenue</v>
      </c>
      <c r="O242" cm="1">
        <f t="array" ref="O242">_xlfn.XLOOKUP(
  1,
  (FX_Rates[Currency]=Cleaned[[#This Row],[Currency]])*
  (FX_Rates[RateDate]&lt;=Cleaned[[#This Row],[TxnDate]]),
  FX_Rates[Rate_To_INR],
  ,
  -1
)</f>
        <v>103</v>
      </c>
      <c r="P242" s="2">
        <f>Cleaned[[#This Row],[Net Amount]] *  Cleaned[[#This Row],[FX_rates]]</f>
        <v>463017.95999999996</v>
      </c>
    </row>
    <row r="243" spans="1:16" x14ac:dyDescent="0.45">
      <c r="A243" t="s">
        <v>251</v>
      </c>
      <c r="B243" s="1">
        <v>45011</v>
      </c>
      <c r="C243" s="2" t="s">
        <v>2012</v>
      </c>
      <c r="D243" t="s">
        <v>2017</v>
      </c>
      <c r="E243">
        <v>1121.29</v>
      </c>
      <c r="F243">
        <f>Cleaned[[#This Row],[Debit]] * Cleaned[[#This Row],[FX_rates]]</f>
        <v>98673.51999999999</v>
      </c>
      <c r="G243">
        <v>0</v>
      </c>
      <c r="H243">
        <f>Cleaned[[#This Row],[Credit]] *  Cleaned[[#This Row],[FX_rates]]</f>
        <v>0</v>
      </c>
      <c r="I243" t="s">
        <v>2022</v>
      </c>
      <c r="J243" t="s">
        <v>2030</v>
      </c>
      <c r="K243" t="s">
        <v>2272</v>
      </c>
      <c r="L243" t="s">
        <v>4032</v>
      </c>
      <c r="M243">
        <f>Cleaned[[#This Row],[Credit]]-Cleaned[[#This Row],[Debit]]</f>
        <v>-1121.29</v>
      </c>
      <c r="N243" t="str">
        <f>_xlfn.XLOOKUP(Cleaned[[#This Row],[AccountName]], Account_Mapping!A:A, Account_Mapping!B:B,"Unmapped")</f>
        <v>Operating Expense</v>
      </c>
      <c r="O243" cm="1">
        <f t="array" ref="O243">_xlfn.XLOOKUP(
  1,
  (FX_Rates[Currency]=Cleaned[[#This Row],[Currency]])*
  (FX_Rates[RateDate]&lt;=Cleaned[[#This Row],[TxnDate]]),
  FX_Rates[Rate_To_INR],
  ,
  -1
)</f>
        <v>88</v>
      </c>
      <c r="P243" s="2">
        <f>Cleaned[[#This Row],[Net Amount]] *  Cleaned[[#This Row],[FX_rates]]</f>
        <v>-98673.51999999999</v>
      </c>
    </row>
    <row r="244" spans="1:16" x14ac:dyDescent="0.45">
      <c r="A244" t="s">
        <v>252</v>
      </c>
      <c r="B244" s="1">
        <v>44940</v>
      </c>
      <c r="C244" s="2" t="s">
        <v>2012</v>
      </c>
      <c r="D244" t="s">
        <v>2017</v>
      </c>
      <c r="E244">
        <v>908.7</v>
      </c>
      <c r="F244">
        <f>Cleaned[[#This Row],[Debit]] * Cleaned[[#This Row],[FX_rates]]</f>
        <v>79965.600000000006</v>
      </c>
      <c r="G244">
        <v>0</v>
      </c>
      <c r="H244">
        <f>Cleaned[[#This Row],[Credit]] *  Cleaned[[#This Row],[FX_rates]]</f>
        <v>0</v>
      </c>
      <c r="I244" t="s">
        <v>2021</v>
      </c>
      <c r="J244" t="s">
        <v>2030</v>
      </c>
      <c r="K244" t="s">
        <v>2273</v>
      </c>
      <c r="L244" t="s">
        <v>4032</v>
      </c>
      <c r="M244">
        <f>Cleaned[[#This Row],[Credit]]-Cleaned[[#This Row],[Debit]]</f>
        <v>-908.7</v>
      </c>
      <c r="N244" t="str">
        <f>_xlfn.XLOOKUP(Cleaned[[#This Row],[AccountName]], Account_Mapping!A:A, Account_Mapping!B:B,"Unmapped")</f>
        <v>Operating Expense</v>
      </c>
      <c r="O244" cm="1">
        <f t="array" ref="O244">_xlfn.XLOOKUP(
  1,
  (FX_Rates[Currency]=Cleaned[[#This Row],[Currency]])*
  (FX_Rates[RateDate]&lt;=Cleaned[[#This Row],[TxnDate]]),
  FX_Rates[Rate_To_INR],
  ,
  -1
)</f>
        <v>88</v>
      </c>
      <c r="P244" s="2">
        <f>Cleaned[[#This Row],[Net Amount]] *  Cleaned[[#This Row],[FX_rates]]</f>
        <v>-79965.600000000006</v>
      </c>
    </row>
    <row r="245" spans="1:16" x14ac:dyDescent="0.45">
      <c r="A245" t="s">
        <v>253</v>
      </c>
      <c r="B245" s="1">
        <v>45060</v>
      </c>
      <c r="C245" s="2" t="s">
        <v>2014</v>
      </c>
      <c r="D245" t="s">
        <v>2019</v>
      </c>
      <c r="E245">
        <v>0</v>
      </c>
      <c r="F245">
        <f>Cleaned[[#This Row],[Debit]] * Cleaned[[#This Row],[FX_rates]]</f>
        <v>0</v>
      </c>
      <c r="G245">
        <v>3760.55</v>
      </c>
      <c r="H245">
        <f>Cleaned[[#This Row],[Credit]] *  Cleaned[[#This Row],[FX_rates]]</f>
        <v>210590.80000000002</v>
      </c>
      <c r="I245" t="s">
        <v>2022</v>
      </c>
      <c r="J245" t="s">
        <v>2027</v>
      </c>
      <c r="K245" t="s">
        <v>2274</v>
      </c>
      <c r="L245" t="s">
        <v>4033</v>
      </c>
      <c r="M245">
        <f>Cleaned[[#This Row],[Credit]]-Cleaned[[#This Row],[Debit]]</f>
        <v>3760.55</v>
      </c>
      <c r="N245" t="str">
        <f>_xlfn.XLOOKUP(Cleaned[[#This Row],[AccountName]], Account_Mapping!A:A, Account_Mapping!B:B,"Unmapped")</f>
        <v>Revenue</v>
      </c>
      <c r="O245" cm="1">
        <f t="array" ref="O245">_xlfn.XLOOKUP(
  1,
  (FX_Rates[Currency]=Cleaned[[#This Row],[Currency]])*
  (FX_Rates[RateDate]&lt;=Cleaned[[#This Row],[TxnDate]]),
  FX_Rates[Rate_To_INR],
  ,
  -1
)</f>
        <v>56</v>
      </c>
      <c r="P245" s="2">
        <f>Cleaned[[#This Row],[Net Amount]] *  Cleaned[[#This Row],[FX_rates]]</f>
        <v>210590.80000000002</v>
      </c>
    </row>
    <row r="246" spans="1:16" x14ac:dyDescent="0.45">
      <c r="A246" t="s">
        <v>254</v>
      </c>
      <c r="B246" s="1">
        <v>45725</v>
      </c>
      <c r="C246" s="2" t="s">
        <v>2011</v>
      </c>
      <c r="D246" t="s">
        <v>2016</v>
      </c>
      <c r="E246">
        <v>86.6</v>
      </c>
      <c r="F246">
        <f>Cleaned[[#This Row],[Debit]] * Cleaned[[#This Row],[FX_rates]]</f>
        <v>8919.7999999999993</v>
      </c>
      <c r="G246">
        <v>0</v>
      </c>
      <c r="H246">
        <f>Cleaned[[#This Row],[Credit]] *  Cleaned[[#This Row],[FX_rates]]</f>
        <v>0</v>
      </c>
      <c r="I246" t="s">
        <v>2020</v>
      </c>
      <c r="J246" t="s">
        <v>2027</v>
      </c>
      <c r="K246" t="s">
        <v>2275</v>
      </c>
      <c r="L246" t="s">
        <v>4031</v>
      </c>
      <c r="M246">
        <f>Cleaned[[#This Row],[Credit]]-Cleaned[[#This Row],[Debit]]</f>
        <v>-86.6</v>
      </c>
      <c r="N246" t="str">
        <f>_xlfn.XLOOKUP(Cleaned[[#This Row],[AccountName]], Account_Mapping!A:A, Account_Mapping!B:B,"Unmapped")</f>
        <v>COGS</v>
      </c>
      <c r="O246" cm="1">
        <f t="array" ref="O246">_xlfn.XLOOKUP(
  1,
  (FX_Rates[Currency]=Cleaned[[#This Row],[Currency]])*
  (FX_Rates[RateDate]&lt;=Cleaned[[#This Row],[TxnDate]]),
  FX_Rates[Rate_To_INR],
  ,
  -1
)</f>
        <v>103</v>
      </c>
      <c r="P246" s="2">
        <f>Cleaned[[#This Row],[Net Amount]] *  Cleaned[[#This Row],[FX_rates]]</f>
        <v>-8919.7999999999993</v>
      </c>
    </row>
    <row r="247" spans="1:16" x14ac:dyDescent="0.45">
      <c r="A247" t="s">
        <v>255</v>
      </c>
      <c r="B247" s="1">
        <v>45495</v>
      </c>
      <c r="C247" s="2" t="s">
        <v>2014</v>
      </c>
      <c r="D247" t="s">
        <v>2019</v>
      </c>
      <c r="E247">
        <v>0</v>
      </c>
      <c r="F247">
        <f>Cleaned[[#This Row],[Debit]] * Cleaned[[#This Row],[FX_rates]]</f>
        <v>0</v>
      </c>
      <c r="G247">
        <v>4264.16</v>
      </c>
      <c r="H247">
        <f>Cleaned[[#This Row],[Credit]] *  Cleaned[[#This Row],[FX_rates]]</f>
        <v>439208.48</v>
      </c>
      <c r="I247" t="s">
        <v>2021</v>
      </c>
      <c r="J247" t="s">
        <v>2027</v>
      </c>
      <c r="K247" t="s">
        <v>2276</v>
      </c>
      <c r="L247" t="s">
        <v>4031</v>
      </c>
      <c r="M247">
        <f>Cleaned[[#This Row],[Credit]]-Cleaned[[#This Row],[Debit]]</f>
        <v>4264.16</v>
      </c>
      <c r="N247" t="str">
        <f>_xlfn.XLOOKUP(Cleaned[[#This Row],[AccountName]], Account_Mapping!A:A, Account_Mapping!B:B,"Unmapped")</f>
        <v>Revenue</v>
      </c>
      <c r="O247" cm="1">
        <f t="array" ref="O247">_xlfn.XLOOKUP(
  1,
  (FX_Rates[Currency]=Cleaned[[#This Row],[Currency]])*
  (FX_Rates[RateDate]&lt;=Cleaned[[#This Row],[TxnDate]]),
  FX_Rates[Rate_To_INR],
  ,
  -1
)</f>
        <v>103</v>
      </c>
      <c r="P247" s="2">
        <f>Cleaned[[#This Row],[Net Amount]] *  Cleaned[[#This Row],[FX_rates]]</f>
        <v>439208.48</v>
      </c>
    </row>
    <row r="248" spans="1:16" x14ac:dyDescent="0.45">
      <c r="A248" t="s">
        <v>256</v>
      </c>
      <c r="B248" s="1">
        <v>45234</v>
      </c>
      <c r="C248" s="2" t="s">
        <v>2014</v>
      </c>
      <c r="D248" t="s">
        <v>2019</v>
      </c>
      <c r="E248">
        <v>0</v>
      </c>
      <c r="F248">
        <f>Cleaned[[#This Row],[Debit]] * Cleaned[[#This Row],[FX_rates]]</f>
        <v>0</v>
      </c>
      <c r="G248">
        <v>4005.6</v>
      </c>
      <c r="H248">
        <f>Cleaned[[#This Row],[Credit]] *  Cleaned[[#This Row],[FX_rates]]</f>
        <v>328459.2</v>
      </c>
      <c r="I248" t="s">
        <v>2020</v>
      </c>
      <c r="J248" t="s">
        <v>2029</v>
      </c>
      <c r="K248" t="s">
        <v>2277</v>
      </c>
      <c r="L248" t="s">
        <v>4034</v>
      </c>
      <c r="M248">
        <f>Cleaned[[#This Row],[Credit]]-Cleaned[[#This Row],[Debit]]</f>
        <v>4005.6</v>
      </c>
      <c r="N248" t="str">
        <f>_xlfn.XLOOKUP(Cleaned[[#This Row],[AccountName]], Account_Mapping!A:A, Account_Mapping!B:B,"Unmapped")</f>
        <v>Revenue</v>
      </c>
      <c r="O248" cm="1">
        <f t="array" ref="O248">_xlfn.XLOOKUP(
  1,
  (FX_Rates[Currency]=Cleaned[[#This Row],[Currency]])*
  (FX_Rates[RateDate]&lt;=Cleaned[[#This Row],[TxnDate]]),
  FX_Rates[Rate_To_INR],
  ,
  -1
)</f>
        <v>82</v>
      </c>
      <c r="P248" s="2">
        <f>Cleaned[[#This Row],[Net Amount]] *  Cleaned[[#This Row],[FX_rates]]</f>
        <v>328459.2</v>
      </c>
    </row>
    <row r="249" spans="1:16" x14ac:dyDescent="0.45">
      <c r="A249" t="s">
        <v>257</v>
      </c>
      <c r="B249" s="1">
        <v>45824</v>
      </c>
      <c r="C249" s="2" t="s">
        <v>2011</v>
      </c>
      <c r="D249" t="s">
        <v>2016</v>
      </c>
      <c r="E249">
        <v>736.75</v>
      </c>
      <c r="F249">
        <f>Cleaned[[#This Row],[Debit]] * Cleaned[[#This Row],[FX_rates]]</f>
        <v>64834</v>
      </c>
      <c r="G249">
        <v>0</v>
      </c>
      <c r="H249">
        <f>Cleaned[[#This Row],[Credit]] *  Cleaned[[#This Row],[FX_rates]]</f>
        <v>0</v>
      </c>
      <c r="I249" t="s">
        <v>2023</v>
      </c>
      <c r="J249" t="s">
        <v>2029</v>
      </c>
      <c r="K249" t="s">
        <v>2278</v>
      </c>
      <c r="L249" t="s">
        <v>4032</v>
      </c>
      <c r="M249">
        <f>Cleaned[[#This Row],[Credit]]-Cleaned[[#This Row],[Debit]]</f>
        <v>-736.75</v>
      </c>
      <c r="N249" t="str">
        <f>_xlfn.XLOOKUP(Cleaned[[#This Row],[AccountName]], Account_Mapping!A:A, Account_Mapping!B:B,"Unmapped")</f>
        <v>COGS</v>
      </c>
      <c r="O249" cm="1">
        <f t="array" ref="O249">_xlfn.XLOOKUP(
  1,
  (FX_Rates[Currency]=Cleaned[[#This Row],[Currency]])*
  (FX_Rates[RateDate]&lt;=Cleaned[[#This Row],[TxnDate]]),
  FX_Rates[Rate_To_INR],
  ,
  -1
)</f>
        <v>88</v>
      </c>
      <c r="P249" s="2">
        <f>Cleaned[[#This Row],[Net Amount]] *  Cleaned[[#This Row],[FX_rates]]</f>
        <v>-64834</v>
      </c>
    </row>
    <row r="250" spans="1:16" x14ac:dyDescent="0.45">
      <c r="A250" t="s">
        <v>258</v>
      </c>
      <c r="B250" s="1">
        <v>45455</v>
      </c>
      <c r="C250" s="2" t="s">
        <v>2014</v>
      </c>
      <c r="D250" t="s">
        <v>2019</v>
      </c>
      <c r="E250">
        <v>0</v>
      </c>
      <c r="F250">
        <f>Cleaned[[#This Row],[Debit]] * Cleaned[[#This Row],[FX_rates]]</f>
        <v>0</v>
      </c>
      <c r="G250">
        <v>4679.5</v>
      </c>
      <c r="H250">
        <f>Cleaned[[#This Row],[Credit]] *  Cleaned[[#This Row],[FX_rates]]</f>
        <v>262052</v>
      </c>
      <c r="I250" t="s">
        <v>2021</v>
      </c>
      <c r="J250" t="s">
        <v>2026</v>
      </c>
      <c r="K250" t="s">
        <v>2279</v>
      </c>
      <c r="L250" t="s">
        <v>4033</v>
      </c>
      <c r="M250">
        <f>Cleaned[[#This Row],[Credit]]-Cleaned[[#This Row],[Debit]]</f>
        <v>4679.5</v>
      </c>
      <c r="N250" t="str">
        <f>_xlfn.XLOOKUP(Cleaned[[#This Row],[AccountName]], Account_Mapping!A:A, Account_Mapping!B:B,"Unmapped")</f>
        <v>Revenue</v>
      </c>
      <c r="O250" cm="1">
        <f t="array" ref="O250">_xlfn.XLOOKUP(
  1,
  (FX_Rates[Currency]=Cleaned[[#This Row],[Currency]])*
  (FX_Rates[RateDate]&lt;=Cleaned[[#This Row],[TxnDate]]),
  FX_Rates[Rate_To_INR],
  ,
  -1
)</f>
        <v>56</v>
      </c>
      <c r="P250" s="2">
        <f>Cleaned[[#This Row],[Net Amount]] *  Cleaned[[#This Row],[FX_rates]]</f>
        <v>262052</v>
      </c>
    </row>
    <row r="251" spans="1:16" x14ac:dyDescent="0.45">
      <c r="A251" t="s">
        <v>259</v>
      </c>
      <c r="B251" s="1">
        <v>45743</v>
      </c>
      <c r="C251" s="2" t="s">
        <v>2013</v>
      </c>
      <c r="D251" t="s">
        <v>2018</v>
      </c>
      <c r="E251">
        <v>1226.52</v>
      </c>
      <c r="F251">
        <f>Cleaned[[#This Row],[Debit]] * Cleaned[[#This Row],[FX_rates]]</f>
        <v>100574.64</v>
      </c>
      <c r="G251">
        <v>0</v>
      </c>
      <c r="H251">
        <f>Cleaned[[#This Row],[Credit]] *  Cleaned[[#This Row],[FX_rates]]</f>
        <v>0</v>
      </c>
      <c r="I251" t="s">
        <v>2025</v>
      </c>
      <c r="J251" t="s">
        <v>2029</v>
      </c>
      <c r="K251" t="s">
        <v>2280</v>
      </c>
      <c r="L251" t="s">
        <v>4034</v>
      </c>
      <c r="M251">
        <f>Cleaned[[#This Row],[Credit]]-Cleaned[[#This Row],[Debit]]</f>
        <v>-1226.52</v>
      </c>
      <c r="N251" t="str">
        <f>_xlfn.XLOOKUP(Cleaned[[#This Row],[AccountName]], Account_Mapping!A:A, Account_Mapping!B:B,"Unmapped")</f>
        <v>Operating Expense</v>
      </c>
      <c r="O251" cm="1">
        <f t="array" ref="O251">_xlfn.XLOOKUP(
  1,
  (FX_Rates[Currency]=Cleaned[[#This Row],[Currency]])*
  (FX_Rates[RateDate]&lt;=Cleaned[[#This Row],[TxnDate]]),
  FX_Rates[Rate_To_INR],
  ,
  -1
)</f>
        <v>82</v>
      </c>
      <c r="P251" s="2">
        <f>Cleaned[[#This Row],[Net Amount]] *  Cleaned[[#This Row],[FX_rates]]</f>
        <v>-100574.64</v>
      </c>
    </row>
    <row r="252" spans="1:16" x14ac:dyDescent="0.45">
      <c r="A252" t="s">
        <v>260</v>
      </c>
      <c r="B252" s="1">
        <v>45475</v>
      </c>
      <c r="C252" s="2" t="s">
        <v>2010</v>
      </c>
      <c r="D252" t="s">
        <v>2015</v>
      </c>
      <c r="E252">
        <v>0</v>
      </c>
      <c r="F252">
        <f>Cleaned[[#This Row],[Debit]] * Cleaned[[#This Row],[FX_rates]]</f>
        <v>0</v>
      </c>
      <c r="G252">
        <v>2655.25</v>
      </c>
      <c r="H252">
        <f>Cleaned[[#This Row],[Credit]] *  Cleaned[[#This Row],[FX_rates]]</f>
        <v>217730.5</v>
      </c>
      <c r="I252" t="s">
        <v>2021</v>
      </c>
      <c r="J252" t="s">
        <v>2026</v>
      </c>
      <c r="K252" t="s">
        <v>2281</v>
      </c>
      <c r="L252" t="s">
        <v>4034</v>
      </c>
      <c r="M252">
        <f>Cleaned[[#This Row],[Credit]]-Cleaned[[#This Row],[Debit]]</f>
        <v>2655.25</v>
      </c>
      <c r="N252" t="str">
        <f>_xlfn.XLOOKUP(Cleaned[[#This Row],[AccountName]], Account_Mapping!A:A, Account_Mapping!B:B,"Unmapped")</f>
        <v>Revenue</v>
      </c>
      <c r="O252" cm="1">
        <f t="array" ref="O252">_xlfn.XLOOKUP(
  1,
  (FX_Rates[Currency]=Cleaned[[#This Row],[Currency]])*
  (FX_Rates[RateDate]&lt;=Cleaned[[#This Row],[TxnDate]]),
  FX_Rates[Rate_To_INR],
  ,
  -1
)</f>
        <v>82</v>
      </c>
      <c r="P252" s="2">
        <f>Cleaned[[#This Row],[Net Amount]] *  Cleaned[[#This Row],[FX_rates]]</f>
        <v>217730.5</v>
      </c>
    </row>
    <row r="253" spans="1:16" x14ac:dyDescent="0.45">
      <c r="A253" t="s">
        <v>261</v>
      </c>
      <c r="B253" s="1">
        <v>45115</v>
      </c>
      <c r="C253" s="2" t="s">
        <v>2010</v>
      </c>
      <c r="D253" t="s">
        <v>2015</v>
      </c>
      <c r="E253">
        <v>0</v>
      </c>
      <c r="F253">
        <f>Cleaned[[#This Row],[Debit]] * Cleaned[[#This Row],[FX_rates]]</f>
        <v>0</v>
      </c>
      <c r="G253">
        <v>889.23</v>
      </c>
      <c r="H253">
        <f>Cleaned[[#This Row],[Credit]] *  Cleaned[[#This Row],[FX_rates]]</f>
        <v>54243.03</v>
      </c>
      <c r="I253" t="s">
        <v>2022</v>
      </c>
      <c r="J253" t="s">
        <v>2028</v>
      </c>
      <c r="K253" t="s">
        <v>2282</v>
      </c>
      <c r="L253" t="s">
        <v>4035</v>
      </c>
      <c r="M253">
        <f>Cleaned[[#This Row],[Credit]]-Cleaned[[#This Row],[Debit]]</f>
        <v>889.23</v>
      </c>
      <c r="N253" t="str">
        <f>_xlfn.XLOOKUP(Cleaned[[#This Row],[AccountName]], Account_Mapping!A:A, Account_Mapping!B:B,"Unmapped")</f>
        <v>Revenue</v>
      </c>
      <c r="O253" cm="1">
        <f t="array" ref="O253">_xlfn.XLOOKUP(
  1,
  (FX_Rates[Currency]=Cleaned[[#This Row],[Currency]])*
  (FX_Rates[RateDate]&lt;=Cleaned[[#This Row],[TxnDate]]),
  FX_Rates[Rate_To_INR],
  ,
  -1
)</f>
        <v>61</v>
      </c>
      <c r="P253" s="2">
        <f>Cleaned[[#This Row],[Net Amount]] *  Cleaned[[#This Row],[FX_rates]]</f>
        <v>54243.03</v>
      </c>
    </row>
    <row r="254" spans="1:16" x14ac:dyDescent="0.45">
      <c r="A254" t="s">
        <v>262</v>
      </c>
      <c r="B254" s="1">
        <v>45451</v>
      </c>
      <c r="C254" s="2" t="s">
        <v>2012</v>
      </c>
      <c r="D254" t="s">
        <v>2017</v>
      </c>
      <c r="E254">
        <v>734.75</v>
      </c>
      <c r="F254">
        <f>Cleaned[[#This Row],[Debit]] * Cleaned[[#This Row],[FX_rates]]</f>
        <v>75679.25</v>
      </c>
      <c r="G254">
        <v>0</v>
      </c>
      <c r="H254">
        <f>Cleaned[[#This Row],[Credit]] *  Cleaned[[#This Row],[FX_rates]]</f>
        <v>0</v>
      </c>
      <c r="I254" t="s">
        <v>2023</v>
      </c>
      <c r="J254" t="s">
        <v>2029</v>
      </c>
      <c r="K254" t="s">
        <v>2283</v>
      </c>
      <c r="L254" t="s">
        <v>4031</v>
      </c>
      <c r="M254">
        <f>Cleaned[[#This Row],[Credit]]-Cleaned[[#This Row],[Debit]]</f>
        <v>-734.75</v>
      </c>
      <c r="N254" t="str">
        <f>_xlfn.XLOOKUP(Cleaned[[#This Row],[AccountName]], Account_Mapping!A:A, Account_Mapping!B:B,"Unmapped")</f>
        <v>Operating Expense</v>
      </c>
      <c r="O254" cm="1">
        <f t="array" ref="O254">_xlfn.XLOOKUP(
  1,
  (FX_Rates[Currency]=Cleaned[[#This Row],[Currency]])*
  (FX_Rates[RateDate]&lt;=Cleaned[[#This Row],[TxnDate]]),
  FX_Rates[Rate_To_INR],
  ,
  -1
)</f>
        <v>103</v>
      </c>
      <c r="P254" s="2">
        <f>Cleaned[[#This Row],[Net Amount]] *  Cleaned[[#This Row],[FX_rates]]</f>
        <v>-75679.25</v>
      </c>
    </row>
    <row r="255" spans="1:16" x14ac:dyDescent="0.45">
      <c r="A255" t="s">
        <v>263</v>
      </c>
      <c r="B255" s="1">
        <v>45768</v>
      </c>
      <c r="C255" s="2" t="s">
        <v>2012</v>
      </c>
      <c r="D255" t="s">
        <v>2017</v>
      </c>
      <c r="E255">
        <v>1799.36</v>
      </c>
      <c r="F255">
        <f>Cleaned[[#This Row],[Debit]] * Cleaned[[#This Row],[FX_rates]]</f>
        <v>109760.95999999999</v>
      </c>
      <c r="G255">
        <v>0</v>
      </c>
      <c r="H255">
        <f>Cleaned[[#This Row],[Credit]] *  Cleaned[[#This Row],[FX_rates]]</f>
        <v>0</v>
      </c>
      <c r="I255" t="s">
        <v>2024</v>
      </c>
      <c r="J255" t="s">
        <v>2028</v>
      </c>
      <c r="K255" t="s">
        <v>2284</v>
      </c>
      <c r="L255" t="s">
        <v>4035</v>
      </c>
      <c r="M255">
        <f>Cleaned[[#This Row],[Credit]]-Cleaned[[#This Row],[Debit]]</f>
        <v>-1799.36</v>
      </c>
      <c r="N255" t="str">
        <f>_xlfn.XLOOKUP(Cleaned[[#This Row],[AccountName]], Account_Mapping!A:A, Account_Mapping!B:B,"Unmapped")</f>
        <v>Operating Expense</v>
      </c>
      <c r="O255" cm="1">
        <f t="array" ref="O255">_xlfn.XLOOKUP(
  1,
  (FX_Rates[Currency]=Cleaned[[#This Row],[Currency]])*
  (FX_Rates[RateDate]&lt;=Cleaned[[#This Row],[TxnDate]]),
  FX_Rates[Rate_To_INR],
  ,
  -1
)</f>
        <v>61</v>
      </c>
      <c r="P255" s="2">
        <f>Cleaned[[#This Row],[Net Amount]] *  Cleaned[[#This Row],[FX_rates]]</f>
        <v>-109760.95999999999</v>
      </c>
    </row>
    <row r="256" spans="1:16" x14ac:dyDescent="0.45">
      <c r="A256" t="s">
        <v>264</v>
      </c>
      <c r="B256" s="1">
        <v>44948</v>
      </c>
      <c r="C256" s="2" t="s">
        <v>2012</v>
      </c>
      <c r="D256" t="s">
        <v>2017</v>
      </c>
      <c r="E256">
        <v>950.03</v>
      </c>
      <c r="F256">
        <f>Cleaned[[#This Row],[Debit]] * Cleaned[[#This Row],[FX_rates]]</f>
        <v>83602.64</v>
      </c>
      <c r="G256">
        <v>0</v>
      </c>
      <c r="H256">
        <f>Cleaned[[#This Row],[Credit]] *  Cleaned[[#This Row],[FX_rates]]</f>
        <v>0</v>
      </c>
      <c r="I256" t="s">
        <v>2023</v>
      </c>
      <c r="J256" t="s">
        <v>2029</v>
      </c>
      <c r="K256" t="s">
        <v>2285</v>
      </c>
      <c r="L256" t="s">
        <v>4032</v>
      </c>
      <c r="M256">
        <f>Cleaned[[#This Row],[Credit]]-Cleaned[[#This Row],[Debit]]</f>
        <v>-950.03</v>
      </c>
      <c r="N256" t="str">
        <f>_xlfn.XLOOKUP(Cleaned[[#This Row],[AccountName]], Account_Mapping!A:A, Account_Mapping!B:B,"Unmapped")</f>
        <v>Operating Expense</v>
      </c>
      <c r="O256" cm="1">
        <f t="array" ref="O256">_xlfn.XLOOKUP(
  1,
  (FX_Rates[Currency]=Cleaned[[#This Row],[Currency]])*
  (FX_Rates[RateDate]&lt;=Cleaned[[#This Row],[TxnDate]]),
  FX_Rates[Rate_To_INR],
  ,
  -1
)</f>
        <v>88</v>
      </c>
      <c r="P256" s="2">
        <f>Cleaned[[#This Row],[Net Amount]] *  Cleaned[[#This Row],[FX_rates]]</f>
        <v>-83602.64</v>
      </c>
    </row>
    <row r="257" spans="1:16" x14ac:dyDescent="0.45">
      <c r="A257" t="s">
        <v>265</v>
      </c>
      <c r="B257" s="1">
        <v>45622</v>
      </c>
      <c r="C257" s="2" t="s">
        <v>2010</v>
      </c>
      <c r="D257" t="s">
        <v>2015</v>
      </c>
      <c r="E257">
        <v>0</v>
      </c>
      <c r="F257">
        <f>Cleaned[[#This Row],[Debit]] * Cleaned[[#This Row],[FX_rates]]</f>
        <v>0</v>
      </c>
      <c r="G257">
        <v>1523.43</v>
      </c>
      <c r="H257">
        <f>Cleaned[[#This Row],[Credit]] *  Cleaned[[#This Row],[FX_rates]]</f>
        <v>156913.29</v>
      </c>
      <c r="I257" t="s">
        <v>2024</v>
      </c>
      <c r="J257" t="s">
        <v>2026</v>
      </c>
      <c r="K257" t="s">
        <v>2286</v>
      </c>
      <c r="L257" t="s">
        <v>4031</v>
      </c>
      <c r="M257">
        <f>Cleaned[[#This Row],[Credit]]-Cleaned[[#This Row],[Debit]]</f>
        <v>1523.43</v>
      </c>
      <c r="N257" t="str">
        <f>_xlfn.XLOOKUP(Cleaned[[#This Row],[AccountName]], Account_Mapping!A:A, Account_Mapping!B:B,"Unmapped")</f>
        <v>Revenue</v>
      </c>
      <c r="O257" cm="1">
        <f t="array" ref="O257">_xlfn.XLOOKUP(
  1,
  (FX_Rates[Currency]=Cleaned[[#This Row],[Currency]])*
  (FX_Rates[RateDate]&lt;=Cleaned[[#This Row],[TxnDate]]),
  FX_Rates[Rate_To_INR],
  ,
  -1
)</f>
        <v>103</v>
      </c>
      <c r="P257" s="2">
        <f>Cleaned[[#This Row],[Net Amount]] *  Cleaned[[#This Row],[FX_rates]]</f>
        <v>156913.29</v>
      </c>
    </row>
    <row r="258" spans="1:16" x14ac:dyDescent="0.45">
      <c r="A258" t="s">
        <v>266</v>
      </c>
      <c r="B258" s="1">
        <v>45765</v>
      </c>
      <c r="C258" s="2" t="s">
        <v>2010</v>
      </c>
      <c r="D258" t="s">
        <v>2015</v>
      </c>
      <c r="E258">
        <v>0</v>
      </c>
      <c r="F258">
        <f>Cleaned[[#This Row],[Debit]] * Cleaned[[#This Row],[FX_rates]]</f>
        <v>0</v>
      </c>
      <c r="G258">
        <v>2725.09</v>
      </c>
      <c r="H258">
        <f>Cleaned[[#This Row],[Credit]] *  Cleaned[[#This Row],[FX_rates]]</f>
        <v>280684.27</v>
      </c>
      <c r="I258" t="s">
        <v>2024</v>
      </c>
      <c r="J258" t="s">
        <v>2026</v>
      </c>
      <c r="K258" t="s">
        <v>2287</v>
      </c>
      <c r="L258" t="s">
        <v>4031</v>
      </c>
      <c r="M258">
        <f>Cleaned[[#This Row],[Credit]]-Cleaned[[#This Row],[Debit]]</f>
        <v>2725.09</v>
      </c>
      <c r="N258" t="str">
        <f>_xlfn.XLOOKUP(Cleaned[[#This Row],[AccountName]], Account_Mapping!A:A, Account_Mapping!B:B,"Unmapped")</f>
        <v>Revenue</v>
      </c>
      <c r="O258" cm="1">
        <f t="array" ref="O258">_xlfn.XLOOKUP(
  1,
  (FX_Rates[Currency]=Cleaned[[#This Row],[Currency]])*
  (FX_Rates[RateDate]&lt;=Cleaned[[#This Row],[TxnDate]]),
  FX_Rates[Rate_To_INR],
  ,
  -1
)</f>
        <v>103</v>
      </c>
      <c r="P258" s="2">
        <f>Cleaned[[#This Row],[Net Amount]] *  Cleaned[[#This Row],[FX_rates]]</f>
        <v>280684.27</v>
      </c>
    </row>
    <row r="259" spans="1:16" x14ac:dyDescent="0.45">
      <c r="A259" t="s">
        <v>267</v>
      </c>
      <c r="B259" s="1">
        <v>45414</v>
      </c>
      <c r="C259" s="2" t="s">
        <v>2012</v>
      </c>
      <c r="D259" t="s">
        <v>2017</v>
      </c>
      <c r="E259">
        <v>1186.77</v>
      </c>
      <c r="F259">
        <f>Cleaned[[#This Row],[Debit]] * Cleaned[[#This Row],[FX_rates]]</f>
        <v>97315.14</v>
      </c>
      <c r="G259">
        <v>0</v>
      </c>
      <c r="H259">
        <f>Cleaned[[#This Row],[Credit]] *  Cleaned[[#This Row],[FX_rates]]</f>
        <v>0</v>
      </c>
      <c r="I259" t="s">
        <v>2021</v>
      </c>
      <c r="J259" t="s">
        <v>2029</v>
      </c>
      <c r="K259" t="s">
        <v>2288</v>
      </c>
      <c r="L259" t="s">
        <v>4034</v>
      </c>
      <c r="M259">
        <f>Cleaned[[#This Row],[Credit]]-Cleaned[[#This Row],[Debit]]</f>
        <v>-1186.77</v>
      </c>
      <c r="N259" t="str">
        <f>_xlfn.XLOOKUP(Cleaned[[#This Row],[AccountName]], Account_Mapping!A:A, Account_Mapping!B:B,"Unmapped")</f>
        <v>Operating Expense</v>
      </c>
      <c r="O259" cm="1">
        <f t="array" ref="O259">_xlfn.XLOOKUP(
  1,
  (FX_Rates[Currency]=Cleaned[[#This Row],[Currency]])*
  (FX_Rates[RateDate]&lt;=Cleaned[[#This Row],[TxnDate]]),
  FX_Rates[Rate_To_INR],
  ,
  -1
)</f>
        <v>82</v>
      </c>
      <c r="P259" s="2">
        <f>Cleaned[[#This Row],[Net Amount]] *  Cleaned[[#This Row],[FX_rates]]</f>
        <v>-97315.14</v>
      </c>
    </row>
    <row r="260" spans="1:16" x14ac:dyDescent="0.45">
      <c r="A260" t="s">
        <v>268</v>
      </c>
      <c r="B260" s="1">
        <v>45356</v>
      </c>
      <c r="C260" s="2" t="s">
        <v>2014</v>
      </c>
      <c r="D260" t="s">
        <v>2019</v>
      </c>
      <c r="E260">
        <v>0</v>
      </c>
      <c r="F260">
        <f>Cleaned[[#This Row],[Debit]] * Cleaned[[#This Row],[FX_rates]]</f>
        <v>0</v>
      </c>
      <c r="G260">
        <v>3404.96</v>
      </c>
      <c r="H260">
        <f>Cleaned[[#This Row],[Credit]] *  Cleaned[[#This Row],[FX_rates]]</f>
        <v>190677.76000000001</v>
      </c>
      <c r="I260" t="s">
        <v>2020</v>
      </c>
      <c r="J260" t="s">
        <v>2026</v>
      </c>
      <c r="K260" t="s">
        <v>2289</v>
      </c>
      <c r="L260" t="s">
        <v>4033</v>
      </c>
      <c r="M260">
        <f>Cleaned[[#This Row],[Credit]]-Cleaned[[#This Row],[Debit]]</f>
        <v>3404.96</v>
      </c>
      <c r="N260" t="str">
        <f>_xlfn.XLOOKUP(Cleaned[[#This Row],[AccountName]], Account_Mapping!A:A, Account_Mapping!B:B,"Unmapped")</f>
        <v>Revenue</v>
      </c>
      <c r="O260" cm="1">
        <f t="array" ref="O260">_xlfn.XLOOKUP(
  1,
  (FX_Rates[Currency]=Cleaned[[#This Row],[Currency]])*
  (FX_Rates[RateDate]&lt;=Cleaned[[#This Row],[TxnDate]]),
  FX_Rates[Rate_To_INR],
  ,
  -1
)</f>
        <v>56</v>
      </c>
      <c r="P260" s="2">
        <f>Cleaned[[#This Row],[Net Amount]] *  Cleaned[[#This Row],[FX_rates]]</f>
        <v>190677.76000000001</v>
      </c>
    </row>
    <row r="261" spans="1:16" x14ac:dyDescent="0.45">
      <c r="A261" t="s">
        <v>269</v>
      </c>
      <c r="B261" s="1">
        <v>45081</v>
      </c>
      <c r="C261" s="2" t="s">
        <v>2013</v>
      </c>
      <c r="D261" t="s">
        <v>2018</v>
      </c>
      <c r="E261">
        <v>436.8</v>
      </c>
      <c r="F261">
        <f>Cleaned[[#This Row],[Debit]] * Cleaned[[#This Row],[FX_rates]]</f>
        <v>24460.799999999999</v>
      </c>
      <c r="G261">
        <v>0</v>
      </c>
      <c r="H261">
        <f>Cleaned[[#This Row],[Credit]] *  Cleaned[[#This Row],[FX_rates]]</f>
        <v>0</v>
      </c>
      <c r="I261" t="s">
        <v>2021</v>
      </c>
      <c r="J261" t="s">
        <v>2029</v>
      </c>
      <c r="K261" t="s">
        <v>2290</v>
      </c>
      <c r="L261" t="s">
        <v>4033</v>
      </c>
      <c r="M261">
        <f>Cleaned[[#This Row],[Credit]]-Cleaned[[#This Row],[Debit]]</f>
        <v>-436.8</v>
      </c>
      <c r="N261" t="str">
        <f>_xlfn.XLOOKUP(Cleaned[[#This Row],[AccountName]], Account_Mapping!A:A, Account_Mapping!B:B,"Unmapped")</f>
        <v>Operating Expense</v>
      </c>
      <c r="O261" cm="1">
        <f t="array" ref="O261">_xlfn.XLOOKUP(
  1,
  (FX_Rates[Currency]=Cleaned[[#This Row],[Currency]])*
  (FX_Rates[RateDate]&lt;=Cleaned[[#This Row],[TxnDate]]),
  FX_Rates[Rate_To_INR],
  ,
  -1
)</f>
        <v>56</v>
      </c>
      <c r="P261" s="2">
        <f>Cleaned[[#This Row],[Net Amount]] *  Cleaned[[#This Row],[FX_rates]]</f>
        <v>-24460.799999999999</v>
      </c>
    </row>
    <row r="262" spans="1:16" x14ac:dyDescent="0.45">
      <c r="A262" t="s">
        <v>270</v>
      </c>
      <c r="B262" s="1">
        <v>45138</v>
      </c>
      <c r="C262" s="2" t="s">
        <v>2011</v>
      </c>
      <c r="D262" t="s">
        <v>2016</v>
      </c>
      <c r="E262">
        <v>1095.1300000000001</v>
      </c>
      <c r="F262">
        <f>Cleaned[[#This Row],[Debit]] * Cleaned[[#This Row],[FX_rates]]</f>
        <v>112798.39000000001</v>
      </c>
      <c r="G262">
        <v>0</v>
      </c>
      <c r="H262">
        <f>Cleaned[[#This Row],[Credit]] *  Cleaned[[#This Row],[FX_rates]]</f>
        <v>0</v>
      </c>
      <c r="I262" t="s">
        <v>2021</v>
      </c>
      <c r="J262" t="s">
        <v>2030</v>
      </c>
      <c r="K262" t="s">
        <v>2291</v>
      </c>
      <c r="L262" t="s">
        <v>4031</v>
      </c>
      <c r="M262">
        <f>Cleaned[[#This Row],[Credit]]-Cleaned[[#This Row],[Debit]]</f>
        <v>-1095.1300000000001</v>
      </c>
      <c r="N262" t="str">
        <f>_xlfn.XLOOKUP(Cleaned[[#This Row],[AccountName]], Account_Mapping!A:A, Account_Mapping!B:B,"Unmapped")</f>
        <v>COGS</v>
      </c>
      <c r="O262" cm="1">
        <f t="array" ref="O262">_xlfn.XLOOKUP(
  1,
  (FX_Rates[Currency]=Cleaned[[#This Row],[Currency]])*
  (FX_Rates[RateDate]&lt;=Cleaned[[#This Row],[TxnDate]]),
  FX_Rates[Rate_To_INR],
  ,
  -1
)</f>
        <v>103</v>
      </c>
      <c r="P262" s="2">
        <f>Cleaned[[#This Row],[Net Amount]] *  Cleaned[[#This Row],[FX_rates]]</f>
        <v>-112798.39000000001</v>
      </c>
    </row>
    <row r="263" spans="1:16" x14ac:dyDescent="0.45">
      <c r="A263" t="s">
        <v>271</v>
      </c>
      <c r="B263" s="1">
        <v>45348</v>
      </c>
      <c r="C263" s="2" t="s">
        <v>2013</v>
      </c>
      <c r="D263" t="s">
        <v>2018</v>
      </c>
      <c r="E263">
        <v>393.67</v>
      </c>
      <c r="F263">
        <f>Cleaned[[#This Row],[Debit]] * Cleaned[[#This Row],[FX_rates]]</f>
        <v>22045.52</v>
      </c>
      <c r="G263">
        <v>0</v>
      </c>
      <c r="H263">
        <f>Cleaned[[#This Row],[Credit]] *  Cleaned[[#This Row],[FX_rates]]</f>
        <v>0</v>
      </c>
      <c r="I263" t="s">
        <v>2023</v>
      </c>
      <c r="J263" t="s">
        <v>2028</v>
      </c>
      <c r="K263" t="s">
        <v>2292</v>
      </c>
      <c r="L263" t="s">
        <v>4033</v>
      </c>
      <c r="M263">
        <f>Cleaned[[#This Row],[Credit]]-Cleaned[[#This Row],[Debit]]</f>
        <v>-393.67</v>
      </c>
      <c r="N263" t="str">
        <f>_xlfn.XLOOKUP(Cleaned[[#This Row],[AccountName]], Account_Mapping!A:A, Account_Mapping!B:B,"Unmapped")</f>
        <v>Operating Expense</v>
      </c>
      <c r="O263" cm="1">
        <f t="array" ref="O263">_xlfn.XLOOKUP(
  1,
  (FX_Rates[Currency]=Cleaned[[#This Row],[Currency]])*
  (FX_Rates[RateDate]&lt;=Cleaned[[#This Row],[TxnDate]]),
  FX_Rates[Rate_To_INR],
  ,
  -1
)</f>
        <v>56</v>
      </c>
      <c r="P263" s="2">
        <f>Cleaned[[#This Row],[Net Amount]] *  Cleaned[[#This Row],[FX_rates]]</f>
        <v>-22045.52</v>
      </c>
    </row>
    <row r="264" spans="1:16" x14ac:dyDescent="0.45">
      <c r="A264" t="s">
        <v>272</v>
      </c>
      <c r="B264" s="1">
        <v>45697</v>
      </c>
      <c r="C264" s="2" t="s">
        <v>2010</v>
      </c>
      <c r="D264" t="s">
        <v>2015</v>
      </c>
      <c r="E264">
        <v>0</v>
      </c>
      <c r="F264">
        <f>Cleaned[[#This Row],[Debit]] * Cleaned[[#This Row],[FX_rates]]</f>
        <v>0</v>
      </c>
      <c r="G264">
        <v>799.77</v>
      </c>
      <c r="H264">
        <f>Cleaned[[#This Row],[Credit]] *  Cleaned[[#This Row],[FX_rates]]</f>
        <v>82376.31</v>
      </c>
      <c r="I264" t="s">
        <v>2025</v>
      </c>
      <c r="J264" t="s">
        <v>2027</v>
      </c>
      <c r="K264" t="s">
        <v>2293</v>
      </c>
      <c r="L264" t="s">
        <v>4031</v>
      </c>
      <c r="M264">
        <f>Cleaned[[#This Row],[Credit]]-Cleaned[[#This Row],[Debit]]</f>
        <v>799.77</v>
      </c>
      <c r="N264" t="str">
        <f>_xlfn.XLOOKUP(Cleaned[[#This Row],[AccountName]], Account_Mapping!A:A, Account_Mapping!B:B,"Unmapped")</f>
        <v>Revenue</v>
      </c>
      <c r="O264" cm="1">
        <f t="array" ref="O264">_xlfn.XLOOKUP(
  1,
  (FX_Rates[Currency]=Cleaned[[#This Row],[Currency]])*
  (FX_Rates[RateDate]&lt;=Cleaned[[#This Row],[TxnDate]]),
  FX_Rates[Rate_To_INR],
  ,
  -1
)</f>
        <v>103</v>
      </c>
      <c r="P264" s="2">
        <f>Cleaned[[#This Row],[Net Amount]] *  Cleaned[[#This Row],[FX_rates]]</f>
        <v>82376.31</v>
      </c>
    </row>
    <row r="265" spans="1:16" x14ac:dyDescent="0.45">
      <c r="A265" t="s">
        <v>273</v>
      </c>
      <c r="B265" s="1">
        <v>45300</v>
      </c>
      <c r="C265" s="2" t="s">
        <v>2010</v>
      </c>
      <c r="D265" t="s">
        <v>2015</v>
      </c>
      <c r="E265">
        <v>0</v>
      </c>
      <c r="F265">
        <f>Cleaned[[#This Row],[Debit]] * Cleaned[[#This Row],[FX_rates]]</f>
        <v>0</v>
      </c>
      <c r="G265">
        <v>4354.13</v>
      </c>
      <c r="H265">
        <f>Cleaned[[#This Row],[Credit]] *  Cleaned[[#This Row],[FX_rates]]</f>
        <v>383163.44</v>
      </c>
      <c r="I265" t="s">
        <v>2023</v>
      </c>
      <c r="J265" t="s">
        <v>2028</v>
      </c>
      <c r="K265" t="s">
        <v>2294</v>
      </c>
      <c r="L265" t="s">
        <v>4032</v>
      </c>
      <c r="M265">
        <f>Cleaned[[#This Row],[Credit]]-Cleaned[[#This Row],[Debit]]</f>
        <v>4354.13</v>
      </c>
      <c r="N265" t="str">
        <f>_xlfn.XLOOKUP(Cleaned[[#This Row],[AccountName]], Account_Mapping!A:A, Account_Mapping!B:B,"Unmapped")</f>
        <v>Revenue</v>
      </c>
      <c r="O265" cm="1">
        <f t="array" ref="O265">_xlfn.XLOOKUP(
  1,
  (FX_Rates[Currency]=Cleaned[[#This Row],[Currency]])*
  (FX_Rates[RateDate]&lt;=Cleaned[[#This Row],[TxnDate]]),
  FX_Rates[Rate_To_INR],
  ,
  -1
)</f>
        <v>88</v>
      </c>
      <c r="P265" s="2">
        <f>Cleaned[[#This Row],[Net Amount]] *  Cleaned[[#This Row],[FX_rates]]</f>
        <v>383163.44</v>
      </c>
    </row>
    <row r="266" spans="1:16" x14ac:dyDescent="0.45">
      <c r="A266" t="s">
        <v>274</v>
      </c>
      <c r="B266" s="1">
        <v>45663</v>
      </c>
      <c r="C266" s="2" t="s">
        <v>2011</v>
      </c>
      <c r="D266" t="s">
        <v>2016</v>
      </c>
      <c r="E266">
        <v>1157.8</v>
      </c>
      <c r="F266">
        <f>Cleaned[[#This Row],[Debit]] * Cleaned[[#This Row],[FX_rates]]</f>
        <v>70625.8</v>
      </c>
      <c r="G266">
        <v>0</v>
      </c>
      <c r="H266">
        <f>Cleaned[[#This Row],[Credit]] *  Cleaned[[#This Row],[FX_rates]]</f>
        <v>0</v>
      </c>
      <c r="I266" t="s">
        <v>2020</v>
      </c>
      <c r="J266" t="s">
        <v>2026</v>
      </c>
      <c r="K266" t="s">
        <v>2295</v>
      </c>
      <c r="L266" t="s">
        <v>4035</v>
      </c>
      <c r="M266">
        <f>Cleaned[[#This Row],[Credit]]-Cleaned[[#This Row],[Debit]]</f>
        <v>-1157.8</v>
      </c>
      <c r="N266" t="str">
        <f>_xlfn.XLOOKUP(Cleaned[[#This Row],[AccountName]], Account_Mapping!A:A, Account_Mapping!B:B,"Unmapped")</f>
        <v>COGS</v>
      </c>
      <c r="O266" cm="1">
        <f t="array" ref="O266">_xlfn.XLOOKUP(
  1,
  (FX_Rates[Currency]=Cleaned[[#This Row],[Currency]])*
  (FX_Rates[RateDate]&lt;=Cleaned[[#This Row],[TxnDate]]),
  FX_Rates[Rate_To_INR],
  ,
  -1
)</f>
        <v>61</v>
      </c>
      <c r="P266" s="2">
        <f>Cleaned[[#This Row],[Net Amount]] *  Cleaned[[#This Row],[FX_rates]]</f>
        <v>-70625.8</v>
      </c>
    </row>
    <row r="267" spans="1:16" x14ac:dyDescent="0.45">
      <c r="A267" t="s">
        <v>275</v>
      </c>
      <c r="B267" s="1">
        <v>45220</v>
      </c>
      <c r="C267" s="2" t="s">
        <v>2010</v>
      </c>
      <c r="D267" t="s">
        <v>2015</v>
      </c>
      <c r="E267">
        <v>0</v>
      </c>
      <c r="F267">
        <f>Cleaned[[#This Row],[Debit]] * Cleaned[[#This Row],[FX_rates]]</f>
        <v>0</v>
      </c>
      <c r="G267">
        <v>2597.25</v>
      </c>
      <c r="H267">
        <f>Cleaned[[#This Row],[Credit]] *  Cleaned[[#This Row],[FX_rates]]</f>
        <v>145446</v>
      </c>
      <c r="I267" t="s">
        <v>2025</v>
      </c>
      <c r="J267" t="s">
        <v>2026</v>
      </c>
      <c r="K267" t="s">
        <v>2296</v>
      </c>
      <c r="L267" t="s">
        <v>4033</v>
      </c>
      <c r="M267">
        <f>Cleaned[[#This Row],[Credit]]-Cleaned[[#This Row],[Debit]]</f>
        <v>2597.25</v>
      </c>
      <c r="N267" t="str">
        <f>_xlfn.XLOOKUP(Cleaned[[#This Row],[AccountName]], Account_Mapping!A:A, Account_Mapping!B:B,"Unmapped")</f>
        <v>Revenue</v>
      </c>
      <c r="O267" cm="1">
        <f t="array" ref="O267">_xlfn.XLOOKUP(
  1,
  (FX_Rates[Currency]=Cleaned[[#This Row],[Currency]])*
  (FX_Rates[RateDate]&lt;=Cleaned[[#This Row],[TxnDate]]),
  FX_Rates[Rate_To_INR],
  ,
  -1
)</f>
        <v>56</v>
      </c>
      <c r="P267" s="2">
        <f>Cleaned[[#This Row],[Net Amount]] *  Cleaned[[#This Row],[FX_rates]]</f>
        <v>145446</v>
      </c>
    </row>
    <row r="268" spans="1:16" x14ac:dyDescent="0.45">
      <c r="A268" t="s">
        <v>276</v>
      </c>
      <c r="B268" s="1">
        <v>45804</v>
      </c>
      <c r="C268" s="2" t="s">
        <v>2011</v>
      </c>
      <c r="D268" t="s">
        <v>2016</v>
      </c>
      <c r="E268">
        <v>1343.21</v>
      </c>
      <c r="F268">
        <f>Cleaned[[#This Row],[Debit]] * Cleaned[[#This Row],[FX_rates]]</f>
        <v>118202.48000000001</v>
      </c>
      <c r="G268">
        <v>0</v>
      </c>
      <c r="H268">
        <f>Cleaned[[#This Row],[Credit]] *  Cleaned[[#This Row],[FX_rates]]</f>
        <v>0</v>
      </c>
      <c r="I268" t="s">
        <v>2023</v>
      </c>
      <c r="J268" t="s">
        <v>2029</v>
      </c>
      <c r="K268" t="s">
        <v>2297</v>
      </c>
      <c r="L268" t="s">
        <v>4032</v>
      </c>
      <c r="M268">
        <f>Cleaned[[#This Row],[Credit]]-Cleaned[[#This Row],[Debit]]</f>
        <v>-1343.21</v>
      </c>
      <c r="N268" t="str">
        <f>_xlfn.XLOOKUP(Cleaned[[#This Row],[AccountName]], Account_Mapping!A:A, Account_Mapping!B:B,"Unmapped")</f>
        <v>COGS</v>
      </c>
      <c r="O268" cm="1">
        <f t="array" ref="O268">_xlfn.XLOOKUP(
  1,
  (FX_Rates[Currency]=Cleaned[[#This Row],[Currency]])*
  (FX_Rates[RateDate]&lt;=Cleaned[[#This Row],[TxnDate]]),
  FX_Rates[Rate_To_INR],
  ,
  -1
)</f>
        <v>88</v>
      </c>
      <c r="P268" s="2">
        <f>Cleaned[[#This Row],[Net Amount]] *  Cleaned[[#This Row],[FX_rates]]</f>
        <v>-118202.48000000001</v>
      </c>
    </row>
    <row r="269" spans="1:16" x14ac:dyDescent="0.45">
      <c r="A269" t="s">
        <v>277</v>
      </c>
      <c r="B269" s="1">
        <v>45191</v>
      </c>
      <c r="C269" s="2" t="s">
        <v>2013</v>
      </c>
      <c r="D269" t="s">
        <v>2018</v>
      </c>
      <c r="E269">
        <v>1498.82</v>
      </c>
      <c r="F269">
        <f>Cleaned[[#This Row],[Debit]] * Cleaned[[#This Row],[FX_rates]]</f>
        <v>131896.16</v>
      </c>
      <c r="G269">
        <v>0</v>
      </c>
      <c r="H269">
        <f>Cleaned[[#This Row],[Credit]] *  Cleaned[[#This Row],[FX_rates]]</f>
        <v>0</v>
      </c>
      <c r="I269" t="s">
        <v>2021</v>
      </c>
      <c r="J269" t="s">
        <v>2030</v>
      </c>
      <c r="K269" t="s">
        <v>2298</v>
      </c>
      <c r="L269" t="s">
        <v>4032</v>
      </c>
      <c r="M269">
        <f>Cleaned[[#This Row],[Credit]]-Cleaned[[#This Row],[Debit]]</f>
        <v>-1498.82</v>
      </c>
      <c r="N269" t="str">
        <f>_xlfn.XLOOKUP(Cleaned[[#This Row],[AccountName]], Account_Mapping!A:A, Account_Mapping!B:B,"Unmapped")</f>
        <v>Operating Expense</v>
      </c>
      <c r="O269" cm="1">
        <f t="array" ref="O269">_xlfn.XLOOKUP(
  1,
  (FX_Rates[Currency]=Cleaned[[#This Row],[Currency]])*
  (FX_Rates[RateDate]&lt;=Cleaned[[#This Row],[TxnDate]]),
  FX_Rates[Rate_To_INR],
  ,
  -1
)</f>
        <v>88</v>
      </c>
      <c r="P269" s="2">
        <f>Cleaned[[#This Row],[Net Amount]] *  Cleaned[[#This Row],[FX_rates]]</f>
        <v>-131896.16</v>
      </c>
    </row>
    <row r="270" spans="1:16" x14ac:dyDescent="0.45">
      <c r="A270" t="s">
        <v>278</v>
      </c>
      <c r="B270" s="1">
        <v>45338</v>
      </c>
      <c r="C270" s="2" t="s">
        <v>2010</v>
      </c>
      <c r="D270" t="s">
        <v>2015</v>
      </c>
      <c r="E270">
        <v>0</v>
      </c>
      <c r="F270">
        <f>Cleaned[[#This Row],[Debit]] * Cleaned[[#This Row],[FX_rates]]</f>
        <v>0</v>
      </c>
      <c r="G270">
        <v>4728.58</v>
      </c>
      <c r="H270">
        <f>Cleaned[[#This Row],[Credit]] *  Cleaned[[#This Row],[FX_rates]]</f>
        <v>264800.48</v>
      </c>
      <c r="I270" t="s">
        <v>2023</v>
      </c>
      <c r="J270" t="s">
        <v>2028</v>
      </c>
      <c r="K270" t="s">
        <v>2299</v>
      </c>
      <c r="L270" t="s">
        <v>4033</v>
      </c>
      <c r="M270">
        <f>Cleaned[[#This Row],[Credit]]-Cleaned[[#This Row],[Debit]]</f>
        <v>4728.58</v>
      </c>
      <c r="N270" t="str">
        <f>_xlfn.XLOOKUP(Cleaned[[#This Row],[AccountName]], Account_Mapping!A:A, Account_Mapping!B:B,"Unmapped")</f>
        <v>Revenue</v>
      </c>
      <c r="O270" cm="1">
        <f t="array" ref="O270">_xlfn.XLOOKUP(
  1,
  (FX_Rates[Currency]=Cleaned[[#This Row],[Currency]])*
  (FX_Rates[RateDate]&lt;=Cleaned[[#This Row],[TxnDate]]),
  FX_Rates[Rate_To_INR],
  ,
  -1
)</f>
        <v>56</v>
      </c>
      <c r="P270" s="2">
        <f>Cleaned[[#This Row],[Net Amount]] *  Cleaned[[#This Row],[FX_rates]]</f>
        <v>264800.48</v>
      </c>
    </row>
    <row r="271" spans="1:16" x14ac:dyDescent="0.45">
      <c r="A271" t="s">
        <v>279</v>
      </c>
      <c r="B271" s="1">
        <v>45332</v>
      </c>
      <c r="C271" s="2" t="s">
        <v>2014</v>
      </c>
      <c r="D271" t="s">
        <v>2019</v>
      </c>
      <c r="E271">
        <v>0</v>
      </c>
      <c r="F271">
        <f>Cleaned[[#This Row],[Debit]] * Cleaned[[#This Row],[FX_rates]]</f>
        <v>0</v>
      </c>
      <c r="G271">
        <v>3612.83</v>
      </c>
      <c r="H271">
        <f>Cleaned[[#This Row],[Credit]] *  Cleaned[[#This Row],[FX_rates]]</f>
        <v>317929.03999999998</v>
      </c>
      <c r="I271" t="s">
        <v>2025</v>
      </c>
      <c r="J271" t="s">
        <v>2030</v>
      </c>
      <c r="K271" t="s">
        <v>2300</v>
      </c>
      <c r="L271" t="s">
        <v>4032</v>
      </c>
      <c r="M271">
        <f>Cleaned[[#This Row],[Credit]]-Cleaned[[#This Row],[Debit]]</f>
        <v>3612.83</v>
      </c>
      <c r="N271" t="str">
        <f>_xlfn.XLOOKUP(Cleaned[[#This Row],[AccountName]], Account_Mapping!A:A, Account_Mapping!B:B,"Unmapped")</f>
        <v>Revenue</v>
      </c>
      <c r="O271" cm="1">
        <f t="array" ref="O271">_xlfn.XLOOKUP(
  1,
  (FX_Rates[Currency]=Cleaned[[#This Row],[Currency]])*
  (FX_Rates[RateDate]&lt;=Cleaned[[#This Row],[TxnDate]]),
  FX_Rates[Rate_To_INR],
  ,
  -1
)</f>
        <v>88</v>
      </c>
      <c r="P271" s="2">
        <f>Cleaned[[#This Row],[Net Amount]] *  Cleaned[[#This Row],[FX_rates]]</f>
        <v>317929.03999999998</v>
      </c>
    </row>
    <row r="272" spans="1:16" x14ac:dyDescent="0.45">
      <c r="A272" t="s">
        <v>280</v>
      </c>
      <c r="B272" s="1">
        <v>45091</v>
      </c>
      <c r="C272" s="2" t="s">
        <v>2014</v>
      </c>
      <c r="D272" t="s">
        <v>2019</v>
      </c>
      <c r="E272">
        <v>0</v>
      </c>
      <c r="F272">
        <f>Cleaned[[#This Row],[Debit]] * Cleaned[[#This Row],[FX_rates]]</f>
        <v>0</v>
      </c>
      <c r="G272">
        <v>4506.28</v>
      </c>
      <c r="H272">
        <f>Cleaned[[#This Row],[Credit]] *  Cleaned[[#This Row],[FX_rates]]</f>
        <v>396552.63999999996</v>
      </c>
      <c r="I272" t="s">
        <v>2023</v>
      </c>
      <c r="J272" t="s">
        <v>2027</v>
      </c>
      <c r="K272" t="s">
        <v>2301</v>
      </c>
      <c r="L272" t="s">
        <v>4032</v>
      </c>
      <c r="M272">
        <f>Cleaned[[#This Row],[Credit]]-Cleaned[[#This Row],[Debit]]</f>
        <v>4506.28</v>
      </c>
      <c r="N272" t="str">
        <f>_xlfn.XLOOKUP(Cleaned[[#This Row],[AccountName]], Account_Mapping!A:A, Account_Mapping!B:B,"Unmapped")</f>
        <v>Revenue</v>
      </c>
      <c r="O272" cm="1">
        <f t="array" ref="O272">_xlfn.XLOOKUP(
  1,
  (FX_Rates[Currency]=Cleaned[[#This Row],[Currency]])*
  (FX_Rates[RateDate]&lt;=Cleaned[[#This Row],[TxnDate]]),
  FX_Rates[Rate_To_INR],
  ,
  -1
)</f>
        <v>88</v>
      </c>
      <c r="P272" s="2">
        <f>Cleaned[[#This Row],[Net Amount]] *  Cleaned[[#This Row],[FX_rates]]</f>
        <v>396552.63999999996</v>
      </c>
    </row>
    <row r="273" spans="1:16" x14ac:dyDescent="0.45">
      <c r="A273" t="s">
        <v>281</v>
      </c>
      <c r="B273" s="1">
        <v>45254</v>
      </c>
      <c r="C273" s="2" t="s">
        <v>2013</v>
      </c>
      <c r="D273" t="s">
        <v>2018</v>
      </c>
      <c r="E273">
        <v>1000.3</v>
      </c>
      <c r="F273">
        <f>Cleaned[[#This Row],[Debit]] * Cleaned[[#This Row],[FX_rates]]</f>
        <v>61018.299999999996</v>
      </c>
      <c r="G273">
        <v>0</v>
      </c>
      <c r="H273">
        <f>Cleaned[[#This Row],[Credit]] *  Cleaned[[#This Row],[FX_rates]]</f>
        <v>0</v>
      </c>
      <c r="I273" t="s">
        <v>2025</v>
      </c>
      <c r="J273" t="s">
        <v>2030</v>
      </c>
      <c r="K273" t="s">
        <v>2302</v>
      </c>
      <c r="L273" t="s">
        <v>4035</v>
      </c>
      <c r="M273">
        <f>Cleaned[[#This Row],[Credit]]-Cleaned[[#This Row],[Debit]]</f>
        <v>-1000.3</v>
      </c>
      <c r="N273" t="str">
        <f>_xlfn.XLOOKUP(Cleaned[[#This Row],[AccountName]], Account_Mapping!A:A, Account_Mapping!B:B,"Unmapped")</f>
        <v>Operating Expense</v>
      </c>
      <c r="O273" cm="1">
        <f t="array" ref="O273">_xlfn.XLOOKUP(
  1,
  (FX_Rates[Currency]=Cleaned[[#This Row],[Currency]])*
  (FX_Rates[RateDate]&lt;=Cleaned[[#This Row],[TxnDate]]),
  FX_Rates[Rate_To_INR],
  ,
  -1
)</f>
        <v>61</v>
      </c>
      <c r="P273" s="2">
        <f>Cleaned[[#This Row],[Net Amount]] *  Cleaned[[#This Row],[FX_rates]]</f>
        <v>-61018.299999999996</v>
      </c>
    </row>
    <row r="274" spans="1:16" x14ac:dyDescent="0.45">
      <c r="A274" t="s">
        <v>282</v>
      </c>
      <c r="B274" s="1">
        <v>45145</v>
      </c>
      <c r="C274" s="2" t="s">
        <v>2011</v>
      </c>
      <c r="D274" t="s">
        <v>2016</v>
      </c>
      <c r="E274">
        <v>991.08</v>
      </c>
      <c r="F274">
        <f>Cleaned[[#This Row],[Debit]] * Cleaned[[#This Row],[FX_rates]]</f>
        <v>60455.880000000005</v>
      </c>
      <c r="G274">
        <v>0</v>
      </c>
      <c r="H274">
        <f>Cleaned[[#This Row],[Credit]] *  Cleaned[[#This Row],[FX_rates]]</f>
        <v>0</v>
      </c>
      <c r="I274" t="s">
        <v>2024</v>
      </c>
      <c r="J274" t="s">
        <v>2027</v>
      </c>
      <c r="K274" t="s">
        <v>2303</v>
      </c>
      <c r="L274" t="s">
        <v>4035</v>
      </c>
      <c r="M274">
        <f>Cleaned[[#This Row],[Credit]]-Cleaned[[#This Row],[Debit]]</f>
        <v>-991.08</v>
      </c>
      <c r="N274" t="str">
        <f>_xlfn.XLOOKUP(Cleaned[[#This Row],[AccountName]], Account_Mapping!A:A, Account_Mapping!B:B,"Unmapped")</f>
        <v>COGS</v>
      </c>
      <c r="O274" cm="1">
        <f t="array" ref="O274">_xlfn.XLOOKUP(
  1,
  (FX_Rates[Currency]=Cleaned[[#This Row],[Currency]])*
  (FX_Rates[RateDate]&lt;=Cleaned[[#This Row],[TxnDate]]),
  FX_Rates[Rate_To_INR],
  ,
  -1
)</f>
        <v>61</v>
      </c>
      <c r="P274" s="2">
        <f>Cleaned[[#This Row],[Net Amount]] *  Cleaned[[#This Row],[FX_rates]]</f>
        <v>-60455.880000000005</v>
      </c>
    </row>
    <row r="275" spans="1:16" x14ac:dyDescent="0.45">
      <c r="A275" t="s">
        <v>283</v>
      </c>
      <c r="B275" s="1">
        <v>45389</v>
      </c>
      <c r="C275" s="2" t="s">
        <v>2011</v>
      </c>
      <c r="D275" t="s">
        <v>2016</v>
      </c>
      <c r="E275">
        <v>1499.52</v>
      </c>
      <c r="F275">
        <f>Cleaned[[#This Row],[Debit]] * Cleaned[[#This Row],[FX_rates]]</f>
        <v>83973.119999999995</v>
      </c>
      <c r="G275">
        <v>0</v>
      </c>
      <c r="H275">
        <f>Cleaned[[#This Row],[Credit]] *  Cleaned[[#This Row],[FX_rates]]</f>
        <v>0</v>
      </c>
      <c r="I275" t="s">
        <v>2024</v>
      </c>
      <c r="J275" t="s">
        <v>2026</v>
      </c>
      <c r="K275" t="s">
        <v>2304</v>
      </c>
      <c r="L275" t="s">
        <v>4033</v>
      </c>
      <c r="M275">
        <f>Cleaned[[#This Row],[Credit]]-Cleaned[[#This Row],[Debit]]</f>
        <v>-1499.52</v>
      </c>
      <c r="N275" t="str">
        <f>_xlfn.XLOOKUP(Cleaned[[#This Row],[AccountName]], Account_Mapping!A:A, Account_Mapping!B:B,"Unmapped")</f>
        <v>COGS</v>
      </c>
      <c r="O275" cm="1">
        <f t="array" ref="O275">_xlfn.XLOOKUP(
  1,
  (FX_Rates[Currency]=Cleaned[[#This Row],[Currency]])*
  (FX_Rates[RateDate]&lt;=Cleaned[[#This Row],[TxnDate]]),
  FX_Rates[Rate_To_INR],
  ,
  -1
)</f>
        <v>56</v>
      </c>
      <c r="P275" s="2">
        <f>Cleaned[[#This Row],[Net Amount]] *  Cleaned[[#This Row],[FX_rates]]</f>
        <v>-83973.119999999995</v>
      </c>
    </row>
    <row r="276" spans="1:16" x14ac:dyDescent="0.45">
      <c r="A276" t="s">
        <v>284</v>
      </c>
      <c r="B276" s="1">
        <v>45052</v>
      </c>
      <c r="C276" s="2" t="s">
        <v>2014</v>
      </c>
      <c r="D276" t="s">
        <v>2019</v>
      </c>
      <c r="E276">
        <v>0</v>
      </c>
      <c r="F276">
        <f>Cleaned[[#This Row],[Debit]] * Cleaned[[#This Row],[FX_rates]]</f>
        <v>0</v>
      </c>
      <c r="G276">
        <v>1203.8</v>
      </c>
      <c r="H276">
        <f>Cleaned[[#This Row],[Credit]] *  Cleaned[[#This Row],[FX_rates]]</f>
        <v>123991.4</v>
      </c>
      <c r="I276" t="s">
        <v>2024</v>
      </c>
      <c r="J276" t="s">
        <v>2026</v>
      </c>
      <c r="K276" t="s">
        <v>2305</v>
      </c>
      <c r="L276" t="s">
        <v>4031</v>
      </c>
      <c r="M276">
        <f>Cleaned[[#This Row],[Credit]]-Cleaned[[#This Row],[Debit]]</f>
        <v>1203.8</v>
      </c>
      <c r="N276" t="str">
        <f>_xlfn.XLOOKUP(Cleaned[[#This Row],[AccountName]], Account_Mapping!A:A, Account_Mapping!B:B,"Unmapped")</f>
        <v>Revenue</v>
      </c>
      <c r="O276" cm="1">
        <f t="array" ref="O276">_xlfn.XLOOKUP(
  1,
  (FX_Rates[Currency]=Cleaned[[#This Row],[Currency]])*
  (FX_Rates[RateDate]&lt;=Cleaned[[#This Row],[TxnDate]]),
  FX_Rates[Rate_To_INR],
  ,
  -1
)</f>
        <v>103</v>
      </c>
      <c r="P276" s="2">
        <f>Cleaned[[#This Row],[Net Amount]] *  Cleaned[[#This Row],[FX_rates]]</f>
        <v>123991.4</v>
      </c>
    </row>
    <row r="277" spans="1:16" x14ac:dyDescent="0.45">
      <c r="A277" t="s">
        <v>285</v>
      </c>
      <c r="B277" s="1">
        <v>45316</v>
      </c>
      <c r="C277" s="2" t="s">
        <v>2010</v>
      </c>
      <c r="D277" t="s">
        <v>2015</v>
      </c>
      <c r="E277">
        <v>0</v>
      </c>
      <c r="F277">
        <f>Cleaned[[#This Row],[Debit]] * Cleaned[[#This Row],[FX_rates]]</f>
        <v>0</v>
      </c>
      <c r="G277">
        <v>656.25</v>
      </c>
      <c r="H277">
        <f>Cleaned[[#This Row],[Credit]] *  Cleaned[[#This Row],[FX_rates]]</f>
        <v>36750</v>
      </c>
      <c r="I277" t="s">
        <v>2023</v>
      </c>
      <c r="J277" t="s">
        <v>2029</v>
      </c>
      <c r="K277" t="s">
        <v>2306</v>
      </c>
      <c r="L277" t="s">
        <v>4033</v>
      </c>
      <c r="M277">
        <f>Cleaned[[#This Row],[Credit]]-Cleaned[[#This Row],[Debit]]</f>
        <v>656.25</v>
      </c>
      <c r="N277" t="str">
        <f>_xlfn.XLOOKUP(Cleaned[[#This Row],[AccountName]], Account_Mapping!A:A, Account_Mapping!B:B,"Unmapped")</f>
        <v>Revenue</v>
      </c>
      <c r="O277" cm="1">
        <f t="array" ref="O277">_xlfn.XLOOKUP(
  1,
  (FX_Rates[Currency]=Cleaned[[#This Row],[Currency]])*
  (FX_Rates[RateDate]&lt;=Cleaned[[#This Row],[TxnDate]]),
  FX_Rates[Rate_To_INR],
  ,
  -1
)</f>
        <v>56</v>
      </c>
      <c r="P277" s="2">
        <f>Cleaned[[#This Row],[Net Amount]] *  Cleaned[[#This Row],[FX_rates]]</f>
        <v>36750</v>
      </c>
    </row>
    <row r="278" spans="1:16" x14ac:dyDescent="0.45">
      <c r="A278" t="s">
        <v>286</v>
      </c>
      <c r="B278" s="1">
        <v>45694</v>
      </c>
      <c r="C278" s="2" t="s">
        <v>2011</v>
      </c>
      <c r="D278" t="s">
        <v>2016</v>
      </c>
      <c r="E278">
        <v>620.29999999999995</v>
      </c>
      <c r="F278">
        <f>Cleaned[[#This Row],[Debit]] * Cleaned[[#This Row],[FX_rates]]</f>
        <v>37838.299999999996</v>
      </c>
      <c r="G278">
        <v>0</v>
      </c>
      <c r="H278">
        <f>Cleaned[[#This Row],[Credit]] *  Cleaned[[#This Row],[FX_rates]]</f>
        <v>0</v>
      </c>
      <c r="I278" t="s">
        <v>2021</v>
      </c>
      <c r="J278" t="s">
        <v>2030</v>
      </c>
      <c r="K278" t="s">
        <v>2307</v>
      </c>
      <c r="L278" t="s">
        <v>4035</v>
      </c>
      <c r="M278">
        <f>Cleaned[[#This Row],[Credit]]-Cleaned[[#This Row],[Debit]]</f>
        <v>-620.29999999999995</v>
      </c>
      <c r="N278" t="str">
        <f>_xlfn.XLOOKUP(Cleaned[[#This Row],[AccountName]], Account_Mapping!A:A, Account_Mapping!B:B,"Unmapped")</f>
        <v>COGS</v>
      </c>
      <c r="O278" cm="1">
        <f t="array" ref="O278">_xlfn.XLOOKUP(
  1,
  (FX_Rates[Currency]=Cleaned[[#This Row],[Currency]])*
  (FX_Rates[RateDate]&lt;=Cleaned[[#This Row],[TxnDate]]),
  FX_Rates[Rate_To_INR],
  ,
  -1
)</f>
        <v>61</v>
      </c>
      <c r="P278" s="2">
        <f>Cleaned[[#This Row],[Net Amount]] *  Cleaned[[#This Row],[FX_rates]]</f>
        <v>-37838.299999999996</v>
      </c>
    </row>
    <row r="279" spans="1:16" x14ac:dyDescent="0.45">
      <c r="A279" t="s">
        <v>287</v>
      </c>
      <c r="B279" s="1">
        <v>45775</v>
      </c>
      <c r="C279" s="2" t="s">
        <v>2012</v>
      </c>
      <c r="D279" t="s">
        <v>2017</v>
      </c>
      <c r="E279">
        <v>85.24</v>
      </c>
      <c r="F279">
        <f>Cleaned[[#This Row],[Debit]] * Cleaned[[#This Row],[FX_rates]]</f>
        <v>5199.6399999999994</v>
      </c>
      <c r="G279">
        <v>0</v>
      </c>
      <c r="H279">
        <f>Cleaned[[#This Row],[Credit]] *  Cleaned[[#This Row],[FX_rates]]</f>
        <v>0</v>
      </c>
      <c r="I279" t="s">
        <v>2024</v>
      </c>
      <c r="J279" t="s">
        <v>2029</v>
      </c>
      <c r="K279" t="s">
        <v>2308</v>
      </c>
      <c r="L279" t="s">
        <v>4035</v>
      </c>
      <c r="M279">
        <f>Cleaned[[#This Row],[Credit]]-Cleaned[[#This Row],[Debit]]</f>
        <v>-85.24</v>
      </c>
      <c r="N279" t="str">
        <f>_xlfn.XLOOKUP(Cleaned[[#This Row],[AccountName]], Account_Mapping!A:A, Account_Mapping!B:B,"Unmapped")</f>
        <v>Operating Expense</v>
      </c>
      <c r="O279" cm="1">
        <f t="array" ref="O279">_xlfn.XLOOKUP(
  1,
  (FX_Rates[Currency]=Cleaned[[#This Row],[Currency]])*
  (FX_Rates[RateDate]&lt;=Cleaned[[#This Row],[TxnDate]]),
  FX_Rates[Rate_To_INR],
  ,
  -1
)</f>
        <v>61</v>
      </c>
      <c r="P279" s="2">
        <f>Cleaned[[#This Row],[Net Amount]] *  Cleaned[[#This Row],[FX_rates]]</f>
        <v>-5199.6399999999994</v>
      </c>
    </row>
    <row r="280" spans="1:16" x14ac:dyDescent="0.45">
      <c r="A280" t="s">
        <v>288</v>
      </c>
      <c r="B280" s="1">
        <v>45174</v>
      </c>
      <c r="C280" s="2" t="s">
        <v>2013</v>
      </c>
      <c r="D280" t="s">
        <v>2018</v>
      </c>
      <c r="E280">
        <v>628.62</v>
      </c>
      <c r="F280">
        <f>Cleaned[[#This Row],[Debit]] * Cleaned[[#This Row],[FX_rates]]</f>
        <v>35202.720000000001</v>
      </c>
      <c r="G280">
        <v>0</v>
      </c>
      <c r="H280">
        <f>Cleaned[[#This Row],[Credit]] *  Cleaned[[#This Row],[FX_rates]]</f>
        <v>0</v>
      </c>
      <c r="I280" t="s">
        <v>2021</v>
      </c>
      <c r="J280" t="s">
        <v>2029</v>
      </c>
      <c r="K280" t="s">
        <v>2309</v>
      </c>
      <c r="L280" t="s">
        <v>4033</v>
      </c>
      <c r="M280">
        <f>Cleaned[[#This Row],[Credit]]-Cleaned[[#This Row],[Debit]]</f>
        <v>-628.62</v>
      </c>
      <c r="N280" t="str">
        <f>_xlfn.XLOOKUP(Cleaned[[#This Row],[AccountName]], Account_Mapping!A:A, Account_Mapping!B:B,"Unmapped")</f>
        <v>Operating Expense</v>
      </c>
      <c r="O280" cm="1">
        <f t="array" ref="O280">_xlfn.XLOOKUP(
  1,
  (FX_Rates[Currency]=Cleaned[[#This Row],[Currency]])*
  (FX_Rates[RateDate]&lt;=Cleaned[[#This Row],[TxnDate]]),
  FX_Rates[Rate_To_INR],
  ,
  -1
)</f>
        <v>56</v>
      </c>
      <c r="P280" s="2">
        <f>Cleaned[[#This Row],[Net Amount]] *  Cleaned[[#This Row],[FX_rates]]</f>
        <v>-35202.720000000001</v>
      </c>
    </row>
    <row r="281" spans="1:16" x14ac:dyDescent="0.45">
      <c r="A281" t="s">
        <v>289</v>
      </c>
      <c r="B281" s="1">
        <v>45025</v>
      </c>
      <c r="C281" s="2" t="s">
        <v>2010</v>
      </c>
      <c r="D281" t="s">
        <v>2015</v>
      </c>
      <c r="E281">
        <v>0</v>
      </c>
      <c r="F281">
        <f>Cleaned[[#This Row],[Debit]] * Cleaned[[#This Row],[FX_rates]]</f>
        <v>0</v>
      </c>
      <c r="G281">
        <v>1358.19</v>
      </c>
      <c r="H281">
        <f>Cleaned[[#This Row],[Credit]] *  Cleaned[[#This Row],[FX_rates]]</f>
        <v>139893.57</v>
      </c>
      <c r="I281" t="s">
        <v>2023</v>
      </c>
      <c r="J281" t="s">
        <v>2028</v>
      </c>
      <c r="K281" t="s">
        <v>2310</v>
      </c>
      <c r="L281" t="s">
        <v>4031</v>
      </c>
      <c r="M281">
        <f>Cleaned[[#This Row],[Credit]]-Cleaned[[#This Row],[Debit]]</f>
        <v>1358.19</v>
      </c>
      <c r="N281" t="str">
        <f>_xlfn.XLOOKUP(Cleaned[[#This Row],[AccountName]], Account_Mapping!A:A, Account_Mapping!B:B,"Unmapped")</f>
        <v>Revenue</v>
      </c>
      <c r="O281" cm="1">
        <f t="array" ref="O281">_xlfn.XLOOKUP(
  1,
  (FX_Rates[Currency]=Cleaned[[#This Row],[Currency]])*
  (FX_Rates[RateDate]&lt;=Cleaned[[#This Row],[TxnDate]]),
  FX_Rates[Rate_To_INR],
  ,
  -1
)</f>
        <v>103</v>
      </c>
      <c r="P281" s="2">
        <f>Cleaned[[#This Row],[Net Amount]] *  Cleaned[[#This Row],[FX_rates]]</f>
        <v>139893.57</v>
      </c>
    </row>
    <row r="282" spans="1:16" x14ac:dyDescent="0.45">
      <c r="A282" t="s">
        <v>290</v>
      </c>
      <c r="B282" s="1">
        <v>45475</v>
      </c>
      <c r="C282" s="2" t="s">
        <v>2014</v>
      </c>
      <c r="D282" t="s">
        <v>2019</v>
      </c>
      <c r="E282">
        <v>0</v>
      </c>
      <c r="F282">
        <f>Cleaned[[#This Row],[Debit]] * Cleaned[[#This Row],[FX_rates]]</f>
        <v>0</v>
      </c>
      <c r="G282">
        <v>2329.64</v>
      </c>
      <c r="H282">
        <f>Cleaned[[#This Row],[Credit]] *  Cleaned[[#This Row],[FX_rates]]</f>
        <v>191030.47999999998</v>
      </c>
      <c r="I282" t="s">
        <v>2024</v>
      </c>
      <c r="J282" t="s">
        <v>2028</v>
      </c>
      <c r="K282" t="s">
        <v>2311</v>
      </c>
      <c r="L282" t="s">
        <v>4034</v>
      </c>
      <c r="M282">
        <f>Cleaned[[#This Row],[Credit]]-Cleaned[[#This Row],[Debit]]</f>
        <v>2329.64</v>
      </c>
      <c r="N282" t="str">
        <f>_xlfn.XLOOKUP(Cleaned[[#This Row],[AccountName]], Account_Mapping!A:A, Account_Mapping!B:B,"Unmapped")</f>
        <v>Revenue</v>
      </c>
      <c r="O282" cm="1">
        <f t="array" ref="O282">_xlfn.XLOOKUP(
  1,
  (FX_Rates[Currency]=Cleaned[[#This Row],[Currency]])*
  (FX_Rates[RateDate]&lt;=Cleaned[[#This Row],[TxnDate]]),
  FX_Rates[Rate_To_INR],
  ,
  -1
)</f>
        <v>82</v>
      </c>
      <c r="P282" s="2">
        <f>Cleaned[[#This Row],[Net Amount]] *  Cleaned[[#This Row],[FX_rates]]</f>
        <v>191030.47999999998</v>
      </c>
    </row>
    <row r="283" spans="1:16" x14ac:dyDescent="0.45">
      <c r="A283" t="s">
        <v>291</v>
      </c>
      <c r="B283" s="1">
        <v>45662</v>
      </c>
      <c r="C283" s="2" t="s">
        <v>2012</v>
      </c>
      <c r="D283" t="s">
        <v>2017</v>
      </c>
      <c r="E283">
        <v>1039.56</v>
      </c>
      <c r="F283">
        <f>Cleaned[[#This Row],[Debit]] * Cleaned[[#This Row],[FX_rates]]</f>
        <v>63413.159999999996</v>
      </c>
      <c r="G283">
        <v>0</v>
      </c>
      <c r="H283">
        <f>Cleaned[[#This Row],[Credit]] *  Cleaned[[#This Row],[FX_rates]]</f>
        <v>0</v>
      </c>
      <c r="I283" t="s">
        <v>2020</v>
      </c>
      <c r="J283" t="s">
        <v>2029</v>
      </c>
      <c r="K283" t="s">
        <v>2312</v>
      </c>
      <c r="L283" t="s">
        <v>4035</v>
      </c>
      <c r="M283">
        <f>Cleaned[[#This Row],[Credit]]-Cleaned[[#This Row],[Debit]]</f>
        <v>-1039.56</v>
      </c>
      <c r="N283" t="str">
        <f>_xlfn.XLOOKUP(Cleaned[[#This Row],[AccountName]], Account_Mapping!A:A, Account_Mapping!B:B,"Unmapped")</f>
        <v>Operating Expense</v>
      </c>
      <c r="O283" cm="1">
        <f t="array" ref="O283">_xlfn.XLOOKUP(
  1,
  (FX_Rates[Currency]=Cleaned[[#This Row],[Currency]])*
  (FX_Rates[RateDate]&lt;=Cleaned[[#This Row],[TxnDate]]),
  FX_Rates[Rate_To_INR],
  ,
  -1
)</f>
        <v>61</v>
      </c>
      <c r="P283" s="2">
        <f>Cleaned[[#This Row],[Net Amount]] *  Cleaned[[#This Row],[FX_rates]]</f>
        <v>-63413.159999999996</v>
      </c>
    </row>
    <row r="284" spans="1:16" x14ac:dyDescent="0.45">
      <c r="A284" t="s">
        <v>292</v>
      </c>
      <c r="B284" s="1">
        <v>45000</v>
      </c>
      <c r="C284" s="2" t="s">
        <v>2013</v>
      </c>
      <c r="D284" t="s">
        <v>2018</v>
      </c>
      <c r="E284">
        <v>1441.17</v>
      </c>
      <c r="F284">
        <f>Cleaned[[#This Row],[Debit]] * Cleaned[[#This Row],[FX_rates]]</f>
        <v>87911.37000000001</v>
      </c>
      <c r="G284">
        <v>0</v>
      </c>
      <c r="H284">
        <f>Cleaned[[#This Row],[Credit]] *  Cleaned[[#This Row],[FX_rates]]</f>
        <v>0</v>
      </c>
      <c r="I284" t="s">
        <v>2021</v>
      </c>
      <c r="J284" t="s">
        <v>2028</v>
      </c>
      <c r="K284" t="s">
        <v>2313</v>
      </c>
      <c r="L284" t="s">
        <v>4035</v>
      </c>
      <c r="M284">
        <f>Cleaned[[#This Row],[Credit]]-Cleaned[[#This Row],[Debit]]</f>
        <v>-1441.17</v>
      </c>
      <c r="N284" t="str">
        <f>_xlfn.XLOOKUP(Cleaned[[#This Row],[AccountName]], Account_Mapping!A:A, Account_Mapping!B:B,"Unmapped")</f>
        <v>Operating Expense</v>
      </c>
      <c r="O284" cm="1">
        <f t="array" ref="O284">_xlfn.XLOOKUP(
  1,
  (FX_Rates[Currency]=Cleaned[[#This Row],[Currency]])*
  (FX_Rates[RateDate]&lt;=Cleaned[[#This Row],[TxnDate]]),
  FX_Rates[Rate_To_INR],
  ,
  -1
)</f>
        <v>61</v>
      </c>
      <c r="P284" s="2">
        <f>Cleaned[[#This Row],[Net Amount]] *  Cleaned[[#This Row],[FX_rates]]</f>
        <v>-87911.37000000001</v>
      </c>
    </row>
    <row r="285" spans="1:16" x14ac:dyDescent="0.45">
      <c r="A285" t="s">
        <v>293</v>
      </c>
      <c r="B285" s="1">
        <v>45031</v>
      </c>
      <c r="C285" s="2" t="s">
        <v>2010</v>
      </c>
      <c r="D285" t="s">
        <v>2015</v>
      </c>
      <c r="E285">
        <v>0</v>
      </c>
      <c r="F285">
        <f>Cleaned[[#This Row],[Debit]] * Cleaned[[#This Row],[FX_rates]]</f>
        <v>0</v>
      </c>
      <c r="G285">
        <v>873.53</v>
      </c>
      <c r="H285">
        <f>Cleaned[[#This Row],[Credit]] *  Cleaned[[#This Row],[FX_rates]]</f>
        <v>76870.64</v>
      </c>
      <c r="I285" t="s">
        <v>2022</v>
      </c>
      <c r="J285" t="s">
        <v>2029</v>
      </c>
      <c r="K285" t="s">
        <v>2314</v>
      </c>
      <c r="L285" t="s">
        <v>4032</v>
      </c>
      <c r="M285">
        <f>Cleaned[[#This Row],[Credit]]-Cleaned[[#This Row],[Debit]]</f>
        <v>873.53</v>
      </c>
      <c r="N285" t="str">
        <f>_xlfn.XLOOKUP(Cleaned[[#This Row],[AccountName]], Account_Mapping!A:A, Account_Mapping!B:B,"Unmapped")</f>
        <v>Revenue</v>
      </c>
      <c r="O285" cm="1">
        <f t="array" ref="O285">_xlfn.XLOOKUP(
  1,
  (FX_Rates[Currency]=Cleaned[[#This Row],[Currency]])*
  (FX_Rates[RateDate]&lt;=Cleaned[[#This Row],[TxnDate]]),
  FX_Rates[Rate_To_INR],
  ,
  -1
)</f>
        <v>88</v>
      </c>
      <c r="P285" s="2">
        <f>Cleaned[[#This Row],[Net Amount]] *  Cleaned[[#This Row],[FX_rates]]</f>
        <v>76870.64</v>
      </c>
    </row>
    <row r="286" spans="1:16" x14ac:dyDescent="0.45">
      <c r="A286" t="s">
        <v>294</v>
      </c>
      <c r="B286" s="1">
        <v>45685</v>
      </c>
      <c r="C286" s="2" t="s">
        <v>2010</v>
      </c>
      <c r="D286" t="s">
        <v>2015</v>
      </c>
      <c r="E286">
        <v>0</v>
      </c>
      <c r="F286">
        <f>Cleaned[[#This Row],[Debit]] * Cleaned[[#This Row],[FX_rates]]</f>
        <v>0</v>
      </c>
      <c r="G286">
        <v>1932.35</v>
      </c>
      <c r="H286">
        <f>Cleaned[[#This Row],[Credit]] *  Cleaned[[#This Row],[FX_rates]]</f>
        <v>108211.59999999999</v>
      </c>
      <c r="I286" t="s">
        <v>2020</v>
      </c>
      <c r="J286" t="s">
        <v>2028</v>
      </c>
      <c r="K286" t="s">
        <v>2315</v>
      </c>
      <c r="L286" t="s">
        <v>4033</v>
      </c>
      <c r="M286">
        <f>Cleaned[[#This Row],[Credit]]-Cleaned[[#This Row],[Debit]]</f>
        <v>1932.35</v>
      </c>
      <c r="N286" t="str">
        <f>_xlfn.XLOOKUP(Cleaned[[#This Row],[AccountName]], Account_Mapping!A:A, Account_Mapping!B:B,"Unmapped")</f>
        <v>Revenue</v>
      </c>
      <c r="O286" cm="1">
        <f t="array" ref="O286">_xlfn.XLOOKUP(
  1,
  (FX_Rates[Currency]=Cleaned[[#This Row],[Currency]])*
  (FX_Rates[RateDate]&lt;=Cleaned[[#This Row],[TxnDate]]),
  FX_Rates[Rate_To_INR],
  ,
  -1
)</f>
        <v>56</v>
      </c>
      <c r="P286" s="2">
        <f>Cleaned[[#This Row],[Net Amount]] *  Cleaned[[#This Row],[FX_rates]]</f>
        <v>108211.59999999999</v>
      </c>
    </row>
    <row r="287" spans="1:16" x14ac:dyDescent="0.45">
      <c r="A287" t="s">
        <v>295</v>
      </c>
      <c r="B287" s="1">
        <v>45833</v>
      </c>
      <c r="C287" s="2" t="s">
        <v>2011</v>
      </c>
      <c r="D287" t="s">
        <v>2016</v>
      </c>
      <c r="E287">
        <v>1733.12</v>
      </c>
      <c r="F287">
        <f>Cleaned[[#This Row],[Debit]] * Cleaned[[#This Row],[FX_rates]]</f>
        <v>105720.31999999999</v>
      </c>
      <c r="G287">
        <v>0</v>
      </c>
      <c r="H287">
        <f>Cleaned[[#This Row],[Credit]] *  Cleaned[[#This Row],[FX_rates]]</f>
        <v>0</v>
      </c>
      <c r="I287" t="s">
        <v>2020</v>
      </c>
      <c r="J287" t="s">
        <v>2026</v>
      </c>
      <c r="K287" t="s">
        <v>2316</v>
      </c>
      <c r="L287" t="s">
        <v>4035</v>
      </c>
      <c r="M287">
        <f>Cleaned[[#This Row],[Credit]]-Cleaned[[#This Row],[Debit]]</f>
        <v>-1733.12</v>
      </c>
      <c r="N287" t="str">
        <f>_xlfn.XLOOKUP(Cleaned[[#This Row],[AccountName]], Account_Mapping!A:A, Account_Mapping!B:B,"Unmapped")</f>
        <v>COGS</v>
      </c>
      <c r="O287" cm="1">
        <f t="array" ref="O287">_xlfn.XLOOKUP(
  1,
  (FX_Rates[Currency]=Cleaned[[#This Row],[Currency]])*
  (FX_Rates[RateDate]&lt;=Cleaned[[#This Row],[TxnDate]]),
  FX_Rates[Rate_To_INR],
  ,
  -1
)</f>
        <v>61</v>
      </c>
      <c r="P287" s="2">
        <f>Cleaned[[#This Row],[Net Amount]] *  Cleaned[[#This Row],[FX_rates]]</f>
        <v>-105720.31999999999</v>
      </c>
    </row>
    <row r="288" spans="1:16" x14ac:dyDescent="0.45">
      <c r="A288" t="s">
        <v>296</v>
      </c>
      <c r="B288" s="1">
        <v>45622</v>
      </c>
      <c r="C288" s="2" t="s">
        <v>2010</v>
      </c>
      <c r="D288" t="s">
        <v>2015</v>
      </c>
      <c r="E288">
        <v>0</v>
      </c>
      <c r="F288">
        <f>Cleaned[[#This Row],[Debit]] * Cleaned[[#This Row],[FX_rates]]</f>
        <v>0</v>
      </c>
      <c r="G288">
        <v>3004.12</v>
      </c>
      <c r="H288">
        <f>Cleaned[[#This Row],[Credit]] *  Cleaned[[#This Row],[FX_rates]]</f>
        <v>264362.56</v>
      </c>
      <c r="I288" t="s">
        <v>2020</v>
      </c>
      <c r="J288" t="s">
        <v>2029</v>
      </c>
      <c r="K288" t="s">
        <v>2317</v>
      </c>
      <c r="L288" t="s">
        <v>4032</v>
      </c>
      <c r="M288">
        <f>Cleaned[[#This Row],[Credit]]-Cleaned[[#This Row],[Debit]]</f>
        <v>3004.12</v>
      </c>
      <c r="N288" t="str">
        <f>_xlfn.XLOOKUP(Cleaned[[#This Row],[AccountName]], Account_Mapping!A:A, Account_Mapping!B:B,"Unmapped")</f>
        <v>Revenue</v>
      </c>
      <c r="O288" cm="1">
        <f t="array" ref="O288">_xlfn.XLOOKUP(
  1,
  (FX_Rates[Currency]=Cleaned[[#This Row],[Currency]])*
  (FX_Rates[RateDate]&lt;=Cleaned[[#This Row],[TxnDate]]),
  FX_Rates[Rate_To_INR],
  ,
  -1
)</f>
        <v>88</v>
      </c>
      <c r="P288" s="2">
        <f>Cleaned[[#This Row],[Net Amount]] *  Cleaned[[#This Row],[FX_rates]]</f>
        <v>264362.56</v>
      </c>
    </row>
    <row r="289" spans="1:16" x14ac:dyDescent="0.45">
      <c r="A289" t="s">
        <v>297</v>
      </c>
      <c r="B289" s="1">
        <v>45383</v>
      </c>
      <c r="C289" s="2" t="s">
        <v>2013</v>
      </c>
      <c r="D289" t="s">
        <v>2018</v>
      </c>
      <c r="E289">
        <v>1521.85</v>
      </c>
      <c r="F289">
        <f>Cleaned[[#This Row],[Debit]] * Cleaned[[#This Row],[FX_rates]]</f>
        <v>85223.599999999991</v>
      </c>
      <c r="G289">
        <v>0</v>
      </c>
      <c r="H289">
        <f>Cleaned[[#This Row],[Credit]] *  Cleaned[[#This Row],[FX_rates]]</f>
        <v>0</v>
      </c>
      <c r="I289" t="s">
        <v>2022</v>
      </c>
      <c r="J289" t="s">
        <v>2030</v>
      </c>
      <c r="K289" t="s">
        <v>2318</v>
      </c>
      <c r="L289" t="s">
        <v>4033</v>
      </c>
      <c r="M289">
        <f>Cleaned[[#This Row],[Credit]]-Cleaned[[#This Row],[Debit]]</f>
        <v>-1521.85</v>
      </c>
      <c r="N289" t="str">
        <f>_xlfn.XLOOKUP(Cleaned[[#This Row],[AccountName]], Account_Mapping!A:A, Account_Mapping!B:B,"Unmapped")</f>
        <v>Operating Expense</v>
      </c>
      <c r="O289" cm="1">
        <f t="array" ref="O289">_xlfn.XLOOKUP(
  1,
  (FX_Rates[Currency]=Cleaned[[#This Row],[Currency]])*
  (FX_Rates[RateDate]&lt;=Cleaned[[#This Row],[TxnDate]]),
  FX_Rates[Rate_To_INR],
  ,
  -1
)</f>
        <v>56</v>
      </c>
      <c r="P289" s="2">
        <f>Cleaned[[#This Row],[Net Amount]] *  Cleaned[[#This Row],[FX_rates]]</f>
        <v>-85223.599999999991</v>
      </c>
    </row>
    <row r="290" spans="1:16" x14ac:dyDescent="0.45">
      <c r="A290" t="s">
        <v>298</v>
      </c>
      <c r="B290" s="1">
        <v>45712</v>
      </c>
      <c r="C290" s="2" t="s">
        <v>2011</v>
      </c>
      <c r="D290" t="s">
        <v>2016</v>
      </c>
      <c r="E290">
        <v>1486.16</v>
      </c>
      <c r="F290">
        <f>Cleaned[[#This Row],[Debit]] * Cleaned[[#This Row],[FX_rates]]</f>
        <v>83224.960000000006</v>
      </c>
      <c r="G290">
        <v>0</v>
      </c>
      <c r="H290">
        <f>Cleaned[[#This Row],[Credit]] *  Cleaned[[#This Row],[FX_rates]]</f>
        <v>0</v>
      </c>
      <c r="I290" t="s">
        <v>2023</v>
      </c>
      <c r="J290" t="s">
        <v>2026</v>
      </c>
      <c r="K290" t="s">
        <v>2319</v>
      </c>
      <c r="L290" t="s">
        <v>4033</v>
      </c>
      <c r="M290">
        <f>Cleaned[[#This Row],[Credit]]-Cleaned[[#This Row],[Debit]]</f>
        <v>-1486.16</v>
      </c>
      <c r="N290" t="str">
        <f>_xlfn.XLOOKUP(Cleaned[[#This Row],[AccountName]], Account_Mapping!A:A, Account_Mapping!B:B,"Unmapped")</f>
        <v>COGS</v>
      </c>
      <c r="O290" cm="1">
        <f t="array" ref="O290">_xlfn.XLOOKUP(
  1,
  (FX_Rates[Currency]=Cleaned[[#This Row],[Currency]])*
  (FX_Rates[RateDate]&lt;=Cleaned[[#This Row],[TxnDate]]),
  FX_Rates[Rate_To_INR],
  ,
  -1
)</f>
        <v>56</v>
      </c>
      <c r="P290" s="2">
        <f>Cleaned[[#This Row],[Net Amount]] *  Cleaned[[#This Row],[FX_rates]]</f>
        <v>-83224.960000000006</v>
      </c>
    </row>
    <row r="291" spans="1:16" x14ac:dyDescent="0.45">
      <c r="A291" t="s">
        <v>299</v>
      </c>
      <c r="B291" s="1">
        <v>45777</v>
      </c>
      <c r="C291" s="2" t="s">
        <v>2011</v>
      </c>
      <c r="D291" t="s">
        <v>2016</v>
      </c>
      <c r="E291">
        <v>1308.19</v>
      </c>
      <c r="F291">
        <f>Cleaned[[#This Row],[Debit]] * Cleaned[[#This Row],[FX_rates]]</f>
        <v>107271.58</v>
      </c>
      <c r="G291">
        <v>0</v>
      </c>
      <c r="H291">
        <f>Cleaned[[#This Row],[Credit]] *  Cleaned[[#This Row],[FX_rates]]</f>
        <v>0</v>
      </c>
      <c r="I291" t="s">
        <v>2020</v>
      </c>
      <c r="J291" t="s">
        <v>2028</v>
      </c>
      <c r="K291" t="s">
        <v>2320</v>
      </c>
      <c r="L291" t="s">
        <v>4034</v>
      </c>
      <c r="M291">
        <f>Cleaned[[#This Row],[Credit]]-Cleaned[[#This Row],[Debit]]</f>
        <v>-1308.19</v>
      </c>
      <c r="N291" t="str">
        <f>_xlfn.XLOOKUP(Cleaned[[#This Row],[AccountName]], Account_Mapping!A:A, Account_Mapping!B:B,"Unmapped")</f>
        <v>COGS</v>
      </c>
      <c r="O291" cm="1">
        <f t="array" ref="O291">_xlfn.XLOOKUP(
  1,
  (FX_Rates[Currency]=Cleaned[[#This Row],[Currency]])*
  (FX_Rates[RateDate]&lt;=Cleaned[[#This Row],[TxnDate]]),
  FX_Rates[Rate_To_INR],
  ,
  -1
)</f>
        <v>82</v>
      </c>
      <c r="P291" s="2">
        <f>Cleaned[[#This Row],[Net Amount]] *  Cleaned[[#This Row],[FX_rates]]</f>
        <v>-107271.58</v>
      </c>
    </row>
    <row r="292" spans="1:16" x14ac:dyDescent="0.45">
      <c r="A292" t="s">
        <v>300</v>
      </c>
      <c r="B292" s="1">
        <v>45690</v>
      </c>
      <c r="C292" s="2" t="s">
        <v>2011</v>
      </c>
      <c r="D292" t="s">
        <v>2016</v>
      </c>
      <c r="E292">
        <v>1765.16</v>
      </c>
      <c r="F292">
        <f>Cleaned[[#This Row],[Debit]] * Cleaned[[#This Row],[FX_rates]]</f>
        <v>98848.960000000006</v>
      </c>
      <c r="G292">
        <v>0</v>
      </c>
      <c r="H292">
        <f>Cleaned[[#This Row],[Credit]] *  Cleaned[[#This Row],[FX_rates]]</f>
        <v>0</v>
      </c>
      <c r="I292" t="s">
        <v>2023</v>
      </c>
      <c r="J292" t="s">
        <v>2029</v>
      </c>
      <c r="K292" t="s">
        <v>2321</v>
      </c>
      <c r="L292" t="s">
        <v>4033</v>
      </c>
      <c r="M292">
        <f>Cleaned[[#This Row],[Credit]]-Cleaned[[#This Row],[Debit]]</f>
        <v>-1765.16</v>
      </c>
      <c r="N292" t="str">
        <f>_xlfn.XLOOKUP(Cleaned[[#This Row],[AccountName]], Account_Mapping!A:A, Account_Mapping!B:B,"Unmapped")</f>
        <v>COGS</v>
      </c>
      <c r="O292" cm="1">
        <f t="array" ref="O292">_xlfn.XLOOKUP(
  1,
  (FX_Rates[Currency]=Cleaned[[#This Row],[Currency]])*
  (FX_Rates[RateDate]&lt;=Cleaned[[#This Row],[TxnDate]]),
  FX_Rates[Rate_To_INR],
  ,
  -1
)</f>
        <v>56</v>
      </c>
      <c r="P292" s="2">
        <f>Cleaned[[#This Row],[Net Amount]] *  Cleaned[[#This Row],[FX_rates]]</f>
        <v>-98848.960000000006</v>
      </c>
    </row>
    <row r="293" spans="1:16" x14ac:dyDescent="0.45">
      <c r="A293" t="s">
        <v>301</v>
      </c>
      <c r="B293" s="1">
        <v>45422</v>
      </c>
      <c r="C293" s="2" t="s">
        <v>2013</v>
      </c>
      <c r="D293" t="s">
        <v>2018</v>
      </c>
      <c r="E293">
        <v>842.35</v>
      </c>
      <c r="F293">
        <f>Cleaned[[#This Row],[Debit]] * Cleaned[[#This Row],[FX_rates]]</f>
        <v>69072.7</v>
      </c>
      <c r="G293">
        <v>0</v>
      </c>
      <c r="H293">
        <f>Cleaned[[#This Row],[Credit]] *  Cleaned[[#This Row],[FX_rates]]</f>
        <v>0</v>
      </c>
      <c r="I293" t="s">
        <v>2023</v>
      </c>
      <c r="J293" t="s">
        <v>2029</v>
      </c>
      <c r="K293" t="s">
        <v>2322</v>
      </c>
      <c r="L293" t="s">
        <v>4034</v>
      </c>
      <c r="M293">
        <f>Cleaned[[#This Row],[Credit]]-Cleaned[[#This Row],[Debit]]</f>
        <v>-842.35</v>
      </c>
      <c r="N293" t="str">
        <f>_xlfn.XLOOKUP(Cleaned[[#This Row],[AccountName]], Account_Mapping!A:A, Account_Mapping!B:B,"Unmapped")</f>
        <v>Operating Expense</v>
      </c>
      <c r="O293" cm="1">
        <f t="array" ref="O293">_xlfn.XLOOKUP(
  1,
  (FX_Rates[Currency]=Cleaned[[#This Row],[Currency]])*
  (FX_Rates[RateDate]&lt;=Cleaned[[#This Row],[TxnDate]]),
  FX_Rates[Rate_To_INR],
  ,
  -1
)</f>
        <v>82</v>
      </c>
      <c r="P293" s="2">
        <f>Cleaned[[#This Row],[Net Amount]] *  Cleaned[[#This Row],[FX_rates]]</f>
        <v>-69072.7</v>
      </c>
    </row>
    <row r="294" spans="1:16" x14ac:dyDescent="0.45">
      <c r="A294" t="s">
        <v>302</v>
      </c>
      <c r="B294" s="1">
        <v>45351</v>
      </c>
      <c r="C294" s="2" t="s">
        <v>2013</v>
      </c>
      <c r="D294" t="s">
        <v>2018</v>
      </c>
      <c r="E294">
        <v>788.28</v>
      </c>
      <c r="F294">
        <f>Cleaned[[#This Row],[Debit]] * Cleaned[[#This Row],[FX_rates]]</f>
        <v>69368.639999999999</v>
      </c>
      <c r="G294">
        <v>0</v>
      </c>
      <c r="H294">
        <f>Cleaned[[#This Row],[Credit]] *  Cleaned[[#This Row],[FX_rates]]</f>
        <v>0</v>
      </c>
      <c r="I294" t="s">
        <v>2021</v>
      </c>
      <c r="J294" t="s">
        <v>2026</v>
      </c>
      <c r="K294" t="s">
        <v>2323</v>
      </c>
      <c r="L294" t="s">
        <v>4032</v>
      </c>
      <c r="M294">
        <f>Cleaned[[#This Row],[Credit]]-Cleaned[[#This Row],[Debit]]</f>
        <v>-788.28</v>
      </c>
      <c r="N294" t="str">
        <f>_xlfn.XLOOKUP(Cleaned[[#This Row],[AccountName]], Account_Mapping!A:A, Account_Mapping!B:B,"Unmapped")</f>
        <v>Operating Expense</v>
      </c>
      <c r="O294" cm="1">
        <f t="array" ref="O294">_xlfn.XLOOKUP(
  1,
  (FX_Rates[Currency]=Cleaned[[#This Row],[Currency]])*
  (FX_Rates[RateDate]&lt;=Cleaned[[#This Row],[TxnDate]]),
  FX_Rates[Rate_To_INR],
  ,
  -1
)</f>
        <v>88</v>
      </c>
      <c r="P294" s="2">
        <f>Cleaned[[#This Row],[Net Amount]] *  Cleaned[[#This Row],[FX_rates]]</f>
        <v>-69368.639999999999</v>
      </c>
    </row>
    <row r="295" spans="1:16" x14ac:dyDescent="0.45">
      <c r="A295" t="s">
        <v>303</v>
      </c>
      <c r="B295" s="1">
        <v>45535</v>
      </c>
      <c r="C295" s="2" t="s">
        <v>2010</v>
      </c>
      <c r="D295" t="s">
        <v>2015</v>
      </c>
      <c r="E295">
        <v>0</v>
      </c>
      <c r="F295">
        <f>Cleaned[[#This Row],[Debit]] * Cleaned[[#This Row],[FX_rates]]</f>
        <v>0</v>
      </c>
      <c r="G295">
        <v>239.94</v>
      </c>
      <c r="H295">
        <f>Cleaned[[#This Row],[Credit]] *  Cleaned[[#This Row],[FX_rates]]</f>
        <v>21114.720000000001</v>
      </c>
      <c r="I295" t="s">
        <v>2024</v>
      </c>
      <c r="J295" t="s">
        <v>2029</v>
      </c>
      <c r="K295" t="s">
        <v>2324</v>
      </c>
      <c r="L295" t="s">
        <v>4032</v>
      </c>
      <c r="M295">
        <f>Cleaned[[#This Row],[Credit]]-Cleaned[[#This Row],[Debit]]</f>
        <v>239.94</v>
      </c>
      <c r="N295" t="str">
        <f>_xlfn.XLOOKUP(Cleaned[[#This Row],[AccountName]], Account_Mapping!A:A, Account_Mapping!B:B,"Unmapped")</f>
        <v>Revenue</v>
      </c>
      <c r="O295" cm="1">
        <f t="array" ref="O295">_xlfn.XLOOKUP(
  1,
  (FX_Rates[Currency]=Cleaned[[#This Row],[Currency]])*
  (FX_Rates[RateDate]&lt;=Cleaned[[#This Row],[TxnDate]]),
  FX_Rates[Rate_To_INR],
  ,
  -1
)</f>
        <v>88</v>
      </c>
      <c r="P295" s="2">
        <f>Cleaned[[#This Row],[Net Amount]] *  Cleaned[[#This Row],[FX_rates]]</f>
        <v>21114.720000000001</v>
      </c>
    </row>
    <row r="296" spans="1:16" x14ac:dyDescent="0.45">
      <c r="A296" t="s">
        <v>304</v>
      </c>
      <c r="B296" s="1">
        <v>45679</v>
      </c>
      <c r="C296" s="2" t="s">
        <v>2010</v>
      </c>
      <c r="D296" t="s">
        <v>2015</v>
      </c>
      <c r="E296">
        <v>0</v>
      </c>
      <c r="F296">
        <f>Cleaned[[#This Row],[Debit]] * Cleaned[[#This Row],[FX_rates]]</f>
        <v>0</v>
      </c>
      <c r="G296">
        <v>4378.1899999999996</v>
      </c>
      <c r="H296">
        <f>Cleaned[[#This Row],[Credit]] *  Cleaned[[#This Row],[FX_rates]]</f>
        <v>385280.72</v>
      </c>
      <c r="I296" t="s">
        <v>2023</v>
      </c>
      <c r="J296" t="s">
        <v>2028</v>
      </c>
      <c r="K296" t="s">
        <v>2325</v>
      </c>
      <c r="L296" t="s">
        <v>4032</v>
      </c>
      <c r="M296">
        <f>Cleaned[[#This Row],[Credit]]-Cleaned[[#This Row],[Debit]]</f>
        <v>4378.1899999999996</v>
      </c>
      <c r="N296" t="str">
        <f>_xlfn.XLOOKUP(Cleaned[[#This Row],[AccountName]], Account_Mapping!A:A, Account_Mapping!B:B,"Unmapped")</f>
        <v>Revenue</v>
      </c>
      <c r="O296" cm="1">
        <f t="array" ref="O296">_xlfn.XLOOKUP(
  1,
  (FX_Rates[Currency]=Cleaned[[#This Row],[Currency]])*
  (FX_Rates[RateDate]&lt;=Cleaned[[#This Row],[TxnDate]]),
  FX_Rates[Rate_To_INR],
  ,
  -1
)</f>
        <v>88</v>
      </c>
      <c r="P296" s="2">
        <f>Cleaned[[#This Row],[Net Amount]] *  Cleaned[[#This Row],[FX_rates]]</f>
        <v>385280.72</v>
      </c>
    </row>
    <row r="297" spans="1:16" x14ac:dyDescent="0.45">
      <c r="A297" t="s">
        <v>305</v>
      </c>
      <c r="B297" s="1">
        <v>45268</v>
      </c>
      <c r="C297" s="2" t="s">
        <v>2012</v>
      </c>
      <c r="D297" t="s">
        <v>2017</v>
      </c>
      <c r="E297">
        <v>1116.99</v>
      </c>
      <c r="F297">
        <f>Cleaned[[#This Row],[Debit]] * Cleaned[[#This Row],[FX_rates]]</f>
        <v>62551.44</v>
      </c>
      <c r="G297">
        <v>0</v>
      </c>
      <c r="H297">
        <f>Cleaned[[#This Row],[Credit]] *  Cleaned[[#This Row],[FX_rates]]</f>
        <v>0</v>
      </c>
      <c r="I297" t="s">
        <v>2020</v>
      </c>
      <c r="J297" t="s">
        <v>2026</v>
      </c>
      <c r="K297" t="s">
        <v>2326</v>
      </c>
      <c r="L297" t="s">
        <v>4033</v>
      </c>
      <c r="M297">
        <f>Cleaned[[#This Row],[Credit]]-Cleaned[[#This Row],[Debit]]</f>
        <v>-1116.99</v>
      </c>
      <c r="N297" t="str">
        <f>_xlfn.XLOOKUP(Cleaned[[#This Row],[AccountName]], Account_Mapping!A:A, Account_Mapping!B:B,"Unmapped")</f>
        <v>Operating Expense</v>
      </c>
      <c r="O297" cm="1">
        <f t="array" ref="O297">_xlfn.XLOOKUP(
  1,
  (FX_Rates[Currency]=Cleaned[[#This Row],[Currency]])*
  (FX_Rates[RateDate]&lt;=Cleaned[[#This Row],[TxnDate]]),
  FX_Rates[Rate_To_INR],
  ,
  -1
)</f>
        <v>56</v>
      </c>
      <c r="P297" s="2">
        <f>Cleaned[[#This Row],[Net Amount]] *  Cleaned[[#This Row],[FX_rates]]</f>
        <v>-62551.44</v>
      </c>
    </row>
    <row r="298" spans="1:16" x14ac:dyDescent="0.45">
      <c r="A298" t="s">
        <v>306</v>
      </c>
      <c r="B298" s="1">
        <v>45269</v>
      </c>
      <c r="C298" s="2" t="s">
        <v>2013</v>
      </c>
      <c r="D298" t="s">
        <v>2018</v>
      </c>
      <c r="E298">
        <v>1902.75</v>
      </c>
      <c r="F298">
        <f>Cleaned[[#This Row],[Debit]] * Cleaned[[#This Row],[FX_rates]]</f>
        <v>195983.25</v>
      </c>
      <c r="G298">
        <v>0</v>
      </c>
      <c r="H298">
        <f>Cleaned[[#This Row],[Credit]] *  Cleaned[[#This Row],[FX_rates]]</f>
        <v>0</v>
      </c>
      <c r="I298" t="s">
        <v>2024</v>
      </c>
      <c r="J298" t="s">
        <v>2028</v>
      </c>
      <c r="K298" t="s">
        <v>2327</v>
      </c>
      <c r="L298" t="s">
        <v>4031</v>
      </c>
      <c r="M298">
        <f>Cleaned[[#This Row],[Credit]]-Cleaned[[#This Row],[Debit]]</f>
        <v>-1902.75</v>
      </c>
      <c r="N298" t="str">
        <f>_xlfn.XLOOKUP(Cleaned[[#This Row],[AccountName]], Account_Mapping!A:A, Account_Mapping!B:B,"Unmapped")</f>
        <v>Operating Expense</v>
      </c>
      <c r="O298" cm="1">
        <f t="array" ref="O298">_xlfn.XLOOKUP(
  1,
  (FX_Rates[Currency]=Cleaned[[#This Row],[Currency]])*
  (FX_Rates[RateDate]&lt;=Cleaned[[#This Row],[TxnDate]]),
  FX_Rates[Rate_To_INR],
  ,
  -1
)</f>
        <v>103</v>
      </c>
      <c r="P298" s="2">
        <f>Cleaned[[#This Row],[Net Amount]] *  Cleaned[[#This Row],[FX_rates]]</f>
        <v>-195983.25</v>
      </c>
    </row>
    <row r="299" spans="1:16" x14ac:dyDescent="0.45">
      <c r="A299" t="s">
        <v>307</v>
      </c>
      <c r="B299" s="1">
        <v>45625</v>
      </c>
      <c r="C299" s="2" t="s">
        <v>2013</v>
      </c>
      <c r="D299" t="s">
        <v>2018</v>
      </c>
      <c r="E299">
        <v>275.93</v>
      </c>
      <c r="F299">
        <f>Cleaned[[#This Row],[Debit]] * Cleaned[[#This Row],[FX_rates]]</f>
        <v>22626.260000000002</v>
      </c>
      <c r="G299">
        <v>0</v>
      </c>
      <c r="H299">
        <f>Cleaned[[#This Row],[Credit]] *  Cleaned[[#This Row],[FX_rates]]</f>
        <v>0</v>
      </c>
      <c r="I299" t="s">
        <v>2021</v>
      </c>
      <c r="J299" t="s">
        <v>2027</v>
      </c>
      <c r="K299" t="s">
        <v>2328</v>
      </c>
      <c r="L299" t="s">
        <v>4034</v>
      </c>
      <c r="M299">
        <f>Cleaned[[#This Row],[Credit]]-Cleaned[[#This Row],[Debit]]</f>
        <v>-275.93</v>
      </c>
      <c r="N299" t="str">
        <f>_xlfn.XLOOKUP(Cleaned[[#This Row],[AccountName]], Account_Mapping!A:A, Account_Mapping!B:B,"Unmapped")</f>
        <v>Operating Expense</v>
      </c>
      <c r="O299" cm="1">
        <f t="array" ref="O299">_xlfn.XLOOKUP(
  1,
  (FX_Rates[Currency]=Cleaned[[#This Row],[Currency]])*
  (FX_Rates[RateDate]&lt;=Cleaned[[#This Row],[TxnDate]]),
  FX_Rates[Rate_To_INR],
  ,
  -1
)</f>
        <v>82</v>
      </c>
      <c r="P299" s="2">
        <f>Cleaned[[#This Row],[Net Amount]] *  Cleaned[[#This Row],[FX_rates]]</f>
        <v>-22626.260000000002</v>
      </c>
    </row>
    <row r="300" spans="1:16" x14ac:dyDescent="0.45">
      <c r="A300" t="s">
        <v>308</v>
      </c>
      <c r="B300" s="1">
        <v>45555</v>
      </c>
      <c r="C300" s="2" t="s">
        <v>2012</v>
      </c>
      <c r="D300" t="s">
        <v>2017</v>
      </c>
      <c r="E300">
        <v>1761.1</v>
      </c>
      <c r="F300">
        <f>Cleaned[[#This Row],[Debit]] * Cleaned[[#This Row],[FX_rates]]</f>
        <v>98621.599999999991</v>
      </c>
      <c r="G300">
        <v>0</v>
      </c>
      <c r="H300">
        <f>Cleaned[[#This Row],[Credit]] *  Cleaned[[#This Row],[FX_rates]]</f>
        <v>0</v>
      </c>
      <c r="I300" t="s">
        <v>2023</v>
      </c>
      <c r="J300" t="s">
        <v>2028</v>
      </c>
      <c r="K300" t="s">
        <v>2329</v>
      </c>
      <c r="L300" t="s">
        <v>4033</v>
      </c>
      <c r="M300">
        <f>Cleaned[[#This Row],[Credit]]-Cleaned[[#This Row],[Debit]]</f>
        <v>-1761.1</v>
      </c>
      <c r="N300" t="str">
        <f>_xlfn.XLOOKUP(Cleaned[[#This Row],[AccountName]], Account_Mapping!A:A, Account_Mapping!B:B,"Unmapped")</f>
        <v>Operating Expense</v>
      </c>
      <c r="O300" cm="1">
        <f t="array" ref="O300">_xlfn.XLOOKUP(
  1,
  (FX_Rates[Currency]=Cleaned[[#This Row],[Currency]])*
  (FX_Rates[RateDate]&lt;=Cleaned[[#This Row],[TxnDate]]),
  FX_Rates[Rate_To_INR],
  ,
  -1
)</f>
        <v>56</v>
      </c>
      <c r="P300" s="2">
        <f>Cleaned[[#This Row],[Net Amount]] *  Cleaned[[#This Row],[FX_rates]]</f>
        <v>-98621.599999999991</v>
      </c>
    </row>
    <row r="301" spans="1:16" x14ac:dyDescent="0.45">
      <c r="A301" t="s">
        <v>309</v>
      </c>
      <c r="B301" s="1">
        <v>45308</v>
      </c>
      <c r="C301" s="2" t="s">
        <v>2014</v>
      </c>
      <c r="D301" t="s">
        <v>2019</v>
      </c>
      <c r="E301">
        <v>0</v>
      </c>
      <c r="F301">
        <f>Cleaned[[#This Row],[Debit]] * Cleaned[[#This Row],[FX_rates]]</f>
        <v>0</v>
      </c>
      <c r="G301">
        <v>4260.88</v>
      </c>
      <c r="H301">
        <f>Cleaned[[#This Row],[Credit]] *  Cleaned[[#This Row],[FX_rates]]</f>
        <v>349392.16000000003</v>
      </c>
      <c r="I301" t="s">
        <v>2021</v>
      </c>
      <c r="J301" t="s">
        <v>2029</v>
      </c>
      <c r="K301" t="s">
        <v>2330</v>
      </c>
      <c r="L301" t="s">
        <v>4034</v>
      </c>
      <c r="M301">
        <f>Cleaned[[#This Row],[Credit]]-Cleaned[[#This Row],[Debit]]</f>
        <v>4260.88</v>
      </c>
      <c r="N301" t="str">
        <f>_xlfn.XLOOKUP(Cleaned[[#This Row],[AccountName]], Account_Mapping!A:A, Account_Mapping!B:B,"Unmapped")</f>
        <v>Revenue</v>
      </c>
      <c r="O301" cm="1">
        <f t="array" ref="O301">_xlfn.XLOOKUP(
  1,
  (FX_Rates[Currency]=Cleaned[[#This Row],[Currency]])*
  (FX_Rates[RateDate]&lt;=Cleaned[[#This Row],[TxnDate]]),
  FX_Rates[Rate_To_INR],
  ,
  -1
)</f>
        <v>82</v>
      </c>
      <c r="P301" s="2">
        <f>Cleaned[[#This Row],[Net Amount]] *  Cleaned[[#This Row],[FX_rates]]</f>
        <v>349392.16000000003</v>
      </c>
    </row>
    <row r="302" spans="1:16" x14ac:dyDescent="0.45">
      <c r="A302" t="s">
        <v>310</v>
      </c>
      <c r="B302" s="1">
        <v>45209</v>
      </c>
      <c r="C302" s="2" t="s">
        <v>2010</v>
      </c>
      <c r="D302" t="s">
        <v>2015</v>
      </c>
      <c r="E302">
        <v>0</v>
      </c>
      <c r="F302">
        <f>Cleaned[[#This Row],[Debit]] * Cleaned[[#This Row],[FX_rates]]</f>
        <v>0</v>
      </c>
      <c r="G302">
        <v>1229.46</v>
      </c>
      <c r="H302">
        <f>Cleaned[[#This Row],[Credit]] *  Cleaned[[#This Row],[FX_rates]]</f>
        <v>74997.06</v>
      </c>
      <c r="I302" t="s">
        <v>2023</v>
      </c>
      <c r="J302" t="s">
        <v>2026</v>
      </c>
      <c r="K302" t="s">
        <v>2331</v>
      </c>
      <c r="L302" t="s">
        <v>4035</v>
      </c>
      <c r="M302">
        <f>Cleaned[[#This Row],[Credit]]-Cleaned[[#This Row],[Debit]]</f>
        <v>1229.46</v>
      </c>
      <c r="N302" t="str">
        <f>_xlfn.XLOOKUP(Cleaned[[#This Row],[AccountName]], Account_Mapping!A:A, Account_Mapping!B:B,"Unmapped")</f>
        <v>Revenue</v>
      </c>
      <c r="O302" cm="1">
        <f t="array" ref="O302">_xlfn.XLOOKUP(
  1,
  (FX_Rates[Currency]=Cleaned[[#This Row],[Currency]])*
  (FX_Rates[RateDate]&lt;=Cleaned[[#This Row],[TxnDate]]),
  FX_Rates[Rate_To_INR],
  ,
  -1
)</f>
        <v>61</v>
      </c>
      <c r="P302" s="2">
        <f>Cleaned[[#This Row],[Net Amount]] *  Cleaned[[#This Row],[FX_rates]]</f>
        <v>74997.06</v>
      </c>
    </row>
    <row r="303" spans="1:16" x14ac:dyDescent="0.45">
      <c r="A303" t="s">
        <v>311</v>
      </c>
      <c r="B303" s="1">
        <v>45608</v>
      </c>
      <c r="C303" s="2" t="s">
        <v>2011</v>
      </c>
      <c r="D303" t="s">
        <v>2016</v>
      </c>
      <c r="E303">
        <v>1804.04</v>
      </c>
      <c r="F303">
        <f>Cleaned[[#This Row],[Debit]] * Cleaned[[#This Row],[FX_rates]]</f>
        <v>185816.12</v>
      </c>
      <c r="G303">
        <v>0</v>
      </c>
      <c r="H303">
        <f>Cleaned[[#This Row],[Credit]] *  Cleaned[[#This Row],[FX_rates]]</f>
        <v>0</v>
      </c>
      <c r="I303" t="s">
        <v>2021</v>
      </c>
      <c r="J303" t="s">
        <v>2029</v>
      </c>
      <c r="K303" t="s">
        <v>2332</v>
      </c>
      <c r="L303" t="s">
        <v>4031</v>
      </c>
      <c r="M303">
        <f>Cleaned[[#This Row],[Credit]]-Cleaned[[#This Row],[Debit]]</f>
        <v>-1804.04</v>
      </c>
      <c r="N303" t="str">
        <f>_xlfn.XLOOKUP(Cleaned[[#This Row],[AccountName]], Account_Mapping!A:A, Account_Mapping!B:B,"Unmapped")</f>
        <v>COGS</v>
      </c>
      <c r="O303" cm="1">
        <f t="array" ref="O303">_xlfn.XLOOKUP(
  1,
  (FX_Rates[Currency]=Cleaned[[#This Row],[Currency]])*
  (FX_Rates[RateDate]&lt;=Cleaned[[#This Row],[TxnDate]]),
  FX_Rates[Rate_To_INR],
  ,
  -1
)</f>
        <v>103</v>
      </c>
      <c r="P303" s="2">
        <f>Cleaned[[#This Row],[Net Amount]] *  Cleaned[[#This Row],[FX_rates]]</f>
        <v>-185816.12</v>
      </c>
    </row>
    <row r="304" spans="1:16" x14ac:dyDescent="0.45">
      <c r="A304" t="s">
        <v>312</v>
      </c>
      <c r="B304" s="1">
        <v>45567</v>
      </c>
      <c r="C304" s="2" t="s">
        <v>2011</v>
      </c>
      <c r="D304" t="s">
        <v>2016</v>
      </c>
      <c r="E304">
        <v>1637.96</v>
      </c>
      <c r="F304">
        <f>Cleaned[[#This Row],[Debit]] * Cleaned[[#This Row],[FX_rates]]</f>
        <v>91725.760000000009</v>
      </c>
      <c r="G304">
        <v>0</v>
      </c>
      <c r="H304">
        <f>Cleaned[[#This Row],[Credit]] *  Cleaned[[#This Row],[FX_rates]]</f>
        <v>0</v>
      </c>
      <c r="I304" t="s">
        <v>2021</v>
      </c>
      <c r="J304" t="s">
        <v>2026</v>
      </c>
      <c r="K304" t="s">
        <v>2333</v>
      </c>
      <c r="L304" t="s">
        <v>4033</v>
      </c>
      <c r="M304">
        <f>Cleaned[[#This Row],[Credit]]-Cleaned[[#This Row],[Debit]]</f>
        <v>-1637.96</v>
      </c>
      <c r="N304" t="str">
        <f>_xlfn.XLOOKUP(Cleaned[[#This Row],[AccountName]], Account_Mapping!A:A, Account_Mapping!B:B,"Unmapped")</f>
        <v>COGS</v>
      </c>
      <c r="O304" cm="1">
        <f t="array" ref="O304">_xlfn.XLOOKUP(
  1,
  (FX_Rates[Currency]=Cleaned[[#This Row],[Currency]])*
  (FX_Rates[RateDate]&lt;=Cleaned[[#This Row],[TxnDate]]),
  FX_Rates[Rate_To_INR],
  ,
  -1
)</f>
        <v>56</v>
      </c>
      <c r="P304" s="2">
        <f>Cleaned[[#This Row],[Net Amount]] *  Cleaned[[#This Row],[FX_rates]]</f>
        <v>-91725.760000000009</v>
      </c>
    </row>
    <row r="305" spans="1:16" x14ac:dyDescent="0.45">
      <c r="A305" t="s">
        <v>313</v>
      </c>
      <c r="B305" s="1">
        <v>45504</v>
      </c>
      <c r="C305" s="2" t="s">
        <v>2010</v>
      </c>
      <c r="D305" t="s">
        <v>2015</v>
      </c>
      <c r="E305">
        <v>0</v>
      </c>
      <c r="F305">
        <f>Cleaned[[#This Row],[Debit]] * Cleaned[[#This Row],[FX_rates]]</f>
        <v>0</v>
      </c>
      <c r="G305">
        <v>1400.77</v>
      </c>
      <c r="H305">
        <f>Cleaned[[#This Row],[Credit]] *  Cleaned[[#This Row],[FX_rates]]</f>
        <v>123267.76</v>
      </c>
      <c r="I305" t="s">
        <v>2020</v>
      </c>
      <c r="J305" t="s">
        <v>2029</v>
      </c>
      <c r="K305" t="s">
        <v>2334</v>
      </c>
      <c r="L305" t="s">
        <v>4032</v>
      </c>
      <c r="M305">
        <f>Cleaned[[#This Row],[Credit]]-Cleaned[[#This Row],[Debit]]</f>
        <v>1400.77</v>
      </c>
      <c r="N305" t="str">
        <f>_xlfn.XLOOKUP(Cleaned[[#This Row],[AccountName]], Account_Mapping!A:A, Account_Mapping!B:B,"Unmapped")</f>
        <v>Revenue</v>
      </c>
      <c r="O305" cm="1">
        <f t="array" ref="O305">_xlfn.XLOOKUP(
  1,
  (FX_Rates[Currency]=Cleaned[[#This Row],[Currency]])*
  (FX_Rates[RateDate]&lt;=Cleaned[[#This Row],[TxnDate]]),
  FX_Rates[Rate_To_INR],
  ,
  -1
)</f>
        <v>88</v>
      </c>
      <c r="P305" s="2">
        <f>Cleaned[[#This Row],[Net Amount]] *  Cleaned[[#This Row],[FX_rates]]</f>
        <v>123267.76</v>
      </c>
    </row>
    <row r="306" spans="1:16" x14ac:dyDescent="0.45">
      <c r="A306" t="s">
        <v>314</v>
      </c>
      <c r="B306" s="1">
        <v>45729</v>
      </c>
      <c r="C306" s="2" t="s">
        <v>2013</v>
      </c>
      <c r="D306" t="s">
        <v>2018</v>
      </c>
      <c r="E306">
        <v>1010.88</v>
      </c>
      <c r="F306">
        <f>Cleaned[[#This Row],[Debit]] * Cleaned[[#This Row],[FX_rates]]</f>
        <v>56609.279999999999</v>
      </c>
      <c r="G306">
        <v>0</v>
      </c>
      <c r="H306">
        <f>Cleaned[[#This Row],[Credit]] *  Cleaned[[#This Row],[FX_rates]]</f>
        <v>0</v>
      </c>
      <c r="I306" t="s">
        <v>2020</v>
      </c>
      <c r="J306" t="s">
        <v>2028</v>
      </c>
      <c r="K306" t="s">
        <v>2335</v>
      </c>
      <c r="L306" t="s">
        <v>4033</v>
      </c>
      <c r="M306">
        <f>Cleaned[[#This Row],[Credit]]-Cleaned[[#This Row],[Debit]]</f>
        <v>-1010.88</v>
      </c>
      <c r="N306" t="str">
        <f>_xlfn.XLOOKUP(Cleaned[[#This Row],[AccountName]], Account_Mapping!A:A, Account_Mapping!B:B,"Unmapped")</f>
        <v>Operating Expense</v>
      </c>
      <c r="O306" cm="1">
        <f t="array" ref="O306">_xlfn.XLOOKUP(
  1,
  (FX_Rates[Currency]=Cleaned[[#This Row],[Currency]])*
  (FX_Rates[RateDate]&lt;=Cleaned[[#This Row],[TxnDate]]),
  FX_Rates[Rate_To_INR],
  ,
  -1
)</f>
        <v>56</v>
      </c>
      <c r="P306" s="2">
        <f>Cleaned[[#This Row],[Net Amount]] *  Cleaned[[#This Row],[FX_rates]]</f>
        <v>-56609.279999999999</v>
      </c>
    </row>
    <row r="307" spans="1:16" x14ac:dyDescent="0.45">
      <c r="A307" t="s">
        <v>315</v>
      </c>
      <c r="B307" s="1">
        <v>45385</v>
      </c>
      <c r="C307" s="2" t="s">
        <v>2010</v>
      </c>
      <c r="D307" t="s">
        <v>2015</v>
      </c>
      <c r="E307">
        <v>0</v>
      </c>
      <c r="F307">
        <f>Cleaned[[#This Row],[Debit]] * Cleaned[[#This Row],[FX_rates]]</f>
        <v>0</v>
      </c>
      <c r="G307">
        <v>1059.18</v>
      </c>
      <c r="H307">
        <f>Cleaned[[#This Row],[Credit]] *  Cleaned[[#This Row],[FX_rates]]</f>
        <v>86852.760000000009</v>
      </c>
      <c r="I307" t="s">
        <v>2022</v>
      </c>
      <c r="J307" t="s">
        <v>2028</v>
      </c>
      <c r="K307" t="s">
        <v>2336</v>
      </c>
      <c r="L307" t="s">
        <v>4034</v>
      </c>
      <c r="M307">
        <f>Cleaned[[#This Row],[Credit]]-Cleaned[[#This Row],[Debit]]</f>
        <v>1059.18</v>
      </c>
      <c r="N307" t="str">
        <f>_xlfn.XLOOKUP(Cleaned[[#This Row],[AccountName]], Account_Mapping!A:A, Account_Mapping!B:B,"Unmapped")</f>
        <v>Revenue</v>
      </c>
      <c r="O307" cm="1">
        <f t="array" ref="O307">_xlfn.XLOOKUP(
  1,
  (FX_Rates[Currency]=Cleaned[[#This Row],[Currency]])*
  (FX_Rates[RateDate]&lt;=Cleaned[[#This Row],[TxnDate]]),
  FX_Rates[Rate_To_INR],
  ,
  -1
)</f>
        <v>82</v>
      </c>
      <c r="P307" s="2">
        <f>Cleaned[[#This Row],[Net Amount]] *  Cleaned[[#This Row],[FX_rates]]</f>
        <v>86852.760000000009</v>
      </c>
    </row>
    <row r="308" spans="1:16" x14ac:dyDescent="0.45">
      <c r="A308" t="s">
        <v>316</v>
      </c>
      <c r="B308" s="1">
        <v>45152</v>
      </c>
      <c r="C308" s="2" t="s">
        <v>2014</v>
      </c>
      <c r="D308" t="s">
        <v>2019</v>
      </c>
      <c r="E308">
        <v>0</v>
      </c>
      <c r="F308">
        <f>Cleaned[[#This Row],[Debit]] * Cleaned[[#This Row],[FX_rates]]</f>
        <v>0</v>
      </c>
      <c r="G308">
        <v>951.38</v>
      </c>
      <c r="H308">
        <f>Cleaned[[#This Row],[Credit]] *  Cleaned[[#This Row],[FX_rates]]</f>
        <v>97992.14</v>
      </c>
      <c r="I308" t="s">
        <v>2020</v>
      </c>
      <c r="J308" t="s">
        <v>2026</v>
      </c>
      <c r="K308" t="s">
        <v>2337</v>
      </c>
      <c r="L308" t="s">
        <v>4031</v>
      </c>
      <c r="M308">
        <f>Cleaned[[#This Row],[Credit]]-Cleaned[[#This Row],[Debit]]</f>
        <v>951.38</v>
      </c>
      <c r="N308" t="str">
        <f>_xlfn.XLOOKUP(Cleaned[[#This Row],[AccountName]], Account_Mapping!A:A, Account_Mapping!B:B,"Unmapped")</f>
        <v>Revenue</v>
      </c>
      <c r="O308" cm="1">
        <f t="array" ref="O308">_xlfn.XLOOKUP(
  1,
  (FX_Rates[Currency]=Cleaned[[#This Row],[Currency]])*
  (FX_Rates[RateDate]&lt;=Cleaned[[#This Row],[TxnDate]]),
  FX_Rates[Rate_To_INR],
  ,
  -1
)</f>
        <v>103</v>
      </c>
      <c r="P308" s="2">
        <f>Cleaned[[#This Row],[Net Amount]] *  Cleaned[[#This Row],[FX_rates]]</f>
        <v>97992.14</v>
      </c>
    </row>
    <row r="309" spans="1:16" x14ac:dyDescent="0.45">
      <c r="A309" t="s">
        <v>317</v>
      </c>
      <c r="B309" s="1">
        <v>44949</v>
      </c>
      <c r="C309" s="2" t="s">
        <v>2010</v>
      </c>
      <c r="D309" t="s">
        <v>2015</v>
      </c>
      <c r="E309">
        <v>0</v>
      </c>
      <c r="F309">
        <f>Cleaned[[#This Row],[Debit]] * Cleaned[[#This Row],[FX_rates]]</f>
        <v>0</v>
      </c>
      <c r="G309">
        <v>2648.82</v>
      </c>
      <c r="H309">
        <f>Cleaned[[#This Row],[Credit]] *  Cleaned[[#This Row],[FX_rates]]</f>
        <v>272828.46000000002</v>
      </c>
      <c r="I309" t="s">
        <v>2025</v>
      </c>
      <c r="J309" t="s">
        <v>2029</v>
      </c>
      <c r="K309" t="s">
        <v>2338</v>
      </c>
      <c r="L309" t="s">
        <v>4031</v>
      </c>
      <c r="M309">
        <f>Cleaned[[#This Row],[Credit]]-Cleaned[[#This Row],[Debit]]</f>
        <v>2648.82</v>
      </c>
      <c r="N309" t="str">
        <f>_xlfn.XLOOKUP(Cleaned[[#This Row],[AccountName]], Account_Mapping!A:A, Account_Mapping!B:B,"Unmapped")</f>
        <v>Revenue</v>
      </c>
      <c r="O309" cm="1">
        <f t="array" ref="O309">_xlfn.XLOOKUP(
  1,
  (FX_Rates[Currency]=Cleaned[[#This Row],[Currency]])*
  (FX_Rates[RateDate]&lt;=Cleaned[[#This Row],[TxnDate]]),
  FX_Rates[Rate_To_INR],
  ,
  -1
)</f>
        <v>103</v>
      </c>
      <c r="P309" s="2">
        <f>Cleaned[[#This Row],[Net Amount]] *  Cleaned[[#This Row],[FX_rates]]</f>
        <v>272828.46000000002</v>
      </c>
    </row>
    <row r="310" spans="1:16" x14ac:dyDescent="0.45">
      <c r="A310" t="s">
        <v>318</v>
      </c>
      <c r="B310" s="1">
        <v>44989</v>
      </c>
      <c r="C310" s="2" t="s">
        <v>2014</v>
      </c>
      <c r="D310" t="s">
        <v>2019</v>
      </c>
      <c r="E310">
        <v>0</v>
      </c>
      <c r="F310">
        <f>Cleaned[[#This Row],[Debit]] * Cleaned[[#This Row],[FX_rates]]</f>
        <v>0</v>
      </c>
      <c r="G310">
        <v>2008.6</v>
      </c>
      <c r="H310">
        <f>Cleaned[[#This Row],[Credit]] *  Cleaned[[#This Row],[FX_rates]]</f>
        <v>164705.19999999998</v>
      </c>
      <c r="I310" t="s">
        <v>2024</v>
      </c>
      <c r="J310" t="s">
        <v>2028</v>
      </c>
      <c r="K310" t="s">
        <v>2339</v>
      </c>
      <c r="L310" t="s">
        <v>4034</v>
      </c>
      <c r="M310">
        <f>Cleaned[[#This Row],[Credit]]-Cleaned[[#This Row],[Debit]]</f>
        <v>2008.6</v>
      </c>
      <c r="N310" t="str">
        <f>_xlfn.XLOOKUP(Cleaned[[#This Row],[AccountName]], Account_Mapping!A:A, Account_Mapping!B:B,"Unmapped")</f>
        <v>Revenue</v>
      </c>
      <c r="O310" cm="1">
        <f t="array" ref="O310">_xlfn.XLOOKUP(
  1,
  (FX_Rates[Currency]=Cleaned[[#This Row],[Currency]])*
  (FX_Rates[RateDate]&lt;=Cleaned[[#This Row],[TxnDate]]),
  FX_Rates[Rate_To_INR],
  ,
  -1
)</f>
        <v>82</v>
      </c>
      <c r="P310" s="2">
        <f>Cleaned[[#This Row],[Net Amount]] *  Cleaned[[#This Row],[FX_rates]]</f>
        <v>164705.19999999998</v>
      </c>
    </row>
    <row r="311" spans="1:16" x14ac:dyDescent="0.45">
      <c r="A311" t="s">
        <v>319</v>
      </c>
      <c r="B311" s="1">
        <v>45442</v>
      </c>
      <c r="C311" s="2" t="s">
        <v>2012</v>
      </c>
      <c r="D311" t="s">
        <v>2017</v>
      </c>
      <c r="E311">
        <v>1604.44</v>
      </c>
      <c r="F311">
        <f>Cleaned[[#This Row],[Debit]] * Cleaned[[#This Row],[FX_rates]]</f>
        <v>97870.84</v>
      </c>
      <c r="G311">
        <v>0</v>
      </c>
      <c r="H311">
        <f>Cleaned[[#This Row],[Credit]] *  Cleaned[[#This Row],[FX_rates]]</f>
        <v>0</v>
      </c>
      <c r="I311" t="s">
        <v>2022</v>
      </c>
      <c r="J311" t="s">
        <v>2026</v>
      </c>
      <c r="K311" t="s">
        <v>2340</v>
      </c>
      <c r="L311" t="s">
        <v>4035</v>
      </c>
      <c r="M311">
        <f>Cleaned[[#This Row],[Credit]]-Cleaned[[#This Row],[Debit]]</f>
        <v>-1604.44</v>
      </c>
      <c r="N311" t="str">
        <f>_xlfn.XLOOKUP(Cleaned[[#This Row],[AccountName]], Account_Mapping!A:A, Account_Mapping!B:B,"Unmapped")</f>
        <v>Operating Expense</v>
      </c>
      <c r="O311" cm="1">
        <f t="array" ref="O311">_xlfn.XLOOKUP(
  1,
  (FX_Rates[Currency]=Cleaned[[#This Row],[Currency]])*
  (FX_Rates[RateDate]&lt;=Cleaned[[#This Row],[TxnDate]]),
  FX_Rates[Rate_To_INR],
  ,
  -1
)</f>
        <v>61</v>
      </c>
      <c r="P311" s="2">
        <f>Cleaned[[#This Row],[Net Amount]] *  Cleaned[[#This Row],[FX_rates]]</f>
        <v>-97870.84</v>
      </c>
    </row>
    <row r="312" spans="1:16" x14ac:dyDescent="0.45">
      <c r="A312" t="s">
        <v>320</v>
      </c>
      <c r="B312" s="1">
        <v>45566</v>
      </c>
      <c r="C312" s="2" t="s">
        <v>2013</v>
      </c>
      <c r="D312" t="s">
        <v>2018</v>
      </c>
      <c r="E312">
        <v>350.19</v>
      </c>
      <c r="F312">
        <f>Cleaned[[#This Row],[Debit]] * Cleaned[[#This Row],[FX_rates]]</f>
        <v>36069.57</v>
      </c>
      <c r="G312">
        <v>0</v>
      </c>
      <c r="H312">
        <f>Cleaned[[#This Row],[Credit]] *  Cleaned[[#This Row],[FX_rates]]</f>
        <v>0</v>
      </c>
      <c r="I312" t="s">
        <v>2024</v>
      </c>
      <c r="J312" t="s">
        <v>2026</v>
      </c>
      <c r="K312" t="s">
        <v>2341</v>
      </c>
      <c r="L312" t="s">
        <v>4031</v>
      </c>
      <c r="M312">
        <f>Cleaned[[#This Row],[Credit]]-Cleaned[[#This Row],[Debit]]</f>
        <v>-350.19</v>
      </c>
      <c r="N312" t="str">
        <f>_xlfn.XLOOKUP(Cleaned[[#This Row],[AccountName]], Account_Mapping!A:A, Account_Mapping!B:B,"Unmapped")</f>
        <v>Operating Expense</v>
      </c>
      <c r="O312" cm="1">
        <f t="array" ref="O312">_xlfn.XLOOKUP(
  1,
  (FX_Rates[Currency]=Cleaned[[#This Row],[Currency]])*
  (FX_Rates[RateDate]&lt;=Cleaned[[#This Row],[TxnDate]]),
  FX_Rates[Rate_To_INR],
  ,
  -1
)</f>
        <v>103</v>
      </c>
      <c r="P312" s="2">
        <f>Cleaned[[#This Row],[Net Amount]] *  Cleaned[[#This Row],[FX_rates]]</f>
        <v>-36069.57</v>
      </c>
    </row>
    <row r="313" spans="1:16" x14ac:dyDescent="0.45">
      <c r="A313" t="s">
        <v>321</v>
      </c>
      <c r="B313" s="1">
        <v>45326</v>
      </c>
      <c r="C313" s="2" t="s">
        <v>2011</v>
      </c>
      <c r="D313" t="s">
        <v>2016</v>
      </c>
      <c r="E313">
        <v>547.95000000000005</v>
      </c>
      <c r="F313">
        <f>Cleaned[[#This Row],[Debit]] * Cleaned[[#This Row],[FX_rates]]</f>
        <v>56438.850000000006</v>
      </c>
      <c r="G313">
        <v>0</v>
      </c>
      <c r="H313">
        <f>Cleaned[[#This Row],[Credit]] *  Cleaned[[#This Row],[FX_rates]]</f>
        <v>0</v>
      </c>
      <c r="I313" t="s">
        <v>2024</v>
      </c>
      <c r="J313" t="s">
        <v>2026</v>
      </c>
      <c r="K313" t="s">
        <v>2342</v>
      </c>
      <c r="L313" t="s">
        <v>4031</v>
      </c>
      <c r="M313">
        <f>Cleaned[[#This Row],[Credit]]-Cleaned[[#This Row],[Debit]]</f>
        <v>-547.95000000000005</v>
      </c>
      <c r="N313" t="str">
        <f>_xlfn.XLOOKUP(Cleaned[[#This Row],[AccountName]], Account_Mapping!A:A, Account_Mapping!B:B,"Unmapped")</f>
        <v>COGS</v>
      </c>
      <c r="O313" cm="1">
        <f t="array" ref="O313">_xlfn.XLOOKUP(
  1,
  (FX_Rates[Currency]=Cleaned[[#This Row],[Currency]])*
  (FX_Rates[RateDate]&lt;=Cleaned[[#This Row],[TxnDate]]),
  FX_Rates[Rate_To_INR],
  ,
  -1
)</f>
        <v>103</v>
      </c>
      <c r="P313" s="2">
        <f>Cleaned[[#This Row],[Net Amount]] *  Cleaned[[#This Row],[FX_rates]]</f>
        <v>-56438.850000000006</v>
      </c>
    </row>
    <row r="314" spans="1:16" x14ac:dyDescent="0.45">
      <c r="A314" t="s">
        <v>322</v>
      </c>
      <c r="B314" s="1">
        <v>45796</v>
      </c>
      <c r="C314" s="2" t="s">
        <v>2010</v>
      </c>
      <c r="D314" t="s">
        <v>2015</v>
      </c>
      <c r="E314">
        <v>0</v>
      </c>
      <c r="F314">
        <f>Cleaned[[#This Row],[Debit]] * Cleaned[[#This Row],[FX_rates]]</f>
        <v>0</v>
      </c>
      <c r="G314">
        <v>561.46</v>
      </c>
      <c r="H314">
        <f>Cleaned[[#This Row],[Credit]] *  Cleaned[[#This Row],[FX_rates]]</f>
        <v>57830.380000000005</v>
      </c>
      <c r="I314" t="s">
        <v>2024</v>
      </c>
      <c r="J314" t="s">
        <v>2030</v>
      </c>
      <c r="K314" t="s">
        <v>2343</v>
      </c>
      <c r="L314" t="s">
        <v>4031</v>
      </c>
      <c r="M314">
        <f>Cleaned[[#This Row],[Credit]]-Cleaned[[#This Row],[Debit]]</f>
        <v>561.46</v>
      </c>
      <c r="N314" t="str">
        <f>_xlfn.XLOOKUP(Cleaned[[#This Row],[AccountName]], Account_Mapping!A:A, Account_Mapping!B:B,"Unmapped")</f>
        <v>Revenue</v>
      </c>
      <c r="O314" cm="1">
        <f t="array" ref="O314">_xlfn.XLOOKUP(
  1,
  (FX_Rates[Currency]=Cleaned[[#This Row],[Currency]])*
  (FX_Rates[RateDate]&lt;=Cleaned[[#This Row],[TxnDate]]),
  FX_Rates[Rate_To_INR],
  ,
  -1
)</f>
        <v>103</v>
      </c>
      <c r="P314" s="2">
        <f>Cleaned[[#This Row],[Net Amount]] *  Cleaned[[#This Row],[FX_rates]]</f>
        <v>57830.380000000005</v>
      </c>
    </row>
    <row r="315" spans="1:16" x14ac:dyDescent="0.45">
      <c r="A315" t="s">
        <v>323</v>
      </c>
      <c r="B315" s="1">
        <v>45150</v>
      </c>
      <c r="C315" s="2" t="s">
        <v>2012</v>
      </c>
      <c r="D315" t="s">
        <v>2017</v>
      </c>
      <c r="E315">
        <v>737.29</v>
      </c>
      <c r="F315">
        <f>Cleaned[[#This Row],[Debit]] * Cleaned[[#This Row],[FX_rates]]</f>
        <v>41288.239999999998</v>
      </c>
      <c r="G315">
        <v>0</v>
      </c>
      <c r="H315">
        <f>Cleaned[[#This Row],[Credit]] *  Cleaned[[#This Row],[FX_rates]]</f>
        <v>0</v>
      </c>
      <c r="I315" t="s">
        <v>2020</v>
      </c>
      <c r="J315" t="s">
        <v>2030</v>
      </c>
      <c r="K315" t="s">
        <v>2344</v>
      </c>
      <c r="L315" t="s">
        <v>4033</v>
      </c>
      <c r="M315">
        <f>Cleaned[[#This Row],[Credit]]-Cleaned[[#This Row],[Debit]]</f>
        <v>-737.29</v>
      </c>
      <c r="N315" t="str">
        <f>_xlfn.XLOOKUP(Cleaned[[#This Row],[AccountName]], Account_Mapping!A:A, Account_Mapping!B:B,"Unmapped")</f>
        <v>Operating Expense</v>
      </c>
      <c r="O315" cm="1">
        <f t="array" ref="O315">_xlfn.XLOOKUP(
  1,
  (FX_Rates[Currency]=Cleaned[[#This Row],[Currency]])*
  (FX_Rates[RateDate]&lt;=Cleaned[[#This Row],[TxnDate]]),
  FX_Rates[Rate_To_INR],
  ,
  -1
)</f>
        <v>56</v>
      </c>
      <c r="P315" s="2">
        <f>Cleaned[[#This Row],[Net Amount]] *  Cleaned[[#This Row],[FX_rates]]</f>
        <v>-41288.239999999998</v>
      </c>
    </row>
    <row r="316" spans="1:16" x14ac:dyDescent="0.45">
      <c r="A316" t="s">
        <v>324</v>
      </c>
      <c r="B316" s="1">
        <v>45829</v>
      </c>
      <c r="C316" s="2" t="s">
        <v>2014</v>
      </c>
      <c r="D316" t="s">
        <v>2019</v>
      </c>
      <c r="E316">
        <v>0</v>
      </c>
      <c r="F316">
        <f>Cleaned[[#This Row],[Debit]] * Cleaned[[#This Row],[FX_rates]]</f>
        <v>0</v>
      </c>
      <c r="G316">
        <v>963.96</v>
      </c>
      <c r="H316">
        <f>Cleaned[[#This Row],[Credit]] *  Cleaned[[#This Row],[FX_rates]]</f>
        <v>99287.88</v>
      </c>
      <c r="I316" t="s">
        <v>2022</v>
      </c>
      <c r="J316" t="s">
        <v>2028</v>
      </c>
      <c r="K316" t="s">
        <v>2345</v>
      </c>
      <c r="L316" t="s">
        <v>4031</v>
      </c>
      <c r="M316">
        <f>Cleaned[[#This Row],[Credit]]-Cleaned[[#This Row],[Debit]]</f>
        <v>963.96</v>
      </c>
      <c r="N316" t="str">
        <f>_xlfn.XLOOKUP(Cleaned[[#This Row],[AccountName]], Account_Mapping!A:A, Account_Mapping!B:B,"Unmapped")</f>
        <v>Revenue</v>
      </c>
      <c r="O316" cm="1">
        <f t="array" ref="O316">_xlfn.XLOOKUP(
  1,
  (FX_Rates[Currency]=Cleaned[[#This Row],[Currency]])*
  (FX_Rates[RateDate]&lt;=Cleaned[[#This Row],[TxnDate]]),
  FX_Rates[Rate_To_INR],
  ,
  -1
)</f>
        <v>103</v>
      </c>
      <c r="P316" s="2">
        <f>Cleaned[[#This Row],[Net Amount]] *  Cleaned[[#This Row],[FX_rates]]</f>
        <v>99287.88</v>
      </c>
    </row>
    <row r="317" spans="1:16" x14ac:dyDescent="0.45">
      <c r="A317" t="s">
        <v>325</v>
      </c>
      <c r="B317" s="1">
        <v>45118</v>
      </c>
      <c r="C317" s="2" t="s">
        <v>2013</v>
      </c>
      <c r="D317" t="s">
        <v>2018</v>
      </c>
      <c r="E317">
        <v>1233.1600000000001</v>
      </c>
      <c r="F317">
        <f>Cleaned[[#This Row],[Debit]] * Cleaned[[#This Row],[FX_rates]]</f>
        <v>101119.12000000001</v>
      </c>
      <c r="G317">
        <v>0</v>
      </c>
      <c r="H317">
        <f>Cleaned[[#This Row],[Credit]] *  Cleaned[[#This Row],[FX_rates]]</f>
        <v>0</v>
      </c>
      <c r="I317" t="s">
        <v>2020</v>
      </c>
      <c r="J317" t="s">
        <v>2030</v>
      </c>
      <c r="K317" t="s">
        <v>2346</v>
      </c>
      <c r="L317" t="s">
        <v>4034</v>
      </c>
      <c r="M317">
        <f>Cleaned[[#This Row],[Credit]]-Cleaned[[#This Row],[Debit]]</f>
        <v>-1233.1600000000001</v>
      </c>
      <c r="N317" t="str">
        <f>_xlfn.XLOOKUP(Cleaned[[#This Row],[AccountName]], Account_Mapping!A:A, Account_Mapping!B:B,"Unmapped")</f>
        <v>Operating Expense</v>
      </c>
      <c r="O317" cm="1">
        <f t="array" ref="O317">_xlfn.XLOOKUP(
  1,
  (FX_Rates[Currency]=Cleaned[[#This Row],[Currency]])*
  (FX_Rates[RateDate]&lt;=Cleaned[[#This Row],[TxnDate]]),
  FX_Rates[Rate_To_INR],
  ,
  -1
)</f>
        <v>82</v>
      </c>
      <c r="P317" s="2">
        <f>Cleaned[[#This Row],[Net Amount]] *  Cleaned[[#This Row],[FX_rates]]</f>
        <v>-101119.12000000001</v>
      </c>
    </row>
    <row r="318" spans="1:16" x14ac:dyDescent="0.45">
      <c r="A318" t="s">
        <v>326</v>
      </c>
      <c r="B318" s="1">
        <v>45263</v>
      </c>
      <c r="C318" s="2" t="s">
        <v>2010</v>
      </c>
      <c r="D318" t="s">
        <v>2015</v>
      </c>
      <c r="E318">
        <v>0</v>
      </c>
      <c r="F318">
        <f>Cleaned[[#This Row],[Debit]] * Cleaned[[#This Row],[FX_rates]]</f>
        <v>0</v>
      </c>
      <c r="G318">
        <v>1228</v>
      </c>
      <c r="H318">
        <f>Cleaned[[#This Row],[Credit]] *  Cleaned[[#This Row],[FX_rates]]</f>
        <v>100696</v>
      </c>
      <c r="I318" t="s">
        <v>2024</v>
      </c>
      <c r="J318" t="s">
        <v>2026</v>
      </c>
      <c r="K318" t="s">
        <v>2347</v>
      </c>
      <c r="L318" t="s">
        <v>4034</v>
      </c>
      <c r="M318">
        <f>Cleaned[[#This Row],[Credit]]-Cleaned[[#This Row],[Debit]]</f>
        <v>1228</v>
      </c>
      <c r="N318" t="str">
        <f>_xlfn.XLOOKUP(Cleaned[[#This Row],[AccountName]], Account_Mapping!A:A, Account_Mapping!B:B,"Unmapped")</f>
        <v>Revenue</v>
      </c>
      <c r="O318" cm="1">
        <f t="array" ref="O318">_xlfn.XLOOKUP(
  1,
  (FX_Rates[Currency]=Cleaned[[#This Row],[Currency]])*
  (FX_Rates[RateDate]&lt;=Cleaned[[#This Row],[TxnDate]]),
  FX_Rates[Rate_To_INR],
  ,
  -1
)</f>
        <v>82</v>
      </c>
      <c r="P318" s="2">
        <f>Cleaned[[#This Row],[Net Amount]] *  Cleaned[[#This Row],[FX_rates]]</f>
        <v>100696</v>
      </c>
    </row>
    <row r="319" spans="1:16" x14ac:dyDescent="0.45">
      <c r="A319" t="s">
        <v>327</v>
      </c>
      <c r="B319" s="1">
        <v>44943</v>
      </c>
      <c r="C319" s="2" t="s">
        <v>2010</v>
      </c>
      <c r="D319" t="s">
        <v>2015</v>
      </c>
      <c r="E319">
        <v>0</v>
      </c>
      <c r="F319">
        <f>Cleaned[[#This Row],[Debit]] * Cleaned[[#This Row],[FX_rates]]</f>
        <v>0</v>
      </c>
      <c r="G319">
        <v>1067.1500000000001</v>
      </c>
      <c r="H319">
        <f>Cleaned[[#This Row],[Credit]] *  Cleaned[[#This Row],[FX_rates]]</f>
        <v>65096.150000000009</v>
      </c>
      <c r="I319" t="s">
        <v>2020</v>
      </c>
      <c r="J319" t="s">
        <v>2028</v>
      </c>
      <c r="K319" t="s">
        <v>2348</v>
      </c>
      <c r="L319" t="s">
        <v>4035</v>
      </c>
      <c r="M319">
        <f>Cleaned[[#This Row],[Credit]]-Cleaned[[#This Row],[Debit]]</f>
        <v>1067.1500000000001</v>
      </c>
      <c r="N319" t="str">
        <f>_xlfn.XLOOKUP(Cleaned[[#This Row],[AccountName]], Account_Mapping!A:A, Account_Mapping!B:B,"Unmapped")</f>
        <v>Revenue</v>
      </c>
      <c r="O319" cm="1">
        <f t="array" ref="O319">_xlfn.XLOOKUP(
  1,
  (FX_Rates[Currency]=Cleaned[[#This Row],[Currency]])*
  (FX_Rates[RateDate]&lt;=Cleaned[[#This Row],[TxnDate]]),
  FX_Rates[Rate_To_INR],
  ,
  -1
)</f>
        <v>61</v>
      </c>
      <c r="P319" s="2">
        <f>Cleaned[[#This Row],[Net Amount]] *  Cleaned[[#This Row],[FX_rates]]</f>
        <v>65096.150000000009</v>
      </c>
    </row>
    <row r="320" spans="1:16" x14ac:dyDescent="0.45">
      <c r="A320" t="s">
        <v>328</v>
      </c>
      <c r="B320" s="1">
        <v>45301</v>
      </c>
      <c r="C320" s="2" t="s">
        <v>2014</v>
      </c>
      <c r="D320" t="s">
        <v>2019</v>
      </c>
      <c r="E320">
        <v>0</v>
      </c>
      <c r="F320">
        <f>Cleaned[[#This Row],[Debit]] * Cleaned[[#This Row],[FX_rates]]</f>
        <v>0</v>
      </c>
      <c r="G320">
        <v>1167.53</v>
      </c>
      <c r="H320">
        <f>Cleaned[[#This Row],[Credit]] *  Cleaned[[#This Row],[FX_rates]]</f>
        <v>65381.68</v>
      </c>
      <c r="I320" t="s">
        <v>2021</v>
      </c>
      <c r="J320" t="s">
        <v>2027</v>
      </c>
      <c r="K320" t="s">
        <v>2349</v>
      </c>
      <c r="L320" t="s">
        <v>4033</v>
      </c>
      <c r="M320">
        <f>Cleaned[[#This Row],[Credit]]-Cleaned[[#This Row],[Debit]]</f>
        <v>1167.53</v>
      </c>
      <c r="N320" t="str">
        <f>_xlfn.XLOOKUP(Cleaned[[#This Row],[AccountName]], Account_Mapping!A:A, Account_Mapping!B:B,"Unmapped")</f>
        <v>Revenue</v>
      </c>
      <c r="O320" cm="1">
        <f t="array" ref="O320">_xlfn.XLOOKUP(
  1,
  (FX_Rates[Currency]=Cleaned[[#This Row],[Currency]])*
  (FX_Rates[RateDate]&lt;=Cleaned[[#This Row],[TxnDate]]),
  FX_Rates[Rate_To_INR],
  ,
  -1
)</f>
        <v>56</v>
      </c>
      <c r="P320" s="2">
        <f>Cleaned[[#This Row],[Net Amount]] *  Cleaned[[#This Row],[FX_rates]]</f>
        <v>65381.68</v>
      </c>
    </row>
    <row r="321" spans="1:16" x14ac:dyDescent="0.45">
      <c r="A321" t="s">
        <v>329</v>
      </c>
      <c r="B321" s="1">
        <v>45340</v>
      </c>
      <c r="C321" s="2" t="s">
        <v>2013</v>
      </c>
      <c r="D321" t="s">
        <v>2018</v>
      </c>
      <c r="E321">
        <v>1808.37</v>
      </c>
      <c r="F321">
        <f>Cleaned[[#This Row],[Debit]] * Cleaned[[#This Row],[FX_rates]]</f>
        <v>110310.56999999999</v>
      </c>
      <c r="G321">
        <v>0</v>
      </c>
      <c r="H321">
        <f>Cleaned[[#This Row],[Credit]] *  Cleaned[[#This Row],[FX_rates]]</f>
        <v>0</v>
      </c>
      <c r="I321" t="s">
        <v>2024</v>
      </c>
      <c r="J321" t="s">
        <v>2028</v>
      </c>
      <c r="K321" t="s">
        <v>2350</v>
      </c>
      <c r="L321" t="s">
        <v>4035</v>
      </c>
      <c r="M321">
        <f>Cleaned[[#This Row],[Credit]]-Cleaned[[#This Row],[Debit]]</f>
        <v>-1808.37</v>
      </c>
      <c r="N321" t="str">
        <f>_xlfn.XLOOKUP(Cleaned[[#This Row],[AccountName]], Account_Mapping!A:A, Account_Mapping!B:B,"Unmapped")</f>
        <v>Operating Expense</v>
      </c>
      <c r="O321" cm="1">
        <f t="array" ref="O321">_xlfn.XLOOKUP(
  1,
  (FX_Rates[Currency]=Cleaned[[#This Row],[Currency]])*
  (FX_Rates[RateDate]&lt;=Cleaned[[#This Row],[TxnDate]]),
  FX_Rates[Rate_To_INR],
  ,
  -1
)</f>
        <v>61</v>
      </c>
      <c r="P321" s="2">
        <f>Cleaned[[#This Row],[Net Amount]] *  Cleaned[[#This Row],[FX_rates]]</f>
        <v>-110310.56999999999</v>
      </c>
    </row>
    <row r="322" spans="1:16" x14ac:dyDescent="0.45">
      <c r="A322" t="s">
        <v>330</v>
      </c>
      <c r="B322" s="1">
        <v>45416</v>
      </c>
      <c r="C322" s="2" t="s">
        <v>2010</v>
      </c>
      <c r="D322" t="s">
        <v>2015</v>
      </c>
      <c r="E322">
        <v>0</v>
      </c>
      <c r="F322">
        <f>Cleaned[[#This Row],[Debit]] * Cleaned[[#This Row],[FX_rates]]</f>
        <v>0</v>
      </c>
      <c r="G322">
        <v>3683.59</v>
      </c>
      <c r="H322">
        <f>Cleaned[[#This Row],[Credit]] *  Cleaned[[#This Row],[FX_rates]]</f>
        <v>224698.99000000002</v>
      </c>
      <c r="I322" t="s">
        <v>2021</v>
      </c>
      <c r="J322" t="s">
        <v>2029</v>
      </c>
      <c r="K322" t="s">
        <v>2351</v>
      </c>
      <c r="L322" t="s">
        <v>4035</v>
      </c>
      <c r="M322">
        <f>Cleaned[[#This Row],[Credit]]-Cleaned[[#This Row],[Debit]]</f>
        <v>3683.59</v>
      </c>
      <c r="N322" t="str">
        <f>_xlfn.XLOOKUP(Cleaned[[#This Row],[AccountName]], Account_Mapping!A:A, Account_Mapping!B:B,"Unmapped")</f>
        <v>Revenue</v>
      </c>
      <c r="O322" cm="1">
        <f t="array" ref="O322">_xlfn.XLOOKUP(
  1,
  (FX_Rates[Currency]=Cleaned[[#This Row],[Currency]])*
  (FX_Rates[RateDate]&lt;=Cleaned[[#This Row],[TxnDate]]),
  FX_Rates[Rate_To_INR],
  ,
  -1
)</f>
        <v>61</v>
      </c>
      <c r="P322" s="2">
        <f>Cleaned[[#This Row],[Net Amount]] *  Cleaned[[#This Row],[FX_rates]]</f>
        <v>224698.99000000002</v>
      </c>
    </row>
    <row r="323" spans="1:16" x14ac:dyDescent="0.45">
      <c r="A323" t="s">
        <v>331</v>
      </c>
      <c r="B323" s="1">
        <v>45023</v>
      </c>
      <c r="C323" s="2" t="s">
        <v>2014</v>
      </c>
      <c r="D323" t="s">
        <v>2019</v>
      </c>
      <c r="E323">
        <v>0</v>
      </c>
      <c r="F323">
        <f>Cleaned[[#This Row],[Debit]] * Cleaned[[#This Row],[FX_rates]]</f>
        <v>0</v>
      </c>
      <c r="G323">
        <v>2268.92</v>
      </c>
      <c r="H323">
        <f>Cleaned[[#This Row],[Credit]] *  Cleaned[[#This Row],[FX_rates]]</f>
        <v>233698.76</v>
      </c>
      <c r="I323" t="s">
        <v>2024</v>
      </c>
      <c r="J323" t="s">
        <v>2026</v>
      </c>
      <c r="K323" t="s">
        <v>2352</v>
      </c>
      <c r="L323" t="s">
        <v>4031</v>
      </c>
      <c r="M323">
        <f>Cleaned[[#This Row],[Credit]]-Cleaned[[#This Row],[Debit]]</f>
        <v>2268.92</v>
      </c>
      <c r="N323" t="str">
        <f>_xlfn.XLOOKUP(Cleaned[[#This Row],[AccountName]], Account_Mapping!A:A, Account_Mapping!B:B,"Unmapped")</f>
        <v>Revenue</v>
      </c>
      <c r="O323" cm="1">
        <f t="array" ref="O323">_xlfn.XLOOKUP(
  1,
  (FX_Rates[Currency]=Cleaned[[#This Row],[Currency]])*
  (FX_Rates[RateDate]&lt;=Cleaned[[#This Row],[TxnDate]]),
  FX_Rates[Rate_To_INR],
  ,
  -1
)</f>
        <v>103</v>
      </c>
      <c r="P323" s="2">
        <f>Cleaned[[#This Row],[Net Amount]] *  Cleaned[[#This Row],[FX_rates]]</f>
        <v>233698.76</v>
      </c>
    </row>
    <row r="324" spans="1:16" x14ac:dyDescent="0.45">
      <c r="A324" t="s">
        <v>332</v>
      </c>
      <c r="B324" s="1">
        <v>45317</v>
      </c>
      <c r="C324" s="2" t="s">
        <v>2012</v>
      </c>
      <c r="D324" t="s">
        <v>2017</v>
      </c>
      <c r="E324">
        <v>791.64</v>
      </c>
      <c r="F324">
        <f>Cleaned[[#This Row],[Debit]] * Cleaned[[#This Row],[FX_rates]]</f>
        <v>48290.04</v>
      </c>
      <c r="G324">
        <v>0</v>
      </c>
      <c r="H324">
        <f>Cleaned[[#This Row],[Credit]] *  Cleaned[[#This Row],[FX_rates]]</f>
        <v>0</v>
      </c>
      <c r="I324" t="s">
        <v>2024</v>
      </c>
      <c r="J324" t="s">
        <v>2029</v>
      </c>
      <c r="K324" t="s">
        <v>2353</v>
      </c>
      <c r="L324" t="s">
        <v>4035</v>
      </c>
      <c r="M324">
        <f>Cleaned[[#This Row],[Credit]]-Cleaned[[#This Row],[Debit]]</f>
        <v>-791.64</v>
      </c>
      <c r="N324" t="str">
        <f>_xlfn.XLOOKUP(Cleaned[[#This Row],[AccountName]], Account_Mapping!A:A, Account_Mapping!B:B,"Unmapped")</f>
        <v>Operating Expense</v>
      </c>
      <c r="O324" cm="1">
        <f t="array" ref="O324">_xlfn.XLOOKUP(
  1,
  (FX_Rates[Currency]=Cleaned[[#This Row],[Currency]])*
  (FX_Rates[RateDate]&lt;=Cleaned[[#This Row],[TxnDate]]),
  FX_Rates[Rate_To_INR],
  ,
  -1
)</f>
        <v>61</v>
      </c>
      <c r="P324" s="2">
        <f>Cleaned[[#This Row],[Net Amount]] *  Cleaned[[#This Row],[FX_rates]]</f>
        <v>-48290.04</v>
      </c>
    </row>
    <row r="325" spans="1:16" x14ac:dyDescent="0.45">
      <c r="A325" t="s">
        <v>333</v>
      </c>
      <c r="B325" s="1">
        <v>45517</v>
      </c>
      <c r="C325" s="2" t="s">
        <v>2010</v>
      </c>
      <c r="D325" t="s">
        <v>2015</v>
      </c>
      <c r="E325">
        <v>0</v>
      </c>
      <c r="F325">
        <f>Cleaned[[#This Row],[Debit]] * Cleaned[[#This Row],[FX_rates]]</f>
        <v>0</v>
      </c>
      <c r="G325">
        <v>381.77</v>
      </c>
      <c r="H325">
        <f>Cleaned[[#This Row],[Credit]] *  Cleaned[[#This Row],[FX_rates]]</f>
        <v>39322.31</v>
      </c>
      <c r="I325" t="s">
        <v>2025</v>
      </c>
      <c r="J325" t="s">
        <v>2030</v>
      </c>
      <c r="K325" t="s">
        <v>2354</v>
      </c>
      <c r="L325" t="s">
        <v>4031</v>
      </c>
      <c r="M325">
        <f>Cleaned[[#This Row],[Credit]]-Cleaned[[#This Row],[Debit]]</f>
        <v>381.77</v>
      </c>
      <c r="N325" t="str">
        <f>_xlfn.XLOOKUP(Cleaned[[#This Row],[AccountName]], Account_Mapping!A:A, Account_Mapping!B:B,"Unmapped")</f>
        <v>Revenue</v>
      </c>
      <c r="O325" cm="1">
        <f t="array" ref="O325">_xlfn.XLOOKUP(
  1,
  (FX_Rates[Currency]=Cleaned[[#This Row],[Currency]])*
  (FX_Rates[RateDate]&lt;=Cleaned[[#This Row],[TxnDate]]),
  FX_Rates[Rate_To_INR],
  ,
  -1
)</f>
        <v>103</v>
      </c>
      <c r="P325" s="2">
        <f>Cleaned[[#This Row],[Net Amount]] *  Cleaned[[#This Row],[FX_rates]]</f>
        <v>39322.31</v>
      </c>
    </row>
    <row r="326" spans="1:16" x14ac:dyDescent="0.45">
      <c r="A326" t="s">
        <v>334</v>
      </c>
      <c r="B326" s="1">
        <v>44972</v>
      </c>
      <c r="C326" s="2" t="s">
        <v>2012</v>
      </c>
      <c r="D326" t="s">
        <v>2017</v>
      </c>
      <c r="E326">
        <v>603.09</v>
      </c>
      <c r="F326">
        <f>Cleaned[[#This Row],[Debit]] * Cleaned[[#This Row],[FX_rates]]</f>
        <v>49453.380000000005</v>
      </c>
      <c r="G326">
        <v>0</v>
      </c>
      <c r="H326">
        <f>Cleaned[[#This Row],[Credit]] *  Cleaned[[#This Row],[FX_rates]]</f>
        <v>0</v>
      </c>
      <c r="I326" t="s">
        <v>2022</v>
      </c>
      <c r="J326" t="s">
        <v>2029</v>
      </c>
      <c r="K326" t="s">
        <v>2355</v>
      </c>
      <c r="L326" t="s">
        <v>4034</v>
      </c>
      <c r="M326">
        <f>Cleaned[[#This Row],[Credit]]-Cleaned[[#This Row],[Debit]]</f>
        <v>-603.09</v>
      </c>
      <c r="N326" t="str">
        <f>_xlfn.XLOOKUP(Cleaned[[#This Row],[AccountName]], Account_Mapping!A:A, Account_Mapping!B:B,"Unmapped")</f>
        <v>Operating Expense</v>
      </c>
      <c r="O326" cm="1">
        <f t="array" ref="O326">_xlfn.XLOOKUP(
  1,
  (FX_Rates[Currency]=Cleaned[[#This Row],[Currency]])*
  (FX_Rates[RateDate]&lt;=Cleaned[[#This Row],[TxnDate]]),
  FX_Rates[Rate_To_INR],
  ,
  -1
)</f>
        <v>82</v>
      </c>
      <c r="P326" s="2">
        <f>Cleaned[[#This Row],[Net Amount]] *  Cleaned[[#This Row],[FX_rates]]</f>
        <v>-49453.380000000005</v>
      </c>
    </row>
    <row r="327" spans="1:16" x14ac:dyDescent="0.45">
      <c r="A327" t="s">
        <v>335</v>
      </c>
      <c r="B327" s="1">
        <v>45251</v>
      </c>
      <c r="C327" s="2" t="s">
        <v>2011</v>
      </c>
      <c r="D327" t="s">
        <v>2016</v>
      </c>
      <c r="E327">
        <v>76.959999999999994</v>
      </c>
      <c r="F327">
        <f>Cleaned[[#This Row],[Debit]] * Cleaned[[#This Row],[FX_rates]]</f>
        <v>7926.8799999999992</v>
      </c>
      <c r="G327">
        <v>0</v>
      </c>
      <c r="H327">
        <f>Cleaned[[#This Row],[Credit]] *  Cleaned[[#This Row],[FX_rates]]</f>
        <v>0</v>
      </c>
      <c r="I327" t="s">
        <v>2024</v>
      </c>
      <c r="J327" t="s">
        <v>2028</v>
      </c>
      <c r="K327" t="s">
        <v>2356</v>
      </c>
      <c r="L327" t="s">
        <v>4031</v>
      </c>
      <c r="M327">
        <f>Cleaned[[#This Row],[Credit]]-Cleaned[[#This Row],[Debit]]</f>
        <v>-76.959999999999994</v>
      </c>
      <c r="N327" t="str">
        <f>_xlfn.XLOOKUP(Cleaned[[#This Row],[AccountName]], Account_Mapping!A:A, Account_Mapping!B:B,"Unmapped")</f>
        <v>COGS</v>
      </c>
      <c r="O327" cm="1">
        <f t="array" ref="O327">_xlfn.XLOOKUP(
  1,
  (FX_Rates[Currency]=Cleaned[[#This Row],[Currency]])*
  (FX_Rates[RateDate]&lt;=Cleaned[[#This Row],[TxnDate]]),
  FX_Rates[Rate_To_INR],
  ,
  -1
)</f>
        <v>103</v>
      </c>
      <c r="P327" s="2">
        <f>Cleaned[[#This Row],[Net Amount]] *  Cleaned[[#This Row],[FX_rates]]</f>
        <v>-7926.8799999999992</v>
      </c>
    </row>
    <row r="328" spans="1:16" x14ac:dyDescent="0.45">
      <c r="A328" t="s">
        <v>336</v>
      </c>
      <c r="B328" s="1">
        <v>45243</v>
      </c>
      <c r="C328" s="2" t="s">
        <v>2012</v>
      </c>
      <c r="D328" t="s">
        <v>2017</v>
      </c>
      <c r="E328">
        <v>870.26</v>
      </c>
      <c r="F328">
        <f>Cleaned[[#This Row],[Debit]] * Cleaned[[#This Row],[FX_rates]]</f>
        <v>53085.86</v>
      </c>
      <c r="G328">
        <v>0</v>
      </c>
      <c r="H328">
        <f>Cleaned[[#This Row],[Credit]] *  Cleaned[[#This Row],[FX_rates]]</f>
        <v>0</v>
      </c>
      <c r="I328" t="s">
        <v>2025</v>
      </c>
      <c r="J328" t="s">
        <v>2028</v>
      </c>
      <c r="K328" t="s">
        <v>2357</v>
      </c>
      <c r="L328" t="s">
        <v>4035</v>
      </c>
      <c r="M328">
        <f>Cleaned[[#This Row],[Credit]]-Cleaned[[#This Row],[Debit]]</f>
        <v>-870.26</v>
      </c>
      <c r="N328" t="str">
        <f>_xlfn.XLOOKUP(Cleaned[[#This Row],[AccountName]], Account_Mapping!A:A, Account_Mapping!B:B,"Unmapped")</f>
        <v>Operating Expense</v>
      </c>
      <c r="O328" cm="1">
        <f t="array" ref="O328">_xlfn.XLOOKUP(
  1,
  (FX_Rates[Currency]=Cleaned[[#This Row],[Currency]])*
  (FX_Rates[RateDate]&lt;=Cleaned[[#This Row],[TxnDate]]),
  FX_Rates[Rate_To_INR],
  ,
  -1
)</f>
        <v>61</v>
      </c>
      <c r="P328" s="2">
        <f>Cleaned[[#This Row],[Net Amount]] *  Cleaned[[#This Row],[FX_rates]]</f>
        <v>-53085.86</v>
      </c>
    </row>
    <row r="329" spans="1:16" x14ac:dyDescent="0.45">
      <c r="A329" t="s">
        <v>337</v>
      </c>
      <c r="B329" s="1">
        <v>45328</v>
      </c>
      <c r="C329" s="2" t="s">
        <v>2010</v>
      </c>
      <c r="D329" t="s">
        <v>2015</v>
      </c>
      <c r="E329">
        <v>0</v>
      </c>
      <c r="F329">
        <f>Cleaned[[#This Row],[Debit]] * Cleaned[[#This Row],[FX_rates]]</f>
        <v>0</v>
      </c>
      <c r="G329">
        <v>195.85</v>
      </c>
      <c r="H329">
        <f>Cleaned[[#This Row],[Credit]] *  Cleaned[[#This Row],[FX_rates]]</f>
        <v>10967.6</v>
      </c>
      <c r="I329" t="s">
        <v>2025</v>
      </c>
      <c r="J329" t="s">
        <v>2027</v>
      </c>
      <c r="K329" t="s">
        <v>2358</v>
      </c>
      <c r="L329" t="s">
        <v>4033</v>
      </c>
      <c r="M329">
        <f>Cleaned[[#This Row],[Credit]]-Cleaned[[#This Row],[Debit]]</f>
        <v>195.85</v>
      </c>
      <c r="N329" t="str">
        <f>_xlfn.XLOOKUP(Cleaned[[#This Row],[AccountName]], Account_Mapping!A:A, Account_Mapping!B:B,"Unmapped")</f>
        <v>Revenue</v>
      </c>
      <c r="O329" cm="1">
        <f t="array" ref="O329">_xlfn.XLOOKUP(
  1,
  (FX_Rates[Currency]=Cleaned[[#This Row],[Currency]])*
  (FX_Rates[RateDate]&lt;=Cleaned[[#This Row],[TxnDate]]),
  FX_Rates[Rate_To_INR],
  ,
  -1
)</f>
        <v>56</v>
      </c>
      <c r="P329" s="2">
        <f>Cleaned[[#This Row],[Net Amount]] *  Cleaned[[#This Row],[FX_rates]]</f>
        <v>10967.6</v>
      </c>
    </row>
    <row r="330" spans="1:16" x14ac:dyDescent="0.45">
      <c r="A330" t="s">
        <v>338</v>
      </c>
      <c r="B330" s="1">
        <v>45427</v>
      </c>
      <c r="C330" s="2" t="s">
        <v>2010</v>
      </c>
      <c r="D330" t="s">
        <v>2015</v>
      </c>
      <c r="E330">
        <v>0</v>
      </c>
      <c r="F330">
        <f>Cleaned[[#This Row],[Debit]] * Cleaned[[#This Row],[FX_rates]]</f>
        <v>0</v>
      </c>
      <c r="G330">
        <v>3924.16</v>
      </c>
      <c r="H330">
        <f>Cleaned[[#This Row],[Credit]] *  Cleaned[[#This Row],[FX_rates]]</f>
        <v>219752.95999999999</v>
      </c>
      <c r="I330" t="s">
        <v>2024</v>
      </c>
      <c r="J330" t="s">
        <v>2026</v>
      </c>
      <c r="K330" t="s">
        <v>2359</v>
      </c>
      <c r="L330" t="s">
        <v>4033</v>
      </c>
      <c r="M330">
        <f>Cleaned[[#This Row],[Credit]]-Cleaned[[#This Row],[Debit]]</f>
        <v>3924.16</v>
      </c>
      <c r="N330" t="str">
        <f>_xlfn.XLOOKUP(Cleaned[[#This Row],[AccountName]], Account_Mapping!A:A, Account_Mapping!B:B,"Unmapped")</f>
        <v>Revenue</v>
      </c>
      <c r="O330" cm="1">
        <f t="array" ref="O330">_xlfn.XLOOKUP(
  1,
  (FX_Rates[Currency]=Cleaned[[#This Row],[Currency]])*
  (FX_Rates[RateDate]&lt;=Cleaned[[#This Row],[TxnDate]]),
  FX_Rates[Rate_To_INR],
  ,
  -1
)</f>
        <v>56</v>
      </c>
      <c r="P330" s="2">
        <f>Cleaned[[#This Row],[Net Amount]] *  Cleaned[[#This Row],[FX_rates]]</f>
        <v>219752.95999999999</v>
      </c>
    </row>
    <row r="331" spans="1:16" x14ac:dyDescent="0.45">
      <c r="A331" t="s">
        <v>339</v>
      </c>
      <c r="B331" s="1">
        <v>45783</v>
      </c>
      <c r="C331" s="2" t="s">
        <v>2013</v>
      </c>
      <c r="D331" t="s">
        <v>2018</v>
      </c>
      <c r="E331">
        <v>745.46</v>
      </c>
      <c r="F331">
        <f>Cleaned[[#This Row],[Debit]] * Cleaned[[#This Row],[FX_rates]]</f>
        <v>65600.48000000001</v>
      </c>
      <c r="G331">
        <v>0</v>
      </c>
      <c r="H331">
        <f>Cleaned[[#This Row],[Credit]] *  Cleaned[[#This Row],[FX_rates]]</f>
        <v>0</v>
      </c>
      <c r="I331" t="s">
        <v>2024</v>
      </c>
      <c r="J331" t="s">
        <v>2026</v>
      </c>
      <c r="K331" t="s">
        <v>2360</v>
      </c>
      <c r="L331" t="s">
        <v>4032</v>
      </c>
      <c r="M331">
        <f>Cleaned[[#This Row],[Credit]]-Cleaned[[#This Row],[Debit]]</f>
        <v>-745.46</v>
      </c>
      <c r="N331" t="str">
        <f>_xlfn.XLOOKUP(Cleaned[[#This Row],[AccountName]], Account_Mapping!A:A, Account_Mapping!B:B,"Unmapped")</f>
        <v>Operating Expense</v>
      </c>
      <c r="O331" cm="1">
        <f t="array" ref="O331">_xlfn.XLOOKUP(
  1,
  (FX_Rates[Currency]=Cleaned[[#This Row],[Currency]])*
  (FX_Rates[RateDate]&lt;=Cleaned[[#This Row],[TxnDate]]),
  FX_Rates[Rate_To_INR],
  ,
  -1
)</f>
        <v>88</v>
      </c>
      <c r="P331" s="2">
        <f>Cleaned[[#This Row],[Net Amount]] *  Cleaned[[#This Row],[FX_rates]]</f>
        <v>-65600.48000000001</v>
      </c>
    </row>
    <row r="332" spans="1:16" x14ac:dyDescent="0.45">
      <c r="A332" t="s">
        <v>340</v>
      </c>
      <c r="B332" s="1">
        <v>45238</v>
      </c>
      <c r="C332" s="2" t="s">
        <v>2010</v>
      </c>
      <c r="D332" t="s">
        <v>2015</v>
      </c>
      <c r="E332">
        <v>0</v>
      </c>
      <c r="F332">
        <f>Cleaned[[#This Row],[Debit]] * Cleaned[[#This Row],[FX_rates]]</f>
        <v>0</v>
      </c>
      <c r="G332">
        <v>2579.5</v>
      </c>
      <c r="H332">
        <f>Cleaned[[#This Row],[Credit]] *  Cleaned[[#This Row],[FX_rates]]</f>
        <v>226996</v>
      </c>
      <c r="I332" t="s">
        <v>2020</v>
      </c>
      <c r="J332" t="s">
        <v>2027</v>
      </c>
      <c r="K332" t="s">
        <v>2361</v>
      </c>
      <c r="L332" t="s">
        <v>4032</v>
      </c>
      <c r="M332">
        <f>Cleaned[[#This Row],[Credit]]-Cleaned[[#This Row],[Debit]]</f>
        <v>2579.5</v>
      </c>
      <c r="N332" t="str">
        <f>_xlfn.XLOOKUP(Cleaned[[#This Row],[AccountName]], Account_Mapping!A:A, Account_Mapping!B:B,"Unmapped")</f>
        <v>Revenue</v>
      </c>
      <c r="O332" cm="1">
        <f t="array" ref="O332">_xlfn.XLOOKUP(
  1,
  (FX_Rates[Currency]=Cleaned[[#This Row],[Currency]])*
  (FX_Rates[RateDate]&lt;=Cleaned[[#This Row],[TxnDate]]),
  FX_Rates[Rate_To_INR],
  ,
  -1
)</f>
        <v>88</v>
      </c>
      <c r="P332" s="2">
        <f>Cleaned[[#This Row],[Net Amount]] *  Cleaned[[#This Row],[FX_rates]]</f>
        <v>226996</v>
      </c>
    </row>
    <row r="333" spans="1:16" x14ac:dyDescent="0.45">
      <c r="A333" t="s">
        <v>341</v>
      </c>
      <c r="B333" s="1">
        <v>45570</v>
      </c>
      <c r="C333" s="2" t="s">
        <v>2011</v>
      </c>
      <c r="D333" t="s">
        <v>2016</v>
      </c>
      <c r="E333">
        <v>1763.39</v>
      </c>
      <c r="F333">
        <f>Cleaned[[#This Row],[Debit]] * Cleaned[[#This Row],[FX_rates]]</f>
        <v>144597.98000000001</v>
      </c>
      <c r="G333">
        <v>0</v>
      </c>
      <c r="H333">
        <f>Cleaned[[#This Row],[Credit]] *  Cleaned[[#This Row],[FX_rates]]</f>
        <v>0</v>
      </c>
      <c r="I333" t="s">
        <v>2024</v>
      </c>
      <c r="J333" t="s">
        <v>2030</v>
      </c>
      <c r="K333" t="s">
        <v>2362</v>
      </c>
      <c r="L333" t="s">
        <v>4034</v>
      </c>
      <c r="M333">
        <f>Cleaned[[#This Row],[Credit]]-Cleaned[[#This Row],[Debit]]</f>
        <v>-1763.39</v>
      </c>
      <c r="N333" t="str">
        <f>_xlfn.XLOOKUP(Cleaned[[#This Row],[AccountName]], Account_Mapping!A:A, Account_Mapping!B:B,"Unmapped")</f>
        <v>COGS</v>
      </c>
      <c r="O333" cm="1">
        <f t="array" ref="O333">_xlfn.XLOOKUP(
  1,
  (FX_Rates[Currency]=Cleaned[[#This Row],[Currency]])*
  (FX_Rates[RateDate]&lt;=Cleaned[[#This Row],[TxnDate]]),
  FX_Rates[Rate_To_INR],
  ,
  -1
)</f>
        <v>82</v>
      </c>
      <c r="P333" s="2">
        <f>Cleaned[[#This Row],[Net Amount]] *  Cleaned[[#This Row],[FX_rates]]</f>
        <v>-144597.98000000001</v>
      </c>
    </row>
    <row r="334" spans="1:16" x14ac:dyDescent="0.45">
      <c r="A334" t="s">
        <v>342</v>
      </c>
      <c r="B334" s="1">
        <v>45566</v>
      </c>
      <c r="C334" s="2" t="s">
        <v>2011</v>
      </c>
      <c r="D334" t="s">
        <v>2016</v>
      </c>
      <c r="E334">
        <v>957.72</v>
      </c>
      <c r="F334">
        <f>Cleaned[[#This Row],[Debit]] * Cleaned[[#This Row],[FX_rates]]</f>
        <v>84279.360000000001</v>
      </c>
      <c r="G334">
        <v>0</v>
      </c>
      <c r="H334">
        <f>Cleaned[[#This Row],[Credit]] *  Cleaned[[#This Row],[FX_rates]]</f>
        <v>0</v>
      </c>
      <c r="I334" t="s">
        <v>2024</v>
      </c>
      <c r="J334" t="s">
        <v>2028</v>
      </c>
      <c r="K334" t="s">
        <v>2363</v>
      </c>
      <c r="L334" t="s">
        <v>4032</v>
      </c>
      <c r="M334">
        <f>Cleaned[[#This Row],[Credit]]-Cleaned[[#This Row],[Debit]]</f>
        <v>-957.72</v>
      </c>
      <c r="N334" t="str">
        <f>_xlfn.XLOOKUP(Cleaned[[#This Row],[AccountName]], Account_Mapping!A:A, Account_Mapping!B:B,"Unmapped")</f>
        <v>COGS</v>
      </c>
      <c r="O334" cm="1">
        <f t="array" ref="O334">_xlfn.XLOOKUP(
  1,
  (FX_Rates[Currency]=Cleaned[[#This Row],[Currency]])*
  (FX_Rates[RateDate]&lt;=Cleaned[[#This Row],[TxnDate]]),
  FX_Rates[Rate_To_INR],
  ,
  -1
)</f>
        <v>88</v>
      </c>
      <c r="P334" s="2">
        <f>Cleaned[[#This Row],[Net Amount]] *  Cleaned[[#This Row],[FX_rates]]</f>
        <v>-84279.360000000001</v>
      </c>
    </row>
    <row r="335" spans="1:16" x14ac:dyDescent="0.45">
      <c r="A335" t="s">
        <v>343</v>
      </c>
      <c r="B335" s="1">
        <v>45196</v>
      </c>
      <c r="C335" s="2" t="s">
        <v>2010</v>
      </c>
      <c r="D335" t="s">
        <v>2015</v>
      </c>
      <c r="E335">
        <v>0</v>
      </c>
      <c r="F335">
        <f>Cleaned[[#This Row],[Debit]] * Cleaned[[#This Row],[FX_rates]]</f>
        <v>0</v>
      </c>
      <c r="G335">
        <v>312.52</v>
      </c>
      <c r="H335">
        <f>Cleaned[[#This Row],[Credit]] *  Cleaned[[#This Row],[FX_rates]]</f>
        <v>25626.639999999999</v>
      </c>
      <c r="I335" t="s">
        <v>2020</v>
      </c>
      <c r="J335" t="s">
        <v>2028</v>
      </c>
      <c r="K335" t="s">
        <v>2364</v>
      </c>
      <c r="L335" t="s">
        <v>4034</v>
      </c>
      <c r="M335">
        <f>Cleaned[[#This Row],[Credit]]-Cleaned[[#This Row],[Debit]]</f>
        <v>312.52</v>
      </c>
      <c r="N335" t="str">
        <f>_xlfn.XLOOKUP(Cleaned[[#This Row],[AccountName]], Account_Mapping!A:A, Account_Mapping!B:B,"Unmapped")</f>
        <v>Revenue</v>
      </c>
      <c r="O335" cm="1">
        <f t="array" ref="O335">_xlfn.XLOOKUP(
  1,
  (FX_Rates[Currency]=Cleaned[[#This Row],[Currency]])*
  (FX_Rates[RateDate]&lt;=Cleaned[[#This Row],[TxnDate]]),
  FX_Rates[Rate_To_INR],
  ,
  -1
)</f>
        <v>82</v>
      </c>
      <c r="P335" s="2">
        <f>Cleaned[[#This Row],[Net Amount]] *  Cleaned[[#This Row],[FX_rates]]</f>
        <v>25626.639999999999</v>
      </c>
    </row>
    <row r="336" spans="1:16" x14ac:dyDescent="0.45">
      <c r="A336" t="s">
        <v>344</v>
      </c>
      <c r="B336" s="1">
        <v>45232</v>
      </c>
      <c r="C336" s="2" t="s">
        <v>2014</v>
      </c>
      <c r="D336" t="s">
        <v>2019</v>
      </c>
      <c r="E336">
        <v>0</v>
      </c>
      <c r="F336">
        <f>Cleaned[[#This Row],[Debit]] * Cleaned[[#This Row],[FX_rates]]</f>
        <v>0</v>
      </c>
      <c r="G336">
        <v>4032.89</v>
      </c>
      <c r="H336">
        <f>Cleaned[[#This Row],[Credit]] *  Cleaned[[#This Row],[FX_rates]]</f>
        <v>415387.67</v>
      </c>
      <c r="I336" t="s">
        <v>2021</v>
      </c>
      <c r="J336" t="s">
        <v>2027</v>
      </c>
      <c r="K336" t="s">
        <v>2365</v>
      </c>
      <c r="L336" t="s">
        <v>4031</v>
      </c>
      <c r="M336">
        <f>Cleaned[[#This Row],[Credit]]-Cleaned[[#This Row],[Debit]]</f>
        <v>4032.89</v>
      </c>
      <c r="N336" t="str">
        <f>_xlfn.XLOOKUP(Cleaned[[#This Row],[AccountName]], Account_Mapping!A:A, Account_Mapping!B:B,"Unmapped")</f>
        <v>Revenue</v>
      </c>
      <c r="O336" cm="1">
        <f t="array" ref="O336">_xlfn.XLOOKUP(
  1,
  (FX_Rates[Currency]=Cleaned[[#This Row],[Currency]])*
  (FX_Rates[RateDate]&lt;=Cleaned[[#This Row],[TxnDate]]),
  FX_Rates[Rate_To_INR],
  ,
  -1
)</f>
        <v>103</v>
      </c>
      <c r="P336" s="2">
        <f>Cleaned[[#This Row],[Net Amount]] *  Cleaned[[#This Row],[FX_rates]]</f>
        <v>415387.67</v>
      </c>
    </row>
    <row r="337" spans="1:16" x14ac:dyDescent="0.45">
      <c r="A337" t="s">
        <v>345</v>
      </c>
      <c r="B337" s="1">
        <v>45316</v>
      </c>
      <c r="C337" s="2" t="s">
        <v>2011</v>
      </c>
      <c r="D337" t="s">
        <v>2016</v>
      </c>
      <c r="E337">
        <v>822.42</v>
      </c>
      <c r="F337">
        <f>Cleaned[[#This Row],[Debit]] * Cleaned[[#This Row],[FX_rates]]</f>
        <v>67438.44</v>
      </c>
      <c r="G337">
        <v>0</v>
      </c>
      <c r="H337">
        <f>Cleaned[[#This Row],[Credit]] *  Cleaned[[#This Row],[FX_rates]]</f>
        <v>0</v>
      </c>
      <c r="I337" t="s">
        <v>2024</v>
      </c>
      <c r="J337" t="s">
        <v>2028</v>
      </c>
      <c r="K337" t="s">
        <v>2366</v>
      </c>
      <c r="L337" t="s">
        <v>4034</v>
      </c>
      <c r="M337">
        <f>Cleaned[[#This Row],[Credit]]-Cleaned[[#This Row],[Debit]]</f>
        <v>-822.42</v>
      </c>
      <c r="N337" t="str">
        <f>_xlfn.XLOOKUP(Cleaned[[#This Row],[AccountName]], Account_Mapping!A:A, Account_Mapping!B:B,"Unmapped")</f>
        <v>COGS</v>
      </c>
      <c r="O337" cm="1">
        <f t="array" ref="O337">_xlfn.XLOOKUP(
  1,
  (FX_Rates[Currency]=Cleaned[[#This Row],[Currency]])*
  (FX_Rates[RateDate]&lt;=Cleaned[[#This Row],[TxnDate]]),
  FX_Rates[Rate_To_INR],
  ,
  -1
)</f>
        <v>82</v>
      </c>
      <c r="P337" s="2">
        <f>Cleaned[[#This Row],[Net Amount]] *  Cleaned[[#This Row],[FX_rates]]</f>
        <v>-67438.44</v>
      </c>
    </row>
    <row r="338" spans="1:16" x14ac:dyDescent="0.45">
      <c r="A338" t="s">
        <v>346</v>
      </c>
      <c r="B338" s="1">
        <v>44976</v>
      </c>
      <c r="C338" s="2" t="s">
        <v>2014</v>
      </c>
      <c r="D338" t="s">
        <v>2019</v>
      </c>
      <c r="E338">
        <v>0</v>
      </c>
      <c r="F338">
        <f>Cleaned[[#This Row],[Debit]] * Cleaned[[#This Row],[FX_rates]]</f>
        <v>0</v>
      </c>
      <c r="G338">
        <v>2096.4299999999998</v>
      </c>
      <c r="H338">
        <f>Cleaned[[#This Row],[Credit]] *  Cleaned[[#This Row],[FX_rates]]</f>
        <v>184485.84</v>
      </c>
      <c r="I338" t="s">
        <v>2023</v>
      </c>
      <c r="J338" t="s">
        <v>2030</v>
      </c>
      <c r="K338" t="s">
        <v>2367</v>
      </c>
      <c r="L338" t="s">
        <v>4032</v>
      </c>
      <c r="M338">
        <f>Cleaned[[#This Row],[Credit]]-Cleaned[[#This Row],[Debit]]</f>
        <v>2096.4299999999998</v>
      </c>
      <c r="N338" t="str">
        <f>_xlfn.XLOOKUP(Cleaned[[#This Row],[AccountName]], Account_Mapping!A:A, Account_Mapping!B:B,"Unmapped")</f>
        <v>Revenue</v>
      </c>
      <c r="O338" cm="1">
        <f t="array" ref="O338">_xlfn.XLOOKUP(
  1,
  (FX_Rates[Currency]=Cleaned[[#This Row],[Currency]])*
  (FX_Rates[RateDate]&lt;=Cleaned[[#This Row],[TxnDate]]),
  FX_Rates[Rate_To_INR],
  ,
  -1
)</f>
        <v>88</v>
      </c>
      <c r="P338" s="2">
        <f>Cleaned[[#This Row],[Net Amount]] *  Cleaned[[#This Row],[FX_rates]]</f>
        <v>184485.84</v>
      </c>
    </row>
    <row r="339" spans="1:16" x14ac:dyDescent="0.45">
      <c r="A339" t="s">
        <v>347</v>
      </c>
      <c r="B339" s="1">
        <v>45599</v>
      </c>
      <c r="C339" s="2" t="s">
        <v>2010</v>
      </c>
      <c r="D339" t="s">
        <v>2015</v>
      </c>
      <c r="E339">
        <v>0</v>
      </c>
      <c r="F339">
        <f>Cleaned[[#This Row],[Debit]] * Cleaned[[#This Row],[FX_rates]]</f>
        <v>0</v>
      </c>
      <c r="G339">
        <v>2254.64</v>
      </c>
      <c r="H339">
        <f>Cleaned[[#This Row],[Credit]] *  Cleaned[[#This Row],[FX_rates]]</f>
        <v>198408.31999999998</v>
      </c>
      <c r="I339" t="s">
        <v>2023</v>
      </c>
      <c r="J339" t="s">
        <v>2026</v>
      </c>
      <c r="K339" t="s">
        <v>2368</v>
      </c>
      <c r="L339" t="s">
        <v>4032</v>
      </c>
      <c r="M339">
        <f>Cleaned[[#This Row],[Credit]]-Cleaned[[#This Row],[Debit]]</f>
        <v>2254.64</v>
      </c>
      <c r="N339" t="str">
        <f>_xlfn.XLOOKUP(Cleaned[[#This Row],[AccountName]], Account_Mapping!A:A, Account_Mapping!B:B,"Unmapped")</f>
        <v>Revenue</v>
      </c>
      <c r="O339" cm="1">
        <f t="array" ref="O339">_xlfn.XLOOKUP(
  1,
  (FX_Rates[Currency]=Cleaned[[#This Row],[Currency]])*
  (FX_Rates[RateDate]&lt;=Cleaned[[#This Row],[TxnDate]]),
  FX_Rates[Rate_To_INR],
  ,
  -1
)</f>
        <v>88</v>
      </c>
      <c r="P339" s="2">
        <f>Cleaned[[#This Row],[Net Amount]] *  Cleaned[[#This Row],[FX_rates]]</f>
        <v>198408.31999999998</v>
      </c>
    </row>
    <row r="340" spans="1:16" x14ac:dyDescent="0.45">
      <c r="A340" t="s">
        <v>348</v>
      </c>
      <c r="B340" s="1">
        <v>45554</v>
      </c>
      <c r="C340" s="2" t="s">
        <v>2013</v>
      </c>
      <c r="D340" t="s">
        <v>2018</v>
      </c>
      <c r="E340">
        <v>1898.13</v>
      </c>
      <c r="F340">
        <f>Cleaned[[#This Row],[Debit]] * Cleaned[[#This Row],[FX_rates]]</f>
        <v>106295.28</v>
      </c>
      <c r="G340">
        <v>0</v>
      </c>
      <c r="H340">
        <f>Cleaned[[#This Row],[Credit]] *  Cleaned[[#This Row],[FX_rates]]</f>
        <v>0</v>
      </c>
      <c r="I340" t="s">
        <v>2025</v>
      </c>
      <c r="J340" t="s">
        <v>2029</v>
      </c>
      <c r="K340" t="s">
        <v>2369</v>
      </c>
      <c r="L340" t="s">
        <v>4033</v>
      </c>
      <c r="M340">
        <f>Cleaned[[#This Row],[Credit]]-Cleaned[[#This Row],[Debit]]</f>
        <v>-1898.13</v>
      </c>
      <c r="N340" t="str">
        <f>_xlfn.XLOOKUP(Cleaned[[#This Row],[AccountName]], Account_Mapping!A:A, Account_Mapping!B:B,"Unmapped")</f>
        <v>Operating Expense</v>
      </c>
      <c r="O340" cm="1">
        <f t="array" ref="O340">_xlfn.XLOOKUP(
  1,
  (FX_Rates[Currency]=Cleaned[[#This Row],[Currency]])*
  (FX_Rates[RateDate]&lt;=Cleaned[[#This Row],[TxnDate]]),
  FX_Rates[Rate_To_INR],
  ,
  -1
)</f>
        <v>56</v>
      </c>
      <c r="P340" s="2">
        <f>Cleaned[[#This Row],[Net Amount]] *  Cleaned[[#This Row],[FX_rates]]</f>
        <v>-106295.28</v>
      </c>
    </row>
    <row r="341" spans="1:16" x14ac:dyDescent="0.45">
      <c r="A341" t="s">
        <v>349</v>
      </c>
      <c r="B341" s="1">
        <v>45203</v>
      </c>
      <c r="C341" s="2" t="s">
        <v>2011</v>
      </c>
      <c r="D341" t="s">
        <v>2016</v>
      </c>
      <c r="E341">
        <v>92.89</v>
      </c>
      <c r="F341">
        <f>Cleaned[[#This Row],[Debit]] * Cleaned[[#This Row],[FX_rates]]</f>
        <v>8174.32</v>
      </c>
      <c r="G341">
        <v>0</v>
      </c>
      <c r="H341">
        <f>Cleaned[[#This Row],[Credit]] *  Cleaned[[#This Row],[FX_rates]]</f>
        <v>0</v>
      </c>
      <c r="I341" t="s">
        <v>2022</v>
      </c>
      <c r="J341" t="s">
        <v>2030</v>
      </c>
      <c r="K341" t="s">
        <v>2370</v>
      </c>
      <c r="L341" t="s">
        <v>4032</v>
      </c>
      <c r="M341">
        <f>Cleaned[[#This Row],[Credit]]-Cleaned[[#This Row],[Debit]]</f>
        <v>-92.89</v>
      </c>
      <c r="N341" t="str">
        <f>_xlfn.XLOOKUP(Cleaned[[#This Row],[AccountName]], Account_Mapping!A:A, Account_Mapping!B:B,"Unmapped")</f>
        <v>COGS</v>
      </c>
      <c r="O341" cm="1">
        <f t="array" ref="O341">_xlfn.XLOOKUP(
  1,
  (FX_Rates[Currency]=Cleaned[[#This Row],[Currency]])*
  (FX_Rates[RateDate]&lt;=Cleaned[[#This Row],[TxnDate]]),
  FX_Rates[Rate_To_INR],
  ,
  -1
)</f>
        <v>88</v>
      </c>
      <c r="P341" s="2">
        <f>Cleaned[[#This Row],[Net Amount]] *  Cleaned[[#This Row],[FX_rates]]</f>
        <v>-8174.32</v>
      </c>
    </row>
    <row r="342" spans="1:16" x14ac:dyDescent="0.45">
      <c r="A342" t="s">
        <v>350</v>
      </c>
      <c r="B342" s="1">
        <v>45637</v>
      </c>
      <c r="C342" s="2" t="s">
        <v>2011</v>
      </c>
      <c r="D342" t="s">
        <v>2016</v>
      </c>
      <c r="E342">
        <v>192.59</v>
      </c>
      <c r="F342">
        <f>Cleaned[[#This Row],[Debit]] * Cleaned[[#This Row],[FX_rates]]</f>
        <v>16947.920000000002</v>
      </c>
      <c r="G342">
        <v>0</v>
      </c>
      <c r="H342">
        <f>Cleaned[[#This Row],[Credit]] *  Cleaned[[#This Row],[FX_rates]]</f>
        <v>0</v>
      </c>
      <c r="I342" t="s">
        <v>2022</v>
      </c>
      <c r="J342" t="s">
        <v>2028</v>
      </c>
      <c r="K342" t="s">
        <v>2371</v>
      </c>
      <c r="L342" t="s">
        <v>4032</v>
      </c>
      <c r="M342">
        <f>Cleaned[[#This Row],[Credit]]-Cleaned[[#This Row],[Debit]]</f>
        <v>-192.59</v>
      </c>
      <c r="N342" t="str">
        <f>_xlfn.XLOOKUP(Cleaned[[#This Row],[AccountName]], Account_Mapping!A:A, Account_Mapping!B:B,"Unmapped")</f>
        <v>COGS</v>
      </c>
      <c r="O342" cm="1">
        <f t="array" ref="O342">_xlfn.XLOOKUP(
  1,
  (FX_Rates[Currency]=Cleaned[[#This Row],[Currency]])*
  (FX_Rates[RateDate]&lt;=Cleaned[[#This Row],[TxnDate]]),
  FX_Rates[Rate_To_INR],
  ,
  -1
)</f>
        <v>88</v>
      </c>
      <c r="P342" s="2">
        <f>Cleaned[[#This Row],[Net Amount]] *  Cleaned[[#This Row],[FX_rates]]</f>
        <v>-16947.920000000002</v>
      </c>
    </row>
    <row r="343" spans="1:16" x14ac:dyDescent="0.45">
      <c r="A343" t="s">
        <v>351</v>
      </c>
      <c r="B343" s="1">
        <v>45311</v>
      </c>
      <c r="C343" s="2" t="s">
        <v>2010</v>
      </c>
      <c r="D343" t="s">
        <v>2015</v>
      </c>
      <c r="E343">
        <v>0</v>
      </c>
      <c r="F343">
        <f>Cleaned[[#This Row],[Debit]] * Cleaned[[#This Row],[FX_rates]]</f>
        <v>0</v>
      </c>
      <c r="G343">
        <v>1924.88</v>
      </c>
      <c r="H343">
        <f>Cleaned[[#This Row],[Credit]] *  Cleaned[[#This Row],[FX_rates]]</f>
        <v>117417.68000000001</v>
      </c>
      <c r="I343" t="s">
        <v>2025</v>
      </c>
      <c r="J343" t="s">
        <v>2030</v>
      </c>
      <c r="K343" t="s">
        <v>2372</v>
      </c>
      <c r="L343" t="s">
        <v>4035</v>
      </c>
      <c r="M343">
        <f>Cleaned[[#This Row],[Credit]]-Cleaned[[#This Row],[Debit]]</f>
        <v>1924.88</v>
      </c>
      <c r="N343" t="str">
        <f>_xlfn.XLOOKUP(Cleaned[[#This Row],[AccountName]], Account_Mapping!A:A, Account_Mapping!B:B,"Unmapped")</f>
        <v>Revenue</v>
      </c>
      <c r="O343" cm="1">
        <f t="array" ref="O343">_xlfn.XLOOKUP(
  1,
  (FX_Rates[Currency]=Cleaned[[#This Row],[Currency]])*
  (FX_Rates[RateDate]&lt;=Cleaned[[#This Row],[TxnDate]]),
  FX_Rates[Rate_To_INR],
  ,
  -1
)</f>
        <v>61</v>
      </c>
      <c r="P343" s="2">
        <f>Cleaned[[#This Row],[Net Amount]] *  Cleaned[[#This Row],[FX_rates]]</f>
        <v>117417.68000000001</v>
      </c>
    </row>
    <row r="344" spans="1:16" x14ac:dyDescent="0.45">
      <c r="A344" t="s">
        <v>352</v>
      </c>
      <c r="B344" s="1">
        <v>45050</v>
      </c>
      <c r="C344" s="2" t="s">
        <v>2011</v>
      </c>
      <c r="D344" t="s">
        <v>2016</v>
      </c>
      <c r="E344">
        <v>1161.96</v>
      </c>
      <c r="F344">
        <f>Cleaned[[#This Row],[Debit]] * Cleaned[[#This Row],[FX_rates]]</f>
        <v>119681.88</v>
      </c>
      <c r="G344">
        <v>0</v>
      </c>
      <c r="H344">
        <f>Cleaned[[#This Row],[Credit]] *  Cleaned[[#This Row],[FX_rates]]</f>
        <v>0</v>
      </c>
      <c r="I344" t="s">
        <v>2021</v>
      </c>
      <c r="J344" t="s">
        <v>2030</v>
      </c>
      <c r="K344" t="s">
        <v>2373</v>
      </c>
      <c r="L344" t="s">
        <v>4031</v>
      </c>
      <c r="M344">
        <f>Cleaned[[#This Row],[Credit]]-Cleaned[[#This Row],[Debit]]</f>
        <v>-1161.96</v>
      </c>
      <c r="N344" t="str">
        <f>_xlfn.XLOOKUP(Cleaned[[#This Row],[AccountName]], Account_Mapping!A:A, Account_Mapping!B:B,"Unmapped")</f>
        <v>COGS</v>
      </c>
      <c r="O344" cm="1">
        <f t="array" ref="O344">_xlfn.XLOOKUP(
  1,
  (FX_Rates[Currency]=Cleaned[[#This Row],[Currency]])*
  (FX_Rates[RateDate]&lt;=Cleaned[[#This Row],[TxnDate]]),
  FX_Rates[Rate_To_INR],
  ,
  -1
)</f>
        <v>103</v>
      </c>
      <c r="P344" s="2">
        <f>Cleaned[[#This Row],[Net Amount]] *  Cleaned[[#This Row],[FX_rates]]</f>
        <v>-119681.88</v>
      </c>
    </row>
    <row r="345" spans="1:16" x14ac:dyDescent="0.45">
      <c r="A345" t="s">
        <v>353</v>
      </c>
      <c r="B345" s="1">
        <v>45580</v>
      </c>
      <c r="C345" s="2" t="s">
        <v>2013</v>
      </c>
      <c r="D345" t="s">
        <v>2018</v>
      </c>
      <c r="E345">
        <v>1693.2</v>
      </c>
      <c r="F345">
        <f>Cleaned[[#This Row],[Debit]] * Cleaned[[#This Row],[FX_rates]]</f>
        <v>149001.60000000001</v>
      </c>
      <c r="G345">
        <v>0</v>
      </c>
      <c r="H345">
        <f>Cleaned[[#This Row],[Credit]] *  Cleaned[[#This Row],[FX_rates]]</f>
        <v>0</v>
      </c>
      <c r="I345" t="s">
        <v>2022</v>
      </c>
      <c r="J345" t="s">
        <v>2027</v>
      </c>
      <c r="K345" t="s">
        <v>2374</v>
      </c>
      <c r="L345" t="s">
        <v>4032</v>
      </c>
      <c r="M345">
        <f>Cleaned[[#This Row],[Credit]]-Cleaned[[#This Row],[Debit]]</f>
        <v>-1693.2</v>
      </c>
      <c r="N345" t="str">
        <f>_xlfn.XLOOKUP(Cleaned[[#This Row],[AccountName]], Account_Mapping!A:A, Account_Mapping!B:B,"Unmapped")</f>
        <v>Operating Expense</v>
      </c>
      <c r="O345" cm="1">
        <f t="array" ref="O345">_xlfn.XLOOKUP(
  1,
  (FX_Rates[Currency]=Cleaned[[#This Row],[Currency]])*
  (FX_Rates[RateDate]&lt;=Cleaned[[#This Row],[TxnDate]]),
  FX_Rates[Rate_To_INR],
  ,
  -1
)</f>
        <v>88</v>
      </c>
      <c r="P345" s="2">
        <f>Cleaned[[#This Row],[Net Amount]] *  Cleaned[[#This Row],[FX_rates]]</f>
        <v>-149001.60000000001</v>
      </c>
    </row>
    <row r="346" spans="1:16" x14ac:dyDescent="0.45">
      <c r="A346" t="s">
        <v>354</v>
      </c>
      <c r="B346" s="1">
        <v>45212</v>
      </c>
      <c r="C346" s="2" t="s">
        <v>2014</v>
      </c>
      <c r="D346" t="s">
        <v>2019</v>
      </c>
      <c r="E346">
        <v>0</v>
      </c>
      <c r="F346">
        <f>Cleaned[[#This Row],[Debit]] * Cleaned[[#This Row],[FX_rates]]</f>
        <v>0</v>
      </c>
      <c r="G346">
        <v>535.42999999999995</v>
      </c>
      <c r="H346">
        <f>Cleaned[[#This Row],[Credit]] *  Cleaned[[#This Row],[FX_rates]]</f>
        <v>55149.289999999994</v>
      </c>
      <c r="I346" t="s">
        <v>2020</v>
      </c>
      <c r="J346" t="s">
        <v>2027</v>
      </c>
      <c r="K346" t="s">
        <v>2375</v>
      </c>
      <c r="L346" t="s">
        <v>4031</v>
      </c>
      <c r="M346">
        <f>Cleaned[[#This Row],[Credit]]-Cleaned[[#This Row],[Debit]]</f>
        <v>535.42999999999995</v>
      </c>
      <c r="N346" t="str">
        <f>_xlfn.XLOOKUP(Cleaned[[#This Row],[AccountName]], Account_Mapping!A:A, Account_Mapping!B:B,"Unmapped")</f>
        <v>Revenue</v>
      </c>
      <c r="O346" cm="1">
        <f t="array" ref="O346">_xlfn.XLOOKUP(
  1,
  (FX_Rates[Currency]=Cleaned[[#This Row],[Currency]])*
  (FX_Rates[RateDate]&lt;=Cleaned[[#This Row],[TxnDate]]),
  FX_Rates[Rate_To_INR],
  ,
  -1
)</f>
        <v>103</v>
      </c>
      <c r="P346" s="2">
        <f>Cleaned[[#This Row],[Net Amount]] *  Cleaned[[#This Row],[FX_rates]]</f>
        <v>55149.289999999994</v>
      </c>
    </row>
    <row r="347" spans="1:16" x14ac:dyDescent="0.45">
      <c r="A347" t="s">
        <v>355</v>
      </c>
      <c r="B347" s="1">
        <v>45506</v>
      </c>
      <c r="C347" s="2" t="s">
        <v>2011</v>
      </c>
      <c r="D347" t="s">
        <v>2016</v>
      </c>
      <c r="E347">
        <v>449.09</v>
      </c>
      <c r="F347">
        <f>Cleaned[[#This Row],[Debit]] * Cleaned[[#This Row],[FX_rates]]</f>
        <v>46256.27</v>
      </c>
      <c r="G347">
        <v>0</v>
      </c>
      <c r="H347">
        <f>Cleaned[[#This Row],[Credit]] *  Cleaned[[#This Row],[FX_rates]]</f>
        <v>0</v>
      </c>
      <c r="I347" t="s">
        <v>2023</v>
      </c>
      <c r="J347" t="s">
        <v>2030</v>
      </c>
      <c r="K347" t="s">
        <v>2376</v>
      </c>
      <c r="L347" t="s">
        <v>4031</v>
      </c>
      <c r="M347">
        <f>Cleaned[[#This Row],[Credit]]-Cleaned[[#This Row],[Debit]]</f>
        <v>-449.09</v>
      </c>
      <c r="N347" t="str">
        <f>_xlfn.XLOOKUP(Cleaned[[#This Row],[AccountName]], Account_Mapping!A:A, Account_Mapping!B:B,"Unmapped")</f>
        <v>COGS</v>
      </c>
      <c r="O347" cm="1">
        <f t="array" ref="O347">_xlfn.XLOOKUP(
  1,
  (FX_Rates[Currency]=Cleaned[[#This Row],[Currency]])*
  (FX_Rates[RateDate]&lt;=Cleaned[[#This Row],[TxnDate]]),
  FX_Rates[Rate_To_INR],
  ,
  -1
)</f>
        <v>103</v>
      </c>
      <c r="P347" s="2">
        <f>Cleaned[[#This Row],[Net Amount]] *  Cleaned[[#This Row],[FX_rates]]</f>
        <v>-46256.27</v>
      </c>
    </row>
    <row r="348" spans="1:16" x14ac:dyDescent="0.45">
      <c r="A348" t="s">
        <v>356</v>
      </c>
      <c r="B348" s="1">
        <v>45173</v>
      </c>
      <c r="C348" s="2" t="s">
        <v>2013</v>
      </c>
      <c r="D348" t="s">
        <v>2018</v>
      </c>
      <c r="E348">
        <v>938.21</v>
      </c>
      <c r="F348">
        <f>Cleaned[[#This Row],[Debit]] * Cleaned[[#This Row],[FX_rates]]</f>
        <v>96635.63</v>
      </c>
      <c r="G348">
        <v>0</v>
      </c>
      <c r="H348">
        <f>Cleaned[[#This Row],[Credit]] *  Cleaned[[#This Row],[FX_rates]]</f>
        <v>0</v>
      </c>
      <c r="I348" t="s">
        <v>2021</v>
      </c>
      <c r="J348" t="s">
        <v>2030</v>
      </c>
      <c r="K348" t="s">
        <v>2377</v>
      </c>
      <c r="L348" t="s">
        <v>4031</v>
      </c>
      <c r="M348">
        <f>Cleaned[[#This Row],[Credit]]-Cleaned[[#This Row],[Debit]]</f>
        <v>-938.21</v>
      </c>
      <c r="N348" t="str">
        <f>_xlfn.XLOOKUP(Cleaned[[#This Row],[AccountName]], Account_Mapping!A:A, Account_Mapping!B:B,"Unmapped")</f>
        <v>Operating Expense</v>
      </c>
      <c r="O348" cm="1">
        <f t="array" ref="O348">_xlfn.XLOOKUP(
  1,
  (FX_Rates[Currency]=Cleaned[[#This Row],[Currency]])*
  (FX_Rates[RateDate]&lt;=Cleaned[[#This Row],[TxnDate]]),
  FX_Rates[Rate_To_INR],
  ,
  -1
)</f>
        <v>103</v>
      </c>
      <c r="P348" s="2">
        <f>Cleaned[[#This Row],[Net Amount]] *  Cleaned[[#This Row],[FX_rates]]</f>
        <v>-96635.63</v>
      </c>
    </row>
    <row r="349" spans="1:16" x14ac:dyDescent="0.45">
      <c r="A349" t="s">
        <v>357</v>
      </c>
      <c r="B349" s="1">
        <v>45702</v>
      </c>
      <c r="C349" s="2" t="s">
        <v>2013</v>
      </c>
      <c r="D349" t="s">
        <v>2018</v>
      </c>
      <c r="E349">
        <v>131.84</v>
      </c>
      <c r="F349">
        <f>Cleaned[[#This Row],[Debit]] * Cleaned[[#This Row],[FX_rates]]</f>
        <v>11601.92</v>
      </c>
      <c r="G349">
        <v>0</v>
      </c>
      <c r="H349">
        <f>Cleaned[[#This Row],[Credit]] *  Cleaned[[#This Row],[FX_rates]]</f>
        <v>0</v>
      </c>
      <c r="I349" t="s">
        <v>2025</v>
      </c>
      <c r="J349" t="s">
        <v>2029</v>
      </c>
      <c r="K349" t="s">
        <v>2378</v>
      </c>
      <c r="L349" t="s">
        <v>4032</v>
      </c>
      <c r="M349">
        <f>Cleaned[[#This Row],[Credit]]-Cleaned[[#This Row],[Debit]]</f>
        <v>-131.84</v>
      </c>
      <c r="N349" t="str">
        <f>_xlfn.XLOOKUP(Cleaned[[#This Row],[AccountName]], Account_Mapping!A:A, Account_Mapping!B:B,"Unmapped")</f>
        <v>Operating Expense</v>
      </c>
      <c r="O349" cm="1">
        <f t="array" ref="O349">_xlfn.XLOOKUP(
  1,
  (FX_Rates[Currency]=Cleaned[[#This Row],[Currency]])*
  (FX_Rates[RateDate]&lt;=Cleaned[[#This Row],[TxnDate]]),
  FX_Rates[Rate_To_INR],
  ,
  -1
)</f>
        <v>88</v>
      </c>
      <c r="P349" s="2">
        <f>Cleaned[[#This Row],[Net Amount]] *  Cleaned[[#This Row],[FX_rates]]</f>
        <v>-11601.92</v>
      </c>
    </row>
    <row r="350" spans="1:16" x14ac:dyDescent="0.45">
      <c r="A350" t="s">
        <v>358</v>
      </c>
      <c r="B350" s="1">
        <v>45183</v>
      </c>
      <c r="C350" s="2" t="s">
        <v>2010</v>
      </c>
      <c r="D350" t="s">
        <v>2015</v>
      </c>
      <c r="E350">
        <v>0</v>
      </c>
      <c r="F350">
        <f>Cleaned[[#This Row],[Debit]] * Cleaned[[#This Row],[FX_rates]]</f>
        <v>0</v>
      </c>
      <c r="G350">
        <v>3658.34</v>
      </c>
      <c r="H350">
        <f>Cleaned[[#This Row],[Credit]] *  Cleaned[[#This Row],[FX_rates]]</f>
        <v>204867.04</v>
      </c>
      <c r="I350" t="s">
        <v>2022</v>
      </c>
      <c r="J350" t="s">
        <v>2027</v>
      </c>
      <c r="K350" t="s">
        <v>2379</v>
      </c>
      <c r="L350" t="s">
        <v>4033</v>
      </c>
      <c r="M350">
        <f>Cleaned[[#This Row],[Credit]]-Cleaned[[#This Row],[Debit]]</f>
        <v>3658.34</v>
      </c>
      <c r="N350" t="str">
        <f>_xlfn.XLOOKUP(Cleaned[[#This Row],[AccountName]], Account_Mapping!A:A, Account_Mapping!B:B,"Unmapped")</f>
        <v>Revenue</v>
      </c>
      <c r="O350" cm="1">
        <f t="array" ref="O350">_xlfn.XLOOKUP(
  1,
  (FX_Rates[Currency]=Cleaned[[#This Row],[Currency]])*
  (FX_Rates[RateDate]&lt;=Cleaned[[#This Row],[TxnDate]]),
  FX_Rates[Rate_To_INR],
  ,
  -1
)</f>
        <v>56</v>
      </c>
      <c r="P350" s="2">
        <f>Cleaned[[#This Row],[Net Amount]] *  Cleaned[[#This Row],[FX_rates]]</f>
        <v>204867.04</v>
      </c>
    </row>
    <row r="351" spans="1:16" x14ac:dyDescent="0.45">
      <c r="A351" t="s">
        <v>359</v>
      </c>
      <c r="B351" s="1">
        <v>45030</v>
      </c>
      <c r="C351" s="2" t="s">
        <v>2011</v>
      </c>
      <c r="D351" t="s">
        <v>2016</v>
      </c>
      <c r="E351">
        <v>509.89</v>
      </c>
      <c r="F351">
        <f>Cleaned[[#This Row],[Debit]] * Cleaned[[#This Row],[FX_rates]]</f>
        <v>44870.32</v>
      </c>
      <c r="G351">
        <v>0</v>
      </c>
      <c r="H351">
        <f>Cleaned[[#This Row],[Credit]] *  Cleaned[[#This Row],[FX_rates]]</f>
        <v>0</v>
      </c>
      <c r="I351" t="s">
        <v>2021</v>
      </c>
      <c r="J351" t="s">
        <v>2026</v>
      </c>
      <c r="K351" t="s">
        <v>2380</v>
      </c>
      <c r="L351" t="s">
        <v>4032</v>
      </c>
      <c r="M351">
        <f>Cleaned[[#This Row],[Credit]]-Cleaned[[#This Row],[Debit]]</f>
        <v>-509.89</v>
      </c>
      <c r="N351" t="str">
        <f>_xlfn.XLOOKUP(Cleaned[[#This Row],[AccountName]], Account_Mapping!A:A, Account_Mapping!B:B,"Unmapped")</f>
        <v>COGS</v>
      </c>
      <c r="O351" cm="1">
        <f t="array" ref="O351">_xlfn.XLOOKUP(
  1,
  (FX_Rates[Currency]=Cleaned[[#This Row],[Currency]])*
  (FX_Rates[RateDate]&lt;=Cleaned[[#This Row],[TxnDate]]),
  FX_Rates[Rate_To_INR],
  ,
  -1
)</f>
        <v>88</v>
      </c>
      <c r="P351" s="2">
        <f>Cleaned[[#This Row],[Net Amount]] *  Cleaned[[#This Row],[FX_rates]]</f>
        <v>-44870.32</v>
      </c>
    </row>
    <row r="352" spans="1:16" x14ac:dyDescent="0.45">
      <c r="A352" t="s">
        <v>360</v>
      </c>
      <c r="B352" s="1">
        <v>45521</v>
      </c>
      <c r="C352" s="2" t="s">
        <v>2011</v>
      </c>
      <c r="D352" t="s">
        <v>2016</v>
      </c>
      <c r="E352">
        <v>697.58</v>
      </c>
      <c r="F352">
        <f>Cleaned[[#This Row],[Debit]] * Cleaned[[#This Row],[FX_rates]]</f>
        <v>42552.380000000005</v>
      </c>
      <c r="G352">
        <v>0</v>
      </c>
      <c r="H352">
        <f>Cleaned[[#This Row],[Credit]] *  Cleaned[[#This Row],[FX_rates]]</f>
        <v>0</v>
      </c>
      <c r="I352" t="s">
        <v>2022</v>
      </c>
      <c r="J352" t="s">
        <v>2029</v>
      </c>
      <c r="K352" t="s">
        <v>2381</v>
      </c>
      <c r="L352" t="s">
        <v>4035</v>
      </c>
      <c r="M352">
        <f>Cleaned[[#This Row],[Credit]]-Cleaned[[#This Row],[Debit]]</f>
        <v>-697.58</v>
      </c>
      <c r="N352" t="str">
        <f>_xlfn.XLOOKUP(Cleaned[[#This Row],[AccountName]], Account_Mapping!A:A, Account_Mapping!B:B,"Unmapped")</f>
        <v>COGS</v>
      </c>
      <c r="O352" cm="1">
        <f t="array" ref="O352">_xlfn.XLOOKUP(
  1,
  (FX_Rates[Currency]=Cleaned[[#This Row],[Currency]])*
  (FX_Rates[RateDate]&lt;=Cleaned[[#This Row],[TxnDate]]),
  FX_Rates[Rate_To_INR],
  ,
  -1
)</f>
        <v>61</v>
      </c>
      <c r="P352" s="2">
        <f>Cleaned[[#This Row],[Net Amount]] *  Cleaned[[#This Row],[FX_rates]]</f>
        <v>-42552.380000000005</v>
      </c>
    </row>
    <row r="353" spans="1:16" x14ac:dyDescent="0.45">
      <c r="A353" t="s">
        <v>361</v>
      </c>
      <c r="B353" s="1">
        <v>45582</v>
      </c>
      <c r="C353" s="2" t="s">
        <v>2013</v>
      </c>
      <c r="D353" t="s">
        <v>2018</v>
      </c>
      <c r="E353">
        <v>1580.47</v>
      </c>
      <c r="F353">
        <f>Cleaned[[#This Row],[Debit]] * Cleaned[[#This Row],[FX_rates]]</f>
        <v>88506.32</v>
      </c>
      <c r="G353">
        <v>0</v>
      </c>
      <c r="H353">
        <f>Cleaned[[#This Row],[Credit]] *  Cleaned[[#This Row],[FX_rates]]</f>
        <v>0</v>
      </c>
      <c r="I353" t="s">
        <v>2024</v>
      </c>
      <c r="J353" t="s">
        <v>2030</v>
      </c>
      <c r="K353" t="s">
        <v>2382</v>
      </c>
      <c r="L353" t="s">
        <v>4033</v>
      </c>
      <c r="M353">
        <f>Cleaned[[#This Row],[Credit]]-Cleaned[[#This Row],[Debit]]</f>
        <v>-1580.47</v>
      </c>
      <c r="N353" t="str">
        <f>_xlfn.XLOOKUP(Cleaned[[#This Row],[AccountName]], Account_Mapping!A:A, Account_Mapping!B:B,"Unmapped")</f>
        <v>Operating Expense</v>
      </c>
      <c r="O353" cm="1">
        <f t="array" ref="O353">_xlfn.XLOOKUP(
  1,
  (FX_Rates[Currency]=Cleaned[[#This Row],[Currency]])*
  (FX_Rates[RateDate]&lt;=Cleaned[[#This Row],[TxnDate]]),
  FX_Rates[Rate_To_INR],
  ,
  -1
)</f>
        <v>56</v>
      </c>
      <c r="P353" s="2">
        <f>Cleaned[[#This Row],[Net Amount]] *  Cleaned[[#This Row],[FX_rates]]</f>
        <v>-88506.32</v>
      </c>
    </row>
    <row r="354" spans="1:16" x14ac:dyDescent="0.45">
      <c r="A354" t="s">
        <v>362</v>
      </c>
      <c r="B354" s="1">
        <v>45308</v>
      </c>
      <c r="C354" s="2" t="s">
        <v>2011</v>
      </c>
      <c r="D354" t="s">
        <v>2016</v>
      </c>
      <c r="E354">
        <v>1567.36</v>
      </c>
      <c r="F354">
        <f>Cleaned[[#This Row],[Debit]] * Cleaned[[#This Row],[FX_rates]]</f>
        <v>137927.67999999999</v>
      </c>
      <c r="G354">
        <v>0</v>
      </c>
      <c r="H354">
        <f>Cleaned[[#This Row],[Credit]] *  Cleaned[[#This Row],[FX_rates]]</f>
        <v>0</v>
      </c>
      <c r="I354" t="s">
        <v>2024</v>
      </c>
      <c r="J354" t="s">
        <v>2027</v>
      </c>
      <c r="K354" t="s">
        <v>2383</v>
      </c>
      <c r="L354" t="s">
        <v>4032</v>
      </c>
      <c r="M354">
        <f>Cleaned[[#This Row],[Credit]]-Cleaned[[#This Row],[Debit]]</f>
        <v>-1567.36</v>
      </c>
      <c r="N354" t="str">
        <f>_xlfn.XLOOKUP(Cleaned[[#This Row],[AccountName]], Account_Mapping!A:A, Account_Mapping!B:B,"Unmapped")</f>
        <v>COGS</v>
      </c>
      <c r="O354" cm="1">
        <f t="array" ref="O354">_xlfn.XLOOKUP(
  1,
  (FX_Rates[Currency]=Cleaned[[#This Row],[Currency]])*
  (FX_Rates[RateDate]&lt;=Cleaned[[#This Row],[TxnDate]]),
  FX_Rates[Rate_To_INR],
  ,
  -1
)</f>
        <v>88</v>
      </c>
      <c r="P354" s="2">
        <f>Cleaned[[#This Row],[Net Amount]] *  Cleaned[[#This Row],[FX_rates]]</f>
        <v>-137927.67999999999</v>
      </c>
    </row>
    <row r="355" spans="1:16" x14ac:dyDescent="0.45">
      <c r="A355" t="s">
        <v>363</v>
      </c>
      <c r="B355" s="1">
        <v>45715</v>
      </c>
      <c r="C355" s="2" t="s">
        <v>2013</v>
      </c>
      <c r="D355" t="s">
        <v>2018</v>
      </c>
      <c r="E355">
        <v>443.79</v>
      </c>
      <c r="F355">
        <f>Cleaned[[#This Row],[Debit]] * Cleaned[[#This Row],[FX_rates]]</f>
        <v>24852.240000000002</v>
      </c>
      <c r="G355">
        <v>0</v>
      </c>
      <c r="H355">
        <f>Cleaned[[#This Row],[Credit]] *  Cleaned[[#This Row],[FX_rates]]</f>
        <v>0</v>
      </c>
      <c r="I355" t="s">
        <v>2021</v>
      </c>
      <c r="J355" t="s">
        <v>2028</v>
      </c>
      <c r="K355" t="s">
        <v>2384</v>
      </c>
      <c r="L355" t="s">
        <v>4033</v>
      </c>
      <c r="M355">
        <f>Cleaned[[#This Row],[Credit]]-Cleaned[[#This Row],[Debit]]</f>
        <v>-443.79</v>
      </c>
      <c r="N355" t="str">
        <f>_xlfn.XLOOKUP(Cleaned[[#This Row],[AccountName]], Account_Mapping!A:A, Account_Mapping!B:B,"Unmapped")</f>
        <v>Operating Expense</v>
      </c>
      <c r="O355" cm="1">
        <f t="array" ref="O355">_xlfn.XLOOKUP(
  1,
  (FX_Rates[Currency]=Cleaned[[#This Row],[Currency]])*
  (FX_Rates[RateDate]&lt;=Cleaned[[#This Row],[TxnDate]]),
  FX_Rates[Rate_To_INR],
  ,
  -1
)</f>
        <v>56</v>
      </c>
      <c r="P355" s="2">
        <f>Cleaned[[#This Row],[Net Amount]] *  Cleaned[[#This Row],[FX_rates]]</f>
        <v>-24852.240000000002</v>
      </c>
    </row>
    <row r="356" spans="1:16" x14ac:dyDescent="0.45">
      <c r="A356" t="s">
        <v>364</v>
      </c>
      <c r="B356" s="1">
        <v>45232</v>
      </c>
      <c r="C356" s="2" t="s">
        <v>2013</v>
      </c>
      <c r="D356" t="s">
        <v>2018</v>
      </c>
      <c r="E356">
        <v>889.34</v>
      </c>
      <c r="F356">
        <f>Cleaned[[#This Row],[Debit]] * Cleaned[[#This Row],[FX_rates]]</f>
        <v>72925.88</v>
      </c>
      <c r="G356">
        <v>0</v>
      </c>
      <c r="H356">
        <f>Cleaned[[#This Row],[Credit]] *  Cleaned[[#This Row],[FX_rates]]</f>
        <v>0</v>
      </c>
      <c r="I356" t="s">
        <v>2022</v>
      </c>
      <c r="J356" t="s">
        <v>2026</v>
      </c>
      <c r="K356" t="s">
        <v>2385</v>
      </c>
      <c r="L356" t="s">
        <v>4034</v>
      </c>
      <c r="M356">
        <f>Cleaned[[#This Row],[Credit]]-Cleaned[[#This Row],[Debit]]</f>
        <v>-889.34</v>
      </c>
      <c r="N356" t="str">
        <f>_xlfn.XLOOKUP(Cleaned[[#This Row],[AccountName]], Account_Mapping!A:A, Account_Mapping!B:B,"Unmapped")</f>
        <v>Operating Expense</v>
      </c>
      <c r="O356" cm="1">
        <f t="array" ref="O356">_xlfn.XLOOKUP(
  1,
  (FX_Rates[Currency]=Cleaned[[#This Row],[Currency]])*
  (FX_Rates[RateDate]&lt;=Cleaned[[#This Row],[TxnDate]]),
  FX_Rates[Rate_To_INR],
  ,
  -1
)</f>
        <v>82</v>
      </c>
      <c r="P356" s="2">
        <f>Cleaned[[#This Row],[Net Amount]] *  Cleaned[[#This Row],[FX_rates]]</f>
        <v>-72925.88</v>
      </c>
    </row>
    <row r="357" spans="1:16" x14ac:dyDescent="0.45">
      <c r="A357" t="s">
        <v>365</v>
      </c>
      <c r="B357" s="1">
        <v>45801</v>
      </c>
      <c r="C357" s="2" t="s">
        <v>2014</v>
      </c>
      <c r="D357" t="s">
        <v>2019</v>
      </c>
      <c r="E357">
        <v>0</v>
      </c>
      <c r="F357">
        <f>Cleaned[[#This Row],[Debit]] * Cleaned[[#This Row],[FX_rates]]</f>
        <v>0</v>
      </c>
      <c r="G357">
        <v>2239.96</v>
      </c>
      <c r="H357">
        <f>Cleaned[[#This Row],[Credit]] *  Cleaned[[#This Row],[FX_rates]]</f>
        <v>183676.72</v>
      </c>
      <c r="I357" t="s">
        <v>2024</v>
      </c>
      <c r="J357" t="s">
        <v>2026</v>
      </c>
      <c r="K357" t="s">
        <v>2386</v>
      </c>
      <c r="L357" t="s">
        <v>4034</v>
      </c>
      <c r="M357">
        <f>Cleaned[[#This Row],[Credit]]-Cleaned[[#This Row],[Debit]]</f>
        <v>2239.96</v>
      </c>
      <c r="N357" t="str">
        <f>_xlfn.XLOOKUP(Cleaned[[#This Row],[AccountName]], Account_Mapping!A:A, Account_Mapping!B:B,"Unmapped")</f>
        <v>Revenue</v>
      </c>
      <c r="O357" cm="1">
        <f t="array" ref="O357">_xlfn.XLOOKUP(
  1,
  (FX_Rates[Currency]=Cleaned[[#This Row],[Currency]])*
  (FX_Rates[RateDate]&lt;=Cleaned[[#This Row],[TxnDate]]),
  FX_Rates[Rate_To_INR],
  ,
  -1
)</f>
        <v>82</v>
      </c>
      <c r="P357" s="2">
        <f>Cleaned[[#This Row],[Net Amount]] *  Cleaned[[#This Row],[FX_rates]]</f>
        <v>183676.72</v>
      </c>
    </row>
    <row r="358" spans="1:16" x14ac:dyDescent="0.45">
      <c r="A358" t="s">
        <v>366</v>
      </c>
      <c r="B358" s="1">
        <v>45293</v>
      </c>
      <c r="C358" s="2" t="s">
        <v>2013</v>
      </c>
      <c r="D358" t="s">
        <v>2018</v>
      </c>
      <c r="E358">
        <v>1291.24</v>
      </c>
      <c r="F358">
        <f>Cleaned[[#This Row],[Debit]] * Cleaned[[#This Row],[FX_rates]]</f>
        <v>72309.440000000002</v>
      </c>
      <c r="G358">
        <v>0</v>
      </c>
      <c r="H358">
        <f>Cleaned[[#This Row],[Credit]] *  Cleaned[[#This Row],[FX_rates]]</f>
        <v>0</v>
      </c>
      <c r="I358" t="s">
        <v>2024</v>
      </c>
      <c r="J358" t="s">
        <v>2028</v>
      </c>
      <c r="K358" t="s">
        <v>2387</v>
      </c>
      <c r="L358" t="s">
        <v>4033</v>
      </c>
      <c r="M358">
        <f>Cleaned[[#This Row],[Credit]]-Cleaned[[#This Row],[Debit]]</f>
        <v>-1291.24</v>
      </c>
      <c r="N358" t="str">
        <f>_xlfn.XLOOKUP(Cleaned[[#This Row],[AccountName]], Account_Mapping!A:A, Account_Mapping!B:B,"Unmapped")</f>
        <v>Operating Expense</v>
      </c>
      <c r="O358" cm="1">
        <f t="array" ref="O358">_xlfn.XLOOKUP(
  1,
  (FX_Rates[Currency]=Cleaned[[#This Row],[Currency]])*
  (FX_Rates[RateDate]&lt;=Cleaned[[#This Row],[TxnDate]]),
  FX_Rates[Rate_To_INR],
  ,
  -1
)</f>
        <v>56</v>
      </c>
      <c r="P358" s="2">
        <f>Cleaned[[#This Row],[Net Amount]] *  Cleaned[[#This Row],[FX_rates]]</f>
        <v>-72309.440000000002</v>
      </c>
    </row>
    <row r="359" spans="1:16" x14ac:dyDescent="0.45">
      <c r="A359" t="s">
        <v>367</v>
      </c>
      <c r="B359" s="1">
        <v>45141</v>
      </c>
      <c r="C359" s="2" t="s">
        <v>2013</v>
      </c>
      <c r="D359" t="s">
        <v>2018</v>
      </c>
      <c r="E359">
        <v>397.07</v>
      </c>
      <c r="F359">
        <f>Cleaned[[#This Row],[Debit]] * Cleaned[[#This Row],[FX_rates]]</f>
        <v>24221.27</v>
      </c>
      <c r="G359">
        <v>0</v>
      </c>
      <c r="H359">
        <f>Cleaned[[#This Row],[Credit]] *  Cleaned[[#This Row],[FX_rates]]</f>
        <v>0</v>
      </c>
      <c r="I359" t="s">
        <v>2024</v>
      </c>
      <c r="J359" t="s">
        <v>2027</v>
      </c>
      <c r="K359" t="s">
        <v>2388</v>
      </c>
      <c r="L359" t="s">
        <v>4035</v>
      </c>
      <c r="M359">
        <f>Cleaned[[#This Row],[Credit]]-Cleaned[[#This Row],[Debit]]</f>
        <v>-397.07</v>
      </c>
      <c r="N359" t="str">
        <f>_xlfn.XLOOKUP(Cleaned[[#This Row],[AccountName]], Account_Mapping!A:A, Account_Mapping!B:B,"Unmapped")</f>
        <v>Operating Expense</v>
      </c>
      <c r="O359" cm="1">
        <f t="array" ref="O359">_xlfn.XLOOKUP(
  1,
  (FX_Rates[Currency]=Cleaned[[#This Row],[Currency]])*
  (FX_Rates[RateDate]&lt;=Cleaned[[#This Row],[TxnDate]]),
  FX_Rates[Rate_To_INR],
  ,
  -1
)</f>
        <v>61</v>
      </c>
      <c r="P359" s="2">
        <f>Cleaned[[#This Row],[Net Amount]] *  Cleaned[[#This Row],[FX_rates]]</f>
        <v>-24221.27</v>
      </c>
    </row>
    <row r="360" spans="1:16" x14ac:dyDescent="0.45">
      <c r="A360" t="s">
        <v>368</v>
      </c>
      <c r="B360" s="1">
        <v>45525</v>
      </c>
      <c r="C360" s="2" t="s">
        <v>2012</v>
      </c>
      <c r="D360" t="s">
        <v>2017</v>
      </c>
      <c r="E360">
        <v>803.21</v>
      </c>
      <c r="F360">
        <f>Cleaned[[#This Row],[Debit]] * Cleaned[[#This Row],[FX_rates]]</f>
        <v>44979.76</v>
      </c>
      <c r="G360">
        <v>0</v>
      </c>
      <c r="H360">
        <f>Cleaned[[#This Row],[Credit]] *  Cleaned[[#This Row],[FX_rates]]</f>
        <v>0</v>
      </c>
      <c r="I360" t="s">
        <v>2020</v>
      </c>
      <c r="J360" t="s">
        <v>2030</v>
      </c>
      <c r="K360" t="s">
        <v>2389</v>
      </c>
      <c r="L360" t="s">
        <v>4033</v>
      </c>
      <c r="M360">
        <f>Cleaned[[#This Row],[Credit]]-Cleaned[[#This Row],[Debit]]</f>
        <v>-803.21</v>
      </c>
      <c r="N360" t="str">
        <f>_xlfn.XLOOKUP(Cleaned[[#This Row],[AccountName]], Account_Mapping!A:A, Account_Mapping!B:B,"Unmapped")</f>
        <v>Operating Expense</v>
      </c>
      <c r="O360" cm="1">
        <f t="array" ref="O360">_xlfn.XLOOKUP(
  1,
  (FX_Rates[Currency]=Cleaned[[#This Row],[Currency]])*
  (FX_Rates[RateDate]&lt;=Cleaned[[#This Row],[TxnDate]]),
  FX_Rates[Rate_To_INR],
  ,
  -1
)</f>
        <v>56</v>
      </c>
      <c r="P360" s="2">
        <f>Cleaned[[#This Row],[Net Amount]] *  Cleaned[[#This Row],[FX_rates]]</f>
        <v>-44979.76</v>
      </c>
    </row>
    <row r="361" spans="1:16" x14ac:dyDescent="0.45">
      <c r="A361" t="s">
        <v>369</v>
      </c>
      <c r="B361" s="1">
        <v>45461</v>
      </c>
      <c r="C361" s="2" t="s">
        <v>2010</v>
      </c>
      <c r="D361" t="s">
        <v>2015</v>
      </c>
      <c r="E361">
        <v>0</v>
      </c>
      <c r="F361">
        <f>Cleaned[[#This Row],[Debit]] * Cleaned[[#This Row],[FX_rates]]</f>
        <v>0</v>
      </c>
      <c r="G361">
        <v>1032.8399999999999</v>
      </c>
      <c r="H361">
        <f>Cleaned[[#This Row],[Credit]] *  Cleaned[[#This Row],[FX_rates]]</f>
        <v>63003.24</v>
      </c>
      <c r="I361" t="s">
        <v>2022</v>
      </c>
      <c r="J361" t="s">
        <v>2029</v>
      </c>
      <c r="K361" t="s">
        <v>2390</v>
      </c>
      <c r="L361" t="s">
        <v>4035</v>
      </c>
      <c r="M361">
        <f>Cleaned[[#This Row],[Credit]]-Cleaned[[#This Row],[Debit]]</f>
        <v>1032.8399999999999</v>
      </c>
      <c r="N361" t="str">
        <f>_xlfn.XLOOKUP(Cleaned[[#This Row],[AccountName]], Account_Mapping!A:A, Account_Mapping!B:B,"Unmapped")</f>
        <v>Revenue</v>
      </c>
      <c r="O361" cm="1">
        <f t="array" ref="O361">_xlfn.XLOOKUP(
  1,
  (FX_Rates[Currency]=Cleaned[[#This Row],[Currency]])*
  (FX_Rates[RateDate]&lt;=Cleaned[[#This Row],[TxnDate]]),
  FX_Rates[Rate_To_INR],
  ,
  -1
)</f>
        <v>61</v>
      </c>
      <c r="P361" s="2">
        <f>Cleaned[[#This Row],[Net Amount]] *  Cleaned[[#This Row],[FX_rates]]</f>
        <v>63003.24</v>
      </c>
    </row>
    <row r="362" spans="1:16" x14ac:dyDescent="0.45">
      <c r="A362" t="s">
        <v>370</v>
      </c>
      <c r="B362" s="1">
        <v>45806</v>
      </c>
      <c r="C362" s="2" t="s">
        <v>2012</v>
      </c>
      <c r="D362" t="s">
        <v>2017</v>
      </c>
      <c r="E362">
        <v>1071.7</v>
      </c>
      <c r="F362">
        <f>Cleaned[[#This Row],[Debit]] * Cleaned[[#This Row],[FX_rates]]</f>
        <v>87879.400000000009</v>
      </c>
      <c r="G362">
        <v>0</v>
      </c>
      <c r="H362">
        <f>Cleaned[[#This Row],[Credit]] *  Cleaned[[#This Row],[FX_rates]]</f>
        <v>0</v>
      </c>
      <c r="I362" t="s">
        <v>2023</v>
      </c>
      <c r="J362" t="s">
        <v>2029</v>
      </c>
      <c r="K362" t="s">
        <v>2391</v>
      </c>
      <c r="L362" t="s">
        <v>4034</v>
      </c>
      <c r="M362">
        <f>Cleaned[[#This Row],[Credit]]-Cleaned[[#This Row],[Debit]]</f>
        <v>-1071.7</v>
      </c>
      <c r="N362" t="str">
        <f>_xlfn.XLOOKUP(Cleaned[[#This Row],[AccountName]], Account_Mapping!A:A, Account_Mapping!B:B,"Unmapped")</f>
        <v>Operating Expense</v>
      </c>
      <c r="O362" cm="1">
        <f t="array" ref="O362">_xlfn.XLOOKUP(
  1,
  (FX_Rates[Currency]=Cleaned[[#This Row],[Currency]])*
  (FX_Rates[RateDate]&lt;=Cleaned[[#This Row],[TxnDate]]),
  FX_Rates[Rate_To_INR],
  ,
  -1
)</f>
        <v>82</v>
      </c>
      <c r="P362" s="2">
        <f>Cleaned[[#This Row],[Net Amount]] *  Cleaned[[#This Row],[FX_rates]]</f>
        <v>-87879.400000000009</v>
      </c>
    </row>
    <row r="363" spans="1:16" x14ac:dyDescent="0.45">
      <c r="A363" t="s">
        <v>371</v>
      </c>
      <c r="B363" s="1">
        <v>45444</v>
      </c>
      <c r="C363" s="2" t="s">
        <v>2011</v>
      </c>
      <c r="D363" t="s">
        <v>2016</v>
      </c>
      <c r="E363">
        <v>842.82</v>
      </c>
      <c r="F363">
        <f>Cleaned[[#This Row],[Debit]] * Cleaned[[#This Row],[FX_rates]]</f>
        <v>86810.46</v>
      </c>
      <c r="G363">
        <v>0</v>
      </c>
      <c r="H363">
        <f>Cleaned[[#This Row],[Credit]] *  Cleaned[[#This Row],[FX_rates]]</f>
        <v>0</v>
      </c>
      <c r="I363" t="s">
        <v>2022</v>
      </c>
      <c r="J363" t="s">
        <v>2029</v>
      </c>
      <c r="K363" t="s">
        <v>2392</v>
      </c>
      <c r="L363" t="s">
        <v>4031</v>
      </c>
      <c r="M363">
        <f>Cleaned[[#This Row],[Credit]]-Cleaned[[#This Row],[Debit]]</f>
        <v>-842.82</v>
      </c>
      <c r="N363" t="str">
        <f>_xlfn.XLOOKUP(Cleaned[[#This Row],[AccountName]], Account_Mapping!A:A, Account_Mapping!B:B,"Unmapped")</f>
        <v>COGS</v>
      </c>
      <c r="O363" cm="1">
        <f t="array" ref="O363">_xlfn.XLOOKUP(
  1,
  (FX_Rates[Currency]=Cleaned[[#This Row],[Currency]])*
  (FX_Rates[RateDate]&lt;=Cleaned[[#This Row],[TxnDate]]),
  FX_Rates[Rate_To_INR],
  ,
  -1
)</f>
        <v>103</v>
      </c>
      <c r="P363" s="2">
        <f>Cleaned[[#This Row],[Net Amount]] *  Cleaned[[#This Row],[FX_rates]]</f>
        <v>-86810.46</v>
      </c>
    </row>
    <row r="364" spans="1:16" x14ac:dyDescent="0.45">
      <c r="A364" t="s">
        <v>372</v>
      </c>
      <c r="B364" s="1">
        <v>45505</v>
      </c>
      <c r="C364" s="2" t="s">
        <v>2013</v>
      </c>
      <c r="D364" t="s">
        <v>2018</v>
      </c>
      <c r="E364">
        <v>1375.81</v>
      </c>
      <c r="F364">
        <f>Cleaned[[#This Row],[Debit]] * Cleaned[[#This Row],[FX_rates]]</f>
        <v>83924.41</v>
      </c>
      <c r="G364">
        <v>0</v>
      </c>
      <c r="H364">
        <f>Cleaned[[#This Row],[Credit]] *  Cleaned[[#This Row],[FX_rates]]</f>
        <v>0</v>
      </c>
      <c r="I364" t="s">
        <v>2020</v>
      </c>
      <c r="J364" t="s">
        <v>2028</v>
      </c>
      <c r="K364" t="s">
        <v>2393</v>
      </c>
      <c r="L364" t="s">
        <v>4035</v>
      </c>
      <c r="M364">
        <f>Cleaned[[#This Row],[Credit]]-Cleaned[[#This Row],[Debit]]</f>
        <v>-1375.81</v>
      </c>
      <c r="N364" t="str">
        <f>_xlfn.XLOOKUP(Cleaned[[#This Row],[AccountName]], Account_Mapping!A:A, Account_Mapping!B:B,"Unmapped")</f>
        <v>Operating Expense</v>
      </c>
      <c r="O364" cm="1">
        <f t="array" ref="O364">_xlfn.XLOOKUP(
  1,
  (FX_Rates[Currency]=Cleaned[[#This Row],[Currency]])*
  (FX_Rates[RateDate]&lt;=Cleaned[[#This Row],[TxnDate]]),
  FX_Rates[Rate_To_INR],
  ,
  -1
)</f>
        <v>61</v>
      </c>
      <c r="P364" s="2">
        <f>Cleaned[[#This Row],[Net Amount]] *  Cleaned[[#This Row],[FX_rates]]</f>
        <v>-83924.41</v>
      </c>
    </row>
    <row r="365" spans="1:16" x14ac:dyDescent="0.45">
      <c r="A365" t="s">
        <v>373</v>
      </c>
      <c r="B365" s="1">
        <v>45313</v>
      </c>
      <c r="C365" s="2" t="s">
        <v>2010</v>
      </c>
      <c r="D365" t="s">
        <v>2015</v>
      </c>
      <c r="E365">
        <v>0</v>
      </c>
      <c r="F365">
        <f>Cleaned[[#This Row],[Debit]] * Cleaned[[#This Row],[FX_rates]]</f>
        <v>0</v>
      </c>
      <c r="G365">
        <v>4517.55</v>
      </c>
      <c r="H365">
        <f>Cleaned[[#This Row],[Credit]] *  Cleaned[[#This Row],[FX_rates]]</f>
        <v>275570.55</v>
      </c>
      <c r="I365" t="s">
        <v>2022</v>
      </c>
      <c r="J365" t="s">
        <v>2028</v>
      </c>
      <c r="K365" t="s">
        <v>2394</v>
      </c>
      <c r="L365" t="s">
        <v>4035</v>
      </c>
      <c r="M365">
        <f>Cleaned[[#This Row],[Credit]]-Cleaned[[#This Row],[Debit]]</f>
        <v>4517.55</v>
      </c>
      <c r="N365" t="str">
        <f>_xlfn.XLOOKUP(Cleaned[[#This Row],[AccountName]], Account_Mapping!A:A, Account_Mapping!B:B,"Unmapped")</f>
        <v>Revenue</v>
      </c>
      <c r="O365" cm="1">
        <f t="array" ref="O365">_xlfn.XLOOKUP(
  1,
  (FX_Rates[Currency]=Cleaned[[#This Row],[Currency]])*
  (FX_Rates[RateDate]&lt;=Cleaned[[#This Row],[TxnDate]]),
  FX_Rates[Rate_To_INR],
  ,
  -1
)</f>
        <v>61</v>
      </c>
      <c r="P365" s="2">
        <f>Cleaned[[#This Row],[Net Amount]] *  Cleaned[[#This Row],[FX_rates]]</f>
        <v>275570.55</v>
      </c>
    </row>
    <row r="366" spans="1:16" x14ac:dyDescent="0.45">
      <c r="A366" t="s">
        <v>374</v>
      </c>
      <c r="B366" s="1">
        <v>45635</v>
      </c>
      <c r="C366" s="2" t="s">
        <v>2013</v>
      </c>
      <c r="D366" t="s">
        <v>2018</v>
      </c>
      <c r="E366">
        <v>837.89</v>
      </c>
      <c r="F366">
        <f>Cleaned[[#This Row],[Debit]] * Cleaned[[#This Row],[FX_rates]]</f>
        <v>73734.319999999992</v>
      </c>
      <c r="G366">
        <v>0</v>
      </c>
      <c r="H366">
        <f>Cleaned[[#This Row],[Credit]] *  Cleaned[[#This Row],[FX_rates]]</f>
        <v>0</v>
      </c>
      <c r="I366" t="s">
        <v>2021</v>
      </c>
      <c r="J366" t="s">
        <v>2028</v>
      </c>
      <c r="K366" t="s">
        <v>2395</v>
      </c>
      <c r="L366" t="s">
        <v>4032</v>
      </c>
      <c r="M366">
        <f>Cleaned[[#This Row],[Credit]]-Cleaned[[#This Row],[Debit]]</f>
        <v>-837.89</v>
      </c>
      <c r="N366" t="str">
        <f>_xlfn.XLOOKUP(Cleaned[[#This Row],[AccountName]], Account_Mapping!A:A, Account_Mapping!B:B,"Unmapped")</f>
        <v>Operating Expense</v>
      </c>
      <c r="O366" cm="1">
        <f t="array" ref="O366">_xlfn.XLOOKUP(
  1,
  (FX_Rates[Currency]=Cleaned[[#This Row],[Currency]])*
  (FX_Rates[RateDate]&lt;=Cleaned[[#This Row],[TxnDate]]),
  FX_Rates[Rate_To_INR],
  ,
  -1
)</f>
        <v>88</v>
      </c>
      <c r="P366" s="2">
        <f>Cleaned[[#This Row],[Net Amount]] *  Cleaned[[#This Row],[FX_rates]]</f>
        <v>-73734.319999999992</v>
      </c>
    </row>
    <row r="367" spans="1:16" x14ac:dyDescent="0.45">
      <c r="A367" t="s">
        <v>375</v>
      </c>
      <c r="B367" s="1">
        <v>44999</v>
      </c>
      <c r="C367" s="2" t="s">
        <v>2013</v>
      </c>
      <c r="D367" t="s">
        <v>2018</v>
      </c>
      <c r="E367">
        <v>426.78</v>
      </c>
      <c r="F367">
        <f>Cleaned[[#This Row],[Debit]] * Cleaned[[#This Row],[FX_rates]]</f>
        <v>26033.579999999998</v>
      </c>
      <c r="G367">
        <v>0</v>
      </c>
      <c r="H367">
        <f>Cleaned[[#This Row],[Credit]] *  Cleaned[[#This Row],[FX_rates]]</f>
        <v>0</v>
      </c>
      <c r="I367" t="s">
        <v>2020</v>
      </c>
      <c r="J367" t="s">
        <v>2028</v>
      </c>
      <c r="K367" t="s">
        <v>2396</v>
      </c>
      <c r="L367" t="s">
        <v>4035</v>
      </c>
      <c r="M367">
        <f>Cleaned[[#This Row],[Credit]]-Cleaned[[#This Row],[Debit]]</f>
        <v>-426.78</v>
      </c>
      <c r="N367" t="str">
        <f>_xlfn.XLOOKUP(Cleaned[[#This Row],[AccountName]], Account_Mapping!A:A, Account_Mapping!B:B,"Unmapped")</f>
        <v>Operating Expense</v>
      </c>
      <c r="O367" cm="1">
        <f t="array" ref="O367">_xlfn.XLOOKUP(
  1,
  (FX_Rates[Currency]=Cleaned[[#This Row],[Currency]])*
  (FX_Rates[RateDate]&lt;=Cleaned[[#This Row],[TxnDate]]),
  FX_Rates[Rate_To_INR],
  ,
  -1
)</f>
        <v>61</v>
      </c>
      <c r="P367" s="2">
        <f>Cleaned[[#This Row],[Net Amount]] *  Cleaned[[#This Row],[FX_rates]]</f>
        <v>-26033.579999999998</v>
      </c>
    </row>
    <row r="368" spans="1:16" x14ac:dyDescent="0.45">
      <c r="A368" t="s">
        <v>376</v>
      </c>
      <c r="B368" s="1">
        <v>45761</v>
      </c>
      <c r="C368" s="2" t="s">
        <v>2012</v>
      </c>
      <c r="D368" t="s">
        <v>2017</v>
      </c>
      <c r="E368">
        <v>999.72</v>
      </c>
      <c r="F368">
        <f>Cleaned[[#This Row],[Debit]] * Cleaned[[#This Row],[FX_rates]]</f>
        <v>87975.360000000001</v>
      </c>
      <c r="G368">
        <v>0</v>
      </c>
      <c r="H368">
        <f>Cleaned[[#This Row],[Credit]] *  Cleaned[[#This Row],[FX_rates]]</f>
        <v>0</v>
      </c>
      <c r="I368" t="s">
        <v>2025</v>
      </c>
      <c r="J368" t="s">
        <v>2027</v>
      </c>
      <c r="K368" t="s">
        <v>2397</v>
      </c>
      <c r="L368" t="s">
        <v>4032</v>
      </c>
      <c r="M368">
        <f>Cleaned[[#This Row],[Credit]]-Cleaned[[#This Row],[Debit]]</f>
        <v>-999.72</v>
      </c>
      <c r="N368" t="str">
        <f>_xlfn.XLOOKUP(Cleaned[[#This Row],[AccountName]], Account_Mapping!A:A, Account_Mapping!B:B,"Unmapped")</f>
        <v>Operating Expense</v>
      </c>
      <c r="O368" cm="1">
        <f t="array" ref="O368">_xlfn.XLOOKUP(
  1,
  (FX_Rates[Currency]=Cleaned[[#This Row],[Currency]])*
  (FX_Rates[RateDate]&lt;=Cleaned[[#This Row],[TxnDate]]),
  FX_Rates[Rate_To_INR],
  ,
  -1
)</f>
        <v>88</v>
      </c>
      <c r="P368" s="2">
        <f>Cleaned[[#This Row],[Net Amount]] *  Cleaned[[#This Row],[FX_rates]]</f>
        <v>-87975.360000000001</v>
      </c>
    </row>
    <row r="369" spans="1:16" x14ac:dyDescent="0.45">
      <c r="A369" t="s">
        <v>377</v>
      </c>
      <c r="B369" s="1">
        <v>45023</v>
      </c>
      <c r="C369" s="2" t="s">
        <v>2011</v>
      </c>
      <c r="D369" t="s">
        <v>2016</v>
      </c>
      <c r="E369">
        <v>74.209999999999994</v>
      </c>
      <c r="F369">
        <f>Cleaned[[#This Row],[Debit]] * Cleaned[[#This Row],[FX_rates]]</f>
        <v>4526.8099999999995</v>
      </c>
      <c r="G369">
        <v>0</v>
      </c>
      <c r="H369">
        <f>Cleaned[[#This Row],[Credit]] *  Cleaned[[#This Row],[FX_rates]]</f>
        <v>0</v>
      </c>
      <c r="I369" t="s">
        <v>2023</v>
      </c>
      <c r="J369" t="s">
        <v>2030</v>
      </c>
      <c r="K369" t="s">
        <v>2398</v>
      </c>
      <c r="L369" t="s">
        <v>4035</v>
      </c>
      <c r="M369">
        <f>Cleaned[[#This Row],[Credit]]-Cleaned[[#This Row],[Debit]]</f>
        <v>-74.209999999999994</v>
      </c>
      <c r="N369" t="str">
        <f>_xlfn.XLOOKUP(Cleaned[[#This Row],[AccountName]], Account_Mapping!A:A, Account_Mapping!B:B,"Unmapped")</f>
        <v>COGS</v>
      </c>
      <c r="O369" cm="1">
        <f t="array" ref="O369">_xlfn.XLOOKUP(
  1,
  (FX_Rates[Currency]=Cleaned[[#This Row],[Currency]])*
  (FX_Rates[RateDate]&lt;=Cleaned[[#This Row],[TxnDate]]),
  FX_Rates[Rate_To_INR],
  ,
  -1
)</f>
        <v>61</v>
      </c>
      <c r="P369" s="2">
        <f>Cleaned[[#This Row],[Net Amount]] *  Cleaned[[#This Row],[FX_rates]]</f>
        <v>-4526.8099999999995</v>
      </c>
    </row>
    <row r="370" spans="1:16" x14ac:dyDescent="0.45">
      <c r="A370" t="s">
        <v>378</v>
      </c>
      <c r="B370" s="1">
        <v>44934</v>
      </c>
      <c r="C370" s="2" t="s">
        <v>2010</v>
      </c>
      <c r="D370" t="s">
        <v>2015</v>
      </c>
      <c r="E370">
        <v>0</v>
      </c>
      <c r="F370">
        <f>Cleaned[[#This Row],[Debit]] * Cleaned[[#This Row],[FX_rates]]</f>
        <v>0</v>
      </c>
      <c r="G370">
        <v>1158.73</v>
      </c>
      <c r="H370">
        <f>Cleaned[[#This Row],[Credit]] *  Cleaned[[#This Row],[FX_rates]]</f>
        <v>101968.24</v>
      </c>
      <c r="I370" t="s">
        <v>2025</v>
      </c>
      <c r="J370" t="s">
        <v>2026</v>
      </c>
      <c r="K370" t="s">
        <v>2399</v>
      </c>
      <c r="L370" t="s">
        <v>4032</v>
      </c>
      <c r="M370">
        <f>Cleaned[[#This Row],[Credit]]-Cleaned[[#This Row],[Debit]]</f>
        <v>1158.73</v>
      </c>
      <c r="N370" t="str">
        <f>_xlfn.XLOOKUP(Cleaned[[#This Row],[AccountName]], Account_Mapping!A:A, Account_Mapping!B:B,"Unmapped")</f>
        <v>Revenue</v>
      </c>
      <c r="O370" cm="1">
        <f t="array" ref="O370">_xlfn.XLOOKUP(
  1,
  (FX_Rates[Currency]=Cleaned[[#This Row],[Currency]])*
  (FX_Rates[RateDate]&lt;=Cleaned[[#This Row],[TxnDate]]),
  FX_Rates[Rate_To_INR],
  ,
  -1
)</f>
        <v>88</v>
      </c>
      <c r="P370" s="2">
        <f>Cleaned[[#This Row],[Net Amount]] *  Cleaned[[#This Row],[FX_rates]]</f>
        <v>101968.24</v>
      </c>
    </row>
    <row r="371" spans="1:16" x14ac:dyDescent="0.45">
      <c r="A371" t="s">
        <v>379</v>
      </c>
      <c r="B371" s="1">
        <v>45182</v>
      </c>
      <c r="C371" s="2" t="s">
        <v>2012</v>
      </c>
      <c r="D371" t="s">
        <v>2017</v>
      </c>
      <c r="E371">
        <v>1129.06</v>
      </c>
      <c r="F371">
        <f>Cleaned[[#This Row],[Debit]] * Cleaned[[#This Row],[FX_rates]]</f>
        <v>99357.28</v>
      </c>
      <c r="G371">
        <v>0</v>
      </c>
      <c r="H371">
        <f>Cleaned[[#This Row],[Credit]] *  Cleaned[[#This Row],[FX_rates]]</f>
        <v>0</v>
      </c>
      <c r="I371" t="s">
        <v>2025</v>
      </c>
      <c r="J371" t="s">
        <v>2028</v>
      </c>
      <c r="K371" t="s">
        <v>2400</v>
      </c>
      <c r="L371" t="s">
        <v>4032</v>
      </c>
      <c r="M371">
        <f>Cleaned[[#This Row],[Credit]]-Cleaned[[#This Row],[Debit]]</f>
        <v>-1129.06</v>
      </c>
      <c r="N371" t="str">
        <f>_xlfn.XLOOKUP(Cleaned[[#This Row],[AccountName]], Account_Mapping!A:A, Account_Mapping!B:B,"Unmapped")</f>
        <v>Operating Expense</v>
      </c>
      <c r="O371" cm="1">
        <f t="array" ref="O371">_xlfn.XLOOKUP(
  1,
  (FX_Rates[Currency]=Cleaned[[#This Row],[Currency]])*
  (FX_Rates[RateDate]&lt;=Cleaned[[#This Row],[TxnDate]]),
  FX_Rates[Rate_To_INR],
  ,
  -1
)</f>
        <v>88</v>
      </c>
      <c r="P371" s="2">
        <f>Cleaned[[#This Row],[Net Amount]] *  Cleaned[[#This Row],[FX_rates]]</f>
        <v>-99357.28</v>
      </c>
    </row>
    <row r="372" spans="1:16" x14ac:dyDescent="0.45">
      <c r="A372" t="s">
        <v>380</v>
      </c>
      <c r="B372" s="1">
        <v>45349</v>
      </c>
      <c r="C372" s="2" t="s">
        <v>2013</v>
      </c>
      <c r="D372" t="s">
        <v>2018</v>
      </c>
      <c r="E372">
        <v>1450.58</v>
      </c>
      <c r="F372">
        <f>Cleaned[[#This Row],[Debit]] * Cleaned[[#This Row],[FX_rates]]</f>
        <v>118947.56</v>
      </c>
      <c r="G372">
        <v>0</v>
      </c>
      <c r="H372">
        <f>Cleaned[[#This Row],[Credit]] *  Cleaned[[#This Row],[FX_rates]]</f>
        <v>0</v>
      </c>
      <c r="I372" t="s">
        <v>2022</v>
      </c>
      <c r="J372" t="s">
        <v>2028</v>
      </c>
      <c r="K372" t="s">
        <v>2401</v>
      </c>
      <c r="L372" t="s">
        <v>4034</v>
      </c>
      <c r="M372">
        <f>Cleaned[[#This Row],[Credit]]-Cleaned[[#This Row],[Debit]]</f>
        <v>-1450.58</v>
      </c>
      <c r="N372" t="str">
        <f>_xlfn.XLOOKUP(Cleaned[[#This Row],[AccountName]], Account_Mapping!A:A, Account_Mapping!B:B,"Unmapped")</f>
        <v>Operating Expense</v>
      </c>
      <c r="O372" cm="1">
        <f t="array" ref="O372">_xlfn.XLOOKUP(
  1,
  (FX_Rates[Currency]=Cleaned[[#This Row],[Currency]])*
  (FX_Rates[RateDate]&lt;=Cleaned[[#This Row],[TxnDate]]),
  FX_Rates[Rate_To_INR],
  ,
  -1
)</f>
        <v>82</v>
      </c>
      <c r="P372" s="2">
        <f>Cleaned[[#This Row],[Net Amount]] *  Cleaned[[#This Row],[FX_rates]]</f>
        <v>-118947.56</v>
      </c>
    </row>
    <row r="373" spans="1:16" x14ac:dyDescent="0.45">
      <c r="A373" t="s">
        <v>381</v>
      </c>
      <c r="B373" s="1">
        <v>44930</v>
      </c>
      <c r="C373" s="2" t="s">
        <v>2012</v>
      </c>
      <c r="D373" t="s">
        <v>2017</v>
      </c>
      <c r="E373">
        <v>820.46</v>
      </c>
      <c r="F373">
        <f>Cleaned[[#This Row],[Debit]] * Cleaned[[#This Row],[FX_rates]]</f>
        <v>84507.38</v>
      </c>
      <c r="G373">
        <v>0</v>
      </c>
      <c r="H373">
        <f>Cleaned[[#This Row],[Credit]] *  Cleaned[[#This Row],[FX_rates]]</f>
        <v>0</v>
      </c>
      <c r="I373" t="s">
        <v>2024</v>
      </c>
      <c r="J373" t="s">
        <v>2026</v>
      </c>
      <c r="K373" t="s">
        <v>2402</v>
      </c>
      <c r="L373" t="s">
        <v>4031</v>
      </c>
      <c r="M373">
        <f>Cleaned[[#This Row],[Credit]]-Cleaned[[#This Row],[Debit]]</f>
        <v>-820.46</v>
      </c>
      <c r="N373" t="str">
        <f>_xlfn.XLOOKUP(Cleaned[[#This Row],[AccountName]], Account_Mapping!A:A, Account_Mapping!B:B,"Unmapped")</f>
        <v>Operating Expense</v>
      </c>
      <c r="O373" cm="1">
        <f t="array" ref="O373">_xlfn.XLOOKUP(
  1,
  (FX_Rates[Currency]=Cleaned[[#This Row],[Currency]])*
  (FX_Rates[RateDate]&lt;=Cleaned[[#This Row],[TxnDate]]),
  FX_Rates[Rate_To_INR],
  ,
  -1
)</f>
        <v>103</v>
      </c>
      <c r="P373" s="2">
        <f>Cleaned[[#This Row],[Net Amount]] *  Cleaned[[#This Row],[FX_rates]]</f>
        <v>-84507.38</v>
      </c>
    </row>
    <row r="374" spans="1:16" x14ac:dyDescent="0.45">
      <c r="A374" t="s">
        <v>382</v>
      </c>
      <c r="B374" s="1">
        <v>45718</v>
      </c>
      <c r="C374" s="2" t="s">
        <v>2011</v>
      </c>
      <c r="D374" t="s">
        <v>2016</v>
      </c>
      <c r="E374">
        <v>1027.96</v>
      </c>
      <c r="F374">
        <f>Cleaned[[#This Row],[Debit]] * Cleaned[[#This Row],[FX_rates]]</f>
        <v>62705.560000000005</v>
      </c>
      <c r="G374">
        <v>0</v>
      </c>
      <c r="H374">
        <f>Cleaned[[#This Row],[Credit]] *  Cleaned[[#This Row],[FX_rates]]</f>
        <v>0</v>
      </c>
      <c r="I374" t="s">
        <v>2021</v>
      </c>
      <c r="J374" t="s">
        <v>2029</v>
      </c>
      <c r="K374" t="s">
        <v>2403</v>
      </c>
      <c r="L374" t="s">
        <v>4035</v>
      </c>
      <c r="M374">
        <f>Cleaned[[#This Row],[Credit]]-Cleaned[[#This Row],[Debit]]</f>
        <v>-1027.96</v>
      </c>
      <c r="N374" t="str">
        <f>_xlfn.XLOOKUP(Cleaned[[#This Row],[AccountName]], Account_Mapping!A:A, Account_Mapping!B:B,"Unmapped")</f>
        <v>COGS</v>
      </c>
      <c r="O374" cm="1">
        <f t="array" ref="O374">_xlfn.XLOOKUP(
  1,
  (FX_Rates[Currency]=Cleaned[[#This Row],[Currency]])*
  (FX_Rates[RateDate]&lt;=Cleaned[[#This Row],[TxnDate]]),
  FX_Rates[Rate_To_INR],
  ,
  -1
)</f>
        <v>61</v>
      </c>
      <c r="P374" s="2">
        <f>Cleaned[[#This Row],[Net Amount]] *  Cleaned[[#This Row],[FX_rates]]</f>
        <v>-62705.560000000005</v>
      </c>
    </row>
    <row r="375" spans="1:16" x14ac:dyDescent="0.45">
      <c r="A375" t="s">
        <v>383</v>
      </c>
      <c r="B375" s="1">
        <v>44945</v>
      </c>
      <c r="C375" s="2" t="s">
        <v>2010</v>
      </c>
      <c r="D375" t="s">
        <v>2015</v>
      </c>
      <c r="E375">
        <v>0</v>
      </c>
      <c r="F375">
        <f>Cleaned[[#This Row],[Debit]] * Cleaned[[#This Row],[FX_rates]]</f>
        <v>0</v>
      </c>
      <c r="G375">
        <v>2599.69</v>
      </c>
      <c r="H375">
        <f>Cleaned[[#This Row],[Credit]] *  Cleaned[[#This Row],[FX_rates]]</f>
        <v>145582.64000000001</v>
      </c>
      <c r="I375" t="s">
        <v>2020</v>
      </c>
      <c r="J375" t="s">
        <v>2029</v>
      </c>
      <c r="K375" t="s">
        <v>2404</v>
      </c>
      <c r="L375" t="s">
        <v>4033</v>
      </c>
      <c r="M375">
        <f>Cleaned[[#This Row],[Credit]]-Cleaned[[#This Row],[Debit]]</f>
        <v>2599.69</v>
      </c>
      <c r="N375" t="str">
        <f>_xlfn.XLOOKUP(Cleaned[[#This Row],[AccountName]], Account_Mapping!A:A, Account_Mapping!B:B,"Unmapped")</f>
        <v>Revenue</v>
      </c>
      <c r="O375" cm="1">
        <f t="array" ref="O375">_xlfn.XLOOKUP(
  1,
  (FX_Rates[Currency]=Cleaned[[#This Row],[Currency]])*
  (FX_Rates[RateDate]&lt;=Cleaned[[#This Row],[TxnDate]]),
  FX_Rates[Rate_To_INR],
  ,
  -1
)</f>
        <v>56</v>
      </c>
      <c r="P375" s="2">
        <f>Cleaned[[#This Row],[Net Amount]] *  Cleaned[[#This Row],[FX_rates]]</f>
        <v>145582.64000000001</v>
      </c>
    </row>
    <row r="376" spans="1:16" x14ac:dyDescent="0.45">
      <c r="A376" t="s">
        <v>384</v>
      </c>
      <c r="B376" s="1">
        <v>45574</v>
      </c>
      <c r="C376" s="2" t="s">
        <v>2013</v>
      </c>
      <c r="D376" t="s">
        <v>2018</v>
      </c>
      <c r="E376">
        <v>903.24</v>
      </c>
      <c r="F376">
        <f>Cleaned[[#This Row],[Debit]] * Cleaned[[#This Row],[FX_rates]]</f>
        <v>79485.119999999995</v>
      </c>
      <c r="G376">
        <v>0</v>
      </c>
      <c r="H376">
        <f>Cleaned[[#This Row],[Credit]] *  Cleaned[[#This Row],[FX_rates]]</f>
        <v>0</v>
      </c>
      <c r="I376" t="s">
        <v>2022</v>
      </c>
      <c r="J376" t="s">
        <v>2028</v>
      </c>
      <c r="K376" t="s">
        <v>2405</v>
      </c>
      <c r="L376" t="s">
        <v>4032</v>
      </c>
      <c r="M376">
        <f>Cleaned[[#This Row],[Credit]]-Cleaned[[#This Row],[Debit]]</f>
        <v>-903.24</v>
      </c>
      <c r="N376" t="str">
        <f>_xlfn.XLOOKUP(Cleaned[[#This Row],[AccountName]], Account_Mapping!A:A, Account_Mapping!B:B,"Unmapped")</f>
        <v>Operating Expense</v>
      </c>
      <c r="O376" cm="1">
        <f t="array" ref="O376">_xlfn.XLOOKUP(
  1,
  (FX_Rates[Currency]=Cleaned[[#This Row],[Currency]])*
  (FX_Rates[RateDate]&lt;=Cleaned[[#This Row],[TxnDate]]),
  FX_Rates[Rate_To_INR],
  ,
  -1
)</f>
        <v>88</v>
      </c>
      <c r="P376" s="2">
        <f>Cleaned[[#This Row],[Net Amount]] *  Cleaned[[#This Row],[FX_rates]]</f>
        <v>-79485.119999999995</v>
      </c>
    </row>
    <row r="377" spans="1:16" x14ac:dyDescent="0.45">
      <c r="A377" t="s">
        <v>385</v>
      </c>
      <c r="B377" s="1">
        <v>45363</v>
      </c>
      <c r="C377" s="2" t="s">
        <v>2011</v>
      </c>
      <c r="D377" t="s">
        <v>2016</v>
      </c>
      <c r="E377">
        <v>1037.05</v>
      </c>
      <c r="F377">
        <f>Cleaned[[#This Row],[Debit]] * Cleaned[[#This Row],[FX_rates]]</f>
        <v>91260.4</v>
      </c>
      <c r="G377">
        <v>0</v>
      </c>
      <c r="H377">
        <f>Cleaned[[#This Row],[Credit]] *  Cleaned[[#This Row],[FX_rates]]</f>
        <v>0</v>
      </c>
      <c r="I377" t="s">
        <v>2020</v>
      </c>
      <c r="J377" t="s">
        <v>2026</v>
      </c>
      <c r="K377" t="s">
        <v>2406</v>
      </c>
      <c r="L377" t="s">
        <v>4032</v>
      </c>
      <c r="M377">
        <f>Cleaned[[#This Row],[Credit]]-Cleaned[[#This Row],[Debit]]</f>
        <v>-1037.05</v>
      </c>
      <c r="N377" t="str">
        <f>_xlfn.XLOOKUP(Cleaned[[#This Row],[AccountName]], Account_Mapping!A:A, Account_Mapping!B:B,"Unmapped")</f>
        <v>COGS</v>
      </c>
      <c r="O377" cm="1">
        <f t="array" ref="O377">_xlfn.XLOOKUP(
  1,
  (FX_Rates[Currency]=Cleaned[[#This Row],[Currency]])*
  (FX_Rates[RateDate]&lt;=Cleaned[[#This Row],[TxnDate]]),
  FX_Rates[Rate_To_INR],
  ,
  -1
)</f>
        <v>88</v>
      </c>
      <c r="P377" s="2">
        <f>Cleaned[[#This Row],[Net Amount]] *  Cleaned[[#This Row],[FX_rates]]</f>
        <v>-91260.4</v>
      </c>
    </row>
    <row r="378" spans="1:16" x14ac:dyDescent="0.45">
      <c r="A378" t="s">
        <v>386</v>
      </c>
      <c r="B378" s="1">
        <v>45785</v>
      </c>
      <c r="C378" s="2" t="s">
        <v>2013</v>
      </c>
      <c r="D378" t="s">
        <v>2018</v>
      </c>
      <c r="E378">
        <v>390.22</v>
      </c>
      <c r="F378">
        <f>Cleaned[[#This Row],[Debit]] * Cleaned[[#This Row],[FX_rates]]</f>
        <v>34339.360000000001</v>
      </c>
      <c r="G378">
        <v>0</v>
      </c>
      <c r="H378">
        <f>Cleaned[[#This Row],[Credit]] *  Cleaned[[#This Row],[FX_rates]]</f>
        <v>0</v>
      </c>
      <c r="I378" t="s">
        <v>2021</v>
      </c>
      <c r="J378" t="s">
        <v>2029</v>
      </c>
      <c r="K378" t="s">
        <v>2407</v>
      </c>
      <c r="L378" t="s">
        <v>4032</v>
      </c>
      <c r="M378">
        <f>Cleaned[[#This Row],[Credit]]-Cleaned[[#This Row],[Debit]]</f>
        <v>-390.22</v>
      </c>
      <c r="N378" t="str">
        <f>_xlfn.XLOOKUP(Cleaned[[#This Row],[AccountName]], Account_Mapping!A:A, Account_Mapping!B:B,"Unmapped")</f>
        <v>Operating Expense</v>
      </c>
      <c r="O378" cm="1">
        <f t="array" ref="O378">_xlfn.XLOOKUP(
  1,
  (FX_Rates[Currency]=Cleaned[[#This Row],[Currency]])*
  (FX_Rates[RateDate]&lt;=Cleaned[[#This Row],[TxnDate]]),
  FX_Rates[Rate_To_INR],
  ,
  -1
)</f>
        <v>88</v>
      </c>
      <c r="P378" s="2">
        <f>Cleaned[[#This Row],[Net Amount]] *  Cleaned[[#This Row],[FX_rates]]</f>
        <v>-34339.360000000001</v>
      </c>
    </row>
    <row r="379" spans="1:16" x14ac:dyDescent="0.45">
      <c r="A379" t="s">
        <v>387</v>
      </c>
      <c r="B379" s="1">
        <v>45699</v>
      </c>
      <c r="C379" s="2" t="s">
        <v>2014</v>
      </c>
      <c r="D379" t="s">
        <v>2019</v>
      </c>
      <c r="E379">
        <v>0</v>
      </c>
      <c r="F379">
        <f>Cleaned[[#This Row],[Debit]] * Cleaned[[#This Row],[FX_rates]]</f>
        <v>0</v>
      </c>
      <c r="G379">
        <v>4450.59</v>
      </c>
      <c r="H379">
        <f>Cleaned[[#This Row],[Credit]] *  Cleaned[[#This Row],[FX_rates]]</f>
        <v>364948.38</v>
      </c>
      <c r="I379" t="s">
        <v>2023</v>
      </c>
      <c r="J379" t="s">
        <v>2030</v>
      </c>
      <c r="K379" t="s">
        <v>2408</v>
      </c>
      <c r="L379" t="s">
        <v>4034</v>
      </c>
      <c r="M379">
        <f>Cleaned[[#This Row],[Credit]]-Cleaned[[#This Row],[Debit]]</f>
        <v>4450.59</v>
      </c>
      <c r="N379" t="str">
        <f>_xlfn.XLOOKUP(Cleaned[[#This Row],[AccountName]], Account_Mapping!A:A, Account_Mapping!B:B,"Unmapped")</f>
        <v>Revenue</v>
      </c>
      <c r="O379" cm="1">
        <f t="array" ref="O379">_xlfn.XLOOKUP(
  1,
  (FX_Rates[Currency]=Cleaned[[#This Row],[Currency]])*
  (FX_Rates[RateDate]&lt;=Cleaned[[#This Row],[TxnDate]]),
  FX_Rates[Rate_To_INR],
  ,
  -1
)</f>
        <v>82</v>
      </c>
      <c r="P379" s="2">
        <f>Cleaned[[#This Row],[Net Amount]] *  Cleaned[[#This Row],[FX_rates]]</f>
        <v>364948.38</v>
      </c>
    </row>
    <row r="380" spans="1:16" x14ac:dyDescent="0.45">
      <c r="A380" t="s">
        <v>388</v>
      </c>
      <c r="B380" s="1">
        <v>45246</v>
      </c>
      <c r="C380" s="2" t="s">
        <v>2012</v>
      </c>
      <c r="D380" t="s">
        <v>2017</v>
      </c>
      <c r="E380">
        <v>1836.23</v>
      </c>
      <c r="F380">
        <f>Cleaned[[#This Row],[Debit]] * Cleaned[[#This Row],[FX_rates]]</f>
        <v>189131.69</v>
      </c>
      <c r="G380">
        <v>0</v>
      </c>
      <c r="H380">
        <f>Cleaned[[#This Row],[Credit]] *  Cleaned[[#This Row],[FX_rates]]</f>
        <v>0</v>
      </c>
      <c r="I380" t="s">
        <v>2023</v>
      </c>
      <c r="J380" t="s">
        <v>2030</v>
      </c>
      <c r="K380" t="s">
        <v>2409</v>
      </c>
      <c r="L380" t="s">
        <v>4031</v>
      </c>
      <c r="M380">
        <f>Cleaned[[#This Row],[Credit]]-Cleaned[[#This Row],[Debit]]</f>
        <v>-1836.23</v>
      </c>
      <c r="N380" t="str">
        <f>_xlfn.XLOOKUP(Cleaned[[#This Row],[AccountName]], Account_Mapping!A:A, Account_Mapping!B:B,"Unmapped")</f>
        <v>Operating Expense</v>
      </c>
      <c r="O380" cm="1">
        <f t="array" ref="O380">_xlfn.XLOOKUP(
  1,
  (FX_Rates[Currency]=Cleaned[[#This Row],[Currency]])*
  (FX_Rates[RateDate]&lt;=Cleaned[[#This Row],[TxnDate]]),
  FX_Rates[Rate_To_INR],
  ,
  -1
)</f>
        <v>103</v>
      </c>
      <c r="P380" s="2">
        <f>Cleaned[[#This Row],[Net Amount]] *  Cleaned[[#This Row],[FX_rates]]</f>
        <v>-189131.69</v>
      </c>
    </row>
    <row r="381" spans="1:16" x14ac:dyDescent="0.45">
      <c r="A381" t="s">
        <v>389</v>
      </c>
      <c r="B381" s="1">
        <v>45549</v>
      </c>
      <c r="C381" s="2" t="s">
        <v>2012</v>
      </c>
      <c r="D381" t="s">
        <v>2017</v>
      </c>
      <c r="E381">
        <v>1033.93</v>
      </c>
      <c r="F381">
        <f>Cleaned[[#This Row],[Debit]] * Cleaned[[#This Row],[FX_rates]]</f>
        <v>84782.260000000009</v>
      </c>
      <c r="G381">
        <v>0</v>
      </c>
      <c r="H381">
        <f>Cleaned[[#This Row],[Credit]] *  Cleaned[[#This Row],[FX_rates]]</f>
        <v>0</v>
      </c>
      <c r="I381" t="s">
        <v>2025</v>
      </c>
      <c r="J381" t="s">
        <v>2027</v>
      </c>
      <c r="K381" t="s">
        <v>2410</v>
      </c>
      <c r="L381" t="s">
        <v>4034</v>
      </c>
      <c r="M381">
        <f>Cleaned[[#This Row],[Credit]]-Cleaned[[#This Row],[Debit]]</f>
        <v>-1033.93</v>
      </c>
      <c r="N381" t="str">
        <f>_xlfn.XLOOKUP(Cleaned[[#This Row],[AccountName]], Account_Mapping!A:A, Account_Mapping!B:B,"Unmapped")</f>
        <v>Operating Expense</v>
      </c>
      <c r="O381" cm="1">
        <f t="array" ref="O381">_xlfn.XLOOKUP(
  1,
  (FX_Rates[Currency]=Cleaned[[#This Row],[Currency]])*
  (FX_Rates[RateDate]&lt;=Cleaned[[#This Row],[TxnDate]]),
  FX_Rates[Rate_To_INR],
  ,
  -1
)</f>
        <v>82</v>
      </c>
      <c r="P381" s="2">
        <f>Cleaned[[#This Row],[Net Amount]] *  Cleaned[[#This Row],[FX_rates]]</f>
        <v>-84782.260000000009</v>
      </c>
    </row>
    <row r="382" spans="1:16" x14ac:dyDescent="0.45">
      <c r="A382" t="s">
        <v>390</v>
      </c>
      <c r="B382" s="1">
        <v>45110</v>
      </c>
      <c r="C382" s="2" t="s">
        <v>2013</v>
      </c>
      <c r="D382" t="s">
        <v>2018</v>
      </c>
      <c r="E382">
        <v>64.73</v>
      </c>
      <c r="F382">
        <f>Cleaned[[#This Row],[Debit]] * Cleaned[[#This Row],[FX_rates]]</f>
        <v>5307.8600000000006</v>
      </c>
      <c r="G382">
        <v>0</v>
      </c>
      <c r="H382">
        <f>Cleaned[[#This Row],[Credit]] *  Cleaned[[#This Row],[FX_rates]]</f>
        <v>0</v>
      </c>
      <c r="I382" t="s">
        <v>2021</v>
      </c>
      <c r="J382" t="s">
        <v>2029</v>
      </c>
      <c r="K382" t="s">
        <v>2411</v>
      </c>
      <c r="L382" t="s">
        <v>4034</v>
      </c>
      <c r="M382">
        <f>Cleaned[[#This Row],[Credit]]-Cleaned[[#This Row],[Debit]]</f>
        <v>-64.73</v>
      </c>
      <c r="N382" t="str">
        <f>_xlfn.XLOOKUP(Cleaned[[#This Row],[AccountName]], Account_Mapping!A:A, Account_Mapping!B:B,"Unmapped")</f>
        <v>Operating Expense</v>
      </c>
      <c r="O382" cm="1">
        <f t="array" ref="O382">_xlfn.XLOOKUP(
  1,
  (FX_Rates[Currency]=Cleaned[[#This Row],[Currency]])*
  (FX_Rates[RateDate]&lt;=Cleaned[[#This Row],[TxnDate]]),
  FX_Rates[Rate_To_INR],
  ,
  -1
)</f>
        <v>82</v>
      </c>
      <c r="P382" s="2">
        <f>Cleaned[[#This Row],[Net Amount]] *  Cleaned[[#This Row],[FX_rates]]</f>
        <v>-5307.8600000000006</v>
      </c>
    </row>
    <row r="383" spans="1:16" x14ac:dyDescent="0.45">
      <c r="A383" t="s">
        <v>391</v>
      </c>
      <c r="B383" s="1">
        <v>44956</v>
      </c>
      <c r="C383" s="2" t="s">
        <v>2013</v>
      </c>
      <c r="D383" t="s">
        <v>2018</v>
      </c>
      <c r="E383">
        <v>891.36</v>
      </c>
      <c r="F383">
        <f>Cleaned[[#This Row],[Debit]] * Cleaned[[#This Row],[FX_rates]]</f>
        <v>78439.680000000008</v>
      </c>
      <c r="G383">
        <v>0</v>
      </c>
      <c r="H383">
        <f>Cleaned[[#This Row],[Credit]] *  Cleaned[[#This Row],[FX_rates]]</f>
        <v>0</v>
      </c>
      <c r="I383" t="s">
        <v>2023</v>
      </c>
      <c r="J383" t="s">
        <v>2028</v>
      </c>
      <c r="K383" t="s">
        <v>2412</v>
      </c>
      <c r="L383" t="s">
        <v>4032</v>
      </c>
      <c r="M383">
        <f>Cleaned[[#This Row],[Credit]]-Cleaned[[#This Row],[Debit]]</f>
        <v>-891.36</v>
      </c>
      <c r="N383" t="str">
        <f>_xlfn.XLOOKUP(Cleaned[[#This Row],[AccountName]], Account_Mapping!A:A, Account_Mapping!B:B,"Unmapped")</f>
        <v>Operating Expense</v>
      </c>
      <c r="O383" cm="1">
        <f t="array" ref="O383">_xlfn.XLOOKUP(
  1,
  (FX_Rates[Currency]=Cleaned[[#This Row],[Currency]])*
  (FX_Rates[RateDate]&lt;=Cleaned[[#This Row],[TxnDate]]),
  FX_Rates[Rate_To_INR],
  ,
  -1
)</f>
        <v>88</v>
      </c>
      <c r="P383" s="2">
        <f>Cleaned[[#This Row],[Net Amount]] *  Cleaned[[#This Row],[FX_rates]]</f>
        <v>-78439.680000000008</v>
      </c>
    </row>
    <row r="384" spans="1:16" x14ac:dyDescent="0.45">
      <c r="A384" t="s">
        <v>392</v>
      </c>
      <c r="B384" s="1">
        <v>45042</v>
      </c>
      <c r="C384" s="2" t="s">
        <v>2013</v>
      </c>
      <c r="D384" t="s">
        <v>2018</v>
      </c>
      <c r="E384">
        <v>983.92</v>
      </c>
      <c r="F384">
        <f>Cleaned[[#This Row],[Debit]] * Cleaned[[#This Row],[FX_rates]]</f>
        <v>55099.519999999997</v>
      </c>
      <c r="G384">
        <v>0</v>
      </c>
      <c r="H384">
        <f>Cleaned[[#This Row],[Credit]] *  Cleaned[[#This Row],[FX_rates]]</f>
        <v>0</v>
      </c>
      <c r="I384" t="s">
        <v>2024</v>
      </c>
      <c r="J384" t="s">
        <v>2029</v>
      </c>
      <c r="K384" t="s">
        <v>2413</v>
      </c>
      <c r="L384" t="s">
        <v>4033</v>
      </c>
      <c r="M384">
        <f>Cleaned[[#This Row],[Credit]]-Cleaned[[#This Row],[Debit]]</f>
        <v>-983.92</v>
      </c>
      <c r="N384" t="str">
        <f>_xlfn.XLOOKUP(Cleaned[[#This Row],[AccountName]], Account_Mapping!A:A, Account_Mapping!B:B,"Unmapped")</f>
        <v>Operating Expense</v>
      </c>
      <c r="O384" cm="1">
        <f t="array" ref="O384">_xlfn.XLOOKUP(
  1,
  (FX_Rates[Currency]=Cleaned[[#This Row],[Currency]])*
  (FX_Rates[RateDate]&lt;=Cleaned[[#This Row],[TxnDate]]),
  FX_Rates[Rate_To_INR],
  ,
  -1
)</f>
        <v>56</v>
      </c>
      <c r="P384" s="2">
        <f>Cleaned[[#This Row],[Net Amount]] *  Cleaned[[#This Row],[FX_rates]]</f>
        <v>-55099.519999999997</v>
      </c>
    </row>
    <row r="385" spans="1:16" x14ac:dyDescent="0.45">
      <c r="A385" t="s">
        <v>393</v>
      </c>
      <c r="B385" s="1">
        <v>44966</v>
      </c>
      <c r="C385" s="2" t="s">
        <v>2013</v>
      </c>
      <c r="D385" t="s">
        <v>2018</v>
      </c>
      <c r="E385">
        <v>412.44</v>
      </c>
      <c r="F385">
        <f>Cleaned[[#This Row],[Debit]] * Cleaned[[#This Row],[FX_rates]]</f>
        <v>36294.720000000001</v>
      </c>
      <c r="G385">
        <v>0</v>
      </c>
      <c r="H385">
        <f>Cleaned[[#This Row],[Credit]] *  Cleaned[[#This Row],[FX_rates]]</f>
        <v>0</v>
      </c>
      <c r="I385" t="s">
        <v>2020</v>
      </c>
      <c r="J385" t="s">
        <v>2030</v>
      </c>
      <c r="K385" t="s">
        <v>2414</v>
      </c>
      <c r="L385" t="s">
        <v>4032</v>
      </c>
      <c r="M385">
        <f>Cleaned[[#This Row],[Credit]]-Cleaned[[#This Row],[Debit]]</f>
        <v>-412.44</v>
      </c>
      <c r="N385" t="str">
        <f>_xlfn.XLOOKUP(Cleaned[[#This Row],[AccountName]], Account_Mapping!A:A, Account_Mapping!B:B,"Unmapped")</f>
        <v>Operating Expense</v>
      </c>
      <c r="O385" cm="1">
        <f t="array" ref="O385">_xlfn.XLOOKUP(
  1,
  (FX_Rates[Currency]=Cleaned[[#This Row],[Currency]])*
  (FX_Rates[RateDate]&lt;=Cleaned[[#This Row],[TxnDate]]),
  FX_Rates[Rate_To_INR],
  ,
  -1
)</f>
        <v>88</v>
      </c>
      <c r="P385" s="2">
        <f>Cleaned[[#This Row],[Net Amount]] *  Cleaned[[#This Row],[FX_rates]]</f>
        <v>-36294.720000000001</v>
      </c>
    </row>
    <row r="386" spans="1:16" x14ac:dyDescent="0.45">
      <c r="A386" t="s">
        <v>394</v>
      </c>
      <c r="B386" s="1">
        <v>45058</v>
      </c>
      <c r="C386" s="2" t="s">
        <v>2014</v>
      </c>
      <c r="D386" t="s">
        <v>2019</v>
      </c>
      <c r="E386">
        <v>0</v>
      </c>
      <c r="F386">
        <f>Cleaned[[#This Row],[Debit]] * Cleaned[[#This Row],[FX_rates]]</f>
        <v>0</v>
      </c>
      <c r="G386">
        <v>2409.8200000000002</v>
      </c>
      <c r="H386">
        <f>Cleaned[[#This Row],[Credit]] *  Cleaned[[#This Row],[FX_rates]]</f>
        <v>146999.02000000002</v>
      </c>
      <c r="I386" t="s">
        <v>2020</v>
      </c>
      <c r="J386" t="s">
        <v>2026</v>
      </c>
      <c r="K386" t="s">
        <v>2415</v>
      </c>
      <c r="L386" t="s">
        <v>4035</v>
      </c>
      <c r="M386">
        <f>Cleaned[[#This Row],[Credit]]-Cleaned[[#This Row],[Debit]]</f>
        <v>2409.8200000000002</v>
      </c>
      <c r="N386" t="str">
        <f>_xlfn.XLOOKUP(Cleaned[[#This Row],[AccountName]], Account_Mapping!A:A, Account_Mapping!B:B,"Unmapped")</f>
        <v>Revenue</v>
      </c>
      <c r="O386" cm="1">
        <f t="array" ref="O386">_xlfn.XLOOKUP(
  1,
  (FX_Rates[Currency]=Cleaned[[#This Row],[Currency]])*
  (FX_Rates[RateDate]&lt;=Cleaned[[#This Row],[TxnDate]]),
  FX_Rates[Rate_To_INR],
  ,
  -1
)</f>
        <v>61</v>
      </c>
      <c r="P386" s="2">
        <f>Cleaned[[#This Row],[Net Amount]] *  Cleaned[[#This Row],[FX_rates]]</f>
        <v>146999.02000000002</v>
      </c>
    </row>
    <row r="387" spans="1:16" x14ac:dyDescent="0.45">
      <c r="A387" t="s">
        <v>395</v>
      </c>
      <c r="B387" s="1">
        <v>45792</v>
      </c>
      <c r="C387" s="2" t="s">
        <v>2013</v>
      </c>
      <c r="D387" t="s">
        <v>2018</v>
      </c>
      <c r="E387">
        <v>1490.61</v>
      </c>
      <c r="F387">
        <f>Cleaned[[#This Row],[Debit]] * Cleaned[[#This Row],[FX_rates]]</f>
        <v>90927.209999999992</v>
      </c>
      <c r="G387">
        <v>0</v>
      </c>
      <c r="H387">
        <f>Cleaned[[#This Row],[Credit]] *  Cleaned[[#This Row],[FX_rates]]</f>
        <v>0</v>
      </c>
      <c r="I387" t="s">
        <v>2025</v>
      </c>
      <c r="J387" t="s">
        <v>2026</v>
      </c>
      <c r="K387" t="s">
        <v>2416</v>
      </c>
      <c r="L387" t="s">
        <v>4035</v>
      </c>
      <c r="M387">
        <f>Cleaned[[#This Row],[Credit]]-Cleaned[[#This Row],[Debit]]</f>
        <v>-1490.61</v>
      </c>
      <c r="N387" t="str">
        <f>_xlfn.XLOOKUP(Cleaned[[#This Row],[AccountName]], Account_Mapping!A:A, Account_Mapping!B:B,"Unmapped")</f>
        <v>Operating Expense</v>
      </c>
      <c r="O387" cm="1">
        <f t="array" ref="O387">_xlfn.XLOOKUP(
  1,
  (FX_Rates[Currency]=Cleaned[[#This Row],[Currency]])*
  (FX_Rates[RateDate]&lt;=Cleaned[[#This Row],[TxnDate]]),
  FX_Rates[Rate_To_INR],
  ,
  -1
)</f>
        <v>61</v>
      </c>
      <c r="P387" s="2">
        <f>Cleaned[[#This Row],[Net Amount]] *  Cleaned[[#This Row],[FX_rates]]</f>
        <v>-90927.209999999992</v>
      </c>
    </row>
    <row r="388" spans="1:16" x14ac:dyDescent="0.45">
      <c r="A388" t="s">
        <v>396</v>
      </c>
      <c r="B388" s="1">
        <v>45528</v>
      </c>
      <c r="C388" s="2" t="s">
        <v>2010</v>
      </c>
      <c r="D388" t="s">
        <v>2015</v>
      </c>
      <c r="E388">
        <v>0</v>
      </c>
      <c r="F388">
        <f>Cleaned[[#This Row],[Debit]] * Cleaned[[#This Row],[FX_rates]]</f>
        <v>0</v>
      </c>
      <c r="G388">
        <v>2946.46</v>
      </c>
      <c r="H388">
        <f>Cleaned[[#This Row],[Credit]] *  Cleaned[[#This Row],[FX_rates]]</f>
        <v>303485.38</v>
      </c>
      <c r="I388" t="s">
        <v>2020</v>
      </c>
      <c r="J388" t="s">
        <v>2028</v>
      </c>
      <c r="K388" t="s">
        <v>2417</v>
      </c>
      <c r="L388" t="s">
        <v>4031</v>
      </c>
      <c r="M388">
        <f>Cleaned[[#This Row],[Credit]]-Cleaned[[#This Row],[Debit]]</f>
        <v>2946.46</v>
      </c>
      <c r="N388" t="str">
        <f>_xlfn.XLOOKUP(Cleaned[[#This Row],[AccountName]], Account_Mapping!A:A, Account_Mapping!B:B,"Unmapped")</f>
        <v>Revenue</v>
      </c>
      <c r="O388" cm="1">
        <f t="array" ref="O388">_xlfn.XLOOKUP(
  1,
  (FX_Rates[Currency]=Cleaned[[#This Row],[Currency]])*
  (FX_Rates[RateDate]&lt;=Cleaned[[#This Row],[TxnDate]]),
  FX_Rates[Rate_To_INR],
  ,
  -1
)</f>
        <v>103</v>
      </c>
      <c r="P388" s="2">
        <f>Cleaned[[#This Row],[Net Amount]] *  Cleaned[[#This Row],[FX_rates]]</f>
        <v>303485.38</v>
      </c>
    </row>
    <row r="389" spans="1:16" x14ac:dyDescent="0.45">
      <c r="A389" t="s">
        <v>397</v>
      </c>
      <c r="B389" s="1">
        <v>45548</v>
      </c>
      <c r="C389" s="2" t="s">
        <v>2012</v>
      </c>
      <c r="D389" t="s">
        <v>2017</v>
      </c>
      <c r="E389">
        <v>542.61</v>
      </c>
      <c r="F389">
        <f>Cleaned[[#This Row],[Debit]] * Cleaned[[#This Row],[FX_rates]]</f>
        <v>44494.020000000004</v>
      </c>
      <c r="G389">
        <v>0</v>
      </c>
      <c r="H389">
        <f>Cleaned[[#This Row],[Credit]] *  Cleaned[[#This Row],[FX_rates]]</f>
        <v>0</v>
      </c>
      <c r="I389" t="s">
        <v>2024</v>
      </c>
      <c r="J389" t="s">
        <v>2029</v>
      </c>
      <c r="K389" t="s">
        <v>2418</v>
      </c>
      <c r="L389" t="s">
        <v>4034</v>
      </c>
      <c r="M389">
        <f>Cleaned[[#This Row],[Credit]]-Cleaned[[#This Row],[Debit]]</f>
        <v>-542.61</v>
      </c>
      <c r="N389" t="str">
        <f>_xlfn.XLOOKUP(Cleaned[[#This Row],[AccountName]], Account_Mapping!A:A, Account_Mapping!B:B,"Unmapped")</f>
        <v>Operating Expense</v>
      </c>
      <c r="O389" cm="1">
        <f t="array" ref="O389">_xlfn.XLOOKUP(
  1,
  (FX_Rates[Currency]=Cleaned[[#This Row],[Currency]])*
  (FX_Rates[RateDate]&lt;=Cleaned[[#This Row],[TxnDate]]),
  FX_Rates[Rate_To_INR],
  ,
  -1
)</f>
        <v>82</v>
      </c>
      <c r="P389" s="2">
        <f>Cleaned[[#This Row],[Net Amount]] *  Cleaned[[#This Row],[FX_rates]]</f>
        <v>-44494.020000000004</v>
      </c>
    </row>
    <row r="390" spans="1:16" x14ac:dyDescent="0.45">
      <c r="A390" t="s">
        <v>398</v>
      </c>
      <c r="B390" s="1">
        <v>45252</v>
      </c>
      <c r="C390" s="2" t="s">
        <v>2014</v>
      </c>
      <c r="D390" t="s">
        <v>2019</v>
      </c>
      <c r="E390">
        <v>0</v>
      </c>
      <c r="F390">
        <f>Cleaned[[#This Row],[Debit]] * Cleaned[[#This Row],[FX_rates]]</f>
        <v>0</v>
      </c>
      <c r="G390">
        <v>3453.36</v>
      </c>
      <c r="H390">
        <f>Cleaned[[#This Row],[Credit]] *  Cleaned[[#This Row],[FX_rates]]</f>
        <v>303895.67999999999</v>
      </c>
      <c r="I390" t="s">
        <v>2020</v>
      </c>
      <c r="J390" t="s">
        <v>2028</v>
      </c>
      <c r="K390" t="s">
        <v>2419</v>
      </c>
      <c r="L390" t="s">
        <v>4032</v>
      </c>
      <c r="M390">
        <f>Cleaned[[#This Row],[Credit]]-Cleaned[[#This Row],[Debit]]</f>
        <v>3453.36</v>
      </c>
      <c r="N390" t="str">
        <f>_xlfn.XLOOKUP(Cleaned[[#This Row],[AccountName]], Account_Mapping!A:A, Account_Mapping!B:B,"Unmapped")</f>
        <v>Revenue</v>
      </c>
      <c r="O390" cm="1">
        <f t="array" ref="O390">_xlfn.XLOOKUP(
  1,
  (FX_Rates[Currency]=Cleaned[[#This Row],[Currency]])*
  (FX_Rates[RateDate]&lt;=Cleaned[[#This Row],[TxnDate]]),
  FX_Rates[Rate_To_INR],
  ,
  -1
)</f>
        <v>88</v>
      </c>
      <c r="P390" s="2">
        <f>Cleaned[[#This Row],[Net Amount]] *  Cleaned[[#This Row],[FX_rates]]</f>
        <v>303895.67999999999</v>
      </c>
    </row>
    <row r="391" spans="1:16" x14ac:dyDescent="0.45">
      <c r="A391" t="s">
        <v>399</v>
      </c>
      <c r="B391" s="1">
        <v>45317</v>
      </c>
      <c r="C391" s="2" t="s">
        <v>2011</v>
      </c>
      <c r="D391" t="s">
        <v>2016</v>
      </c>
      <c r="E391">
        <v>1550.28</v>
      </c>
      <c r="F391">
        <f>Cleaned[[#This Row],[Debit]] * Cleaned[[#This Row],[FX_rates]]</f>
        <v>159678.84</v>
      </c>
      <c r="G391">
        <v>0</v>
      </c>
      <c r="H391">
        <f>Cleaned[[#This Row],[Credit]] *  Cleaned[[#This Row],[FX_rates]]</f>
        <v>0</v>
      </c>
      <c r="I391" t="s">
        <v>2021</v>
      </c>
      <c r="J391" t="s">
        <v>2028</v>
      </c>
      <c r="K391" t="s">
        <v>2420</v>
      </c>
      <c r="L391" t="s">
        <v>4031</v>
      </c>
      <c r="M391">
        <f>Cleaned[[#This Row],[Credit]]-Cleaned[[#This Row],[Debit]]</f>
        <v>-1550.28</v>
      </c>
      <c r="N391" t="str">
        <f>_xlfn.XLOOKUP(Cleaned[[#This Row],[AccountName]], Account_Mapping!A:A, Account_Mapping!B:B,"Unmapped")</f>
        <v>COGS</v>
      </c>
      <c r="O391" cm="1">
        <f t="array" ref="O391">_xlfn.XLOOKUP(
  1,
  (FX_Rates[Currency]=Cleaned[[#This Row],[Currency]])*
  (FX_Rates[RateDate]&lt;=Cleaned[[#This Row],[TxnDate]]),
  FX_Rates[Rate_To_INR],
  ,
  -1
)</f>
        <v>103</v>
      </c>
      <c r="P391" s="2">
        <f>Cleaned[[#This Row],[Net Amount]] *  Cleaned[[#This Row],[FX_rates]]</f>
        <v>-159678.84</v>
      </c>
    </row>
    <row r="392" spans="1:16" x14ac:dyDescent="0.45">
      <c r="A392" t="s">
        <v>400</v>
      </c>
      <c r="B392" s="1">
        <v>45164</v>
      </c>
      <c r="C392" s="2" t="s">
        <v>2014</v>
      </c>
      <c r="D392" t="s">
        <v>2019</v>
      </c>
      <c r="E392">
        <v>0</v>
      </c>
      <c r="F392">
        <f>Cleaned[[#This Row],[Debit]] * Cleaned[[#This Row],[FX_rates]]</f>
        <v>0</v>
      </c>
      <c r="G392">
        <v>2348.4</v>
      </c>
      <c r="H392">
        <f>Cleaned[[#This Row],[Credit]] *  Cleaned[[#This Row],[FX_rates]]</f>
        <v>143252.4</v>
      </c>
      <c r="I392" t="s">
        <v>2025</v>
      </c>
      <c r="J392" t="s">
        <v>2030</v>
      </c>
      <c r="K392" t="s">
        <v>2421</v>
      </c>
      <c r="L392" t="s">
        <v>4035</v>
      </c>
      <c r="M392">
        <f>Cleaned[[#This Row],[Credit]]-Cleaned[[#This Row],[Debit]]</f>
        <v>2348.4</v>
      </c>
      <c r="N392" t="str">
        <f>_xlfn.XLOOKUP(Cleaned[[#This Row],[AccountName]], Account_Mapping!A:A, Account_Mapping!B:B,"Unmapped")</f>
        <v>Revenue</v>
      </c>
      <c r="O392" cm="1">
        <f t="array" ref="O392">_xlfn.XLOOKUP(
  1,
  (FX_Rates[Currency]=Cleaned[[#This Row],[Currency]])*
  (FX_Rates[RateDate]&lt;=Cleaned[[#This Row],[TxnDate]]),
  FX_Rates[Rate_To_INR],
  ,
  -1
)</f>
        <v>61</v>
      </c>
      <c r="P392" s="2">
        <f>Cleaned[[#This Row],[Net Amount]] *  Cleaned[[#This Row],[FX_rates]]</f>
        <v>143252.4</v>
      </c>
    </row>
    <row r="393" spans="1:16" x14ac:dyDescent="0.45">
      <c r="A393" t="s">
        <v>401</v>
      </c>
      <c r="B393" s="1">
        <v>45128</v>
      </c>
      <c r="C393" s="2" t="s">
        <v>2011</v>
      </c>
      <c r="D393" t="s">
        <v>2016</v>
      </c>
      <c r="E393">
        <v>761.57</v>
      </c>
      <c r="F393">
        <f>Cleaned[[#This Row],[Debit]] * Cleaned[[#This Row],[FX_rates]]</f>
        <v>67018.16</v>
      </c>
      <c r="G393">
        <v>0</v>
      </c>
      <c r="H393">
        <f>Cleaned[[#This Row],[Credit]] *  Cleaned[[#This Row],[FX_rates]]</f>
        <v>0</v>
      </c>
      <c r="I393" t="s">
        <v>2021</v>
      </c>
      <c r="J393" t="s">
        <v>2026</v>
      </c>
      <c r="K393" t="s">
        <v>2422</v>
      </c>
      <c r="L393" t="s">
        <v>4032</v>
      </c>
      <c r="M393">
        <f>Cleaned[[#This Row],[Credit]]-Cleaned[[#This Row],[Debit]]</f>
        <v>-761.57</v>
      </c>
      <c r="N393" t="str">
        <f>_xlfn.XLOOKUP(Cleaned[[#This Row],[AccountName]], Account_Mapping!A:A, Account_Mapping!B:B,"Unmapped")</f>
        <v>COGS</v>
      </c>
      <c r="O393" cm="1">
        <f t="array" ref="O393">_xlfn.XLOOKUP(
  1,
  (FX_Rates[Currency]=Cleaned[[#This Row],[Currency]])*
  (FX_Rates[RateDate]&lt;=Cleaned[[#This Row],[TxnDate]]),
  FX_Rates[Rate_To_INR],
  ,
  -1
)</f>
        <v>88</v>
      </c>
      <c r="P393" s="2">
        <f>Cleaned[[#This Row],[Net Amount]] *  Cleaned[[#This Row],[FX_rates]]</f>
        <v>-67018.16</v>
      </c>
    </row>
    <row r="394" spans="1:16" x14ac:dyDescent="0.45">
      <c r="A394" t="s">
        <v>402</v>
      </c>
      <c r="B394" s="1">
        <v>45233</v>
      </c>
      <c r="C394" s="2" t="s">
        <v>2010</v>
      </c>
      <c r="D394" t="s">
        <v>2015</v>
      </c>
      <c r="E394">
        <v>0</v>
      </c>
      <c r="F394">
        <f>Cleaned[[#This Row],[Debit]] * Cleaned[[#This Row],[FX_rates]]</f>
        <v>0</v>
      </c>
      <c r="G394">
        <v>958.3</v>
      </c>
      <c r="H394">
        <f>Cleaned[[#This Row],[Credit]] *  Cleaned[[#This Row],[FX_rates]]</f>
        <v>58456.299999999996</v>
      </c>
      <c r="I394" t="s">
        <v>2021</v>
      </c>
      <c r="J394" t="s">
        <v>2029</v>
      </c>
      <c r="K394" t="s">
        <v>2423</v>
      </c>
      <c r="L394" t="s">
        <v>4035</v>
      </c>
      <c r="M394">
        <f>Cleaned[[#This Row],[Credit]]-Cleaned[[#This Row],[Debit]]</f>
        <v>958.3</v>
      </c>
      <c r="N394" t="str">
        <f>_xlfn.XLOOKUP(Cleaned[[#This Row],[AccountName]], Account_Mapping!A:A, Account_Mapping!B:B,"Unmapped")</f>
        <v>Revenue</v>
      </c>
      <c r="O394" cm="1">
        <f t="array" ref="O394">_xlfn.XLOOKUP(
  1,
  (FX_Rates[Currency]=Cleaned[[#This Row],[Currency]])*
  (FX_Rates[RateDate]&lt;=Cleaned[[#This Row],[TxnDate]]),
  FX_Rates[Rate_To_INR],
  ,
  -1
)</f>
        <v>61</v>
      </c>
      <c r="P394" s="2">
        <f>Cleaned[[#This Row],[Net Amount]] *  Cleaned[[#This Row],[FX_rates]]</f>
        <v>58456.299999999996</v>
      </c>
    </row>
    <row r="395" spans="1:16" x14ac:dyDescent="0.45">
      <c r="A395" t="s">
        <v>403</v>
      </c>
      <c r="B395" s="1">
        <v>45690</v>
      </c>
      <c r="C395" s="2" t="s">
        <v>2011</v>
      </c>
      <c r="D395" t="s">
        <v>2016</v>
      </c>
      <c r="E395">
        <v>618.6</v>
      </c>
      <c r="F395">
        <f>Cleaned[[#This Row],[Debit]] * Cleaned[[#This Row],[FX_rates]]</f>
        <v>50725.200000000004</v>
      </c>
      <c r="G395">
        <v>0</v>
      </c>
      <c r="H395">
        <f>Cleaned[[#This Row],[Credit]] *  Cleaned[[#This Row],[FX_rates]]</f>
        <v>0</v>
      </c>
      <c r="I395" t="s">
        <v>2024</v>
      </c>
      <c r="J395" t="s">
        <v>2026</v>
      </c>
      <c r="K395" t="s">
        <v>2424</v>
      </c>
      <c r="L395" t="s">
        <v>4034</v>
      </c>
      <c r="M395">
        <f>Cleaned[[#This Row],[Credit]]-Cleaned[[#This Row],[Debit]]</f>
        <v>-618.6</v>
      </c>
      <c r="N395" t="str">
        <f>_xlfn.XLOOKUP(Cleaned[[#This Row],[AccountName]], Account_Mapping!A:A, Account_Mapping!B:B,"Unmapped")</f>
        <v>COGS</v>
      </c>
      <c r="O395" cm="1">
        <f t="array" ref="O395">_xlfn.XLOOKUP(
  1,
  (FX_Rates[Currency]=Cleaned[[#This Row],[Currency]])*
  (FX_Rates[RateDate]&lt;=Cleaned[[#This Row],[TxnDate]]),
  FX_Rates[Rate_To_INR],
  ,
  -1
)</f>
        <v>82</v>
      </c>
      <c r="P395" s="2">
        <f>Cleaned[[#This Row],[Net Amount]] *  Cleaned[[#This Row],[FX_rates]]</f>
        <v>-50725.200000000004</v>
      </c>
    </row>
    <row r="396" spans="1:16" x14ac:dyDescent="0.45">
      <c r="A396" t="s">
        <v>404</v>
      </c>
      <c r="B396" s="1">
        <v>45204</v>
      </c>
      <c r="C396" s="2" t="s">
        <v>2010</v>
      </c>
      <c r="D396" t="s">
        <v>2015</v>
      </c>
      <c r="E396">
        <v>0</v>
      </c>
      <c r="F396">
        <f>Cleaned[[#This Row],[Debit]] * Cleaned[[#This Row],[FX_rates]]</f>
        <v>0</v>
      </c>
      <c r="G396">
        <v>334.65</v>
      </c>
      <c r="H396">
        <f>Cleaned[[#This Row],[Credit]] *  Cleaned[[#This Row],[FX_rates]]</f>
        <v>34468.949999999997</v>
      </c>
      <c r="I396" t="s">
        <v>2023</v>
      </c>
      <c r="J396" t="s">
        <v>2026</v>
      </c>
      <c r="K396" t="s">
        <v>2425</v>
      </c>
      <c r="L396" t="s">
        <v>4031</v>
      </c>
      <c r="M396">
        <f>Cleaned[[#This Row],[Credit]]-Cleaned[[#This Row],[Debit]]</f>
        <v>334.65</v>
      </c>
      <c r="N396" t="str">
        <f>_xlfn.XLOOKUP(Cleaned[[#This Row],[AccountName]], Account_Mapping!A:A, Account_Mapping!B:B,"Unmapped")</f>
        <v>Revenue</v>
      </c>
      <c r="O396" cm="1">
        <f t="array" ref="O396">_xlfn.XLOOKUP(
  1,
  (FX_Rates[Currency]=Cleaned[[#This Row],[Currency]])*
  (FX_Rates[RateDate]&lt;=Cleaned[[#This Row],[TxnDate]]),
  FX_Rates[Rate_To_INR],
  ,
  -1
)</f>
        <v>103</v>
      </c>
      <c r="P396" s="2">
        <f>Cleaned[[#This Row],[Net Amount]] *  Cleaned[[#This Row],[FX_rates]]</f>
        <v>34468.949999999997</v>
      </c>
    </row>
    <row r="397" spans="1:16" x14ac:dyDescent="0.45">
      <c r="A397" t="s">
        <v>405</v>
      </c>
      <c r="B397" s="1">
        <v>45525</v>
      </c>
      <c r="C397" s="2" t="s">
        <v>2011</v>
      </c>
      <c r="D397" t="s">
        <v>2016</v>
      </c>
      <c r="E397">
        <v>1922.54</v>
      </c>
      <c r="F397">
        <f>Cleaned[[#This Row],[Debit]] * Cleaned[[#This Row],[FX_rates]]</f>
        <v>157648.28</v>
      </c>
      <c r="G397">
        <v>0</v>
      </c>
      <c r="H397">
        <f>Cleaned[[#This Row],[Credit]] *  Cleaned[[#This Row],[FX_rates]]</f>
        <v>0</v>
      </c>
      <c r="I397" t="s">
        <v>2023</v>
      </c>
      <c r="J397" t="s">
        <v>2030</v>
      </c>
      <c r="K397" t="s">
        <v>2426</v>
      </c>
      <c r="L397" t="s">
        <v>4034</v>
      </c>
      <c r="M397">
        <f>Cleaned[[#This Row],[Credit]]-Cleaned[[#This Row],[Debit]]</f>
        <v>-1922.54</v>
      </c>
      <c r="N397" t="str">
        <f>_xlfn.XLOOKUP(Cleaned[[#This Row],[AccountName]], Account_Mapping!A:A, Account_Mapping!B:B,"Unmapped")</f>
        <v>COGS</v>
      </c>
      <c r="O397" cm="1">
        <f t="array" ref="O397">_xlfn.XLOOKUP(
  1,
  (FX_Rates[Currency]=Cleaned[[#This Row],[Currency]])*
  (FX_Rates[RateDate]&lt;=Cleaned[[#This Row],[TxnDate]]),
  FX_Rates[Rate_To_INR],
  ,
  -1
)</f>
        <v>82</v>
      </c>
      <c r="P397" s="2">
        <f>Cleaned[[#This Row],[Net Amount]] *  Cleaned[[#This Row],[FX_rates]]</f>
        <v>-157648.28</v>
      </c>
    </row>
    <row r="398" spans="1:16" x14ac:dyDescent="0.45">
      <c r="A398" t="s">
        <v>406</v>
      </c>
      <c r="B398" s="1">
        <v>45146</v>
      </c>
      <c r="C398" s="2" t="s">
        <v>2010</v>
      </c>
      <c r="D398" t="s">
        <v>2015</v>
      </c>
      <c r="E398">
        <v>0</v>
      </c>
      <c r="F398">
        <f>Cleaned[[#This Row],[Debit]] * Cleaned[[#This Row],[FX_rates]]</f>
        <v>0</v>
      </c>
      <c r="G398">
        <v>3519.07</v>
      </c>
      <c r="H398">
        <f>Cleaned[[#This Row],[Credit]] *  Cleaned[[#This Row],[FX_rates]]</f>
        <v>197067.92</v>
      </c>
      <c r="I398" t="s">
        <v>2021</v>
      </c>
      <c r="J398" t="s">
        <v>2027</v>
      </c>
      <c r="K398" t="s">
        <v>2427</v>
      </c>
      <c r="L398" t="s">
        <v>4033</v>
      </c>
      <c r="M398">
        <f>Cleaned[[#This Row],[Credit]]-Cleaned[[#This Row],[Debit]]</f>
        <v>3519.07</v>
      </c>
      <c r="N398" t="str">
        <f>_xlfn.XLOOKUP(Cleaned[[#This Row],[AccountName]], Account_Mapping!A:A, Account_Mapping!B:B,"Unmapped")</f>
        <v>Revenue</v>
      </c>
      <c r="O398" cm="1">
        <f t="array" ref="O398">_xlfn.XLOOKUP(
  1,
  (FX_Rates[Currency]=Cleaned[[#This Row],[Currency]])*
  (FX_Rates[RateDate]&lt;=Cleaned[[#This Row],[TxnDate]]),
  FX_Rates[Rate_To_INR],
  ,
  -1
)</f>
        <v>56</v>
      </c>
      <c r="P398" s="2">
        <f>Cleaned[[#This Row],[Net Amount]] *  Cleaned[[#This Row],[FX_rates]]</f>
        <v>197067.92</v>
      </c>
    </row>
    <row r="399" spans="1:16" x14ac:dyDescent="0.45">
      <c r="A399" t="s">
        <v>407</v>
      </c>
      <c r="B399" s="1">
        <v>44983</v>
      </c>
      <c r="C399" s="2" t="s">
        <v>2013</v>
      </c>
      <c r="D399" t="s">
        <v>2018</v>
      </c>
      <c r="E399">
        <v>1944.25</v>
      </c>
      <c r="F399">
        <f>Cleaned[[#This Row],[Debit]] * Cleaned[[#This Row],[FX_rates]]</f>
        <v>118599.25</v>
      </c>
      <c r="G399">
        <v>0</v>
      </c>
      <c r="H399">
        <f>Cleaned[[#This Row],[Credit]] *  Cleaned[[#This Row],[FX_rates]]</f>
        <v>0</v>
      </c>
      <c r="I399" t="s">
        <v>2021</v>
      </c>
      <c r="J399" t="s">
        <v>2030</v>
      </c>
      <c r="K399" t="s">
        <v>2428</v>
      </c>
      <c r="L399" t="s">
        <v>4035</v>
      </c>
      <c r="M399">
        <f>Cleaned[[#This Row],[Credit]]-Cleaned[[#This Row],[Debit]]</f>
        <v>-1944.25</v>
      </c>
      <c r="N399" t="str">
        <f>_xlfn.XLOOKUP(Cleaned[[#This Row],[AccountName]], Account_Mapping!A:A, Account_Mapping!B:B,"Unmapped")</f>
        <v>Operating Expense</v>
      </c>
      <c r="O399" cm="1">
        <f t="array" ref="O399">_xlfn.XLOOKUP(
  1,
  (FX_Rates[Currency]=Cleaned[[#This Row],[Currency]])*
  (FX_Rates[RateDate]&lt;=Cleaned[[#This Row],[TxnDate]]),
  FX_Rates[Rate_To_INR],
  ,
  -1
)</f>
        <v>61</v>
      </c>
      <c r="P399" s="2">
        <f>Cleaned[[#This Row],[Net Amount]] *  Cleaned[[#This Row],[FX_rates]]</f>
        <v>-118599.25</v>
      </c>
    </row>
    <row r="400" spans="1:16" x14ac:dyDescent="0.45">
      <c r="A400" t="s">
        <v>408</v>
      </c>
      <c r="B400" s="1">
        <v>44957</v>
      </c>
      <c r="C400" s="2" t="s">
        <v>2011</v>
      </c>
      <c r="D400" t="s">
        <v>2016</v>
      </c>
      <c r="E400">
        <v>51.54</v>
      </c>
      <c r="F400">
        <f>Cleaned[[#This Row],[Debit]] * Cleaned[[#This Row],[FX_rates]]</f>
        <v>5308.62</v>
      </c>
      <c r="G400">
        <v>0</v>
      </c>
      <c r="H400">
        <f>Cleaned[[#This Row],[Credit]] *  Cleaned[[#This Row],[FX_rates]]</f>
        <v>0</v>
      </c>
      <c r="I400" t="s">
        <v>2022</v>
      </c>
      <c r="J400" t="s">
        <v>2028</v>
      </c>
      <c r="K400" t="s">
        <v>2429</v>
      </c>
      <c r="L400" t="s">
        <v>4031</v>
      </c>
      <c r="M400">
        <f>Cleaned[[#This Row],[Credit]]-Cleaned[[#This Row],[Debit]]</f>
        <v>-51.54</v>
      </c>
      <c r="N400" t="str">
        <f>_xlfn.XLOOKUP(Cleaned[[#This Row],[AccountName]], Account_Mapping!A:A, Account_Mapping!B:B,"Unmapped")</f>
        <v>COGS</v>
      </c>
      <c r="O400" cm="1">
        <f t="array" ref="O400">_xlfn.XLOOKUP(
  1,
  (FX_Rates[Currency]=Cleaned[[#This Row],[Currency]])*
  (FX_Rates[RateDate]&lt;=Cleaned[[#This Row],[TxnDate]]),
  FX_Rates[Rate_To_INR],
  ,
  -1
)</f>
        <v>103</v>
      </c>
      <c r="P400" s="2">
        <f>Cleaned[[#This Row],[Net Amount]] *  Cleaned[[#This Row],[FX_rates]]</f>
        <v>-5308.62</v>
      </c>
    </row>
    <row r="401" spans="1:16" x14ac:dyDescent="0.45">
      <c r="A401" t="s">
        <v>409</v>
      </c>
      <c r="B401" s="1">
        <v>45526</v>
      </c>
      <c r="C401" s="2" t="s">
        <v>2014</v>
      </c>
      <c r="D401" t="s">
        <v>2019</v>
      </c>
      <c r="E401">
        <v>0</v>
      </c>
      <c r="F401">
        <f>Cleaned[[#This Row],[Debit]] * Cleaned[[#This Row],[FX_rates]]</f>
        <v>0</v>
      </c>
      <c r="G401">
        <v>952.59</v>
      </c>
      <c r="H401">
        <f>Cleaned[[#This Row],[Credit]] *  Cleaned[[#This Row],[FX_rates]]</f>
        <v>98116.77</v>
      </c>
      <c r="I401" t="s">
        <v>2021</v>
      </c>
      <c r="J401" t="s">
        <v>2027</v>
      </c>
      <c r="K401" t="s">
        <v>2430</v>
      </c>
      <c r="L401" t="s">
        <v>4031</v>
      </c>
      <c r="M401">
        <f>Cleaned[[#This Row],[Credit]]-Cleaned[[#This Row],[Debit]]</f>
        <v>952.59</v>
      </c>
      <c r="N401" t="str">
        <f>_xlfn.XLOOKUP(Cleaned[[#This Row],[AccountName]], Account_Mapping!A:A, Account_Mapping!B:B,"Unmapped")</f>
        <v>Revenue</v>
      </c>
      <c r="O401" cm="1">
        <f t="array" ref="O401">_xlfn.XLOOKUP(
  1,
  (FX_Rates[Currency]=Cleaned[[#This Row],[Currency]])*
  (FX_Rates[RateDate]&lt;=Cleaned[[#This Row],[TxnDate]]),
  FX_Rates[Rate_To_INR],
  ,
  -1
)</f>
        <v>103</v>
      </c>
      <c r="P401" s="2">
        <f>Cleaned[[#This Row],[Net Amount]] *  Cleaned[[#This Row],[FX_rates]]</f>
        <v>98116.77</v>
      </c>
    </row>
    <row r="402" spans="1:16" x14ac:dyDescent="0.45">
      <c r="A402" t="s">
        <v>410</v>
      </c>
      <c r="B402" s="1">
        <v>45493</v>
      </c>
      <c r="C402" s="2" t="s">
        <v>2013</v>
      </c>
      <c r="D402" t="s">
        <v>2018</v>
      </c>
      <c r="E402">
        <v>312.45</v>
      </c>
      <c r="F402">
        <f>Cleaned[[#This Row],[Debit]] * Cleaned[[#This Row],[FX_rates]]</f>
        <v>32182.35</v>
      </c>
      <c r="G402">
        <v>0</v>
      </c>
      <c r="H402">
        <f>Cleaned[[#This Row],[Credit]] *  Cleaned[[#This Row],[FX_rates]]</f>
        <v>0</v>
      </c>
      <c r="I402" t="s">
        <v>2021</v>
      </c>
      <c r="J402" t="s">
        <v>2026</v>
      </c>
      <c r="K402" t="s">
        <v>2431</v>
      </c>
      <c r="L402" t="s">
        <v>4031</v>
      </c>
      <c r="M402">
        <f>Cleaned[[#This Row],[Credit]]-Cleaned[[#This Row],[Debit]]</f>
        <v>-312.45</v>
      </c>
      <c r="N402" t="str">
        <f>_xlfn.XLOOKUP(Cleaned[[#This Row],[AccountName]], Account_Mapping!A:A, Account_Mapping!B:B,"Unmapped")</f>
        <v>Operating Expense</v>
      </c>
      <c r="O402" cm="1">
        <f t="array" ref="O402">_xlfn.XLOOKUP(
  1,
  (FX_Rates[Currency]=Cleaned[[#This Row],[Currency]])*
  (FX_Rates[RateDate]&lt;=Cleaned[[#This Row],[TxnDate]]),
  FX_Rates[Rate_To_INR],
  ,
  -1
)</f>
        <v>103</v>
      </c>
      <c r="P402" s="2">
        <f>Cleaned[[#This Row],[Net Amount]] *  Cleaned[[#This Row],[FX_rates]]</f>
        <v>-32182.35</v>
      </c>
    </row>
    <row r="403" spans="1:16" x14ac:dyDescent="0.45">
      <c r="A403" t="s">
        <v>411</v>
      </c>
      <c r="B403" s="1">
        <v>45679</v>
      </c>
      <c r="C403" s="2" t="s">
        <v>2013</v>
      </c>
      <c r="D403" t="s">
        <v>2018</v>
      </c>
      <c r="E403">
        <v>571.80999999999995</v>
      </c>
      <c r="F403">
        <f>Cleaned[[#This Row],[Debit]] * Cleaned[[#This Row],[FX_rates]]</f>
        <v>50319.28</v>
      </c>
      <c r="G403">
        <v>0</v>
      </c>
      <c r="H403">
        <f>Cleaned[[#This Row],[Credit]] *  Cleaned[[#This Row],[FX_rates]]</f>
        <v>0</v>
      </c>
      <c r="I403" t="s">
        <v>2023</v>
      </c>
      <c r="J403" t="s">
        <v>2029</v>
      </c>
      <c r="K403" t="s">
        <v>2432</v>
      </c>
      <c r="L403" t="s">
        <v>4032</v>
      </c>
      <c r="M403">
        <f>Cleaned[[#This Row],[Credit]]-Cleaned[[#This Row],[Debit]]</f>
        <v>-571.80999999999995</v>
      </c>
      <c r="N403" t="str">
        <f>_xlfn.XLOOKUP(Cleaned[[#This Row],[AccountName]], Account_Mapping!A:A, Account_Mapping!B:B,"Unmapped")</f>
        <v>Operating Expense</v>
      </c>
      <c r="O403" cm="1">
        <f t="array" ref="O403">_xlfn.XLOOKUP(
  1,
  (FX_Rates[Currency]=Cleaned[[#This Row],[Currency]])*
  (FX_Rates[RateDate]&lt;=Cleaned[[#This Row],[TxnDate]]),
  FX_Rates[Rate_To_INR],
  ,
  -1
)</f>
        <v>88</v>
      </c>
      <c r="P403" s="2">
        <f>Cleaned[[#This Row],[Net Amount]] *  Cleaned[[#This Row],[FX_rates]]</f>
        <v>-50319.28</v>
      </c>
    </row>
    <row r="404" spans="1:16" x14ac:dyDescent="0.45">
      <c r="A404" t="s">
        <v>412</v>
      </c>
      <c r="B404" s="1">
        <v>45647</v>
      </c>
      <c r="C404" s="2" t="s">
        <v>2013</v>
      </c>
      <c r="D404" t="s">
        <v>2018</v>
      </c>
      <c r="E404">
        <v>750.55</v>
      </c>
      <c r="F404">
        <f>Cleaned[[#This Row],[Debit]] * Cleaned[[#This Row],[FX_rates]]</f>
        <v>45783.549999999996</v>
      </c>
      <c r="G404">
        <v>0</v>
      </c>
      <c r="H404">
        <f>Cleaned[[#This Row],[Credit]] *  Cleaned[[#This Row],[FX_rates]]</f>
        <v>0</v>
      </c>
      <c r="I404" t="s">
        <v>2021</v>
      </c>
      <c r="J404" t="s">
        <v>2028</v>
      </c>
      <c r="K404" t="s">
        <v>2433</v>
      </c>
      <c r="L404" t="s">
        <v>4035</v>
      </c>
      <c r="M404">
        <f>Cleaned[[#This Row],[Credit]]-Cleaned[[#This Row],[Debit]]</f>
        <v>-750.55</v>
      </c>
      <c r="N404" t="str">
        <f>_xlfn.XLOOKUP(Cleaned[[#This Row],[AccountName]], Account_Mapping!A:A, Account_Mapping!B:B,"Unmapped")</f>
        <v>Operating Expense</v>
      </c>
      <c r="O404" cm="1">
        <f t="array" ref="O404">_xlfn.XLOOKUP(
  1,
  (FX_Rates[Currency]=Cleaned[[#This Row],[Currency]])*
  (FX_Rates[RateDate]&lt;=Cleaned[[#This Row],[TxnDate]]),
  FX_Rates[Rate_To_INR],
  ,
  -1
)</f>
        <v>61</v>
      </c>
      <c r="P404" s="2">
        <f>Cleaned[[#This Row],[Net Amount]] *  Cleaned[[#This Row],[FX_rates]]</f>
        <v>-45783.549999999996</v>
      </c>
    </row>
    <row r="405" spans="1:16" x14ac:dyDescent="0.45">
      <c r="A405" t="s">
        <v>413</v>
      </c>
      <c r="B405" s="1">
        <v>44985</v>
      </c>
      <c r="C405" s="2" t="s">
        <v>2014</v>
      </c>
      <c r="D405" t="s">
        <v>2019</v>
      </c>
      <c r="E405">
        <v>0</v>
      </c>
      <c r="F405">
        <f>Cleaned[[#This Row],[Debit]] * Cleaned[[#This Row],[FX_rates]]</f>
        <v>0</v>
      </c>
      <c r="G405">
        <v>4835.87</v>
      </c>
      <c r="H405">
        <f>Cleaned[[#This Row],[Credit]] *  Cleaned[[#This Row],[FX_rates]]</f>
        <v>425556.56</v>
      </c>
      <c r="I405" t="s">
        <v>2022</v>
      </c>
      <c r="J405" t="s">
        <v>2026</v>
      </c>
      <c r="K405" t="s">
        <v>2434</v>
      </c>
      <c r="L405" t="s">
        <v>4032</v>
      </c>
      <c r="M405">
        <f>Cleaned[[#This Row],[Credit]]-Cleaned[[#This Row],[Debit]]</f>
        <v>4835.87</v>
      </c>
      <c r="N405" t="str">
        <f>_xlfn.XLOOKUP(Cleaned[[#This Row],[AccountName]], Account_Mapping!A:A, Account_Mapping!B:B,"Unmapped")</f>
        <v>Revenue</v>
      </c>
      <c r="O405" cm="1">
        <f t="array" ref="O405">_xlfn.XLOOKUP(
  1,
  (FX_Rates[Currency]=Cleaned[[#This Row],[Currency]])*
  (FX_Rates[RateDate]&lt;=Cleaned[[#This Row],[TxnDate]]),
  FX_Rates[Rate_To_INR],
  ,
  -1
)</f>
        <v>88</v>
      </c>
      <c r="P405" s="2">
        <f>Cleaned[[#This Row],[Net Amount]] *  Cleaned[[#This Row],[FX_rates]]</f>
        <v>425556.56</v>
      </c>
    </row>
    <row r="406" spans="1:16" x14ac:dyDescent="0.45">
      <c r="A406" t="s">
        <v>414</v>
      </c>
      <c r="B406" s="1">
        <v>45684</v>
      </c>
      <c r="C406" s="2" t="s">
        <v>2010</v>
      </c>
      <c r="D406" t="s">
        <v>2015</v>
      </c>
      <c r="E406">
        <v>0</v>
      </c>
      <c r="F406">
        <f>Cleaned[[#This Row],[Debit]] * Cleaned[[#This Row],[FX_rates]]</f>
        <v>0</v>
      </c>
      <c r="G406">
        <v>2979.48</v>
      </c>
      <c r="H406">
        <f>Cleaned[[#This Row],[Credit]] *  Cleaned[[#This Row],[FX_rates]]</f>
        <v>306886.44</v>
      </c>
      <c r="I406" t="s">
        <v>2025</v>
      </c>
      <c r="J406" t="s">
        <v>2026</v>
      </c>
      <c r="K406" t="s">
        <v>2435</v>
      </c>
      <c r="L406" t="s">
        <v>4031</v>
      </c>
      <c r="M406">
        <f>Cleaned[[#This Row],[Credit]]-Cleaned[[#This Row],[Debit]]</f>
        <v>2979.48</v>
      </c>
      <c r="N406" t="str">
        <f>_xlfn.XLOOKUP(Cleaned[[#This Row],[AccountName]], Account_Mapping!A:A, Account_Mapping!B:B,"Unmapped")</f>
        <v>Revenue</v>
      </c>
      <c r="O406" cm="1">
        <f t="array" ref="O406">_xlfn.XLOOKUP(
  1,
  (FX_Rates[Currency]=Cleaned[[#This Row],[Currency]])*
  (FX_Rates[RateDate]&lt;=Cleaned[[#This Row],[TxnDate]]),
  FX_Rates[Rate_To_INR],
  ,
  -1
)</f>
        <v>103</v>
      </c>
      <c r="P406" s="2">
        <f>Cleaned[[#This Row],[Net Amount]] *  Cleaned[[#This Row],[FX_rates]]</f>
        <v>306886.44</v>
      </c>
    </row>
    <row r="407" spans="1:16" x14ac:dyDescent="0.45">
      <c r="A407" t="s">
        <v>415</v>
      </c>
      <c r="B407" s="1">
        <v>45432</v>
      </c>
      <c r="C407" s="2" t="s">
        <v>2011</v>
      </c>
      <c r="D407" t="s">
        <v>2016</v>
      </c>
      <c r="E407">
        <v>1288.94</v>
      </c>
      <c r="F407">
        <f>Cleaned[[#This Row],[Debit]] * Cleaned[[#This Row],[FX_rates]]</f>
        <v>132760.82</v>
      </c>
      <c r="G407">
        <v>0</v>
      </c>
      <c r="H407">
        <f>Cleaned[[#This Row],[Credit]] *  Cleaned[[#This Row],[FX_rates]]</f>
        <v>0</v>
      </c>
      <c r="I407" t="s">
        <v>2020</v>
      </c>
      <c r="J407" t="s">
        <v>2026</v>
      </c>
      <c r="K407" t="s">
        <v>2436</v>
      </c>
      <c r="L407" t="s">
        <v>4031</v>
      </c>
      <c r="M407">
        <f>Cleaned[[#This Row],[Credit]]-Cleaned[[#This Row],[Debit]]</f>
        <v>-1288.94</v>
      </c>
      <c r="N407" t="str">
        <f>_xlfn.XLOOKUP(Cleaned[[#This Row],[AccountName]], Account_Mapping!A:A, Account_Mapping!B:B,"Unmapped")</f>
        <v>COGS</v>
      </c>
      <c r="O407" cm="1">
        <f t="array" ref="O407">_xlfn.XLOOKUP(
  1,
  (FX_Rates[Currency]=Cleaned[[#This Row],[Currency]])*
  (FX_Rates[RateDate]&lt;=Cleaned[[#This Row],[TxnDate]]),
  FX_Rates[Rate_To_INR],
  ,
  -1
)</f>
        <v>103</v>
      </c>
      <c r="P407" s="2">
        <f>Cleaned[[#This Row],[Net Amount]] *  Cleaned[[#This Row],[FX_rates]]</f>
        <v>-132760.82</v>
      </c>
    </row>
    <row r="408" spans="1:16" x14ac:dyDescent="0.45">
      <c r="A408" t="s">
        <v>416</v>
      </c>
      <c r="B408" s="1">
        <v>45055</v>
      </c>
      <c r="C408" s="2" t="s">
        <v>2011</v>
      </c>
      <c r="D408" t="s">
        <v>2016</v>
      </c>
      <c r="E408">
        <v>578.6</v>
      </c>
      <c r="F408">
        <f>Cleaned[[#This Row],[Debit]] * Cleaned[[#This Row],[FX_rates]]</f>
        <v>32401.600000000002</v>
      </c>
      <c r="G408">
        <v>0</v>
      </c>
      <c r="H408">
        <f>Cleaned[[#This Row],[Credit]] *  Cleaned[[#This Row],[FX_rates]]</f>
        <v>0</v>
      </c>
      <c r="I408" t="s">
        <v>2020</v>
      </c>
      <c r="J408" t="s">
        <v>2029</v>
      </c>
      <c r="K408" t="s">
        <v>2437</v>
      </c>
      <c r="L408" t="s">
        <v>4033</v>
      </c>
      <c r="M408">
        <f>Cleaned[[#This Row],[Credit]]-Cleaned[[#This Row],[Debit]]</f>
        <v>-578.6</v>
      </c>
      <c r="N408" t="str">
        <f>_xlfn.XLOOKUP(Cleaned[[#This Row],[AccountName]], Account_Mapping!A:A, Account_Mapping!B:B,"Unmapped")</f>
        <v>COGS</v>
      </c>
      <c r="O408" cm="1">
        <f t="array" ref="O408">_xlfn.XLOOKUP(
  1,
  (FX_Rates[Currency]=Cleaned[[#This Row],[Currency]])*
  (FX_Rates[RateDate]&lt;=Cleaned[[#This Row],[TxnDate]]),
  FX_Rates[Rate_To_INR],
  ,
  -1
)</f>
        <v>56</v>
      </c>
      <c r="P408" s="2">
        <f>Cleaned[[#This Row],[Net Amount]] *  Cleaned[[#This Row],[FX_rates]]</f>
        <v>-32401.600000000002</v>
      </c>
    </row>
    <row r="409" spans="1:16" x14ac:dyDescent="0.45">
      <c r="A409" t="s">
        <v>417</v>
      </c>
      <c r="B409" s="1">
        <v>45742</v>
      </c>
      <c r="C409" s="2" t="s">
        <v>2011</v>
      </c>
      <c r="D409" t="s">
        <v>2016</v>
      </c>
      <c r="E409">
        <v>341.06</v>
      </c>
      <c r="F409">
        <f>Cleaned[[#This Row],[Debit]] * Cleaned[[#This Row],[FX_rates]]</f>
        <v>19099.36</v>
      </c>
      <c r="G409">
        <v>0</v>
      </c>
      <c r="H409">
        <f>Cleaned[[#This Row],[Credit]] *  Cleaned[[#This Row],[FX_rates]]</f>
        <v>0</v>
      </c>
      <c r="I409" t="s">
        <v>2025</v>
      </c>
      <c r="J409" t="s">
        <v>2030</v>
      </c>
      <c r="K409" t="s">
        <v>2438</v>
      </c>
      <c r="L409" t="s">
        <v>4033</v>
      </c>
      <c r="M409">
        <f>Cleaned[[#This Row],[Credit]]-Cleaned[[#This Row],[Debit]]</f>
        <v>-341.06</v>
      </c>
      <c r="N409" t="str">
        <f>_xlfn.XLOOKUP(Cleaned[[#This Row],[AccountName]], Account_Mapping!A:A, Account_Mapping!B:B,"Unmapped")</f>
        <v>COGS</v>
      </c>
      <c r="O409" cm="1">
        <f t="array" ref="O409">_xlfn.XLOOKUP(
  1,
  (FX_Rates[Currency]=Cleaned[[#This Row],[Currency]])*
  (FX_Rates[RateDate]&lt;=Cleaned[[#This Row],[TxnDate]]),
  FX_Rates[Rate_To_INR],
  ,
  -1
)</f>
        <v>56</v>
      </c>
      <c r="P409" s="2">
        <f>Cleaned[[#This Row],[Net Amount]] *  Cleaned[[#This Row],[FX_rates]]</f>
        <v>-19099.36</v>
      </c>
    </row>
    <row r="410" spans="1:16" x14ac:dyDescent="0.45">
      <c r="A410" t="s">
        <v>418</v>
      </c>
      <c r="B410" s="1">
        <v>45390</v>
      </c>
      <c r="C410" s="2" t="s">
        <v>2013</v>
      </c>
      <c r="D410" t="s">
        <v>2018</v>
      </c>
      <c r="E410">
        <v>1074.77</v>
      </c>
      <c r="F410">
        <f>Cleaned[[#This Row],[Debit]] * Cleaned[[#This Row],[FX_rates]]</f>
        <v>94579.76</v>
      </c>
      <c r="G410">
        <v>0</v>
      </c>
      <c r="H410">
        <f>Cleaned[[#This Row],[Credit]] *  Cleaned[[#This Row],[FX_rates]]</f>
        <v>0</v>
      </c>
      <c r="I410" t="s">
        <v>2021</v>
      </c>
      <c r="J410" t="s">
        <v>2029</v>
      </c>
      <c r="K410" t="s">
        <v>2439</v>
      </c>
      <c r="L410" t="s">
        <v>4032</v>
      </c>
      <c r="M410">
        <f>Cleaned[[#This Row],[Credit]]-Cleaned[[#This Row],[Debit]]</f>
        <v>-1074.77</v>
      </c>
      <c r="N410" t="str">
        <f>_xlfn.XLOOKUP(Cleaned[[#This Row],[AccountName]], Account_Mapping!A:A, Account_Mapping!B:B,"Unmapped")</f>
        <v>Operating Expense</v>
      </c>
      <c r="O410" cm="1">
        <f t="array" ref="O410">_xlfn.XLOOKUP(
  1,
  (FX_Rates[Currency]=Cleaned[[#This Row],[Currency]])*
  (FX_Rates[RateDate]&lt;=Cleaned[[#This Row],[TxnDate]]),
  FX_Rates[Rate_To_INR],
  ,
  -1
)</f>
        <v>88</v>
      </c>
      <c r="P410" s="2">
        <f>Cleaned[[#This Row],[Net Amount]] *  Cleaned[[#This Row],[FX_rates]]</f>
        <v>-94579.76</v>
      </c>
    </row>
    <row r="411" spans="1:16" x14ac:dyDescent="0.45">
      <c r="A411" t="s">
        <v>419</v>
      </c>
      <c r="B411" s="1">
        <v>45433</v>
      </c>
      <c r="C411" s="2" t="s">
        <v>2014</v>
      </c>
      <c r="D411" t="s">
        <v>2019</v>
      </c>
      <c r="E411">
        <v>0</v>
      </c>
      <c r="F411">
        <f>Cleaned[[#This Row],[Debit]] * Cleaned[[#This Row],[FX_rates]]</f>
        <v>0</v>
      </c>
      <c r="G411">
        <v>1025.56</v>
      </c>
      <c r="H411">
        <f>Cleaned[[#This Row],[Credit]] *  Cleaned[[#This Row],[FX_rates]]</f>
        <v>105632.68</v>
      </c>
      <c r="I411" t="s">
        <v>2021</v>
      </c>
      <c r="J411" t="s">
        <v>2026</v>
      </c>
      <c r="K411" t="s">
        <v>2440</v>
      </c>
      <c r="L411" t="s">
        <v>4031</v>
      </c>
      <c r="M411">
        <f>Cleaned[[#This Row],[Credit]]-Cleaned[[#This Row],[Debit]]</f>
        <v>1025.56</v>
      </c>
      <c r="N411" t="str">
        <f>_xlfn.XLOOKUP(Cleaned[[#This Row],[AccountName]], Account_Mapping!A:A, Account_Mapping!B:B,"Unmapped")</f>
        <v>Revenue</v>
      </c>
      <c r="O411" cm="1">
        <f t="array" ref="O411">_xlfn.XLOOKUP(
  1,
  (FX_Rates[Currency]=Cleaned[[#This Row],[Currency]])*
  (FX_Rates[RateDate]&lt;=Cleaned[[#This Row],[TxnDate]]),
  FX_Rates[Rate_To_INR],
  ,
  -1
)</f>
        <v>103</v>
      </c>
      <c r="P411" s="2">
        <f>Cleaned[[#This Row],[Net Amount]] *  Cleaned[[#This Row],[FX_rates]]</f>
        <v>105632.68</v>
      </c>
    </row>
    <row r="412" spans="1:16" x14ac:dyDescent="0.45">
      <c r="A412" t="s">
        <v>420</v>
      </c>
      <c r="B412" s="1">
        <v>45368</v>
      </c>
      <c r="C412" s="2" t="s">
        <v>2010</v>
      </c>
      <c r="D412" t="s">
        <v>2015</v>
      </c>
      <c r="E412">
        <v>0</v>
      </c>
      <c r="F412">
        <f>Cleaned[[#This Row],[Debit]] * Cleaned[[#This Row],[FX_rates]]</f>
        <v>0</v>
      </c>
      <c r="G412">
        <v>1148.8499999999999</v>
      </c>
      <c r="H412">
        <f>Cleaned[[#This Row],[Credit]] *  Cleaned[[#This Row],[FX_rates]]</f>
        <v>118331.54999999999</v>
      </c>
      <c r="I412" t="s">
        <v>2024</v>
      </c>
      <c r="J412" t="s">
        <v>2028</v>
      </c>
      <c r="K412" t="s">
        <v>2441</v>
      </c>
      <c r="L412" t="s">
        <v>4031</v>
      </c>
      <c r="M412">
        <f>Cleaned[[#This Row],[Credit]]-Cleaned[[#This Row],[Debit]]</f>
        <v>1148.8499999999999</v>
      </c>
      <c r="N412" t="str">
        <f>_xlfn.XLOOKUP(Cleaned[[#This Row],[AccountName]], Account_Mapping!A:A, Account_Mapping!B:B,"Unmapped")</f>
        <v>Revenue</v>
      </c>
      <c r="O412" cm="1">
        <f t="array" ref="O412">_xlfn.XLOOKUP(
  1,
  (FX_Rates[Currency]=Cleaned[[#This Row],[Currency]])*
  (FX_Rates[RateDate]&lt;=Cleaned[[#This Row],[TxnDate]]),
  FX_Rates[Rate_To_INR],
  ,
  -1
)</f>
        <v>103</v>
      </c>
      <c r="P412" s="2">
        <f>Cleaned[[#This Row],[Net Amount]] *  Cleaned[[#This Row],[FX_rates]]</f>
        <v>118331.54999999999</v>
      </c>
    </row>
    <row r="413" spans="1:16" x14ac:dyDescent="0.45">
      <c r="A413" t="s">
        <v>421</v>
      </c>
      <c r="B413" s="1">
        <v>45242</v>
      </c>
      <c r="C413" s="2" t="s">
        <v>2011</v>
      </c>
      <c r="D413" t="s">
        <v>2016</v>
      </c>
      <c r="E413">
        <v>1644.1</v>
      </c>
      <c r="F413">
        <f>Cleaned[[#This Row],[Debit]] * Cleaned[[#This Row],[FX_rates]]</f>
        <v>144680.79999999999</v>
      </c>
      <c r="G413">
        <v>0</v>
      </c>
      <c r="H413">
        <f>Cleaned[[#This Row],[Credit]] *  Cleaned[[#This Row],[FX_rates]]</f>
        <v>0</v>
      </c>
      <c r="I413" t="s">
        <v>2020</v>
      </c>
      <c r="J413" t="s">
        <v>2028</v>
      </c>
      <c r="K413" t="s">
        <v>2442</v>
      </c>
      <c r="L413" t="s">
        <v>4032</v>
      </c>
      <c r="M413">
        <f>Cleaned[[#This Row],[Credit]]-Cleaned[[#This Row],[Debit]]</f>
        <v>-1644.1</v>
      </c>
      <c r="N413" t="str">
        <f>_xlfn.XLOOKUP(Cleaned[[#This Row],[AccountName]], Account_Mapping!A:A, Account_Mapping!B:B,"Unmapped")</f>
        <v>COGS</v>
      </c>
      <c r="O413" cm="1">
        <f t="array" ref="O413">_xlfn.XLOOKUP(
  1,
  (FX_Rates[Currency]=Cleaned[[#This Row],[Currency]])*
  (FX_Rates[RateDate]&lt;=Cleaned[[#This Row],[TxnDate]]),
  FX_Rates[Rate_To_INR],
  ,
  -1
)</f>
        <v>88</v>
      </c>
      <c r="P413" s="2">
        <f>Cleaned[[#This Row],[Net Amount]] *  Cleaned[[#This Row],[FX_rates]]</f>
        <v>-144680.79999999999</v>
      </c>
    </row>
    <row r="414" spans="1:16" x14ac:dyDescent="0.45">
      <c r="A414" t="s">
        <v>422</v>
      </c>
      <c r="B414" s="1">
        <v>45308</v>
      </c>
      <c r="C414" s="2" t="s">
        <v>2014</v>
      </c>
      <c r="D414" t="s">
        <v>2019</v>
      </c>
      <c r="E414">
        <v>0</v>
      </c>
      <c r="F414">
        <f>Cleaned[[#This Row],[Debit]] * Cleaned[[#This Row],[FX_rates]]</f>
        <v>0</v>
      </c>
      <c r="G414">
        <v>3002.11</v>
      </c>
      <c r="H414">
        <f>Cleaned[[#This Row],[Credit]] *  Cleaned[[#This Row],[FX_rates]]</f>
        <v>309217.33</v>
      </c>
      <c r="I414" t="s">
        <v>2023</v>
      </c>
      <c r="J414" t="s">
        <v>2028</v>
      </c>
      <c r="K414" t="s">
        <v>2443</v>
      </c>
      <c r="L414" t="s">
        <v>4031</v>
      </c>
      <c r="M414">
        <f>Cleaned[[#This Row],[Credit]]-Cleaned[[#This Row],[Debit]]</f>
        <v>3002.11</v>
      </c>
      <c r="N414" t="str">
        <f>_xlfn.XLOOKUP(Cleaned[[#This Row],[AccountName]], Account_Mapping!A:A, Account_Mapping!B:B,"Unmapped")</f>
        <v>Revenue</v>
      </c>
      <c r="O414" cm="1">
        <f t="array" ref="O414">_xlfn.XLOOKUP(
  1,
  (FX_Rates[Currency]=Cleaned[[#This Row],[Currency]])*
  (FX_Rates[RateDate]&lt;=Cleaned[[#This Row],[TxnDate]]),
  FX_Rates[Rate_To_INR],
  ,
  -1
)</f>
        <v>103</v>
      </c>
      <c r="P414" s="2">
        <f>Cleaned[[#This Row],[Net Amount]] *  Cleaned[[#This Row],[FX_rates]]</f>
        <v>309217.33</v>
      </c>
    </row>
    <row r="415" spans="1:16" x14ac:dyDescent="0.45">
      <c r="A415" t="s">
        <v>423</v>
      </c>
      <c r="B415" s="1">
        <v>45338</v>
      </c>
      <c r="C415" s="2" t="s">
        <v>2013</v>
      </c>
      <c r="D415" t="s">
        <v>2018</v>
      </c>
      <c r="E415">
        <v>327.57</v>
      </c>
      <c r="F415">
        <f>Cleaned[[#This Row],[Debit]] * Cleaned[[#This Row],[FX_rates]]</f>
        <v>28826.16</v>
      </c>
      <c r="G415">
        <v>0</v>
      </c>
      <c r="H415">
        <f>Cleaned[[#This Row],[Credit]] *  Cleaned[[#This Row],[FX_rates]]</f>
        <v>0</v>
      </c>
      <c r="I415" t="s">
        <v>2021</v>
      </c>
      <c r="J415" t="s">
        <v>2030</v>
      </c>
      <c r="K415" t="s">
        <v>2444</v>
      </c>
      <c r="L415" t="s">
        <v>4032</v>
      </c>
      <c r="M415">
        <f>Cleaned[[#This Row],[Credit]]-Cleaned[[#This Row],[Debit]]</f>
        <v>-327.57</v>
      </c>
      <c r="N415" t="str">
        <f>_xlfn.XLOOKUP(Cleaned[[#This Row],[AccountName]], Account_Mapping!A:A, Account_Mapping!B:B,"Unmapped")</f>
        <v>Operating Expense</v>
      </c>
      <c r="O415" cm="1">
        <f t="array" ref="O415">_xlfn.XLOOKUP(
  1,
  (FX_Rates[Currency]=Cleaned[[#This Row],[Currency]])*
  (FX_Rates[RateDate]&lt;=Cleaned[[#This Row],[TxnDate]]),
  FX_Rates[Rate_To_INR],
  ,
  -1
)</f>
        <v>88</v>
      </c>
      <c r="P415" s="2">
        <f>Cleaned[[#This Row],[Net Amount]] *  Cleaned[[#This Row],[FX_rates]]</f>
        <v>-28826.16</v>
      </c>
    </row>
    <row r="416" spans="1:16" x14ac:dyDescent="0.45">
      <c r="A416" t="s">
        <v>424</v>
      </c>
      <c r="B416" s="1">
        <v>45167</v>
      </c>
      <c r="C416" s="2" t="s">
        <v>2010</v>
      </c>
      <c r="D416" t="s">
        <v>2015</v>
      </c>
      <c r="E416">
        <v>0</v>
      </c>
      <c r="F416">
        <f>Cleaned[[#This Row],[Debit]] * Cleaned[[#This Row],[FX_rates]]</f>
        <v>0</v>
      </c>
      <c r="G416">
        <v>2146.0700000000002</v>
      </c>
      <c r="H416">
        <f>Cleaned[[#This Row],[Credit]] *  Cleaned[[#This Row],[FX_rates]]</f>
        <v>120179.92000000001</v>
      </c>
      <c r="I416" t="s">
        <v>2023</v>
      </c>
      <c r="J416" t="s">
        <v>2026</v>
      </c>
      <c r="K416" t="s">
        <v>2445</v>
      </c>
      <c r="L416" t="s">
        <v>4033</v>
      </c>
      <c r="M416">
        <f>Cleaned[[#This Row],[Credit]]-Cleaned[[#This Row],[Debit]]</f>
        <v>2146.0700000000002</v>
      </c>
      <c r="N416" t="str">
        <f>_xlfn.XLOOKUP(Cleaned[[#This Row],[AccountName]], Account_Mapping!A:A, Account_Mapping!B:B,"Unmapped")</f>
        <v>Revenue</v>
      </c>
      <c r="O416" cm="1">
        <f t="array" ref="O416">_xlfn.XLOOKUP(
  1,
  (FX_Rates[Currency]=Cleaned[[#This Row],[Currency]])*
  (FX_Rates[RateDate]&lt;=Cleaned[[#This Row],[TxnDate]]),
  FX_Rates[Rate_To_INR],
  ,
  -1
)</f>
        <v>56</v>
      </c>
      <c r="P416" s="2">
        <f>Cleaned[[#This Row],[Net Amount]] *  Cleaned[[#This Row],[FX_rates]]</f>
        <v>120179.92000000001</v>
      </c>
    </row>
    <row r="417" spans="1:16" x14ac:dyDescent="0.45">
      <c r="A417" t="s">
        <v>425</v>
      </c>
      <c r="B417" s="1">
        <v>45517</v>
      </c>
      <c r="C417" s="2" t="s">
        <v>2010</v>
      </c>
      <c r="D417" t="s">
        <v>2015</v>
      </c>
      <c r="E417">
        <v>0</v>
      </c>
      <c r="F417">
        <f>Cleaned[[#This Row],[Debit]] * Cleaned[[#This Row],[FX_rates]]</f>
        <v>0</v>
      </c>
      <c r="G417">
        <v>811.92</v>
      </c>
      <c r="H417">
        <f>Cleaned[[#This Row],[Credit]] *  Cleaned[[#This Row],[FX_rates]]</f>
        <v>45467.519999999997</v>
      </c>
      <c r="I417" t="s">
        <v>2021</v>
      </c>
      <c r="J417" t="s">
        <v>2026</v>
      </c>
      <c r="K417" t="s">
        <v>2446</v>
      </c>
      <c r="L417" t="s">
        <v>4033</v>
      </c>
      <c r="M417">
        <f>Cleaned[[#This Row],[Credit]]-Cleaned[[#This Row],[Debit]]</f>
        <v>811.92</v>
      </c>
      <c r="N417" t="str">
        <f>_xlfn.XLOOKUP(Cleaned[[#This Row],[AccountName]], Account_Mapping!A:A, Account_Mapping!B:B,"Unmapped")</f>
        <v>Revenue</v>
      </c>
      <c r="O417" cm="1">
        <f t="array" ref="O417">_xlfn.XLOOKUP(
  1,
  (FX_Rates[Currency]=Cleaned[[#This Row],[Currency]])*
  (FX_Rates[RateDate]&lt;=Cleaned[[#This Row],[TxnDate]]),
  FX_Rates[Rate_To_INR],
  ,
  -1
)</f>
        <v>56</v>
      </c>
      <c r="P417" s="2">
        <f>Cleaned[[#This Row],[Net Amount]] *  Cleaned[[#This Row],[FX_rates]]</f>
        <v>45467.519999999997</v>
      </c>
    </row>
    <row r="418" spans="1:16" x14ac:dyDescent="0.45">
      <c r="A418" t="s">
        <v>426</v>
      </c>
      <c r="B418" s="1">
        <v>45513</v>
      </c>
      <c r="C418" s="2" t="s">
        <v>2011</v>
      </c>
      <c r="D418" t="s">
        <v>2016</v>
      </c>
      <c r="E418">
        <v>943.91</v>
      </c>
      <c r="F418">
        <f>Cleaned[[#This Row],[Debit]] * Cleaned[[#This Row],[FX_rates]]</f>
        <v>77400.62</v>
      </c>
      <c r="G418">
        <v>0</v>
      </c>
      <c r="H418">
        <f>Cleaned[[#This Row],[Credit]] *  Cleaned[[#This Row],[FX_rates]]</f>
        <v>0</v>
      </c>
      <c r="I418" t="s">
        <v>2021</v>
      </c>
      <c r="J418" t="s">
        <v>2029</v>
      </c>
      <c r="K418" t="s">
        <v>2447</v>
      </c>
      <c r="L418" t="s">
        <v>4034</v>
      </c>
      <c r="M418">
        <f>Cleaned[[#This Row],[Credit]]-Cleaned[[#This Row],[Debit]]</f>
        <v>-943.91</v>
      </c>
      <c r="N418" t="str">
        <f>_xlfn.XLOOKUP(Cleaned[[#This Row],[AccountName]], Account_Mapping!A:A, Account_Mapping!B:B,"Unmapped")</f>
        <v>COGS</v>
      </c>
      <c r="O418" cm="1">
        <f t="array" ref="O418">_xlfn.XLOOKUP(
  1,
  (FX_Rates[Currency]=Cleaned[[#This Row],[Currency]])*
  (FX_Rates[RateDate]&lt;=Cleaned[[#This Row],[TxnDate]]),
  FX_Rates[Rate_To_INR],
  ,
  -1
)</f>
        <v>82</v>
      </c>
      <c r="P418" s="2">
        <f>Cleaned[[#This Row],[Net Amount]] *  Cleaned[[#This Row],[FX_rates]]</f>
        <v>-77400.62</v>
      </c>
    </row>
    <row r="419" spans="1:16" x14ac:dyDescent="0.45">
      <c r="A419" t="s">
        <v>427</v>
      </c>
      <c r="B419" s="1">
        <v>45667</v>
      </c>
      <c r="C419" s="2" t="s">
        <v>2011</v>
      </c>
      <c r="D419" t="s">
        <v>2016</v>
      </c>
      <c r="E419">
        <v>453.48</v>
      </c>
      <c r="F419">
        <f>Cleaned[[#This Row],[Debit]] * Cleaned[[#This Row],[FX_rates]]</f>
        <v>37185.360000000001</v>
      </c>
      <c r="G419">
        <v>0</v>
      </c>
      <c r="H419">
        <f>Cleaned[[#This Row],[Credit]] *  Cleaned[[#This Row],[FX_rates]]</f>
        <v>0</v>
      </c>
      <c r="I419" t="s">
        <v>2020</v>
      </c>
      <c r="J419" t="s">
        <v>2026</v>
      </c>
      <c r="K419" t="s">
        <v>2448</v>
      </c>
      <c r="L419" t="s">
        <v>4034</v>
      </c>
      <c r="M419">
        <f>Cleaned[[#This Row],[Credit]]-Cleaned[[#This Row],[Debit]]</f>
        <v>-453.48</v>
      </c>
      <c r="N419" t="str">
        <f>_xlfn.XLOOKUP(Cleaned[[#This Row],[AccountName]], Account_Mapping!A:A, Account_Mapping!B:B,"Unmapped")</f>
        <v>COGS</v>
      </c>
      <c r="O419" cm="1">
        <f t="array" ref="O419">_xlfn.XLOOKUP(
  1,
  (FX_Rates[Currency]=Cleaned[[#This Row],[Currency]])*
  (FX_Rates[RateDate]&lt;=Cleaned[[#This Row],[TxnDate]]),
  FX_Rates[Rate_To_INR],
  ,
  -1
)</f>
        <v>82</v>
      </c>
      <c r="P419" s="2">
        <f>Cleaned[[#This Row],[Net Amount]] *  Cleaned[[#This Row],[FX_rates]]</f>
        <v>-37185.360000000001</v>
      </c>
    </row>
    <row r="420" spans="1:16" x14ac:dyDescent="0.45">
      <c r="A420" t="s">
        <v>428</v>
      </c>
      <c r="B420" s="1">
        <v>45120</v>
      </c>
      <c r="C420" s="2" t="s">
        <v>2010</v>
      </c>
      <c r="D420" t="s">
        <v>2015</v>
      </c>
      <c r="E420">
        <v>0</v>
      </c>
      <c r="F420">
        <f>Cleaned[[#This Row],[Debit]] * Cleaned[[#This Row],[FX_rates]]</f>
        <v>0</v>
      </c>
      <c r="G420">
        <v>4075.25</v>
      </c>
      <c r="H420">
        <f>Cleaned[[#This Row],[Credit]] *  Cleaned[[#This Row],[FX_rates]]</f>
        <v>334170.5</v>
      </c>
      <c r="I420" t="s">
        <v>2021</v>
      </c>
      <c r="J420" t="s">
        <v>2027</v>
      </c>
      <c r="K420" t="s">
        <v>2449</v>
      </c>
      <c r="L420" t="s">
        <v>4034</v>
      </c>
      <c r="M420">
        <f>Cleaned[[#This Row],[Credit]]-Cleaned[[#This Row],[Debit]]</f>
        <v>4075.25</v>
      </c>
      <c r="N420" t="str">
        <f>_xlfn.XLOOKUP(Cleaned[[#This Row],[AccountName]], Account_Mapping!A:A, Account_Mapping!B:B,"Unmapped")</f>
        <v>Revenue</v>
      </c>
      <c r="O420" cm="1">
        <f t="array" ref="O420">_xlfn.XLOOKUP(
  1,
  (FX_Rates[Currency]=Cleaned[[#This Row],[Currency]])*
  (FX_Rates[RateDate]&lt;=Cleaned[[#This Row],[TxnDate]]),
  FX_Rates[Rate_To_INR],
  ,
  -1
)</f>
        <v>82</v>
      </c>
      <c r="P420" s="2">
        <f>Cleaned[[#This Row],[Net Amount]] *  Cleaned[[#This Row],[FX_rates]]</f>
        <v>334170.5</v>
      </c>
    </row>
    <row r="421" spans="1:16" x14ac:dyDescent="0.45">
      <c r="A421" t="s">
        <v>429</v>
      </c>
      <c r="B421" s="1">
        <v>45333</v>
      </c>
      <c r="C421" s="2" t="s">
        <v>2010</v>
      </c>
      <c r="D421" t="s">
        <v>2015</v>
      </c>
      <c r="E421">
        <v>0</v>
      </c>
      <c r="F421">
        <f>Cleaned[[#This Row],[Debit]] * Cleaned[[#This Row],[FX_rates]]</f>
        <v>0</v>
      </c>
      <c r="G421">
        <v>4559.4399999999996</v>
      </c>
      <c r="H421">
        <f>Cleaned[[#This Row],[Credit]] *  Cleaned[[#This Row],[FX_rates]]</f>
        <v>469622.31999999995</v>
      </c>
      <c r="I421" t="s">
        <v>2024</v>
      </c>
      <c r="J421" t="s">
        <v>2030</v>
      </c>
      <c r="K421" t="s">
        <v>2450</v>
      </c>
      <c r="L421" t="s">
        <v>4031</v>
      </c>
      <c r="M421">
        <f>Cleaned[[#This Row],[Credit]]-Cleaned[[#This Row],[Debit]]</f>
        <v>4559.4399999999996</v>
      </c>
      <c r="N421" t="str">
        <f>_xlfn.XLOOKUP(Cleaned[[#This Row],[AccountName]], Account_Mapping!A:A, Account_Mapping!B:B,"Unmapped")</f>
        <v>Revenue</v>
      </c>
      <c r="O421" cm="1">
        <f t="array" ref="O421">_xlfn.XLOOKUP(
  1,
  (FX_Rates[Currency]=Cleaned[[#This Row],[Currency]])*
  (FX_Rates[RateDate]&lt;=Cleaned[[#This Row],[TxnDate]]),
  FX_Rates[Rate_To_INR],
  ,
  -1
)</f>
        <v>103</v>
      </c>
      <c r="P421" s="2">
        <f>Cleaned[[#This Row],[Net Amount]] *  Cleaned[[#This Row],[FX_rates]]</f>
        <v>469622.31999999995</v>
      </c>
    </row>
    <row r="422" spans="1:16" x14ac:dyDescent="0.45">
      <c r="A422" t="s">
        <v>430</v>
      </c>
      <c r="B422" s="1">
        <v>45745</v>
      </c>
      <c r="C422" s="2" t="s">
        <v>2013</v>
      </c>
      <c r="D422" t="s">
        <v>2018</v>
      </c>
      <c r="E422">
        <v>50.64</v>
      </c>
      <c r="F422">
        <f>Cleaned[[#This Row],[Debit]] * Cleaned[[#This Row],[FX_rates]]</f>
        <v>4456.32</v>
      </c>
      <c r="G422">
        <v>0</v>
      </c>
      <c r="H422">
        <f>Cleaned[[#This Row],[Credit]] *  Cleaned[[#This Row],[FX_rates]]</f>
        <v>0</v>
      </c>
      <c r="I422" t="s">
        <v>2020</v>
      </c>
      <c r="J422" t="s">
        <v>2028</v>
      </c>
      <c r="K422" t="s">
        <v>2451</v>
      </c>
      <c r="L422" t="s">
        <v>4032</v>
      </c>
      <c r="M422">
        <f>Cleaned[[#This Row],[Credit]]-Cleaned[[#This Row],[Debit]]</f>
        <v>-50.64</v>
      </c>
      <c r="N422" t="str">
        <f>_xlfn.XLOOKUP(Cleaned[[#This Row],[AccountName]], Account_Mapping!A:A, Account_Mapping!B:B,"Unmapped")</f>
        <v>Operating Expense</v>
      </c>
      <c r="O422" cm="1">
        <f t="array" ref="O422">_xlfn.XLOOKUP(
  1,
  (FX_Rates[Currency]=Cleaned[[#This Row],[Currency]])*
  (FX_Rates[RateDate]&lt;=Cleaned[[#This Row],[TxnDate]]),
  FX_Rates[Rate_To_INR],
  ,
  -1
)</f>
        <v>88</v>
      </c>
      <c r="P422" s="2">
        <f>Cleaned[[#This Row],[Net Amount]] *  Cleaned[[#This Row],[FX_rates]]</f>
        <v>-4456.32</v>
      </c>
    </row>
    <row r="423" spans="1:16" x14ac:dyDescent="0.45">
      <c r="A423" t="s">
        <v>431</v>
      </c>
      <c r="B423" s="1">
        <v>45114</v>
      </c>
      <c r="C423" s="2" t="s">
        <v>2011</v>
      </c>
      <c r="D423" t="s">
        <v>2016</v>
      </c>
      <c r="E423">
        <v>1277.92</v>
      </c>
      <c r="F423">
        <f>Cleaned[[#This Row],[Debit]] * Cleaned[[#This Row],[FX_rates]]</f>
        <v>112456.96000000001</v>
      </c>
      <c r="G423">
        <v>0</v>
      </c>
      <c r="H423">
        <f>Cleaned[[#This Row],[Credit]] *  Cleaned[[#This Row],[FX_rates]]</f>
        <v>0</v>
      </c>
      <c r="I423" t="s">
        <v>2021</v>
      </c>
      <c r="J423" t="s">
        <v>2030</v>
      </c>
      <c r="K423" t="s">
        <v>2452</v>
      </c>
      <c r="L423" t="s">
        <v>4032</v>
      </c>
      <c r="M423">
        <f>Cleaned[[#This Row],[Credit]]-Cleaned[[#This Row],[Debit]]</f>
        <v>-1277.92</v>
      </c>
      <c r="N423" t="str">
        <f>_xlfn.XLOOKUP(Cleaned[[#This Row],[AccountName]], Account_Mapping!A:A, Account_Mapping!B:B,"Unmapped")</f>
        <v>COGS</v>
      </c>
      <c r="O423" cm="1">
        <f t="array" ref="O423">_xlfn.XLOOKUP(
  1,
  (FX_Rates[Currency]=Cleaned[[#This Row],[Currency]])*
  (FX_Rates[RateDate]&lt;=Cleaned[[#This Row],[TxnDate]]),
  FX_Rates[Rate_To_INR],
  ,
  -1
)</f>
        <v>88</v>
      </c>
      <c r="P423" s="2">
        <f>Cleaned[[#This Row],[Net Amount]] *  Cleaned[[#This Row],[FX_rates]]</f>
        <v>-112456.96000000001</v>
      </c>
    </row>
    <row r="424" spans="1:16" x14ac:dyDescent="0.45">
      <c r="A424" t="s">
        <v>432</v>
      </c>
      <c r="B424" s="1">
        <v>45249</v>
      </c>
      <c r="C424" s="2" t="s">
        <v>2013</v>
      </c>
      <c r="D424" t="s">
        <v>2018</v>
      </c>
      <c r="E424">
        <v>707.53</v>
      </c>
      <c r="F424">
        <f>Cleaned[[#This Row],[Debit]] * Cleaned[[#This Row],[FX_rates]]</f>
        <v>58017.46</v>
      </c>
      <c r="G424">
        <v>0</v>
      </c>
      <c r="H424">
        <f>Cleaned[[#This Row],[Credit]] *  Cleaned[[#This Row],[FX_rates]]</f>
        <v>0</v>
      </c>
      <c r="I424" t="s">
        <v>2021</v>
      </c>
      <c r="J424" t="s">
        <v>2028</v>
      </c>
      <c r="K424" t="s">
        <v>2453</v>
      </c>
      <c r="L424" t="s">
        <v>4034</v>
      </c>
      <c r="M424">
        <f>Cleaned[[#This Row],[Credit]]-Cleaned[[#This Row],[Debit]]</f>
        <v>-707.53</v>
      </c>
      <c r="N424" t="str">
        <f>_xlfn.XLOOKUP(Cleaned[[#This Row],[AccountName]], Account_Mapping!A:A, Account_Mapping!B:B,"Unmapped")</f>
        <v>Operating Expense</v>
      </c>
      <c r="O424" cm="1">
        <f t="array" ref="O424">_xlfn.XLOOKUP(
  1,
  (FX_Rates[Currency]=Cleaned[[#This Row],[Currency]])*
  (FX_Rates[RateDate]&lt;=Cleaned[[#This Row],[TxnDate]]),
  FX_Rates[Rate_To_INR],
  ,
  -1
)</f>
        <v>82</v>
      </c>
      <c r="P424" s="2">
        <f>Cleaned[[#This Row],[Net Amount]] *  Cleaned[[#This Row],[FX_rates]]</f>
        <v>-58017.46</v>
      </c>
    </row>
    <row r="425" spans="1:16" x14ac:dyDescent="0.45">
      <c r="A425" t="s">
        <v>433</v>
      </c>
      <c r="B425" s="1">
        <v>45336</v>
      </c>
      <c r="C425" s="2" t="s">
        <v>2012</v>
      </c>
      <c r="D425" t="s">
        <v>2017</v>
      </c>
      <c r="E425">
        <v>356.21</v>
      </c>
      <c r="F425">
        <f>Cleaned[[#This Row],[Debit]] * Cleaned[[#This Row],[FX_rates]]</f>
        <v>31346.48</v>
      </c>
      <c r="G425">
        <v>0</v>
      </c>
      <c r="H425">
        <f>Cleaned[[#This Row],[Credit]] *  Cleaned[[#This Row],[FX_rates]]</f>
        <v>0</v>
      </c>
      <c r="I425" t="s">
        <v>2025</v>
      </c>
      <c r="J425" t="s">
        <v>2026</v>
      </c>
      <c r="K425" t="s">
        <v>2454</v>
      </c>
      <c r="L425" t="s">
        <v>4032</v>
      </c>
      <c r="M425">
        <f>Cleaned[[#This Row],[Credit]]-Cleaned[[#This Row],[Debit]]</f>
        <v>-356.21</v>
      </c>
      <c r="N425" t="str">
        <f>_xlfn.XLOOKUP(Cleaned[[#This Row],[AccountName]], Account_Mapping!A:A, Account_Mapping!B:B,"Unmapped")</f>
        <v>Operating Expense</v>
      </c>
      <c r="O425" cm="1">
        <f t="array" ref="O425">_xlfn.XLOOKUP(
  1,
  (FX_Rates[Currency]=Cleaned[[#This Row],[Currency]])*
  (FX_Rates[RateDate]&lt;=Cleaned[[#This Row],[TxnDate]]),
  FX_Rates[Rate_To_INR],
  ,
  -1
)</f>
        <v>88</v>
      </c>
      <c r="P425" s="2">
        <f>Cleaned[[#This Row],[Net Amount]] *  Cleaned[[#This Row],[FX_rates]]</f>
        <v>-31346.48</v>
      </c>
    </row>
    <row r="426" spans="1:16" x14ac:dyDescent="0.45">
      <c r="A426" t="s">
        <v>434</v>
      </c>
      <c r="B426" s="1">
        <v>45611</v>
      </c>
      <c r="C426" s="2" t="s">
        <v>2013</v>
      </c>
      <c r="D426" t="s">
        <v>2018</v>
      </c>
      <c r="E426">
        <v>189.31</v>
      </c>
      <c r="F426">
        <f>Cleaned[[#This Row],[Debit]] * Cleaned[[#This Row],[FX_rates]]</f>
        <v>16659.28</v>
      </c>
      <c r="G426">
        <v>0</v>
      </c>
      <c r="H426">
        <f>Cleaned[[#This Row],[Credit]] *  Cleaned[[#This Row],[FX_rates]]</f>
        <v>0</v>
      </c>
      <c r="I426" t="s">
        <v>2021</v>
      </c>
      <c r="J426" t="s">
        <v>2030</v>
      </c>
      <c r="K426" t="s">
        <v>2455</v>
      </c>
      <c r="L426" t="s">
        <v>4032</v>
      </c>
      <c r="M426">
        <f>Cleaned[[#This Row],[Credit]]-Cleaned[[#This Row],[Debit]]</f>
        <v>-189.31</v>
      </c>
      <c r="N426" t="str">
        <f>_xlfn.XLOOKUP(Cleaned[[#This Row],[AccountName]], Account_Mapping!A:A, Account_Mapping!B:B,"Unmapped")</f>
        <v>Operating Expense</v>
      </c>
      <c r="O426" cm="1">
        <f t="array" ref="O426">_xlfn.XLOOKUP(
  1,
  (FX_Rates[Currency]=Cleaned[[#This Row],[Currency]])*
  (FX_Rates[RateDate]&lt;=Cleaned[[#This Row],[TxnDate]]),
  FX_Rates[Rate_To_INR],
  ,
  -1
)</f>
        <v>88</v>
      </c>
      <c r="P426" s="2">
        <f>Cleaned[[#This Row],[Net Amount]] *  Cleaned[[#This Row],[FX_rates]]</f>
        <v>-16659.28</v>
      </c>
    </row>
    <row r="427" spans="1:16" x14ac:dyDescent="0.45">
      <c r="A427" t="s">
        <v>435</v>
      </c>
      <c r="B427" s="1">
        <v>45319</v>
      </c>
      <c r="C427" s="2" t="s">
        <v>2012</v>
      </c>
      <c r="D427" t="s">
        <v>2017</v>
      </c>
      <c r="E427">
        <v>519.61</v>
      </c>
      <c r="F427">
        <f>Cleaned[[#This Row],[Debit]] * Cleaned[[#This Row],[FX_rates]]</f>
        <v>53519.83</v>
      </c>
      <c r="G427">
        <v>0</v>
      </c>
      <c r="H427">
        <f>Cleaned[[#This Row],[Credit]] *  Cleaned[[#This Row],[FX_rates]]</f>
        <v>0</v>
      </c>
      <c r="I427" t="s">
        <v>2023</v>
      </c>
      <c r="J427" t="s">
        <v>2027</v>
      </c>
      <c r="K427" t="s">
        <v>2456</v>
      </c>
      <c r="L427" t="s">
        <v>4031</v>
      </c>
      <c r="M427">
        <f>Cleaned[[#This Row],[Credit]]-Cleaned[[#This Row],[Debit]]</f>
        <v>-519.61</v>
      </c>
      <c r="N427" t="str">
        <f>_xlfn.XLOOKUP(Cleaned[[#This Row],[AccountName]], Account_Mapping!A:A, Account_Mapping!B:B,"Unmapped")</f>
        <v>Operating Expense</v>
      </c>
      <c r="O427" cm="1">
        <f t="array" ref="O427">_xlfn.XLOOKUP(
  1,
  (FX_Rates[Currency]=Cleaned[[#This Row],[Currency]])*
  (FX_Rates[RateDate]&lt;=Cleaned[[#This Row],[TxnDate]]),
  FX_Rates[Rate_To_INR],
  ,
  -1
)</f>
        <v>103</v>
      </c>
      <c r="P427" s="2">
        <f>Cleaned[[#This Row],[Net Amount]] *  Cleaned[[#This Row],[FX_rates]]</f>
        <v>-53519.83</v>
      </c>
    </row>
    <row r="428" spans="1:16" x14ac:dyDescent="0.45">
      <c r="A428" t="s">
        <v>436</v>
      </c>
      <c r="B428" s="1">
        <v>45341</v>
      </c>
      <c r="C428" s="2" t="s">
        <v>2010</v>
      </c>
      <c r="D428" t="s">
        <v>2015</v>
      </c>
      <c r="E428">
        <v>0</v>
      </c>
      <c r="F428">
        <f>Cleaned[[#This Row],[Debit]] * Cleaned[[#This Row],[FX_rates]]</f>
        <v>0</v>
      </c>
      <c r="G428">
        <v>3923.81</v>
      </c>
      <c r="H428">
        <f>Cleaned[[#This Row],[Credit]] *  Cleaned[[#This Row],[FX_rates]]</f>
        <v>219733.36</v>
      </c>
      <c r="I428" t="s">
        <v>2025</v>
      </c>
      <c r="J428" t="s">
        <v>2028</v>
      </c>
      <c r="K428" t="s">
        <v>2457</v>
      </c>
      <c r="L428" t="s">
        <v>4033</v>
      </c>
      <c r="M428">
        <f>Cleaned[[#This Row],[Credit]]-Cleaned[[#This Row],[Debit]]</f>
        <v>3923.81</v>
      </c>
      <c r="N428" t="str">
        <f>_xlfn.XLOOKUP(Cleaned[[#This Row],[AccountName]], Account_Mapping!A:A, Account_Mapping!B:B,"Unmapped")</f>
        <v>Revenue</v>
      </c>
      <c r="O428" cm="1">
        <f t="array" ref="O428">_xlfn.XLOOKUP(
  1,
  (FX_Rates[Currency]=Cleaned[[#This Row],[Currency]])*
  (FX_Rates[RateDate]&lt;=Cleaned[[#This Row],[TxnDate]]),
  FX_Rates[Rate_To_INR],
  ,
  -1
)</f>
        <v>56</v>
      </c>
      <c r="P428" s="2">
        <f>Cleaned[[#This Row],[Net Amount]] *  Cleaned[[#This Row],[FX_rates]]</f>
        <v>219733.36</v>
      </c>
    </row>
    <row r="429" spans="1:16" x14ac:dyDescent="0.45">
      <c r="A429" t="s">
        <v>437</v>
      </c>
      <c r="B429" s="1">
        <v>45227</v>
      </c>
      <c r="C429" s="2" t="s">
        <v>2011</v>
      </c>
      <c r="D429" t="s">
        <v>2016</v>
      </c>
      <c r="E429">
        <v>171.38</v>
      </c>
      <c r="F429">
        <f>Cleaned[[#This Row],[Debit]] * Cleaned[[#This Row],[FX_rates]]</f>
        <v>10454.18</v>
      </c>
      <c r="G429">
        <v>0</v>
      </c>
      <c r="H429">
        <f>Cleaned[[#This Row],[Credit]] *  Cleaned[[#This Row],[FX_rates]]</f>
        <v>0</v>
      </c>
      <c r="I429" t="s">
        <v>2023</v>
      </c>
      <c r="J429" t="s">
        <v>2028</v>
      </c>
      <c r="K429" t="s">
        <v>2458</v>
      </c>
      <c r="L429" t="s">
        <v>4035</v>
      </c>
      <c r="M429">
        <f>Cleaned[[#This Row],[Credit]]-Cleaned[[#This Row],[Debit]]</f>
        <v>-171.38</v>
      </c>
      <c r="N429" t="str">
        <f>_xlfn.XLOOKUP(Cleaned[[#This Row],[AccountName]], Account_Mapping!A:A, Account_Mapping!B:B,"Unmapped")</f>
        <v>COGS</v>
      </c>
      <c r="O429" cm="1">
        <f t="array" ref="O429">_xlfn.XLOOKUP(
  1,
  (FX_Rates[Currency]=Cleaned[[#This Row],[Currency]])*
  (FX_Rates[RateDate]&lt;=Cleaned[[#This Row],[TxnDate]]),
  FX_Rates[Rate_To_INR],
  ,
  -1
)</f>
        <v>61</v>
      </c>
      <c r="P429" s="2">
        <f>Cleaned[[#This Row],[Net Amount]] *  Cleaned[[#This Row],[FX_rates]]</f>
        <v>-10454.18</v>
      </c>
    </row>
    <row r="430" spans="1:16" x14ac:dyDescent="0.45">
      <c r="A430" t="s">
        <v>438</v>
      </c>
      <c r="B430" s="1">
        <v>45114</v>
      </c>
      <c r="C430" s="2" t="s">
        <v>2011</v>
      </c>
      <c r="D430" t="s">
        <v>2016</v>
      </c>
      <c r="E430">
        <v>960.38</v>
      </c>
      <c r="F430">
        <f>Cleaned[[#This Row],[Debit]] * Cleaned[[#This Row],[FX_rates]]</f>
        <v>84513.44</v>
      </c>
      <c r="G430">
        <v>0</v>
      </c>
      <c r="H430">
        <f>Cleaned[[#This Row],[Credit]] *  Cleaned[[#This Row],[FX_rates]]</f>
        <v>0</v>
      </c>
      <c r="I430" t="s">
        <v>2023</v>
      </c>
      <c r="J430" t="s">
        <v>2030</v>
      </c>
      <c r="K430" t="s">
        <v>2459</v>
      </c>
      <c r="L430" t="s">
        <v>4032</v>
      </c>
      <c r="M430">
        <f>Cleaned[[#This Row],[Credit]]-Cleaned[[#This Row],[Debit]]</f>
        <v>-960.38</v>
      </c>
      <c r="N430" t="str">
        <f>_xlfn.XLOOKUP(Cleaned[[#This Row],[AccountName]], Account_Mapping!A:A, Account_Mapping!B:B,"Unmapped")</f>
        <v>COGS</v>
      </c>
      <c r="O430" cm="1">
        <f t="array" ref="O430">_xlfn.XLOOKUP(
  1,
  (FX_Rates[Currency]=Cleaned[[#This Row],[Currency]])*
  (FX_Rates[RateDate]&lt;=Cleaned[[#This Row],[TxnDate]]),
  FX_Rates[Rate_To_INR],
  ,
  -1
)</f>
        <v>88</v>
      </c>
      <c r="P430" s="2">
        <f>Cleaned[[#This Row],[Net Amount]] *  Cleaned[[#This Row],[FX_rates]]</f>
        <v>-84513.44</v>
      </c>
    </row>
    <row r="431" spans="1:16" x14ac:dyDescent="0.45">
      <c r="A431" t="s">
        <v>439</v>
      </c>
      <c r="B431" s="1">
        <v>45001</v>
      </c>
      <c r="C431" s="2" t="s">
        <v>2013</v>
      </c>
      <c r="D431" t="s">
        <v>2018</v>
      </c>
      <c r="E431">
        <v>931.96</v>
      </c>
      <c r="F431">
        <f>Cleaned[[#This Row],[Debit]] * Cleaned[[#This Row],[FX_rates]]</f>
        <v>95991.88</v>
      </c>
      <c r="G431">
        <v>0</v>
      </c>
      <c r="H431">
        <f>Cleaned[[#This Row],[Credit]] *  Cleaned[[#This Row],[FX_rates]]</f>
        <v>0</v>
      </c>
      <c r="I431" t="s">
        <v>2023</v>
      </c>
      <c r="J431" t="s">
        <v>2030</v>
      </c>
      <c r="K431" t="s">
        <v>2460</v>
      </c>
      <c r="L431" t="s">
        <v>4031</v>
      </c>
      <c r="M431">
        <f>Cleaned[[#This Row],[Credit]]-Cleaned[[#This Row],[Debit]]</f>
        <v>-931.96</v>
      </c>
      <c r="N431" t="str">
        <f>_xlfn.XLOOKUP(Cleaned[[#This Row],[AccountName]], Account_Mapping!A:A, Account_Mapping!B:B,"Unmapped")</f>
        <v>Operating Expense</v>
      </c>
      <c r="O431" cm="1">
        <f t="array" ref="O431">_xlfn.XLOOKUP(
  1,
  (FX_Rates[Currency]=Cleaned[[#This Row],[Currency]])*
  (FX_Rates[RateDate]&lt;=Cleaned[[#This Row],[TxnDate]]),
  FX_Rates[Rate_To_INR],
  ,
  -1
)</f>
        <v>103</v>
      </c>
      <c r="P431" s="2">
        <f>Cleaned[[#This Row],[Net Amount]] *  Cleaned[[#This Row],[FX_rates]]</f>
        <v>-95991.88</v>
      </c>
    </row>
    <row r="432" spans="1:16" x14ac:dyDescent="0.45">
      <c r="A432" t="s">
        <v>440</v>
      </c>
      <c r="B432" s="1">
        <v>45267</v>
      </c>
      <c r="C432" s="2" t="s">
        <v>2010</v>
      </c>
      <c r="D432" t="s">
        <v>2015</v>
      </c>
      <c r="E432">
        <v>0</v>
      </c>
      <c r="F432">
        <f>Cleaned[[#This Row],[Debit]] * Cleaned[[#This Row],[FX_rates]]</f>
        <v>0</v>
      </c>
      <c r="G432">
        <v>353.32</v>
      </c>
      <c r="H432">
        <f>Cleaned[[#This Row],[Credit]] *  Cleaned[[#This Row],[FX_rates]]</f>
        <v>28972.239999999998</v>
      </c>
      <c r="I432" t="s">
        <v>2024</v>
      </c>
      <c r="J432" t="s">
        <v>2027</v>
      </c>
      <c r="K432" t="s">
        <v>2461</v>
      </c>
      <c r="L432" t="s">
        <v>4034</v>
      </c>
      <c r="M432">
        <f>Cleaned[[#This Row],[Credit]]-Cleaned[[#This Row],[Debit]]</f>
        <v>353.32</v>
      </c>
      <c r="N432" t="str">
        <f>_xlfn.XLOOKUP(Cleaned[[#This Row],[AccountName]], Account_Mapping!A:A, Account_Mapping!B:B,"Unmapped")</f>
        <v>Revenue</v>
      </c>
      <c r="O432" cm="1">
        <f t="array" ref="O432">_xlfn.XLOOKUP(
  1,
  (FX_Rates[Currency]=Cleaned[[#This Row],[Currency]])*
  (FX_Rates[RateDate]&lt;=Cleaned[[#This Row],[TxnDate]]),
  FX_Rates[Rate_To_INR],
  ,
  -1
)</f>
        <v>82</v>
      </c>
      <c r="P432" s="2">
        <f>Cleaned[[#This Row],[Net Amount]] *  Cleaned[[#This Row],[FX_rates]]</f>
        <v>28972.239999999998</v>
      </c>
    </row>
    <row r="433" spans="1:16" x14ac:dyDescent="0.45">
      <c r="A433" t="s">
        <v>441</v>
      </c>
      <c r="B433" s="1">
        <v>45695</v>
      </c>
      <c r="C433" s="2" t="s">
        <v>2012</v>
      </c>
      <c r="D433" t="s">
        <v>2017</v>
      </c>
      <c r="E433">
        <v>66.08</v>
      </c>
      <c r="F433">
        <f>Cleaned[[#This Row],[Debit]] * Cleaned[[#This Row],[FX_rates]]</f>
        <v>6806.24</v>
      </c>
      <c r="G433">
        <v>0</v>
      </c>
      <c r="H433">
        <f>Cleaned[[#This Row],[Credit]] *  Cleaned[[#This Row],[FX_rates]]</f>
        <v>0</v>
      </c>
      <c r="I433" t="s">
        <v>2022</v>
      </c>
      <c r="J433" t="s">
        <v>2029</v>
      </c>
      <c r="K433" t="s">
        <v>2462</v>
      </c>
      <c r="L433" t="s">
        <v>4031</v>
      </c>
      <c r="M433">
        <f>Cleaned[[#This Row],[Credit]]-Cleaned[[#This Row],[Debit]]</f>
        <v>-66.08</v>
      </c>
      <c r="N433" t="str">
        <f>_xlfn.XLOOKUP(Cleaned[[#This Row],[AccountName]], Account_Mapping!A:A, Account_Mapping!B:B,"Unmapped")</f>
        <v>Operating Expense</v>
      </c>
      <c r="O433" cm="1">
        <f t="array" ref="O433">_xlfn.XLOOKUP(
  1,
  (FX_Rates[Currency]=Cleaned[[#This Row],[Currency]])*
  (FX_Rates[RateDate]&lt;=Cleaned[[#This Row],[TxnDate]]),
  FX_Rates[Rate_To_INR],
  ,
  -1
)</f>
        <v>103</v>
      </c>
      <c r="P433" s="2">
        <f>Cleaned[[#This Row],[Net Amount]] *  Cleaned[[#This Row],[FX_rates]]</f>
        <v>-6806.24</v>
      </c>
    </row>
    <row r="434" spans="1:16" x14ac:dyDescent="0.45">
      <c r="A434" t="s">
        <v>442</v>
      </c>
      <c r="B434" s="1">
        <v>45496</v>
      </c>
      <c r="C434" s="2" t="s">
        <v>2010</v>
      </c>
      <c r="D434" t="s">
        <v>2015</v>
      </c>
      <c r="E434">
        <v>0</v>
      </c>
      <c r="F434">
        <f>Cleaned[[#This Row],[Debit]] * Cleaned[[#This Row],[FX_rates]]</f>
        <v>0</v>
      </c>
      <c r="G434">
        <v>361.74</v>
      </c>
      <c r="H434">
        <f>Cleaned[[#This Row],[Credit]] *  Cleaned[[#This Row],[FX_rates]]</f>
        <v>37259.22</v>
      </c>
      <c r="I434" t="s">
        <v>2023</v>
      </c>
      <c r="J434" t="s">
        <v>2030</v>
      </c>
      <c r="K434" t="s">
        <v>2463</v>
      </c>
      <c r="L434" t="s">
        <v>4031</v>
      </c>
      <c r="M434">
        <f>Cleaned[[#This Row],[Credit]]-Cleaned[[#This Row],[Debit]]</f>
        <v>361.74</v>
      </c>
      <c r="N434" t="str">
        <f>_xlfn.XLOOKUP(Cleaned[[#This Row],[AccountName]], Account_Mapping!A:A, Account_Mapping!B:B,"Unmapped")</f>
        <v>Revenue</v>
      </c>
      <c r="O434" cm="1">
        <f t="array" ref="O434">_xlfn.XLOOKUP(
  1,
  (FX_Rates[Currency]=Cleaned[[#This Row],[Currency]])*
  (FX_Rates[RateDate]&lt;=Cleaned[[#This Row],[TxnDate]]),
  FX_Rates[Rate_To_INR],
  ,
  -1
)</f>
        <v>103</v>
      </c>
      <c r="P434" s="2">
        <f>Cleaned[[#This Row],[Net Amount]] *  Cleaned[[#This Row],[FX_rates]]</f>
        <v>37259.22</v>
      </c>
    </row>
    <row r="435" spans="1:16" x14ac:dyDescent="0.45">
      <c r="A435" t="s">
        <v>443</v>
      </c>
      <c r="B435" s="1">
        <v>44932</v>
      </c>
      <c r="C435" s="2" t="s">
        <v>2012</v>
      </c>
      <c r="D435" t="s">
        <v>2017</v>
      </c>
      <c r="E435">
        <v>1392.66</v>
      </c>
      <c r="F435">
        <f>Cleaned[[#This Row],[Debit]] * Cleaned[[#This Row],[FX_rates]]</f>
        <v>84952.260000000009</v>
      </c>
      <c r="G435">
        <v>0</v>
      </c>
      <c r="H435">
        <f>Cleaned[[#This Row],[Credit]] *  Cleaned[[#This Row],[FX_rates]]</f>
        <v>0</v>
      </c>
      <c r="I435" t="s">
        <v>2022</v>
      </c>
      <c r="J435" t="s">
        <v>2030</v>
      </c>
      <c r="K435" t="s">
        <v>2464</v>
      </c>
      <c r="L435" t="s">
        <v>4035</v>
      </c>
      <c r="M435">
        <f>Cleaned[[#This Row],[Credit]]-Cleaned[[#This Row],[Debit]]</f>
        <v>-1392.66</v>
      </c>
      <c r="N435" t="str">
        <f>_xlfn.XLOOKUP(Cleaned[[#This Row],[AccountName]], Account_Mapping!A:A, Account_Mapping!B:B,"Unmapped")</f>
        <v>Operating Expense</v>
      </c>
      <c r="O435" cm="1">
        <f t="array" ref="O435">_xlfn.XLOOKUP(
  1,
  (FX_Rates[Currency]=Cleaned[[#This Row],[Currency]])*
  (FX_Rates[RateDate]&lt;=Cleaned[[#This Row],[TxnDate]]),
  FX_Rates[Rate_To_INR],
  ,
  -1
)</f>
        <v>61</v>
      </c>
      <c r="P435" s="2">
        <f>Cleaned[[#This Row],[Net Amount]] *  Cleaned[[#This Row],[FX_rates]]</f>
        <v>-84952.260000000009</v>
      </c>
    </row>
    <row r="436" spans="1:16" x14ac:dyDescent="0.45">
      <c r="A436" t="s">
        <v>444</v>
      </c>
      <c r="B436" s="1">
        <v>45320</v>
      </c>
      <c r="C436" s="2" t="s">
        <v>2010</v>
      </c>
      <c r="D436" t="s">
        <v>2015</v>
      </c>
      <c r="E436">
        <v>0</v>
      </c>
      <c r="F436">
        <f>Cleaned[[#This Row],[Debit]] * Cleaned[[#This Row],[FX_rates]]</f>
        <v>0</v>
      </c>
      <c r="G436">
        <v>4172.26</v>
      </c>
      <c r="H436">
        <f>Cleaned[[#This Row],[Credit]] *  Cleaned[[#This Row],[FX_rates]]</f>
        <v>342125.32</v>
      </c>
      <c r="I436" t="s">
        <v>2023</v>
      </c>
      <c r="J436" t="s">
        <v>2030</v>
      </c>
      <c r="K436" t="s">
        <v>2465</v>
      </c>
      <c r="L436" t="s">
        <v>4034</v>
      </c>
      <c r="M436">
        <f>Cleaned[[#This Row],[Credit]]-Cleaned[[#This Row],[Debit]]</f>
        <v>4172.26</v>
      </c>
      <c r="N436" t="str">
        <f>_xlfn.XLOOKUP(Cleaned[[#This Row],[AccountName]], Account_Mapping!A:A, Account_Mapping!B:B,"Unmapped")</f>
        <v>Revenue</v>
      </c>
      <c r="O436" cm="1">
        <f t="array" ref="O436">_xlfn.XLOOKUP(
  1,
  (FX_Rates[Currency]=Cleaned[[#This Row],[Currency]])*
  (FX_Rates[RateDate]&lt;=Cleaned[[#This Row],[TxnDate]]),
  FX_Rates[Rate_To_INR],
  ,
  -1
)</f>
        <v>82</v>
      </c>
      <c r="P436" s="2">
        <f>Cleaned[[#This Row],[Net Amount]] *  Cleaned[[#This Row],[FX_rates]]</f>
        <v>342125.32</v>
      </c>
    </row>
    <row r="437" spans="1:16" x14ac:dyDescent="0.45">
      <c r="A437" t="s">
        <v>445</v>
      </c>
      <c r="B437" s="1">
        <v>44947</v>
      </c>
      <c r="C437" s="2" t="s">
        <v>2012</v>
      </c>
      <c r="D437" t="s">
        <v>2017</v>
      </c>
      <c r="E437">
        <v>1792.82</v>
      </c>
      <c r="F437">
        <f>Cleaned[[#This Row],[Debit]] * Cleaned[[#This Row],[FX_rates]]</f>
        <v>184660.46</v>
      </c>
      <c r="G437">
        <v>0</v>
      </c>
      <c r="H437">
        <f>Cleaned[[#This Row],[Credit]] *  Cleaned[[#This Row],[FX_rates]]</f>
        <v>0</v>
      </c>
      <c r="I437" t="s">
        <v>2020</v>
      </c>
      <c r="J437" t="s">
        <v>2026</v>
      </c>
      <c r="K437" t="s">
        <v>2466</v>
      </c>
      <c r="L437" t="s">
        <v>4031</v>
      </c>
      <c r="M437">
        <f>Cleaned[[#This Row],[Credit]]-Cleaned[[#This Row],[Debit]]</f>
        <v>-1792.82</v>
      </c>
      <c r="N437" t="str">
        <f>_xlfn.XLOOKUP(Cleaned[[#This Row],[AccountName]], Account_Mapping!A:A, Account_Mapping!B:B,"Unmapped")</f>
        <v>Operating Expense</v>
      </c>
      <c r="O437" cm="1">
        <f t="array" ref="O437">_xlfn.XLOOKUP(
  1,
  (FX_Rates[Currency]=Cleaned[[#This Row],[Currency]])*
  (FX_Rates[RateDate]&lt;=Cleaned[[#This Row],[TxnDate]]),
  FX_Rates[Rate_To_INR],
  ,
  -1
)</f>
        <v>103</v>
      </c>
      <c r="P437" s="2">
        <f>Cleaned[[#This Row],[Net Amount]] *  Cleaned[[#This Row],[FX_rates]]</f>
        <v>-184660.46</v>
      </c>
    </row>
    <row r="438" spans="1:16" x14ac:dyDescent="0.45">
      <c r="A438" t="s">
        <v>446</v>
      </c>
      <c r="B438" s="1">
        <v>45250</v>
      </c>
      <c r="C438" s="2" t="s">
        <v>2011</v>
      </c>
      <c r="D438" t="s">
        <v>2016</v>
      </c>
      <c r="E438">
        <v>164.54</v>
      </c>
      <c r="F438">
        <f>Cleaned[[#This Row],[Debit]] * Cleaned[[#This Row],[FX_rates]]</f>
        <v>16947.62</v>
      </c>
      <c r="G438">
        <v>0</v>
      </c>
      <c r="H438">
        <f>Cleaned[[#This Row],[Credit]] *  Cleaned[[#This Row],[FX_rates]]</f>
        <v>0</v>
      </c>
      <c r="I438" t="s">
        <v>2023</v>
      </c>
      <c r="J438" t="s">
        <v>2028</v>
      </c>
      <c r="K438" t="s">
        <v>2467</v>
      </c>
      <c r="L438" t="s">
        <v>4031</v>
      </c>
      <c r="M438">
        <f>Cleaned[[#This Row],[Credit]]-Cleaned[[#This Row],[Debit]]</f>
        <v>-164.54</v>
      </c>
      <c r="N438" t="str">
        <f>_xlfn.XLOOKUP(Cleaned[[#This Row],[AccountName]], Account_Mapping!A:A, Account_Mapping!B:B,"Unmapped")</f>
        <v>COGS</v>
      </c>
      <c r="O438" cm="1">
        <f t="array" ref="O438">_xlfn.XLOOKUP(
  1,
  (FX_Rates[Currency]=Cleaned[[#This Row],[Currency]])*
  (FX_Rates[RateDate]&lt;=Cleaned[[#This Row],[TxnDate]]),
  FX_Rates[Rate_To_INR],
  ,
  -1
)</f>
        <v>103</v>
      </c>
      <c r="P438" s="2">
        <f>Cleaned[[#This Row],[Net Amount]] *  Cleaned[[#This Row],[FX_rates]]</f>
        <v>-16947.62</v>
      </c>
    </row>
    <row r="439" spans="1:16" x14ac:dyDescent="0.45">
      <c r="A439" t="s">
        <v>447</v>
      </c>
      <c r="B439" s="1">
        <v>45611</v>
      </c>
      <c r="C439" s="2" t="s">
        <v>2012</v>
      </c>
      <c r="D439" t="s">
        <v>2017</v>
      </c>
      <c r="E439">
        <v>217.44</v>
      </c>
      <c r="F439">
        <f>Cleaned[[#This Row],[Debit]] * Cleaned[[#This Row],[FX_rates]]</f>
        <v>19134.72</v>
      </c>
      <c r="G439">
        <v>0</v>
      </c>
      <c r="H439">
        <f>Cleaned[[#This Row],[Credit]] *  Cleaned[[#This Row],[FX_rates]]</f>
        <v>0</v>
      </c>
      <c r="I439" t="s">
        <v>2020</v>
      </c>
      <c r="J439" t="s">
        <v>2029</v>
      </c>
      <c r="K439" t="s">
        <v>2468</v>
      </c>
      <c r="L439" t="s">
        <v>4032</v>
      </c>
      <c r="M439">
        <f>Cleaned[[#This Row],[Credit]]-Cleaned[[#This Row],[Debit]]</f>
        <v>-217.44</v>
      </c>
      <c r="N439" t="str">
        <f>_xlfn.XLOOKUP(Cleaned[[#This Row],[AccountName]], Account_Mapping!A:A, Account_Mapping!B:B,"Unmapped")</f>
        <v>Operating Expense</v>
      </c>
      <c r="O439" cm="1">
        <f t="array" ref="O439">_xlfn.XLOOKUP(
  1,
  (FX_Rates[Currency]=Cleaned[[#This Row],[Currency]])*
  (FX_Rates[RateDate]&lt;=Cleaned[[#This Row],[TxnDate]]),
  FX_Rates[Rate_To_INR],
  ,
  -1
)</f>
        <v>88</v>
      </c>
      <c r="P439" s="2">
        <f>Cleaned[[#This Row],[Net Amount]] *  Cleaned[[#This Row],[FX_rates]]</f>
        <v>-19134.72</v>
      </c>
    </row>
    <row r="440" spans="1:16" x14ac:dyDescent="0.45">
      <c r="A440" t="s">
        <v>448</v>
      </c>
      <c r="B440" s="1">
        <v>45660</v>
      </c>
      <c r="C440" s="2" t="s">
        <v>2012</v>
      </c>
      <c r="D440" t="s">
        <v>2017</v>
      </c>
      <c r="E440">
        <v>1899.59</v>
      </c>
      <c r="F440">
        <f>Cleaned[[#This Row],[Debit]] * Cleaned[[#This Row],[FX_rates]]</f>
        <v>155766.38</v>
      </c>
      <c r="G440">
        <v>0</v>
      </c>
      <c r="H440">
        <f>Cleaned[[#This Row],[Credit]] *  Cleaned[[#This Row],[FX_rates]]</f>
        <v>0</v>
      </c>
      <c r="I440" t="s">
        <v>2024</v>
      </c>
      <c r="J440" t="s">
        <v>2026</v>
      </c>
      <c r="K440" t="s">
        <v>2469</v>
      </c>
      <c r="L440" t="s">
        <v>4034</v>
      </c>
      <c r="M440">
        <f>Cleaned[[#This Row],[Credit]]-Cleaned[[#This Row],[Debit]]</f>
        <v>-1899.59</v>
      </c>
      <c r="N440" t="str">
        <f>_xlfn.XLOOKUP(Cleaned[[#This Row],[AccountName]], Account_Mapping!A:A, Account_Mapping!B:B,"Unmapped")</f>
        <v>Operating Expense</v>
      </c>
      <c r="O440" cm="1">
        <f t="array" ref="O440">_xlfn.XLOOKUP(
  1,
  (FX_Rates[Currency]=Cleaned[[#This Row],[Currency]])*
  (FX_Rates[RateDate]&lt;=Cleaned[[#This Row],[TxnDate]]),
  FX_Rates[Rate_To_INR],
  ,
  -1
)</f>
        <v>82</v>
      </c>
      <c r="P440" s="2">
        <f>Cleaned[[#This Row],[Net Amount]] *  Cleaned[[#This Row],[FX_rates]]</f>
        <v>-155766.38</v>
      </c>
    </row>
    <row r="441" spans="1:16" x14ac:dyDescent="0.45">
      <c r="A441" t="s">
        <v>449</v>
      </c>
      <c r="B441" s="1">
        <v>45455</v>
      </c>
      <c r="C441" s="2" t="s">
        <v>2013</v>
      </c>
      <c r="D441" t="s">
        <v>2018</v>
      </c>
      <c r="E441">
        <v>808.94</v>
      </c>
      <c r="F441">
        <f>Cleaned[[#This Row],[Debit]] * Cleaned[[#This Row],[FX_rates]]</f>
        <v>71186.720000000001</v>
      </c>
      <c r="G441">
        <v>0</v>
      </c>
      <c r="H441">
        <f>Cleaned[[#This Row],[Credit]] *  Cleaned[[#This Row],[FX_rates]]</f>
        <v>0</v>
      </c>
      <c r="I441" t="s">
        <v>2025</v>
      </c>
      <c r="J441" t="s">
        <v>2027</v>
      </c>
      <c r="K441" t="s">
        <v>2470</v>
      </c>
      <c r="L441" t="s">
        <v>4032</v>
      </c>
      <c r="M441">
        <f>Cleaned[[#This Row],[Credit]]-Cleaned[[#This Row],[Debit]]</f>
        <v>-808.94</v>
      </c>
      <c r="N441" t="str">
        <f>_xlfn.XLOOKUP(Cleaned[[#This Row],[AccountName]], Account_Mapping!A:A, Account_Mapping!B:B,"Unmapped")</f>
        <v>Operating Expense</v>
      </c>
      <c r="O441" cm="1">
        <f t="array" ref="O441">_xlfn.XLOOKUP(
  1,
  (FX_Rates[Currency]=Cleaned[[#This Row],[Currency]])*
  (FX_Rates[RateDate]&lt;=Cleaned[[#This Row],[TxnDate]]),
  FX_Rates[Rate_To_INR],
  ,
  -1
)</f>
        <v>88</v>
      </c>
      <c r="P441" s="2">
        <f>Cleaned[[#This Row],[Net Amount]] *  Cleaned[[#This Row],[FX_rates]]</f>
        <v>-71186.720000000001</v>
      </c>
    </row>
    <row r="442" spans="1:16" x14ac:dyDescent="0.45">
      <c r="A442" t="s">
        <v>450</v>
      </c>
      <c r="B442" s="1">
        <v>45120</v>
      </c>
      <c r="C442" s="2" t="s">
        <v>2010</v>
      </c>
      <c r="D442" t="s">
        <v>2015</v>
      </c>
      <c r="E442">
        <v>0</v>
      </c>
      <c r="F442">
        <f>Cleaned[[#This Row],[Debit]] * Cleaned[[#This Row],[FX_rates]]</f>
        <v>0</v>
      </c>
      <c r="G442">
        <v>3691.59</v>
      </c>
      <c r="H442">
        <f>Cleaned[[#This Row],[Credit]] *  Cleaned[[#This Row],[FX_rates]]</f>
        <v>206729.04</v>
      </c>
      <c r="I442" t="s">
        <v>2023</v>
      </c>
      <c r="J442" t="s">
        <v>2026</v>
      </c>
      <c r="K442" t="s">
        <v>2471</v>
      </c>
      <c r="L442" t="s">
        <v>4033</v>
      </c>
      <c r="M442">
        <f>Cleaned[[#This Row],[Credit]]-Cleaned[[#This Row],[Debit]]</f>
        <v>3691.59</v>
      </c>
      <c r="N442" t="str">
        <f>_xlfn.XLOOKUP(Cleaned[[#This Row],[AccountName]], Account_Mapping!A:A, Account_Mapping!B:B,"Unmapped")</f>
        <v>Revenue</v>
      </c>
      <c r="O442" cm="1">
        <f t="array" ref="O442">_xlfn.XLOOKUP(
  1,
  (FX_Rates[Currency]=Cleaned[[#This Row],[Currency]])*
  (FX_Rates[RateDate]&lt;=Cleaned[[#This Row],[TxnDate]]),
  FX_Rates[Rate_To_INR],
  ,
  -1
)</f>
        <v>56</v>
      </c>
      <c r="P442" s="2">
        <f>Cleaned[[#This Row],[Net Amount]] *  Cleaned[[#This Row],[FX_rates]]</f>
        <v>206729.04</v>
      </c>
    </row>
    <row r="443" spans="1:16" x14ac:dyDescent="0.45">
      <c r="A443" t="s">
        <v>451</v>
      </c>
      <c r="B443" s="1">
        <v>45654</v>
      </c>
      <c r="C443" s="2" t="s">
        <v>2014</v>
      </c>
      <c r="D443" t="s">
        <v>2019</v>
      </c>
      <c r="E443">
        <v>0</v>
      </c>
      <c r="F443">
        <f>Cleaned[[#This Row],[Debit]] * Cleaned[[#This Row],[FX_rates]]</f>
        <v>0</v>
      </c>
      <c r="G443">
        <v>2510.66</v>
      </c>
      <c r="H443">
        <f>Cleaned[[#This Row],[Credit]] *  Cleaned[[#This Row],[FX_rates]]</f>
        <v>205874.12</v>
      </c>
      <c r="I443" t="s">
        <v>2022</v>
      </c>
      <c r="J443" t="s">
        <v>2030</v>
      </c>
      <c r="K443" t="s">
        <v>2472</v>
      </c>
      <c r="L443" t="s">
        <v>4034</v>
      </c>
      <c r="M443">
        <f>Cleaned[[#This Row],[Credit]]-Cleaned[[#This Row],[Debit]]</f>
        <v>2510.66</v>
      </c>
      <c r="N443" t="str">
        <f>_xlfn.XLOOKUP(Cleaned[[#This Row],[AccountName]], Account_Mapping!A:A, Account_Mapping!B:B,"Unmapped")</f>
        <v>Revenue</v>
      </c>
      <c r="O443" cm="1">
        <f t="array" ref="O443">_xlfn.XLOOKUP(
  1,
  (FX_Rates[Currency]=Cleaned[[#This Row],[Currency]])*
  (FX_Rates[RateDate]&lt;=Cleaned[[#This Row],[TxnDate]]),
  FX_Rates[Rate_To_INR],
  ,
  -1
)</f>
        <v>82</v>
      </c>
      <c r="P443" s="2">
        <f>Cleaned[[#This Row],[Net Amount]] *  Cleaned[[#This Row],[FX_rates]]</f>
        <v>205874.12</v>
      </c>
    </row>
    <row r="444" spans="1:16" x14ac:dyDescent="0.45">
      <c r="A444" t="s">
        <v>452</v>
      </c>
      <c r="B444" s="1">
        <v>45467</v>
      </c>
      <c r="C444" s="2" t="s">
        <v>2010</v>
      </c>
      <c r="D444" t="s">
        <v>2015</v>
      </c>
      <c r="E444">
        <v>0</v>
      </c>
      <c r="F444">
        <f>Cleaned[[#This Row],[Debit]] * Cleaned[[#This Row],[FX_rates]]</f>
        <v>0</v>
      </c>
      <c r="G444">
        <v>1959.12</v>
      </c>
      <c r="H444">
        <f>Cleaned[[#This Row],[Credit]] *  Cleaned[[#This Row],[FX_rates]]</f>
        <v>172402.56</v>
      </c>
      <c r="I444" t="s">
        <v>2022</v>
      </c>
      <c r="J444" t="s">
        <v>2030</v>
      </c>
      <c r="K444" t="s">
        <v>2473</v>
      </c>
      <c r="L444" t="s">
        <v>4032</v>
      </c>
      <c r="M444">
        <f>Cleaned[[#This Row],[Credit]]-Cleaned[[#This Row],[Debit]]</f>
        <v>1959.12</v>
      </c>
      <c r="N444" t="str">
        <f>_xlfn.XLOOKUP(Cleaned[[#This Row],[AccountName]], Account_Mapping!A:A, Account_Mapping!B:B,"Unmapped")</f>
        <v>Revenue</v>
      </c>
      <c r="O444" cm="1">
        <f t="array" ref="O444">_xlfn.XLOOKUP(
  1,
  (FX_Rates[Currency]=Cleaned[[#This Row],[Currency]])*
  (FX_Rates[RateDate]&lt;=Cleaned[[#This Row],[TxnDate]]),
  FX_Rates[Rate_To_INR],
  ,
  -1
)</f>
        <v>88</v>
      </c>
      <c r="P444" s="2">
        <f>Cleaned[[#This Row],[Net Amount]] *  Cleaned[[#This Row],[FX_rates]]</f>
        <v>172402.56</v>
      </c>
    </row>
    <row r="445" spans="1:16" x14ac:dyDescent="0.45">
      <c r="A445" t="s">
        <v>453</v>
      </c>
      <c r="B445" s="1">
        <v>45574</v>
      </c>
      <c r="C445" s="2" t="s">
        <v>2013</v>
      </c>
      <c r="D445" t="s">
        <v>2018</v>
      </c>
      <c r="E445">
        <v>1541.66</v>
      </c>
      <c r="F445">
        <f>Cleaned[[#This Row],[Debit]] * Cleaned[[#This Row],[FX_rates]]</f>
        <v>94041.260000000009</v>
      </c>
      <c r="G445">
        <v>0</v>
      </c>
      <c r="H445">
        <f>Cleaned[[#This Row],[Credit]] *  Cleaned[[#This Row],[FX_rates]]</f>
        <v>0</v>
      </c>
      <c r="I445" t="s">
        <v>2022</v>
      </c>
      <c r="J445" t="s">
        <v>2028</v>
      </c>
      <c r="K445" t="s">
        <v>2474</v>
      </c>
      <c r="L445" t="s">
        <v>4035</v>
      </c>
      <c r="M445">
        <f>Cleaned[[#This Row],[Credit]]-Cleaned[[#This Row],[Debit]]</f>
        <v>-1541.66</v>
      </c>
      <c r="N445" t="str">
        <f>_xlfn.XLOOKUP(Cleaned[[#This Row],[AccountName]], Account_Mapping!A:A, Account_Mapping!B:B,"Unmapped")</f>
        <v>Operating Expense</v>
      </c>
      <c r="O445" cm="1">
        <f t="array" ref="O445">_xlfn.XLOOKUP(
  1,
  (FX_Rates[Currency]=Cleaned[[#This Row],[Currency]])*
  (FX_Rates[RateDate]&lt;=Cleaned[[#This Row],[TxnDate]]),
  FX_Rates[Rate_To_INR],
  ,
  -1
)</f>
        <v>61</v>
      </c>
      <c r="P445" s="2">
        <f>Cleaned[[#This Row],[Net Amount]] *  Cleaned[[#This Row],[FX_rates]]</f>
        <v>-94041.260000000009</v>
      </c>
    </row>
    <row r="446" spans="1:16" x14ac:dyDescent="0.45">
      <c r="A446" t="s">
        <v>454</v>
      </c>
      <c r="B446" s="1">
        <v>45718</v>
      </c>
      <c r="C446" s="2" t="s">
        <v>2013</v>
      </c>
      <c r="D446" t="s">
        <v>2018</v>
      </c>
      <c r="E446">
        <v>1240.1400000000001</v>
      </c>
      <c r="F446">
        <f>Cleaned[[#This Row],[Debit]] * Cleaned[[#This Row],[FX_rates]]</f>
        <v>75648.540000000008</v>
      </c>
      <c r="G446">
        <v>0</v>
      </c>
      <c r="H446">
        <f>Cleaned[[#This Row],[Credit]] *  Cleaned[[#This Row],[FX_rates]]</f>
        <v>0</v>
      </c>
      <c r="I446" t="s">
        <v>2023</v>
      </c>
      <c r="J446" t="s">
        <v>2026</v>
      </c>
      <c r="K446" t="s">
        <v>2475</v>
      </c>
      <c r="L446" t="s">
        <v>4035</v>
      </c>
      <c r="M446">
        <f>Cleaned[[#This Row],[Credit]]-Cleaned[[#This Row],[Debit]]</f>
        <v>-1240.1400000000001</v>
      </c>
      <c r="N446" t="str">
        <f>_xlfn.XLOOKUP(Cleaned[[#This Row],[AccountName]], Account_Mapping!A:A, Account_Mapping!B:B,"Unmapped")</f>
        <v>Operating Expense</v>
      </c>
      <c r="O446" cm="1">
        <f t="array" ref="O446">_xlfn.XLOOKUP(
  1,
  (FX_Rates[Currency]=Cleaned[[#This Row],[Currency]])*
  (FX_Rates[RateDate]&lt;=Cleaned[[#This Row],[TxnDate]]),
  FX_Rates[Rate_To_INR],
  ,
  -1
)</f>
        <v>61</v>
      </c>
      <c r="P446" s="2">
        <f>Cleaned[[#This Row],[Net Amount]] *  Cleaned[[#This Row],[FX_rates]]</f>
        <v>-75648.540000000008</v>
      </c>
    </row>
    <row r="447" spans="1:16" x14ac:dyDescent="0.45">
      <c r="A447" t="s">
        <v>455</v>
      </c>
      <c r="B447" s="1">
        <v>45688</v>
      </c>
      <c r="C447" s="2" t="s">
        <v>2013</v>
      </c>
      <c r="D447" t="s">
        <v>2018</v>
      </c>
      <c r="E447">
        <v>889.94</v>
      </c>
      <c r="F447">
        <f>Cleaned[[#This Row],[Debit]] * Cleaned[[#This Row],[FX_rates]]</f>
        <v>49836.639999999999</v>
      </c>
      <c r="G447">
        <v>0</v>
      </c>
      <c r="H447">
        <f>Cleaned[[#This Row],[Credit]] *  Cleaned[[#This Row],[FX_rates]]</f>
        <v>0</v>
      </c>
      <c r="I447" t="s">
        <v>2022</v>
      </c>
      <c r="J447" t="s">
        <v>2027</v>
      </c>
      <c r="K447" t="s">
        <v>2476</v>
      </c>
      <c r="L447" t="s">
        <v>4033</v>
      </c>
      <c r="M447">
        <f>Cleaned[[#This Row],[Credit]]-Cleaned[[#This Row],[Debit]]</f>
        <v>-889.94</v>
      </c>
      <c r="N447" t="str">
        <f>_xlfn.XLOOKUP(Cleaned[[#This Row],[AccountName]], Account_Mapping!A:A, Account_Mapping!B:B,"Unmapped")</f>
        <v>Operating Expense</v>
      </c>
      <c r="O447" cm="1">
        <f t="array" ref="O447">_xlfn.XLOOKUP(
  1,
  (FX_Rates[Currency]=Cleaned[[#This Row],[Currency]])*
  (FX_Rates[RateDate]&lt;=Cleaned[[#This Row],[TxnDate]]),
  FX_Rates[Rate_To_INR],
  ,
  -1
)</f>
        <v>56</v>
      </c>
      <c r="P447" s="2">
        <f>Cleaned[[#This Row],[Net Amount]] *  Cleaned[[#This Row],[FX_rates]]</f>
        <v>-49836.639999999999</v>
      </c>
    </row>
    <row r="448" spans="1:16" x14ac:dyDescent="0.45">
      <c r="A448" t="s">
        <v>456</v>
      </c>
      <c r="B448" s="1">
        <v>45824</v>
      </c>
      <c r="C448" s="2" t="s">
        <v>2011</v>
      </c>
      <c r="D448" t="s">
        <v>2016</v>
      </c>
      <c r="E448">
        <v>1562.72</v>
      </c>
      <c r="F448">
        <f>Cleaned[[#This Row],[Debit]] * Cleaned[[#This Row],[FX_rates]]</f>
        <v>137519.36000000002</v>
      </c>
      <c r="G448">
        <v>0</v>
      </c>
      <c r="H448">
        <f>Cleaned[[#This Row],[Credit]] *  Cleaned[[#This Row],[FX_rates]]</f>
        <v>0</v>
      </c>
      <c r="I448" t="s">
        <v>2022</v>
      </c>
      <c r="J448" t="s">
        <v>2030</v>
      </c>
      <c r="K448" t="s">
        <v>2477</v>
      </c>
      <c r="L448" t="s">
        <v>4032</v>
      </c>
      <c r="M448">
        <f>Cleaned[[#This Row],[Credit]]-Cleaned[[#This Row],[Debit]]</f>
        <v>-1562.72</v>
      </c>
      <c r="N448" t="str">
        <f>_xlfn.XLOOKUP(Cleaned[[#This Row],[AccountName]], Account_Mapping!A:A, Account_Mapping!B:B,"Unmapped")</f>
        <v>COGS</v>
      </c>
      <c r="O448" cm="1">
        <f t="array" ref="O448">_xlfn.XLOOKUP(
  1,
  (FX_Rates[Currency]=Cleaned[[#This Row],[Currency]])*
  (FX_Rates[RateDate]&lt;=Cleaned[[#This Row],[TxnDate]]),
  FX_Rates[Rate_To_INR],
  ,
  -1
)</f>
        <v>88</v>
      </c>
      <c r="P448" s="2">
        <f>Cleaned[[#This Row],[Net Amount]] *  Cleaned[[#This Row],[FX_rates]]</f>
        <v>-137519.36000000002</v>
      </c>
    </row>
    <row r="449" spans="1:16" x14ac:dyDescent="0.45">
      <c r="A449" t="s">
        <v>457</v>
      </c>
      <c r="B449" s="1">
        <v>45552</v>
      </c>
      <c r="C449" s="2" t="s">
        <v>2012</v>
      </c>
      <c r="D449" t="s">
        <v>2017</v>
      </c>
      <c r="E449">
        <v>1182.8</v>
      </c>
      <c r="F449">
        <f>Cleaned[[#This Row],[Debit]] * Cleaned[[#This Row],[FX_rates]]</f>
        <v>104086.39999999999</v>
      </c>
      <c r="G449">
        <v>0</v>
      </c>
      <c r="H449">
        <f>Cleaned[[#This Row],[Credit]] *  Cleaned[[#This Row],[FX_rates]]</f>
        <v>0</v>
      </c>
      <c r="I449" t="s">
        <v>2021</v>
      </c>
      <c r="J449" t="s">
        <v>2029</v>
      </c>
      <c r="K449" t="s">
        <v>2478</v>
      </c>
      <c r="L449" t="s">
        <v>4032</v>
      </c>
      <c r="M449">
        <f>Cleaned[[#This Row],[Credit]]-Cleaned[[#This Row],[Debit]]</f>
        <v>-1182.8</v>
      </c>
      <c r="N449" t="str">
        <f>_xlfn.XLOOKUP(Cleaned[[#This Row],[AccountName]], Account_Mapping!A:A, Account_Mapping!B:B,"Unmapped")</f>
        <v>Operating Expense</v>
      </c>
      <c r="O449" cm="1">
        <f t="array" ref="O449">_xlfn.XLOOKUP(
  1,
  (FX_Rates[Currency]=Cleaned[[#This Row],[Currency]])*
  (FX_Rates[RateDate]&lt;=Cleaned[[#This Row],[TxnDate]]),
  FX_Rates[Rate_To_INR],
  ,
  -1
)</f>
        <v>88</v>
      </c>
      <c r="P449" s="2">
        <f>Cleaned[[#This Row],[Net Amount]] *  Cleaned[[#This Row],[FX_rates]]</f>
        <v>-104086.39999999999</v>
      </c>
    </row>
    <row r="450" spans="1:16" x14ac:dyDescent="0.45">
      <c r="A450" t="s">
        <v>458</v>
      </c>
      <c r="B450" s="1">
        <v>45177</v>
      </c>
      <c r="C450" s="2" t="s">
        <v>2012</v>
      </c>
      <c r="D450" t="s">
        <v>2017</v>
      </c>
      <c r="E450">
        <v>489.72</v>
      </c>
      <c r="F450">
        <f>Cleaned[[#This Row],[Debit]] * Cleaned[[#This Row],[FX_rates]]</f>
        <v>29872.920000000002</v>
      </c>
      <c r="G450">
        <v>0</v>
      </c>
      <c r="H450">
        <f>Cleaned[[#This Row],[Credit]] *  Cleaned[[#This Row],[FX_rates]]</f>
        <v>0</v>
      </c>
      <c r="I450" t="s">
        <v>2024</v>
      </c>
      <c r="J450" t="s">
        <v>2030</v>
      </c>
      <c r="K450" t="s">
        <v>2479</v>
      </c>
      <c r="L450" t="s">
        <v>4035</v>
      </c>
      <c r="M450">
        <f>Cleaned[[#This Row],[Credit]]-Cleaned[[#This Row],[Debit]]</f>
        <v>-489.72</v>
      </c>
      <c r="N450" t="str">
        <f>_xlfn.XLOOKUP(Cleaned[[#This Row],[AccountName]], Account_Mapping!A:A, Account_Mapping!B:B,"Unmapped")</f>
        <v>Operating Expense</v>
      </c>
      <c r="O450" cm="1">
        <f t="array" ref="O450">_xlfn.XLOOKUP(
  1,
  (FX_Rates[Currency]=Cleaned[[#This Row],[Currency]])*
  (FX_Rates[RateDate]&lt;=Cleaned[[#This Row],[TxnDate]]),
  FX_Rates[Rate_To_INR],
  ,
  -1
)</f>
        <v>61</v>
      </c>
      <c r="P450" s="2">
        <f>Cleaned[[#This Row],[Net Amount]] *  Cleaned[[#This Row],[FX_rates]]</f>
        <v>-29872.920000000002</v>
      </c>
    </row>
    <row r="451" spans="1:16" x14ac:dyDescent="0.45">
      <c r="A451" t="s">
        <v>459</v>
      </c>
      <c r="B451" s="1">
        <v>45007</v>
      </c>
      <c r="C451" s="2" t="s">
        <v>2012</v>
      </c>
      <c r="D451" t="s">
        <v>2017</v>
      </c>
      <c r="E451">
        <v>1003.21</v>
      </c>
      <c r="F451">
        <f>Cleaned[[#This Row],[Debit]] * Cleaned[[#This Row],[FX_rates]]</f>
        <v>88282.48000000001</v>
      </c>
      <c r="G451">
        <v>0</v>
      </c>
      <c r="H451">
        <f>Cleaned[[#This Row],[Credit]] *  Cleaned[[#This Row],[FX_rates]]</f>
        <v>0</v>
      </c>
      <c r="I451" t="s">
        <v>2023</v>
      </c>
      <c r="J451" t="s">
        <v>2029</v>
      </c>
      <c r="K451" t="s">
        <v>2480</v>
      </c>
      <c r="L451" t="s">
        <v>4032</v>
      </c>
      <c r="M451">
        <f>Cleaned[[#This Row],[Credit]]-Cleaned[[#This Row],[Debit]]</f>
        <v>-1003.21</v>
      </c>
      <c r="N451" t="str">
        <f>_xlfn.XLOOKUP(Cleaned[[#This Row],[AccountName]], Account_Mapping!A:A, Account_Mapping!B:B,"Unmapped")</f>
        <v>Operating Expense</v>
      </c>
      <c r="O451" cm="1">
        <f t="array" ref="O451">_xlfn.XLOOKUP(
  1,
  (FX_Rates[Currency]=Cleaned[[#This Row],[Currency]])*
  (FX_Rates[RateDate]&lt;=Cleaned[[#This Row],[TxnDate]]),
  FX_Rates[Rate_To_INR],
  ,
  -1
)</f>
        <v>88</v>
      </c>
      <c r="P451" s="2">
        <f>Cleaned[[#This Row],[Net Amount]] *  Cleaned[[#This Row],[FX_rates]]</f>
        <v>-88282.48000000001</v>
      </c>
    </row>
    <row r="452" spans="1:16" x14ac:dyDescent="0.45">
      <c r="A452" t="s">
        <v>460</v>
      </c>
      <c r="B452" s="1">
        <v>45208</v>
      </c>
      <c r="C452" s="2" t="s">
        <v>2010</v>
      </c>
      <c r="D452" t="s">
        <v>2015</v>
      </c>
      <c r="E452">
        <v>0</v>
      </c>
      <c r="F452">
        <f>Cleaned[[#This Row],[Debit]] * Cleaned[[#This Row],[FX_rates]]</f>
        <v>0</v>
      </c>
      <c r="G452">
        <v>1571.79</v>
      </c>
      <c r="H452">
        <f>Cleaned[[#This Row],[Credit]] *  Cleaned[[#This Row],[FX_rates]]</f>
        <v>88020.239999999991</v>
      </c>
      <c r="I452" t="s">
        <v>2025</v>
      </c>
      <c r="J452" t="s">
        <v>2030</v>
      </c>
      <c r="K452" t="s">
        <v>2481</v>
      </c>
      <c r="L452" t="s">
        <v>4033</v>
      </c>
      <c r="M452">
        <f>Cleaned[[#This Row],[Credit]]-Cleaned[[#This Row],[Debit]]</f>
        <v>1571.79</v>
      </c>
      <c r="N452" t="str">
        <f>_xlfn.XLOOKUP(Cleaned[[#This Row],[AccountName]], Account_Mapping!A:A, Account_Mapping!B:B,"Unmapped")</f>
        <v>Revenue</v>
      </c>
      <c r="O452" cm="1">
        <f t="array" ref="O452">_xlfn.XLOOKUP(
  1,
  (FX_Rates[Currency]=Cleaned[[#This Row],[Currency]])*
  (FX_Rates[RateDate]&lt;=Cleaned[[#This Row],[TxnDate]]),
  FX_Rates[Rate_To_INR],
  ,
  -1
)</f>
        <v>56</v>
      </c>
      <c r="P452" s="2">
        <f>Cleaned[[#This Row],[Net Amount]] *  Cleaned[[#This Row],[FX_rates]]</f>
        <v>88020.239999999991</v>
      </c>
    </row>
    <row r="453" spans="1:16" x14ac:dyDescent="0.45">
      <c r="A453" t="s">
        <v>461</v>
      </c>
      <c r="B453" s="1">
        <v>45817</v>
      </c>
      <c r="C453" s="2" t="s">
        <v>2012</v>
      </c>
      <c r="D453" t="s">
        <v>2017</v>
      </c>
      <c r="E453">
        <v>1413.19</v>
      </c>
      <c r="F453">
        <f>Cleaned[[#This Row],[Debit]] * Cleaned[[#This Row],[FX_rates]]</f>
        <v>79138.64</v>
      </c>
      <c r="G453">
        <v>0</v>
      </c>
      <c r="H453">
        <f>Cleaned[[#This Row],[Credit]] *  Cleaned[[#This Row],[FX_rates]]</f>
        <v>0</v>
      </c>
      <c r="I453" t="s">
        <v>2024</v>
      </c>
      <c r="J453" t="s">
        <v>2026</v>
      </c>
      <c r="K453" t="s">
        <v>2482</v>
      </c>
      <c r="L453" t="s">
        <v>4033</v>
      </c>
      <c r="M453">
        <f>Cleaned[[#This Row],[Credit]]-Cleaned[[#This Row],[Debit]]</f>
        <v>-1413.19</v>
      </c>
      <c r="N453" t="str">
        <f>_xlfn.XLOOKUP(Cleaned[[#This Row],[AccountName]], Account_Mapping!A:A, Account_Mapping!B:B,"Unmapped")</f>
        <v>Operating Expense</v>
      </c>
      <c r="O453" cm="1">
        <f t="array" ref="O453">_xlfn.XLOOKUP(
  1,
  (FX_Rates[Currency]=Cleaned[[#This Row],[Currency]])*
  (FX_Rates[RateDate]&lt;=Cleaned[[#This Row],[TxnDate]]),
  FX_Rates[Rate_To_INR],
  ,
  -1
)</f>
        <v>56</v>
      </c>
      <c r="P453" s="2">
        <f>Cleaned[[#This Row],[Net Amount]] *  Cleaned[[#This Row],[FX_rates]]</f>
        <v>-79138.64</v>
      </c>
    </row>
    <row r="454" spans="1:16" x14ac:dyDescent="0.45">
      <c r="A454" t="s">
        <v>462</v>
      </c>
      <c r="B454" s="1">
        <v>45256</v>
      </c>
      <c r="C454" s="2" t="s">
        <v>2012</v>
      </c>
      <c r="D454" t="s">
        <v>2017</v>
      </c>
      <c r="E454">
        <v>819.5</v>
      </c>
      <c r="F454">
        <f>Cleaned[[#This Row],[Debit]] * Cleaned[[#This Row],[FX_rates]]</f>
        <v>84408.5</v>
      </c>
      <c r="G454">
        <v>0</v>
      </c>
      <c r="H454">
        <f>Cleaned[[#This Row],[Credit]] *  Cleaned[[#This Row],[FX_rates]]</f>
        <v>0</v>
      </c>
      <c r="I454" t="s">
        <v>2022</v>
      </c>
      <c r="J454" t="s">
        <v>2028</v>
      </c>
      <c r="K454" t="s">
        <v>2483</v>
      </c>
      <c r="L454" t="s">
        <v>4031</v>
      </c>
      <c r="M454">
        <f>Cleaned[[#This Row],[Credit]]-Cleaned[[#This Row],[Debit]]</f>
        <v>-819.5</v>
      </c>
      <c r="N454" t="str">
        <f>_xlfn.XLOOKUP(Cleaned[[#This Row],[AccountName]], Account_Mapping!A:A, Account_Mapping!B:B,"Unmapped")</f>
        <v>Operating Expense</v>
      </c>
      <c r="O454" cm="1">
        <f t="array" ref="O454">_xlfn.XLOOKUP(
  1,
  (FX_Rates[Currency]=Cleaned[[#This Row],[Currency]])*
  (FX_Rates[RateDate]&lt;=Cleaned[[#This Row],[TxnDate]]),
  FX_Rates[Rate_To_INR],
  ,
  -1
)</f>
        <v>103</v>
      </c>
      <c r="P454" s="2">
        <f>Cleaned[[#This Row],[Net Amount]] *  Cleaned[[#This Row],[FX_rates]]</f>
        <v>-84408.5</v>
      </c>
    </row>
    <row r="455" spans="1:16" x14ac:dyDescent="0.45">
      <c r="A455" t="s">
        <v>463</v>
      </c>
      <c r="B455" s="1">
        <v>44964</v>
      </c>
      <c r="C455" s="2" t="s">
        <v>2014</v>
      </c>
      <c r="D455" t="s">
        <v>2019</v>
      </c>
      <c r="E455">
        <v>0</v>
      </c>
      <c r="F455">
        <f>Cleaned[[#This Row],[Debit]] * Cleaned[[#This Row],[FX_rates]]</f>
        <v>0</v>
      </c>
      <c r="G455">
        <v>1428.23</v>
      </c>
      <c r="H455">
        <f>Cleaned[[#This Row],[Credit]] *  Cleaned[[#This Row],[FX_rates]]</f>
        <v>117114.86</v>
      </c>
      <c r="I455" t="s">
        <v>2021</v>
      </c>
      <c r="J455" t="s">
        <v>2029</v>
      </c>
      <c r="K455" t="s">
        <v>2484</v>
      </c>
      <c r="L455" t="s">
        <v>4034</v>
      </c>
      <c r="M455">
        <f>Cleaned[[#This Row],[Credit]]-Cleaned[[#This Row],[Debit]]</f>
        <v>1428.23</v>
      </c>
      <c r="N455" t="str">
        <f>_xlfn.XLOOKUP(Cleaned[[#This Row],[AccountName]], Account_Mapping!A:A, Account_Mapping!B:B,"Unmapped")</f>
        <v>Revenue</v>
      </c>
      <c r="O455" cm="1">
        <f t="array" ref="O455">_xlfn.XLOOKUP(
  1,
  (FX_Rates[Currency]=Cleaned[[#This Row],[Currency]])*
  (FX_Rates[RateDate]&lt;=Cleaned[[#This Row],[TxnDate]]),
  FX_Rates[Rate_To_INR],
  ,
  -1
)</f>
        <v>82</v>
      </c>
      <c r="P455" s="2">
        <f>Cleaned[[#This Row],[Net Amount]] *  Cleaned[[#This Row],[FX_rates]]</f>
        <v>117114.86</v>
      </c>
    </row>
    <row r="456" spans="1:16" x14ac:dyDescent="0.45">
      <c r="A456" t="s">
        <v>464</v>
      </c>
      <c r="B456" s="1">
        <v>44935</v>
      </c>
      <c r="C456" s="2" t="s">
        <v>2010</v>
      </c>
      <c r="D456" t="s">
        <v>2015</v>
      </c>
      <c r="E456">
        <v>0</v>
      </c>
      <c r="F456">
        <f>Cleaned[[#This Row],[Debit]] * Cleaned[[#This Row],[FX_rates]]</f>
        <v>0</v>
      </c>
      <c r="G456">
        <v>1859.84</v>
      </c>
      <c r="H456">
        <f>Cleaned[[#This Row],[Credit]] *  Cleaned[[#This Row],[FX_rates]]</f>
        <v>163665.91999999998</v>
      </c>
      <c r="I456" t="s">
        <v>2020</v>
      </c>
      <c r="J456" t="s">
        <v>2029</v>
      </c>
      <c r="K456" t="s">
        <v>2485</v>
      </c>
      <c r="L456" t="s">
        <v>4032</v>
      </c>
      <c r="M456">
        <f>Cleaned[[#This Row],[Credit]]-Cleaned[[#This Row],[Debit]]</f>
        <v>1859.84</v>
      </c>
      <c r="N456" t="str">
        <f>_xlfn.XLOOKUP(Cleaned[[#This Row],[AccountName]], Account_Mapping!A:A, Account_Mapping!B:B,"Unmapped")</f>
        <v>Revenue</v>
      </c>
      <c r="O456" cm="1">
        <f t="array" ref="O456">_xlfn.XLOOKUP(
  1,
  (FX_Rates[Currency]=Cleaned[[#This Row],[Currency]])*
  (FX_Rates[RateDate]&lt;=Cleaned[[#This Row],[TxnDate]]),
  FX_Rates[Rate_To_INR],
  ,
  -1
)</f>
        <v>88</v>
      </c>
      <c r="P456" s="2">
        <f>Cleaned[[#This Row],[Net Amount]] *  Cleaned[[#This Row],[FX_rates]]</f>
        <v>163665.91999999998</v>
      </c>
    </row>
    <row r="457" spans="1:16" x14ac:dyDescent="0.45">
      <c r="A457" t="s">
        <v>465</v>
      </c>
      <c r="B457" s="1">
        <v>45443</v>
      </c>
      <c r="C457" s="2" t="s">
        <v>2013</v>
      </c>
      <c r="D457" t="s">
        <v>2018</v>
      </c>
      <c r="E457">
        <v>1060.6500000000001</v>
      </c>
      <c r="F457">
        <f>Cleaned[[#This Row],[Debit]] * Cleaned[[#This Row],[FX_rates]]</f>
        <v>86973.3</v>
      </c>
      <c r="G457">
        <v>0</v>
      </c>
      <c r="H457">
        <f>Cleaned[[#This Row],[Credit]] *  Cleaned[[#This Row],[FX_rates]]</f>
        <v>0</v>
      </c>
      <c r="I457" t="s">
        <v>2021</v>
      </c>
      <c r="J457" t="s">
        <v>2030</v>
      </c>
      <c r="K457" t="s">
        <v>2486</v>
      </c>
      <c r="L457" t="s">
        <v>4034</v>
      </c>
      <c r="M457">
        <f>Cleaned[[#This Row],[Credit]]-Cleaned[[#This Row],[Debit]]</f>
        <v>-1060.6500000000001</v>
      </c>
      <c r="N457" t="str">
        <f>_xlfn.XLOOKUP(Cleaned[[#This Row],[AccountName]], Account_Mapping!A:A, Account_Mapping!B:B,"Unmapped")</f>
        <v>Operating Expense</v>
      </c>
      <c r="O457" cm="1">
        <f t="array" ref="O457">_xlfn.XLOOKUP(
  1,
  (FX_Rates[Currency]=Cleaned[[#This Row],[Currency]])*
  (FX_Rates[RateDate]&lt;=Cleaned[[#This Row],[TxnDate]]),
  FX_Rates[Rate_To_INR],
  ,
  -1
)</f>
        <v>82</v>
      </c>
      <c r="P457" s="2">
        <f>Cleaned[[#This Row],[Net Amount]] *  Cleaned[[#This Row],[FX_rates]]</f>
        <v>-86973.3</v>
      </c>
    </row>
    <row r="458" spans="1:16" x14ac:dyDescent="0.45">
      <c r="A458" t="s">
        <v>466</v>
      </c>
      <c r="B458" s="1">
        <v>45626</v>
      </c>
      <c r="C458" s="2" t="s">
        <v>2012</v>
      </c>
      <c r="D458" t="s">
        <v>2017</v>
      </c>
      <c r="E458">
        <v>493.78</v>
      </c>
      <c r="F458">
        <f>Cleaned[[#This Row],[Debit]] * Cleaned[[#This Row],[FX_rates]]</f>
        <v>43452.639999999999</v>
      </c>
      <c r="G458">
        <v>0</v>
      </c>
      <c r="H458">
        <f>Cleaned[[#This Row],[Credit]] *  Cleaned[[#This Row],[FX_rates]]</f>
        <v>0</v>
      </c>
      <c r="I458" t="s">
        <v>2023</v>
      </c>
      <c r="J458" t="s">
        <v>2027</v>
      </c>
      <c r="K458" t="s">
        <v>2487</v>
      </c>
      <c r="L458" t="s">
        <v>4032</v>
      </c>
      <c r="M458">
        <f>Cleaned[[#This Row],[Credit]]-Cleaned[[#This Row],[Debit]]</f>
        <v>-493.78</v>
      </c>
      <c r="N458" t="str">
        <f>_xlfn.XLOOKUP(Cleaned[[#This Row],[AccountName]], Account_Mapping!A:A, Account_Mapping!B:B,"Unmapped")</f>
        <v>Operating Expense</v>
      </c>
      <c r="O458" cm="1">
        <f t="array" ref="O458">_xlfn.XLOOKUP(
  1,
  (FX_Rates[Currency]=Cleaned[[#This Row],[Currency]])*
  (FX_Rates[RateDate]&lt;=Cleaned[[#This Row],[TxnDate]]),
  FX_Rates[Rate_To_INR],
  ,
  -1
)</f>
        <v>88</v>
      </c>
      <c r="P458" s="2">
        <f>Cleaned[[#This Row],[Net Amount]] *  Cleaned[[#This Row],[FX_rates]]</f>
        <v>-43452.639999999999</v>
      </c>
    </row>
    <row r="459" spans="1:16" x14ac:dyDescent="0.45">
      <c r="A459" t="s">
        <v>467</v>
      </c>
      <c r="B459" s="1">
        <v>45443</v>
      </c>
      <c r="C459" s="2" t="s">
        <v>2013</v>
      </c>
      <c r="D459" t="s">
        <v>2018</v>
      </c>
      <c r="E459">
        <v>911.05</v>
      </c>
      <c r="F459">
        <f>Cleaned[[#This Row],[Debit]] * Cleaned[[#This Row],[FX_rates]]</f>
        <v>74706.099999999991</v>
      </c>
      <c r="G459">
        <v>0</v>
      </c>
      <c r="H459">
        <f>Cleaned[[#This Row],[Credit]] *  Cleaned[[#This Row],[FX_rates]]</f>
        <v>0</v>
      </c>
      <c r="I459" t="s">
        <v>2023</v>
      </c>
      <c r="J459" t="s">
        <v>2028</v>
      </c>
      <c r="K459" t="s">
        <v>2488</v>
      </c>
      <c r="L459" t="s">
        <v>4034</v>
      </c>
      <c r="M459">
        <f>Cleaned[[#This Row],[Credit]]-Cleaned[[#This Row],[Debit]]</f>
        <v>-911.05</v>
      </c>
      <c r="N459" t="str">
        <f>_xlfn.XLOOKUP(Cleaned[[#This Row],[AccountName]], Account_Mapping!A:A, Account_Mapping!B:B,"Unmapped")</f>
        <v>Operating Expense</v>
      </c>
      <c r="O459" cm="1">
        <f t="array" ref="O459">_xlfn.XLOOKUP(
  1,
  (FX_Rates[Currency]=Cleaned[[#This Row],[Currency]])*
  (FX_Rates[RateDate]&lt;=Cleaned[[#This Row],[TxnDate]]),
  FX_Rates[Rate_To_INR],
  ,
  -1
)</f>
        <v>82</v>
      </c>
      <c r="P459" s="2">
        <f>Cleaned[[#This Row],[Net Amount]] *  Cleaned[[#This Row],[FX_rates]]</f>
        <v>-74706.099999999991</v>
      </c>
    </row>
    <row r="460" spans="1:16" x14ac:dyDescent="0.45">
      <c r="A460" t="s">
        <v>468</v>
      </c>
      <c r="B460" s="1">
        <v>45541</v>
      </c>
      <c r="C460" s="2" t="s">
        <v>2014</v>
      </c>
      <c r="D460" t="s">
        <v>2019</v>
      </c>
      <c r="E460">
        <v>0</v>
      </c>
      <c r="F460">
        <f>Cleaned[[#This Row],[Debit]] * Cleaned[[#This Row],[FX_rates]]</f>
        <v>0</v>
      </c>
      <c r="G460">
        <v>855.46</v>
      </c>
      <c r="H460">
        <f>Cleaned[[#This Row],[Credit]] *  Cleaned[[#This Row],[FX_rates]]</f>
        <v>88112.38</v>
      </c>
      <c r="I460" t="s">
        <v>2023</v>
      </c>
      <c r="J460" t="s">
        <v>2026</v>
      </c>
      <c r="K460" t="s">
        <v>2489</v>
      </c>
      <c r="L460" t="s">
        <v>4031</v>
      </c>
      <c r="M460">
        <f>Cleaned[[#This Row],[Credit]]-Cleaned[[#This Row],[Debit]]</f>
        <v>855.46</v>
      </c>
      <c r="N460" t="str">
        <f>_xlfn.XLOOKUP(Cleaned[[#This Row],[AccountName]], Account_Mapping!A:A, Account_Mapping!B:B,"Unmapped")</f>
        <v>Revenue</v>
      </c>
      <c r="O460" cm="1">
        <f t="array" ref="O460">_xlfn.XLOOKUP(
  1,
  (FX_Rates[Currency]=Cleaned[[#This Row],[Currency]])*
  (FX_Rates[RateDate]&lt;=Cleaned[[#This Row],[TxnDate]]),
  FX_Rates[Rate_To_INR],
  ,
  -1
)</f>
        <v>103</v>
      </c>
      <c r="P460" s="2">
        <f>Cleaned[[#This Row],[Net Amount]] *  Cleaned[[#This Row],[FX_rates]]</f>
        <v>88112.38</v>
      </c>
    </row>
    <row r="461" spans="1:16" x14ac:dyDescent="0.45">
      <c r="A461" t="s">
        <v>469</v>
      </c>
      <c r="B461" s="1">
        <v>45182</v>
      </c>
      <c r="C461" s="2" t="s">
        <v>2011</v>
      </c>
      <c r="D461" t="s">
        <v>2016</v>
      </c>
      <c r="E461">
        <v>1218.8900000000001</v>
      </c>
      <c r="F461">
        <f>Cleaned[[#This Row],[Debit]] * Cleaned[[#This Row],[FX_rates]]</f>
        <v>99948.98000000001</v>
      </c>
      <c r="G461">
        <v>0</v>
      </c>
      <c r="H461">
        <f>Cleaned[[#This Row],[Credit]] *  Cleaned[[#This Row],[FX_rates]]</f>
        <v>0</v>
      </c>
      <c r="I461" t="s">
        <v>2023</v>
      </c>
      <c r="J461" t="s">
        <v>2029</v>
      </c>
      <c r="K461" t="s">
        <v>2490</v>
      </c>
      <c r="L461" t="s">
        <v>4034</v>
      </c>
      <c r="M461">
        <f>Cleaned[[#This Row],[Credit]]-Cleaned[[#This Row],[Debit]]</f>
        <v>-1218.8900000000001</v>
      </c>
      <c r="N461" t="str">
        <f>_xlfn.XLOOKUP(Cleaned[[#This Row],[AccountName]], Account_Mapping!A:A, Account_Mapping!B:B,"Unmapped")</f>
        <v>COGS</v>
      </c>
      <c r="O461" cm="1">
        <f t="array" ref="O461">_xlfn.XLOOKUP(
  1,
  (FX_Rates[Currency]=Cleaned[[#This Row],[Currency]])*
  (FX_Rates[RateDate]&lt;=Cleaned[[#This Row],[TxnDate]]),
  FX_Rates[Rate_To_INR],
  ,
  -1
)</f>
        <v>82</v>
      </c>
      <c r="P461" s="2">
        <f>Cleaned[[#This Row],[Net Amount]] *  Cleaned[[#This Row],[FX_rates]]</f>
        <v>-99948.98000000001</v>
      </c>
    </row>
    <row r="462" spans="1:16" x14ac:dyDescent="0.45">
      <c r="A462" t="s">
        <v>470</v>
      </c>
      <c r="B462" s="1">
        <v>44977</v>
      </c>
      <c r="C462" s="2" t="s">
        <v>2012</v>
      </c>
      <c r="D462" t="s">
        <v>2017</v>
      </c>
      <c r="E462">
        <v>670.27</v>
      </c>
      <c r="F462">
        <f>Cleaned[[#This Row],[Debit]] * Cleaned[[#This Row],[FX_rates]]</f>
        <v>54962.14</v>
      </c>
      <c r="G462">
        <v>0</v>
      </c>
      <c r="H462">
        <f>Cleaned[[#This Row],[Credit]] *  Cleaned[[#This Row],[FX_rates]]</f>
        <v>0</v>
      </c>
      <c r="I462" t="s">
        <v>2023</v>
      </c>
      <c r="J462" t="s">
        <v>2030</v>
      </c>
      <c r="K462" t="s">
        <v>2491</v>
      </c>
      <c r="L462" t="s">
        <v>4034</v>
      </c>
      <c r="M462">
        <f>Cleaned[[#This Row],[Credit]]-Cleaned[[#This Row],[Debit]]</f>
        <v>-670.27</v>
      </c>
      <c r="N462" t="str">
        <f>_xlfn.XLOOKUP(Cleaned[[#This Row],[AccountName]], Account_Mapping!A:A, Account_Mapping!B:B,"Unmapped")</f>
        <v>Operating Expense</v>
      </c>
      <c r="O462" cm="1">
        <f t="array" ref="O462">_xlfn.XLOOKUP(
  1,
  (FX_Rates[Currency]=Cleaned[[#This Row],[Currency]])*
  (FX_Rates[RateDate]&lt;=Cleaned[[#This Row],[TxnDate]]),
  FX_Rates[Rate_To_INR],
  ,
  -1
)</f>
        <v>82</v>
      </c>
      <c r="P462" s="2">
        <f>Cleaned[[#This Row],[Net Amount]] *  Cleaned[[#This Row],[FX_rates]]</f>
        <v>-54962.14</v>
      </c>
    </row>
    <row r="463" spans="1:16" x14ac:dyDescent="0.45">
      <c r="A463" t="s">
        <v>471</v>
      </c>
      <c r="B463" s="1">
        <v>45439</v>
      </c>
      <c r="C463" s="2" t="s">
        <v>2013</v>
      </c>
      <c r="D463" t="s">
        <v>2018</v>
      </c>
      <c r="E463">
        <v>579</v>
      </c>
      <c r="F463">
        <f>Cleaned[[#This Row],[Debit]] * Cleaned[[#This Row],[FX_rates]]</f>
        <v>59637</v>
      </c>
      <c r="G463">
        <v>0</v>
      </c>
      <c r="H463">
        <f>Cleaned[[#This Row],[Credit]] *  Cleaned[[#This Row],[FX_rates]]</f>
        <v>0</v>
      </c>
      <c r="I463" t="s">
        <v>2024</v>
      </c>
      <c r="J463" t="s">
        <v>2028</v>
      </c>
      <c r="K463" t="s">
        <v>2492</v>
      </c>
      <c r="L463" t="s">
        <v>4031</v>
      </c>
      <c r="M463">
        <f>Cleaned[[#This Row],[Credit]]-Cleaned[[#This Row],[Debit]]</f>
        <v>-579</v>
      </c>
      <c r="N463" t="str">
        <f>_xlfn.XLOOKUP(Cleaned[[#This Row],[AccountName]], Account_Mapping!A:A, Account_Mapping!B:B,"Unmapped")</f>
        <v>Operating Expense</v>
      </c>
      <c r="O463" cm="1">
        <f t="array" ref="O463">_xlfn.XLOOKUP(
  1,
  (FX_Rates[Currency]=Cleaned[[#This Row],[Currency]])*
  (FX_Rates[RateDate]&lt;=Cleaned[[#This Row],[TxnDate]]),
  FX_Rates[Rate_To_INR],
  ,
  -1
)</f>
        <v>103</v>
      </c>
      <c r="P463" s="2">
        <f>Cleaned[[#This Row],[Net Amount]] *  Cleaned[[#This Row],[FX_rates]]</f>
        <v>-59637</v>
      </c>
    </row>
    <row r="464" spans="1:16" x14ac:dyDescent="0.45">
      <c r="A464" t="s">
        <v>472</v>
      </c>
      <c r="B464" s="1">
        <v>45591</v>
      </c>
      <c r="C464" s="2" t="s">
        <v>2014</v>
      </c>
      <c r="D464" t="s">
        <v>2019</v>
      </c>
      <c r="E464">
        <v>0</v>
      </c>
      <c r="F464">
        <f>Cleaned[[#This Row],[Debit]] * Cleaned[[#This Row],[FX_rates]]</f>
        <v>0</v>
      </c>
      <c r="G464">
        <v>1322.5</v>
      </c>
      <c r="H464">
        <f>Cleaned[[#This Row],[Credit]] *  Cleaned[[#This Row],[FX_rates]]</f>
        <v>136217.5</v>
      </c>
      <c r="I464" t="s">
        <v>2021</v>
      </c>
      <c r="J464" t="s">
        <v>2026</v>
      </c>
      <c r="K464" t="s">
        <v>2493</v>
      </c>
      <c r="L464" t="s">
        <v>4031</v>
      </c>
      <c r="M464">
        <f>Cleaned[[#This Row],[Credit]]-Cleaned[[#This Row],[Debit]]</f>
        <v>1322.5</v>
      </c>
      <c r="N464" t="str">
        <f>_xlfn.XLOOKUP(Cleaned[[#This Row],[AccountName]], Account_Mapping!A:A, Account_Mapping!B:B,"Unmapped")</f>
        <v>Revenue</v>
      </c>
      <c r="O464" cm="1">
        <f t="array" ref="O464">_xlfn.XLOOKUP(
  1,
  (FX_Rates[Currency]=Cleaned[[#This Row],[Currency]])*
  (FX_Rates[RateDate]&lt;=Cleaned[[#This Row],[TxnDate]]),
  FX_Rates[Rate_To_INR],
  ,
  -1
)</f>
        <v>103</v>
      </c>
      <c r="P464" s="2">
        <f>Cleaned[[#This Row],[Net Amount]] *  Cleaned[[#This Row],[FX_rates]]</f>
        <v>136217.5</v>
      </c>
    </row>
    <row r="465" spans="1:16" x14ac:dyDescent="0.45">
      <c r="A465" t="s">
        <v>473</v>
      </c>
      <c r="B465" s="1">
        <v>45667</v>
      </c>
      <c r="C465" s="2" t="s">
        <v>2013</v>
      </c>
      <c r="D465" t="s">
        <v>2018</v>
      </c>
      <c r="E465">
        <v>1920.52</v>
      </c>
      <c r="F465">
        <f>Cleaned[[#This Row],[Debit]] * Cleaned[[#This Row],[FX_rates]]</f>
        <v>169005.76</v>
      </c>
      <c r="G465">
        <v>0</v>
      </c>
      <c r="H465">
        <f>Cleaned[[#This Row],[Credit]] *  Cleaned[[#This Row],[FX_rates]]</f>
        <v>0</v>
      </c>
      <c r="I465" t="s">
        <v>2020</v>
      </c>
      <c r="J465" t="s">
        <v>2027</v>
      </c>
      <c r="K465" t="s">
        <v>2494</v>
      </c>
      <c r="L465" t="s">
        <v>4032</v>
      </c>
      <c r="M465">
        <f>Cleaned[[#This Row],[Credit]]-Cleaned[[#This Row],[Debit]]</f>
        <v>-1920.52</v>
      </c>
      <c r="N465" t="str">
        <f>_xlfn.XLOOKUP(Cleaned[[#This Row],[AccountName]], Account_Mapping!A:A, Account_Mapping!B:B,"Unmapped")</f>
        <v>Operating Expense</v>
      </c>
      <c r="O465" cm="1">
        <f t="array" ref="O465">_xlfn.XLOOKUP(
  1,
  (FX_Rates[Currency]=Cleaned[[#This Row],[Currency]])*
  (FX_Rates[RateDate]&lt;=Cleaned[[#This Row],[TxnDate]]),
  FX_Rates[Rate_To_INR],
  ,
  -1
)</f>
        <v>88</v>
      </c>
      <c r="P465" s="2">
        <f>Cleaned[[#This Row],[Net Amount]] *  Cleaned[[#This Row],[FX_rates]]</f>
        <v>-169005.76</v>
      </c>
    </row>
    <row r="466" spans="1:16" x14ac:dyDescent="0.45">
      <c r="A466" t="s">
        <v>474</v>
      </c>
      <c r="B466" s="1">
        <v>45046</v>
      </c>
      <c r="C466" s="2" t="s">
        <v>2012</v>
      </c>
      <c r="D466" t="s">
        <v>2017</v>
      </c>
      <c r="E466">
        <v>417.54</v>
      </c>
      <c r="F466">
        <f>Cleaned[[#This Row],[Debit]] * Cleaned[[#This Row],[FX_rates]]</f>
        <v>25469.940000000002</v>
      </c>
      <c r="G466">
        <v>0</v>
      </c>
      <c r="H466">
        <f>Cleaned[[#This Row],[Credit]] *  Cleaned[[#This Row],[FX_rates]]</f>
        <v>0</v>
      </c>
      <c r="I466" t="s">
        <v>2023</v>
      </c>
      <c r="J466" t="s">
        <v>2027</v>
      </c>
      <c r="K466" t="s">
        <v>2495</v>
      </c>
      <c r="L466" t="s">
        <v>4035</v>
      </c>
      <c r="M466">
        <f>Cleaned[[#This Row],[Credit]]-Cleaned[[#This Row],[Debit]]</f>
        <v>-417.54</v>
      </c>
      <c r="N466" t="str">
        <f>_xlfn.XLOOKUP(Cleaned[[#This Row],[AccountName]], Account_Mapping!A:A, Account_Mapping!B:B,"Unmapped")</f>
        <v>Operating Expense</v>
      </c>
      <c r="O466" cm="1">
        <f t="array" ref="O466">_xlfn.XLOOKUP(
  1,
  (FX_Rates[Currency]=Cleaned[[#This Row],[Currency]])*
  (FX_Rates[RateDate]&lt;=Cleaned[[#This Row],[TxnDate]]),
  FX_Rates[Rate_To_INR],
  ,
  -1
)</f>
        <v>61</v>
      </c>
      <c r="P466" s="2">
        <f>Cleaned[[#This Row],[Net Amount]] *  Cleaned[[#This Row],[FX_rates]]</f>
        <v>-25469.940000000002</v>
      </c>
    </row>
    <row r="467" spans="1:16" x14ac:dyDescent="0.45">
      <c r="A467" t="s">
        <v>475</v>
      </c>
      <c r="B467" s="1">
        <v>45798</v>
      </c>
      <c r="C467" s="2" t="s">
        <v>2011</v>
      </c>
      <c r="D467" t="s">
        <v>2016</v>
      </c>
      <c r="E467">
        <v>1832.61</v>
      </c>
      <c r="F467">
        <f>Cleaned[[#This Row],[Debit]] * Cleaned[[#This Row],[FX_rates]]</f>
        <v>111789.20999999999</v>
      </c>
      <c r="G467">
        <v>0</v>
      </c>
      <c r="H467">
        <f>Cleaned[[#This Row],[Credit]] *  Cleaned[[#This Row],[FX_rates]]</f>
        <v>0</v>
      </c>
      <c r="I467" t="s">
        <v>2023</v>
      </c>
      <c r="J467" t="s">
        <v>2026</v>
      </c>
      <c r="K467" t="s">
        <v>2496</v>
      </c>
      <c r="L467" t="s">
        <v>4035</v>
      </c>
      <c r="M467">
        <f>Cleaned[[#This Row],[Credit]]-Cleaned[[#This Row],[Debit]]</f>
        <v>-1832.61</v>
      </c>
      <c r="N467" t="str">
        <f>_xlfn.XLOOKUP(Cleaned[[#This Row],[AccountName]], Account_Mapping!A:A, Account_Mapping!B:B,"Unmapped")</f>
        <v>COGS</v>
      </c>
      <c r="O467" cm="1">
        <f t="array" ref="O467">_xlfn.XLOOKUP(
  1,
  (FX_Rates[Currency]=Cleaned[[#This Row],[Currency]])*
  (FX_Rates[RateDate]&lt;=Cleaned[[#This Row],[TxnDate]]),
  FX_Rates[Rate_To_INR],
  ,
  -1
)</f>
        <v>61</v>
      </c>
      <c r="P467" s="2">
        <f>Cleaned[[#This Row],[Net Amount]] *  Cleaned[[#This Row],[FX_rates]]</f>
        <v>-111789.20999999999</v>
      </c>
    </row>
    <row r="468" spans="1:16" x14ac:dyDescent="0.45">
      <c r="A468" t="s">
        <v>476</v>
      </c>
      <c r="B468" s="1">
        <v>44974</v>
      </c>
      <c r="C468" s="2" t="s">
        <v>2010</v>
      </c>
      <c r="D468" t="s">
        <v>2015</v>
      </c>
      <c r="E468">
        <v>0</v>
      </c>
      <c r="F468">
        <f>Cleaned[[#This Row],[Debit]] * Cleaned[[#This Row],[FX_rates]]</f>
        <v>0</v>
      </c>
      <c r="G468">
        <v>1225.02</v>
      </c>
      <c r="H468">
        <f>Cleaned[[#This Row],[Credit]] *  Cleaned[[#This Row],[FX_rates]]</f>
        <v>107801.76</v>
      </c>
      <c r="I468" t="s">
        <v>2025</v>
      </c>
      <c r="J468" t="s">
        <v>2029</v>
      </c>
      <c r="K468" t="s">
        <v>2497</v>
      </c>
      <c r="L468" t="s">
        <v>4032</v>
      </c>
      <c r="M468">
        <f>Cleaned[[#This Row],[Credit]]-Cleaned[[#This Row],[Debit]]</f>
        <v>1225.02</v>
      </c>
      <c r="N468" t="str">
        <f>_xlfn.XLOOKUP(Cleaned[[#This Row],[AccountName]], Account_Mapping!A:A, Account_Mapping!B:B,"Unmapped")</f>
        <v>Revenue</v>
      </c>
      <c r="O468" cm="1">
        <f t="array" ref="O468">_xlfn.XLOOKUP(
  1,
  (FX_Rates[Currency]=Cleaned[[#This Row],[Currency]])*
  (FX_Rates[RateDate]&lt;=Cleaned[[#This Row],[TxnDate]]),
  FX_Rates[Rate_To_INR],
  ,
  -1
)</f>
        <v>88</v>
      </c>
      <c r="P468" s="2">
        <f>Cleaned[[#This Row],[Net Amount]] *  Cleaned[[#This Row],[FX_rates]]</f>
        <v>107801.76</v>
      </c>
    </row>
    <row r="469" spans="1:16" x14ac:dyDescent="0.45">
      <c r="A469" t="s">
        <v>477</v>
      </c>
      <c r="B469" s="1">
        <v>45583</v>
      </c>
      <c r="C469" s="2" t="s">
        <v>2011</v>
      </c>
      <c r="D469" t="s">
        <v>2016</v>
      </c>
      <c r="E469">
        <v>973.97</v>
      </c>
      <c r="F469">
        <f>Cleaned[[#This Row],[Debit]] * Cleaned[[#This Row],[FX_rates]]</f>
        <v>100318.91</v>
      </c>
      <c r="G469">
        <v>0</v>
      </c>
      <c r="H469">
        <f>Cleaned[[#This Row],[Credit]] *  Cleaned[[#This Row],[FX_rates]]</f>
        <v>0</v>
      </c>
      <c r="I469" t="s">
        <v>2024</v>
      </c>
      <c r="J469" t="s">
        <v>2026</v>
      </c>
      <c r="K469" t="s">
        <v>2498</v>
      </c>
      <c r="L469" t="s">
        <v>4031</v>
      </c>
      <c r="M469">
        <f>Cleaned[[#This Row],[Credit]]-Cleaned[[#This Row],[Debit]]</f>
        <v>-973.97</v>
      </c>
      <c r="N469" t="str">
        <f>_xlfn.XLOOKUP(Cleaned[[#This Row],[AccountName]], Account_Mapping!A:A, Account_Mapping!B:B,"Unmapped")</f>
        <v>COGS</v>
      </c>
      <c r="O469" cm="1">
        <f t="array" ref="O469">_xlfn.XLOOKUP(
  1,
  (FX_Rates[Currency]=Cleaned[[#This Row],[Currency]])*
  (FX_Rates[RateDate]&lt;=Cleaned[[#This Row],[TxnDate]]),
  FX_Rates[Rate_To_INR],
  ,
  -1
)</f>
        <v>103</v>
      </c>
      <c r="P469" s="2">
        <f>Cleaned[[#This Row],[Net Amount]] *  Cleaned[[#This Row],[FX_rates]]</f>
        <v>-100318.91</v>
      </c>
    </row>
    <row r="470" spans="1:16" x14ac:dyDescent="0.45">
      <c r="A470" t="s">
        <v>478</v>
      </c>
      <c r="B470" s="1">
        <v>45319</v>
      </c>
      <c r="C470" s="2" t="s">
        <v>2012</v>
      </c>
      <c r="D470" t="s">
        <v>2017</v>
      </c>
      <c r="E470">
        <v>525.5</v>
      </c>
      <c r="F470">
        <f>Cleaned[[#This Row],[Debit]] * Cleaned[[#This Row],[FX_rates]]</f>
        <v>46244</v>
      </c>
      <c r="G470">
        <v>0</v>
      </c>
      <c r="H470">
        <f>Cleaned[[#This Row],[Credit]] *  Cleaned[[#This Row],[FX_rates]]</f>
        <v>0</v>
      </c>
      <c r="I470" t="s">
        <v>2025</v>
      </c>
      <c r="J470" t="s">
        <v>2029</v>
      </c>
      <c r="K470" t="s">
        <v>2499</v>
      </c>
      <c r="L470" t="s">
        <v>4032</v>
      </c>
      <c r="M470">
        <f>Cleaned[[#This Row],[Credit]]-Cleaned[[#This Row],[Debit]]</f>
        <v>-525.5</v>
      </c>
      <c r="N470" t="str">
        <f>_xlfn.XLOOKUP(Cleaned[[#This Row],[AccountName]], Account_Mapping!A:A, Account_Mapping!B:B,"Unmapped")</f>
        <v>Operating Expense</v>
      </c>
      <c r="O470" cm="1">
        <f t="array" ref="O470">_xlfn.XLOOKUP(
  1,
  (FX_Rates[Currency]=Cleaned[[#This Row],[Currency]])*
  (FX_Rates[RateDate]&lt;=Cleaned[[#This Row],[TxnDate]]),
  FX_Rates[Rate_To_INR],
  ,
  -1
)</f>
        <v>88</v>
      </c>
      <c r="P470" s="2">
        <f>Cleaned[[#This Row],[Net Amount]] *  Cleaned[[#This Row],[FX_rates]]</f>
        <v>-46244</v>
      </c>
    </row>
    <row r="471" spans="1:16" x14ac:dyDescent="0.45">
      <c r="A471" t="s">
        <v>479</v>
      </c>
      <c r="B471" s="1">
        <v>45222</v>
      </c>
      <c r="C471" s="2" t="s">
        <v>2011</v>
      </c>
      <c r="D471" t="s">
        <v>2016</v>
      </c>
      <c r="E471">
        <v>805.56</v>
      </c>
      <c r="F471">
        <f>Cleaned[[#This Row],[Debit]] * Cleaned[[#This Row],[FX_rates]]</f>
        <v>49139.159999999996</v>
      </c>
      <c r="G471">
        <v>0</v>
      </c>
      <c r="H471">
        <f>Cleaned[[#This Row],[Credit]] *  Cleaned[[#This Row],[FX_rates]]</f>
        <v>0</v>
      </c>
      <c r="I471" t="s">
        <v>2020</v>
      </c>
      <c r="J471" t="s">
        <v>2028</v>
      </c>
      <c r="K471" t="s">
        <v>2500</v>
      </c>
      <c r="L471" t="s">
        <v>4035</v>
      </c>
      <c r="M471">
        <f>Cleaned[[#This Row],[Credit]]-Cleaned[[#This Row],[Debit]]</f>
        <v>-805.56</v>
      </c>
      <c r="N471" t="str">
        <f>_xlfn.XLOOKUP(Cleaned[[#This Row],[AccountName]], Account_Mapping!A:A, Account_Mapping!B:B,"Unmapped")</f>
        <v>COGS</v>
      </c>
      <c r="O471" cm="1">
        <f t="array" ref="O471">_xlfn.XLOOKUP(
  1,
  (FX_Rates[Currency]=Cleaned[[#This Row],[Currency]])*
  (FX_Rates[RateDate]&lt;=Cleaned[[#This Row],[TxnDate]]),
  FX_Rates[Rate_To_INR],
  ,
  -1
)</f>
        <v>61</v>
      </c>
      <c r="P471" s="2">
        <f>Cleaned[[#This Row],[Net Amount]] *  Cleaned[[#This Row],[FX_rates]]</f>
        <v>-49139.159999999996</v>
      </c>
    </row>
    <row r="472" spans="1:16" x14ac:dyDescent="0.45">
      <c r="A472" t="s">
        <v>480</v>
      </c>
      <c r="B472" s="1">
        <v>45261</v>
      </c>
      <c r="C472" s="2" t="s">
        <v>2012</v>
      </c>
      <c r="D472" t="s">
        <v>2017</v>
      </c>
      <c r="E472">
        <v>1466.97</v>
      </c>
      <c r="F472">
        <f>Cleaned[[#This Row],[Debit]] * Cleaned[[#This Row],[FX_rates]]</f>
        <v>82150.320000000007</v>
      </c>
      <c r="G472">
        <v>0</v>
      </c>
      <c r="H472">
        <f>Cleaned[[#This Row],[Credit]] *  Cleaned[[#This Row],[FX_rates]]</f>
        <v>0</v>
      </c>
      <c r="I472" t="s">
        <v>2021</v>
      </c>
      <c r="J472" t="s">
        <v>2029</v>
      </c>
      <c r="K472" t="s">
        <v>2501</v>
      </c>
      <c r="L472" t="s">
        <v>4033</v>
      </c>
      <c r="M472">
        <f>Cleaned[[#This Row],[Credit]]-Cleaned[[#This Row],[Debit]]</f>
        <v>-1466.97</v>
      </c>
      <c r="N472" t="str">
        <f>_xlfn.XLOOKUP(Cleaned[[#This Row],[AccountName]], Account_Mapping!A:A, Account_Mapping!B:B,"Unmapped")</f>
        <v>Operating Expense</v>
      </c>
      <c r="O472" cm="1">
        <f t="array" ref="O472">_xlfn.XLOOKUP(
  1,
  (FX_Rates[Currency]=Cleaned[[#This Row],[Currency]])*
  (FX_Rates[RateDate]&lt;=Cleaned[[#This Row],[TxnDate]]),
  FX_Rates[Rate_To_INR],
  ,
  -1
)</f>
        <v>56</v>
      </c>
      <c r="P472" s="2">
        <f>Cleaned[[#This Row],[Net Amount]] *  Cleaned[[#This Row],[FX_rates]]</f>
        <v>-82150.320000000007</v>
      </c>
    </row>
    <row r="473" spans="1:16" x14ac:dyDescent="0.45">
      <c r="A473" t="s">
        <v>481</v>
      </c>
      <c r="B473" s="1">
        <v>45644</v>
      </c>
      <c r="C473" s="2" t="s">
        <v>2014</v>
      </c>
      <c r="D473" t="s">
        <v>2019</v>
      </c>
      <c r="E473">
        <v>0</v>
      </c>
      <c r="F473">
        <f>Cleaned[[#This Row],[Debit]] * Cleaned[[#This Row],[FX_rates]]</f>
        <v>0</v>
      </c>
      <c r="G473">
        <v>4734.3599999999997</v>
      </c>
      <c r="H473">
        <f>Cleaned[[#This Row],[Credit]] *  Cleaned[[#This Row],[FX_rates]]</f>
        <v>265124.15999999997</v>
      </c>
      <c r="I473" t="s">
        <v>2020</v>
      </c>
      <c r="J473" t="s">
        <v>2028</v>
      </c>
      <c r="K473" t="s">
        <v>2502</v>
      </c>
      <c r="L473" t="s">
        <v>4033</v>
      </c>
      <c r="M473">
        <f>Cleaned[[#This Row],[Credit]]-Cleaned[[#This Row],[Debit]]</f>
        <v>4734.3599999999997</v>
      </c>
      <c r="N473" t="str">
        <f>_xlfn.XLOOKUP(Cleaned[[#This Row],[AccountName]], Account_Mapping!A:A, Account_Mapping!B:B,"Unmapped")</f>
        <v>Revenue</v>
      </c>
      <c r="O473" cm="1">
        <f t="array" ref="O473">_xlfn.XLOOKUP(
  1,
  (FX_Rates[Currency]=Cleaned[[#This Row],[Currency]])*
  (FX_Rates[RateDate]&lt;=Cleaned[[#This Row],[TxnDate]]),
  FX_Rates[Rate_To_INR],
  ,
  -1
)</f>
        <v>56</v>
      </c>
      <c r="P473" s="2">
        <f>Cleaned[[#This Row],[Net Amount]] *  Cleaned[[#This Row],[FX_rates]]</f>
        <v>265124.15999999997</v>
      </c>
    </row>
    <row r="474" spans="1:16" x14ac:dyDescent="0.45">
      <c r="A474" t="s">
        <v>482</v>
      </c>
      <c r="B474" s="1">
        <v>45191</v>
      </c>
      <c r="C474" s="2" t="s">
        <v>2014</v>
      </c>
      <c r="D474" t="s">
        <v>2019</v>
      </c>
      <c r="E474">
        <v>0</v>
      </c>
      <c r="F474">
        <f>Cleaned[[#This Row],[Debit]] * Cleaned[[#This Row],[FX_rates]]</f>
        <v>0</v>
      </c>
      <c r="G474">
        <v>1668.4</v>
      </c>
      <c r="H474">
        <f>Cleaned[[#This Row],[Credit]] *  Cleaned[[#This Row],[FX_rates]]</f>
        <v>136808.80000000002</v>
      </c>
      <c r="I474" t="s">
        <v>2024</v>
      </c>
      <c r="J474" t="s">
        <v>2030</v>
      </c>
      <c r="K474" t="s">
        <v>2503</v>
      </c>
      <c r="L474" t="s">
        <v>4034</v>
      </c>
      <c r="M474">
        <f>Cleaned[[#This Row],[Credit]]-Cleaned[[#This Row],[Debit]]</f>
        <v>1668.4</v>
      </c>
      <c r="N474" t="str">
        <f>_xlfn.XLOOKUP(Cleaned[[#This Row],[AccountName]], Account_Mapping!A:A, Account_Mapping!B:B,"Unmapped")</f>
        <v>Revenue</v>
      </c>
      <c r="O474" cm="1">
        <f t="array" ref="O474">_xlfn.XLOOKUP(
  1,
  (FX_Rates[Currency]=Cleaned[[#This Row],[Currency]])*
  (FX_Rates[RateDate]&lt;=Cleaned[[#This Row],[TxnDate]]),
  FX_Rates[Rate_To_INR],
  ,
  -1
)</f>
        <v>82</v>
      </c>
      <c r="P474" s="2">
        <f>Cleaned[[#This Row],[Net Amount]] *  Cleaned[[#This Row],[FX_rates]]</f>
        <v>136808.80000000002</v>
      </c>
    </row>
    <row r="475" spans="1:16" x14ac:dyDescent="0.45">
      <c r="A475" t="s">
        <v>483</v>
      </c>
      <c r="B475" s="1">
        <v>45276</v>
      </c>
      <c r="C475" s="2" t="s">
        <v>2014</v>
      </c>
      <c r="D475" t="s">
        <v>2019</v>
      </c>
      <c r="E475">
        <v>0</v>
      </c>
      <c r="F475">
        <f>Cleaned[[#This Row],[Debit]] * Cleaned[[#This Row],[FX_rates]]</f>
        <v>0</v>
      </c>
      <c r="G475">
        <v>4991.26</v>
      </c>
      <c r="H475">
        <f>Cleaned[[#This Row],[Credit]] *  Cleaned[[#This Row],[FX_rates]]</f>
        <v>409283.32</v>
      </c>
      <c r="I475" t="s">
        <v>2023</v>
      </c>
      <c r="J475" t="s">
        <v>2029</v>
      </c>
      <c r="K475" t="s">
        <v>2504</v>
      </c>
      <c r="L475" t="s">
        <v>4034</v>
      </c>
      <c r="M475">
        <f>Cleaned[[#This Row],[Credit]]-Cleaned[[#This Row],[Debit]]</f>
        <v>4991.26</v>
      </c>
      <c r="N475" t="str">
        <f>_xlfn.XLOOKUP(Cleaned[[#This Row],[AccountName]], Account_Mapping!A:A, Account_Mapping!B:B,"Unmapped")</f>
        <v>Revenue</v>
      </c>
      <c r="O475" cm="1">
        <f t="array" ref="O475">_xlfn.XLOOKUP(
  1,
  (FX_Rates[Currency]=Cleaned[[#This Row],[Currency]])*
  (FX_Rates[RateDate]&lt;=Cleaned[[#This Row],[TxnDate]]),
  FX_Rates[Rate_To_INR],
  ,
  -1
)</f>
        <v>82</v>
      </c>
      <c r="P475" s="2">
        <f>Cleaned[[#This Row],[Net Amount]] *  Cleaned[[#This Row],[FX_rates]]</f>
        <v>409283.32</v>
      </c>
    </row>
    <row r="476" spans="1:16" x14ac:dyDescent="0.45">
      <c r="A476" t="s">
        <v>484</v>
      </c>
      <c r="B476" s="1">
        <v>45662</v>
      </c>
      <c r="C476" s="2" t="s">
        <v>2012</v>
      </c>
      <c r="D476" t="s">
        <v>2017</v>
      </c>
      <c r="E476">
        <v>445.53</v>
      </c>
      <c r="F476">
        <f>Cleaned[[#This Row],[Debit]] * Cleaned[[#This Row],[FX_rates]]</f>
        <v>45889.59</v>
      </c>
      <c r="G476">
        <v>0</v>
      </c>
      <c r="H476">
        <f>Cleaned[[#This Row],[Credit]] *  Cleaned[[#This Row],[FX_rates]]</f>
        <v>0</v>
      </c>
      <c r="I476" t="s">
        <v>2022</v>
      </c>
      <c r="J476" t="s">
        <v>2030</v>
      </c>
      <c r="K476" t="s">
        <v>2505</v>
      </c>
      <c r="L476" t="s">
        <v>4031</v>
      </c>
      <c r="M476">
        <f>Cleaned[[#This Row],[Credit]]-Cleaned[[#This Row],[Debit]]</f>
        <v>-445.53</v>
      </c>
      <c r="N476" t="str">
        <f>_xlfn.XLOOKUP(Cleaned[[#This Row],[AccountName]], Account_Mapping!A:A, Account_Mapping!B:B,"Unmapped")</f>
        <v>Operating Expense</v>
      </c>
      <c r="O476" cm="1">
        <f t="array" ref="O476">_xlfn.XLOOKUP(
  1,
  (FX_Rates[Currency]=Cleaned[[#This Row],[Currency]])*
  (FX_Rates[RateDate]&lt;=Cleaned[[#This Row],[TxnDate]]),
  FX_Rates[Rate_To_INR],
  ,
  -1
)</f>
        <v>103</v>
      </c>
      <c r="P476" s="2">
        <f>Cleaned[[#This Row],[Net Amount]] *  Cleaned[[#This Row],[FX_rates]]</f>
        <v>-45889.59</v>
      </c>
    </row>
    <row r="477" spans="1:16" x14ac:dyDescent="0.45">
      <c r="A477" t="s">
        <v>485</v>
      </c>
      <c r="B477" s="1">
        <v>45494</v>
      </c>
      <c r="C477" s="2" t="s">
        <v>2012</v>
      </c>
      <c r="D477" t="s">
        <v>2017</v>
      </c>
      <c r="E477">
        <v>1464.99</v>
      </c>
      <c r="F477">
        <f>Cleaned[[#This Row],[Debit]] * Cleaned[[#This Row],[FX_rates]]</f>
        <v>128919.12</v>
      </c>
      <c r="G477">
        <v>0</v>
      </c>
      <c r="H477">
        <f>Cleaned[[#This Row],[Credit]] *  Cleaned[[#This Row],[FX_rates]]</f>
        <v>0</v>
      </c>
      <c r="I477" t="s">
        <v>2023</v>
      </c>
      <c r="J477" t="s">
        <v>2030</v>
      </c>
      <c r="K477" t="s">
        <v>2506</v>
      </c>
      <c r="L477" t="s">
        <v>4032</v>
      </c>
      <c r="M477">
        <f>Cleaned[[#This Row],[Credit]]-Cleaned[[#This Row],[Debit]]</f>
        <v>-1464.99</v>
      </c>
      <c r="N477" t="str">
        <f>_xlfn.XLOOKUP(Cleaned[[#This Row],[AccountName]], Account_Mapping!A:A, Account_Mapping!B:B,"Unmapped")</f>
        <v>Operating Expense</v>
      </c>
      <c r="O477" cm="1">
        <f t="array" ref="O477">_xlfn.XLOOKUP(
  1,
  (FX_Rates[Currency]=Cleaned[[#This Row],[Currency]])*
  (FX_Rates[RateDate]&lt;=Cleaned[[#This Row],[TxnDate]]),
  FX_Rates[Rate_To_INR],
  ,
  -1
)</f>
        <v>88</v>
      </c>
      <c r="P477" s="2">
        <f>Cleaned[[#This Row],[Net Amount]] *  Cleaned[[#This Row],[FX_rates]]</f>
        <v>-128919.12</v>
      </c>
    </row>
    <row r="478" spans="1:16" x14ac:dyDescent="0.45">
      <c r="A478" t="s">
        <v>486</v>
      </c>
      <c r="B478" s="1">
        <v>45266</v>
      </c>
      <c r="C478" s="2" t="s">
        <v>2014</v>
      </c>
      <c r="D478" t="s">
        <v>2019</v>
      </c>
      <c r="E478">
        <v>0</v>
      </c>
      <c r="F478">
        <f>Cleaned[[#This Row],[Debit]] * Cleaned[[#This Row],[FX_rates]]</f>
        <v>0</v>
      </c>
      <c r="G478">
        <v>1422.45</v>
      </c>
      <c r="H478">
        <f>Cleaned[[#This Row],[Credit]] *  Cleaned[[#This Row],[FX_rates]]</f>
        <v>125175.6</v>
      </c>
      <c r="I478" t="s">
        <v>2021</v>
      </c>
      <c r="J478" t="s">
        <v>2026</v>
      </c>
      <c r="K478" t="s">
        <v>2507</v>
      </c>
      <c r="L478" t="s">
        <v>4032</v>
      </c>
      <c r="M478">
        <f>Cleaned[[#This Row],[Credit]]-Cleaned[[#This Row],[Debit]]</f>
        <v>1422.45</v>
      </c>
      <c r="N478" t="str">
        <f>_xlfn.XLOOKUP(Cleaned[[#This Row],[AccountName]], Account_Mapping!A:A, Account_Mapping!B:B,"Unmapped")</f>
        <v>Revenue</v>
      </c>
      <c r="O478" cm="1">
        <f t="array" ref="O478">_xlfn.XLOOKUP(
  1,
  (FX_Rates[Currency]=Cleaned[[#This Row],[Currency]])*
  (FX_Rates[RateDate]&lt;=Cleaned[[#This Row],[TxnDate]]),
  FX_Rates[Rate_To_INR],
  ,
  -1
)</f>
        <v>88</v>
      </c>
      <c r="P478" s="2">
        <f>Cleaned[[#This Row],[Net Amount]] *  Cleaned[[#This Row],[FX_rates]]</f>
        <v>125175.6</v>
      </c>
    </row>
    <row r="479" spans="1:16" x14ac:dyDescent="0.45">
      <c r="A479" t="s">
        <v>487</v>
      </c>
      <c r="B479" s="1">
        <v>45583</v>
      </c>
      <c r="C479" s="2" t="s">
        <v>2014</v>
      </c>
      <c r="D479" t="s">
        <v>2019</v>
      </c>
      <c r="E479">
        <v>0</v>
      </c>
      <c r="F479">
        <f>Cleaned[[#This Row],[Debit]] * Cleaned[[#This Row],[FX_rates]]</f>
        <v>0</v>
      </c>
      <c r="G479">
        <v>2350.1999999999998</v>
      </c>
      <c r="H479">
        <f>Cleaned[[#This Row],[Credit]] *  Cleaned[[#This Row],[FX_rates]]</f>
        <v>131611.19999999998</v>
      </c>
      <c r="I479" t="s">
        <v>2021</v>
      </c>
      <c r="J479" t="s">
        <v>2026</v>
      </c>
      <c r="K479" t="s">
        <v>2508</v>
      </c>
      <c r="L479" t="s">
        <v>4033</v>
      </c>
      <c r="M479">
        <f>Cleaned[[#This Row],[Credit]]-Cleaned[[#This Row],[Debit]]</f>
        <v>2350.1999999999998</v>
      </c>
      <c r="N479" t="str">
        <f>_xlfn.XLOOKUP(Cleaned[[#This Row],[AccountName]], Account_Mapping!A:A, Account_Mapping!B:B,"Unmapped")</f>
        <v>Revenue</v>
      </c>
      <c r="O479" cm="1">
        <f t="array" ref="O479">_xlfn.XLOOKUP(
  1,
  (FX_Rates[Currency]=Cleaned[[#This Row],[Currency]])*
  (FX_Rates[RateDate]&lt;=Cleaned[[#This Row],[TxnDate]]),
  FX_Rates[Rate_To_INR],
  ,
  -1
)</f>
        <v>56</v>
      </c>
      <c r="P479" s="2">
        <f>Cleaned[[#This Row],[Net Amount]] *  Cleaned[[#This Row],[FX_rates]]</f>
        <v>131611.19999999998</v>
      </c>
    </row>
    <row r="480" spans="1:16" x14ac:dyDescent="0.45">
      <c r="A480" t="s">
        <v>488</v>
      </c>
      <c r="B480" s="1">
        <v>45191</v>
      </c>
      <c r="C480" s="2" t="s">
        <v>2012</v>
      </c>
      <c r="D480" t="s">
        <v>2017</v>
      </c>
      <c r="E480">
        <v>1559.89</v>
      </c>
      <c r="F480">
        <f>Cleaned[[#This Row],[Debit]] * Cleaned[[#This Row],[FX_rates]]</f>
        <v>87353.840000000011</v>
      </c>
      <c r="G480">
        <v>0</v>
      </c>
      <c r="H480">
        <f>Cleaned[[#This Row],[Credit]] *  Cleaned[[#This Row],[FX_rates]]</f>
        <v>0</v>
      </c>
      <c r="I480" t="s">
        <v>2021</v>
      </c>
      <c r="J480" t="s">
        <v>2028</v>
      </c>
      <c r="K480" t="s">
        <v>2509</v>
      </c>
      <c r="L480" t="s">
        <v>4033</v>
      </c>
      <c r="M480">
        <f>Cleaned[[#This Row],[Credit]]-Cleaned[[#This Row],[Debit]]</f>
        <v>-1559.89</v>
      </c>
      <c r="N480" t="str">
        <f>_xlfn.XLOOKUP(Cleaned[[#This Row],[AccountName]], Account_Mapping!A:A, Account_Mapping!B:B,"Unmapped")</f>
        <v>Operating Expense</v>
      </c>
      <c r="O480" cm="1">
        <f t="array" ref="O480">_xlfn.XLOOKUP(
  1,
  (FX_Rates[Currency]=Cleaned[[#This Row],[Currency]])*
  (FX_Rates[RateDate]&lt;=Cleaned[[#This Row],[TxnDate]]),
  FX_Rates[Rate_To_INR],
  ,
  -1
)</f>
        <v>56</v>
      </c>
      <c r="P480" s="2">
        <f>Cleaned[[#This Row],[Net Amount]] *  Cleaned[[#This Row],[FX_rates]]</f>
        <v>-87353.840000000011</v>
      </c>
    </row>
    <row r="481" spans="1:16" x14ac:dyDescent="0.45">
      <c r="A481" t="s">
        <v>489</v>
      </c>
      <c r="B481" s="1">
        <v>45586</v>
      </c>
      <c r="C481" s="2" t="s">
        <v>2013</v>
      </c>
      <c r="D481" t="s">
        <v>2018</v>
      </c>
      <c r="E481">
        <v>1570.96</v>
      </c>
      <c r="F481">
        <f>Cleaned[[#This Row],[Debit]] * Cleaned[[#This Row],[FX_rates]]</f>
        <v>128818.72</v>
      </c>
      <c r="G481">
        <v>0</v>
      </c>
      <c r="H481">
        <f>Cleaned[[#This Row],[Credit]] *  Cleaned[[#This Row],[FX_rates]]</f>
        <v>0</v>
      </c>
      <c r="I481" t="s">
        <v>2020</v>
      </c>
      <c r="J481" t="s">
        <v>2026</v>
      </c>
      <c r="K481" t="s">
        <v>2510</v>
      </c>
      <c r="L481" t="s">
        <v>4034</v>
      </c>
      <c r="M481">
        <f>Cleaned[[#This Row],[Credit]]-Cleaned[[#This Row],[Debit]]</f>
        <v>-1570.96</v>
      </c>
      <c r="N481" t="str">
        <f>_xlfn.XLOOKUP(Cleaned[[#This Row],[AccountName]], Account_Mapping!A:A, Account_Mapping!B:B,"Unmapped")</f>
        <v>Operating Expense</v>
      </c>
      <c r="O481" cm="1">
        <f t="array" ref="O481">_xlfn.XLOOKUP(
  1,
  (FX_Rates[Currency]=Cleaned[[#This Row],[Currency]])*
  (FX_Rates[RateDate]&lt;=Cleaned[[#This Row],[TxnDate]]),
  FX_Rates[Rate_To_INR],
  ,
  -1
)</f>
        <v>82</v>
      </c>
      <c r="P481" s="2">
        <f>Cleaned[[#This Row],[Net Amount]] *  Cleaned[[#This Row],[FX_rates]]</f>
        <v>-128818.72</v>
      </c>
    </row>
    <row r="482" spans="1:16" x14ac:dyDescent="0.45">
      <c r="A482" t="s">
        <v>490</v>
      </c>
      <c r="B482" s="1">
        <v>45202</v>
      </c>
      <c r="C482" s="2" t="s">
        <v>2010</v>
      </c>
      <c r="D482" t="s">
        <v>2015</v>
      </c>
      <c r="E482">
        <v>0</v>
      </c>
      <c r="F482">
        <f>Cleaned[[#This Row],[Debit]] * Cleaned[[#This Row],[FX_rates]]</f>
        <v>0</v>
      </c>
      <c r="G482">
        <v>3947.32</v>
      </c>
      <c r="H482">
        <f>Cleaned[[#This Row],[Credit]] *  Cleaned[[#This Row],[FX_rates]]</f>
        <v>406573.96</v>
      </c>
      <c r="I482" t="s">
        <v>2020</v>
      </c>
      <c r="J482" t="s">
        <v>2028</v>
      </c>
      <c r="K482" t="s">
        <v>2511</v>
      </c>
      <c r="L482" t="s">
        <v>4031</v>
      </c>
      <c r="M482">
        <f>Cleaned[[#This Row],[Credit]]-Cleaned[[#This Row],[Debit]]</f>
        <v>3947.32</v>
      </c>
      <c r="N482" t="str">
        <f>_xlfn.XLOOKUP(Cleaned[[#This Row],[AccountName]], Account_Mapping!A:A, Account_Mapping!B:B,"Unmapped")</f>
        <v>Revenue</v>
      </c>
      <c r="O482" cm="1">
        <f t="array" ref="O482">_xlfn.XLOOKUP(
  1,
  (FX_Rates[Currency]=Cleaned[[#This Row],[Currency]])*
  (FX_Rates[RateDate]&lt;=Cleaned[[#This Row],[TxnDate]]),
  FX_Rates[Rate_To_INR],
  ,
  -1
)</f>
        <v>103</v>
      </c>
      <c r="P482" s="2">
        <f>Cleaned[[#This Row],[Net Amount]] *  Cleaned[[#This Row],[FX_rates]]</f>
        <v>406573.96</v>
      </c>
    </row>
    <row r="483" spans="1:16" x14ac:dyDescent="0.45">
      <c r="A483" t="s">
        <v>491</v>
      </c>
      <c r="B483" s="1">
        <v>45599</v>
      </c>
      <c r="C483" s="2" t="s">
        <v>2012</v>
      </c>
      <c r="D483" t="s">
        <v>2017</v>
      </c>
      <c r="E483">
        <v>1467.92</v>
      </c>
      <c r="F483">
        <f>Cleaned[[#This Row],[Debit]] * Cleaned[[#This Row],[FX_rates]]</f>
        <v>120369.44</v>
      </c>
      <c r="G483">
        <v>0</v>
      </c>
      <c r="H483">
        <f>Cleaned[[#This Row],[Credit]] *  Cleaned[[#This Row],[FX_rates]]</f>
        <v>0</v>
      </c>
      <c r="I483" t="s">
        <v>2020</v>
      </c>
      <c r="J483" t="s">
        <v>2027</v>
      </c>
      <c r="K483" t="s">
        <v>2512</v>
      </c>
      <c r="L483" t="s">
        <v>4034</v>
      </c>
      <c r="M483">
        <f>Cleaned[[#This Row],[Credit]]-Cleaned[[#This Row],[Debit]]</f>
        <v>-1467.92</v>
      </c>
      <c r="N483" t="str">
        <f>_xlfn.XLOOKUP(Cleaned[[#This Row],[AccountName]], Account_Mapping!A:A, Account_Mapping!B:B,"Unmapped")</f>
        <v>Operating Expense</v>
      </c>
      <c r="O483" cm="1">
        <f t="array" ref="O483">_xlfn.XLOOKUP(
  1,
  (FX_Rates[Currency]=Cleaned[[#This Row],[Currency]])*
  (FX_Rates[RateDate]&lt;=Cleaned[[#This Row],[TxnDate]]),
  FX_Rates[Rate_To_INR],
  ,
  -1
)</f>
        <v>82</v>
      </c>
      <c r="P483" s="2">
        <f>Cleaned[[#This Row],[Net Amount]] *  Cleaned[[#This Row],[FX_rates]]</f>
        <v>-120369.44</v>
      </c>
    </row>
    <row r="484" spans="1:16" x14ac:dyDescent="0.45">
      <c r="A484" t="s">
        <v>492</v>
      </c>
      <c r="B484" s="1">
        <v>45100</v>
      </c>
      <c r="C484" s="2" t="s">
        <v>2011</v>
      </c>
      <c r="D484" t="s">
        <v>2016</v>
      </c>
      <c r="E484">
        <v>1843.54</v>
      </c>
      <c r="F484">
        <f>Cleaned[[#This Row],[Debit]] * Cleaned[[#This Row],[FX_rates]]</f>
        <v>189884.62</v>
      </c>
      <c r="G484">
        <v>0</v>
      </c>
      <c r="H484">
        <f>Cleaned[[#This Row],[Credit]] *  Cleaned[[#This Row],[FX_rates]]</f>
        <v>0</v>
      </c>
      <c r="I484" t="s">
        <v>2024</v>
      </c>
      <c r="J484" t="s">
        <v>2026</v>
      </c>
      <c r="K484" t="s">
        <v>2513</v>
      </c>
      <c r="L484" t="s">
        <v>4031</v>
      </c>
      <c r="M484">
        <f>Cleaned[[#This Row],[Credit]]-Cleaned[[#This Row],[Debit]]</f>
        <v>-1843.54</v>
      </c>
      <c r="N484" t="str">
        <f>_xlfn.XLOOKUP(Cleaned[[#This Row],[AccountName]], Account_Mapping!A:A, Account_Mapping!B:B,"Unmapped")</f>
        <v>COGS</v>
      </c>
      <c r="O484" cm="1">
        <f t="array" ref="O484">_xlfn.XLOOKUP(
  1,
  (FX_Rates[Currency]=Cleaned[[#This Row],[Currency]])*
  (FX_Rates[RateDate]&lt;=Cleaned[[#This Row],[TxnDate]]),
  FX_Rates[Rate_To_INR],
  ,
  -1
)</f>
        <v>103</v>
      </c>
      <c r="P484" s="2">
        <f>Cleaned[[#This Row],[Net Amount]] *  Cleaned[[#This Row],[FX_rates]]</f>
        <v>-189884.62</v>
      </c>
    </row>
    <row r="485" spans="1:16" x14ac:dyDescent="0.45">
      <c r="A485" t="s">
        <v>493</v>
      </c>
      <c r="B485" s="1">
        <v>45762</v>
      </c>
      <c r="C485" s="2" t="s">
        <v>2013</v>
      </c>
      <c r="D485" t="s">
        <v>2018</v>
      </c>
      <c r="E485">
        <v>134.56</v>
      </c>
      <c r="F485">
        <f>Cleaned[[#This Row],[Debit]] * Cleaned[[#This Row],[FX_rates]]</f>
        <v>11841.28</v>
      </c>
      <c r="G485">
        <v>0</v>
      </c>
      <c r="H485">
        <f>Cleaned[[#This Row],[Credit]] *  Cleaned[[#This Row],[FX_rates]]</f>
        <v>0</v>
      </c>
      <c r="I485" t="s">
        <v>2020</v>
      </c>
      <c r="J485" t="s">
        <v>2030</v>
      </c>
      <c r="K485" t="s">
        <v>2514</v>
      </c>
      <c r="L485" t="s">
        <v>4032</v>
      </c>
      <c r="M485">
        <f>Cleaned[[#This Row],[Credit]]-Cleaned[[#This Row],[Debit]]</f>
        <v>-134.56</v>
      </c>
      <c r="N485" t="str">
        <f>_xlfn.XLOOKUP(Cleaned[[#This Row],[AccountName]], Account_Mapping!A:A, Account_Mapping!B:B,"Unmapped")</f>
        <v>Operating Expense</v>
      </c>
      <c r="O485" cm="1">
        <f t="array" ref="O485">_xlfn.XLOOKUP(
  1,
  (FX_Rates[Currency]=Cleaned[[#This Row],[Currency]])*
  (FX_Rates[RateDate]&lt;=Cleaned[[#This Row],[TxnDate]]),
  FX_Rates[Rate_To_INR],
  ,
  -1
)</f>
        <v>88</v>
      </c>
      <c r="P485" s="2">
        <f>Cleaned[[#This Row],[Net Amount]] *  Cleaned[[#This Row],[FX_rates]]</f>
        <v>-11841.28</v>
      </c>
    </row>
    <row r="486" spans="1:16" x14ac:dyDescent="0.45">
      <c r="A486" t="s">
        <v>494</v>
      </c>
      <c r="B486" s="1">
        <v>45675</v>
      </c>
      <c r="C486" s="2" t="s">
        <v>2010</v>
      </c>
      <c r="D486" t="s">
        <v>2015</v>
      </c>
      <c r="E486">
        <v>0</v>
      </c>
      <c r="F486">
        <f>Cleaned[[#This Row],[Debit]] * Cleaned[[#This Row],[FX_rates]]</f>
        <v>0</v>
      </c>
      <c r="G486">
        <v>1712.94</v>
      </c>
      <c r="H486">
        <f>Cleaned[[#This Row],[Credit]] *  Cleaned[[#This Row],[FX_rates]]</f>
        <v>150738.72</v>
      </c>
      <c r="I486" t="s">
        <v>2024</v>
      </c>
      <c r="J486" t="s">
        <v>2026</v>
      </c>
      <c r="K486" t="s">
        <v>2515</v>
      </c>
      <c r="L486" t="s">
        <v>4032</v>
      </c>
      <c r="M486">
        <f>Cleaned[[#This Row],[Credit]]-Cleaned[[#This Row],[Debit]]</f>
        <v>1712.94</v>
      </c>
      <c r="N486" t="str">
        <f>_xlfn.XLOOKUP(Cleaned[[#This Row],[AccountName]], Account_Mapping!A:A, Account_Mapping!B:B,"Unmapped")</f>
        <v>Revenue</v>
      </c>
      <c r="O486" cm="1">
        <f t="array" ref="O486">_xlfn.XLOOKUP(
  1,
  (FX_Rates[Currency]=Cleaned[[#This Row],[Currency]])*
  (FX_Rates[RateDate]&lt;=Cleaned[[#This Row],[TxnDate]]),
  FX_Rates[Rate_To_INR],
  ,
  -1
)</f>
        <v>88</v>
      </c>
      <c r="P486" s="2">
        <f>Cleaned[[#This Row],[Net Amount]] *  Cleaned[[#This Row],[FX_rates]]</f>
        <v>150738.72</v>
      </c>
    </row>
    <row r="487" spans="1:16" x14ac:dyDescent="0.45">
      <c r="A487" t="s">
        <v>495</v>
      </c>
      <c r="B487" s="1">
        <v>45139</v>
      </c>
      <c r="C487" s="2" t="s">
        <v>2013</v>
      </c>
      <c r="D487" t="s">
        <v>2018</v>
      </c>
      <c r="E487">
        <v>551.23</v>
      </c>
      <c r="F487">
        <f>Cleaned[[#This Row],[Debit]] * Cleaned[[#This Row],[FX_rates]]</f>
        <v>56776.69</v>
      </c>
      <c r="G487">
        <v>0</v>
      </c>
      <c r="H487">
        <f>Cleaned[[#This Row],[Credit]] *  Cleaned[[#This Row],[FX_rates]]</f>
        <v>0</v>
      </c>
      <c r="I487" t="s">
        <v>2025</v>
      </c>
      <c r="J487" t="s">
        <v>2029</v>
      </c>
      <c r="K487" t="s">
        <v>2516</v>
      </c>
      <c r="L487" t="s">
        <v>4031</v>
      </c>
      <c r="M487">
        <f>Cleaned[[#This Row],[Credit]]-Cleaned[[#This Row],[Debit]]</f>
        <v>-551.23</v>
      </c>
      <c r="N487" t="str">
        <f>_xlfn.XLOOKUP(Cleaned[[#This Row],[AccountName]], Account_Mapping!A:A, Account_Mapping!B:B,"Unmapped")</f>
        <v>Operating Expense</v>
      </c>
      <c r="O487" cm="1">
        <f t="array" ref="O487">_xlfn.XLOOKUP(
  1,
  (FX_Rates[Currency]=Cleaned[[#This Row],[Currency]])*
  (FX_Rates[RateDate]&lt;=Cleaned[[#This Row],[TxnDate]]),
  FX_Rates[Rate_To_INR],
  ,
  -1
)</f>
        <v>103</v>
      </c>
      <c r="P487" s="2">
        <f>Cleaned[[#This Row],[Net Amount]] *  Cleaned[[#This Row],[FX_rates]]</f>
        <v>-56776.69</v>
      </c>
    </row>
    <row r="488" spans="1:16" x14ac:dyDescent="0.45">
      <c r="A488" t="s">
        <v>496</v>
      </c>
      <c r="B488" s="1">
        <v>45518</v>
      </c>
      <c r="C488" s="2" t="s">
        <v>2010</v>
      </c>
      <c r="D488" t="s">
        <v>2015</v>
      </c>
      <c r="E488">
        <v>0</v>
      </c>
      <c r="F488">
        <f>Cleaned[[#This Row],[Debit]] * Cleaned[[#This Row],[FX_rates]]</f>
        <v>0</v>
      </c>
      <c r="G488">
        <v>588.37</v>
      </c>
      <c r="H488">
        <f>Cleaned[[#This Row],[Credit]] *  Cleaned[[#This Row],[FX_rates]]</f>
        <v>60602.11</v>
      </c>
      <c r="I488" t="s">
        <v>2020</v>
      </c>
      <c r="J488" t="s">
        <v>2028</v>
      </c>
      <c r="K488" t="s">
        <v>2517</v>
      </c>
      <c r="L488" t="s">
        <v>4031</v>
      </c>
      <c r="M488">
        <f>Cleaned[[#This Row],[Credit]]-Cleaned[[#This Row],[Debit]]</f>
        <v>588.37</v>
      </c>
      <c r="N488" t="str">
        <f>_xlfn.XLOOKUP(Cleaned[[#This Row],[AccountName]], Account_Mapping!A:A, Account_Mapping!B:B,"Unmapped")</f>
        <v>Revenue</v>
      </c>
      <c r="O488" cm="1">
        <f t="array" ref="O488">_xlfn.XLOOKUP(
  1,
  (FX_Rates[Currency]=Cleaned[[#This Row],[Currency]])*
  (FX_Rates[RateDate]&lt;=Cleaned[[#This Row],[TxnDate]]),
  FX_Rates[Rate_To_INR],
  ,
  -1
)</f>
        <v>103</v>
      </c>
      <c r="P488" s="2">
        <f>Cleaned[[#This Row],[Net Amount]] *  Cleaned[[#This Row],[FX_rates]]</f>
        <v>60602.11</v>
      </c>
    </row>
    <row r="489" spans="1:16" x14ac:dyDescent="0.45">
      <c r="A489" t="s">
        <v>497</v>
      </c>
      <c r="B489" s="1">
        <v>45510</v>
      </c>
      <c r="C489" s="2" t="s">
        <v>2012</v>
      </c>
      <c r="D489" t="s">
        <v>2017</v>
      </c>
      <c r="E489">
        <v>134.5</v>
      </c>
      <c r="F489">
        <f>Cleaned[[#This Row],[Debit]] * Cleaned[[#This Row],[FX_rates]]</f>
        <v>8204.5</v>
      </c>
      <c r="G489">
        <v>0</v>
      </c>
      <c r="H489">
        <f>Cleaned[[#This Row],[Credit]] *  Cleaned[[#This Row],[FX_rates]]</f>
        <v>0</v>
      </c>
      <c r="I489" t="s">
        <v>2024</v>
      </c>
      <c r="J489" t="s">
        <v>2026</v>
      </c>
      <c r="K489" t="s">
        <v>2518</v>
      </c>
      <c r="L489" t="s">
        <v>4035</v>
      </c>
      <c r="M489">
        <f>Cleaned[[#This Row],[Credit]]-Cleaned[[#This Row],[Debit]]</f>
        <v>-134.5</v>
      </c>
      <c r="N489" t="str">
        <f>_xlfn.XLOOKUP(Cleaned[[#This Row],[AccountName]], Account_Mapping!A:A, Account_Mapping!B:B,"Unmapped")</f>
        <v>Operating Expense</v>
      </c>
      <c r="O489" cm="1">
        <f t="array" ref="O489">_xlfn.XLOOKUP(
  1,
  (FX_Rates[Currency]=Cleaned[[#This Row],[Currency]])*
  (FX_Rates[RateDate]&lt;=Cleaned[[#This Row],[TxnDate]]),
  FX_Rates[Rate_To_INR],
  ,
  -1
)</f>
        <v>61</v>
      </c>
      <c r="P489" s="2">
        <f>Cleaned[[#This Row],[Net Amount]] *  Cleaned[[#This Row],[FX_rates]]</f>
        <v>-8204.5</v>
      </c>
    </row>
    <row r="490" spans="1:16" x14ac:dyDescent="0.45">
      <c r="A490" t="s">
        <v>498</v>
      </c>
      <c r="B490" s="1">
        <v>45610</v>
      </c>
      <c r="C490" s="2" t="s">
        <v>2011</v>
      </c>
      <c r="D490" t="s">
        <v>2016</v>
      </c>
      <c r="E490">
        <v>630.03</v>
      </c>
      <c r="F490">
        <f>Cleaned[[#This Row],[Debit]] * Cleaned[[#This Row],[FX_rates]]</f>
        <v>38431.83</v>
      </c>
      <c r="G490">
        <v>0</v>
      </c>
      <c r="H490">
        <f>Cleaned[[#This Row],[Credit]] *  Cleaned[[#This Row],[FX_rates]]</f>
        <v>0</v>
      </c>
      <c r="I490" t="s">
        <v>2024</v>
      </c>
      <c r="J490" t="s">
        <v>2029</v>
      </c>
      <c r="K490" t="s">
        <v>2519</v>
      </c>
      <c r="L490" t="s">
        <v>4035</v>
      </c>
      <c r="M490">
        <f>Cleaned[[#This Row],[Credit]]-Cleaned[[#This Row],[Debit]]</f>
        <v>-630.03</v>
      </c>
      <c r="N490" t="str">
        <f>_xlfn.XLOOKUP(Cleaned[[#This Row],[AccountName]], Account_Mapping!A:A, Account_Mapping!B:B,"Unmapped")</f>
        <v>COGS</v>
      </c>
      <c r="O490" cm="1">
        <f t="array" ref="O490">_xlfn.XLOOKUP(
  1,
  (FX_Rates[Currency]=Cleaned[[#This Row],[Currency]])*
  (FX_Rates[RateDate]&lt;=Cleaned[[#This Row],[TxnDate]]),
  FX_Rates[Rate_To_INR],
  ,
  -1
)</f>
        <v>61</v>
      </c>
      <c r="P490" s="2">
        <f>Cleaned[[#This Row],[Net Amount]] *  Cleaned[[#This Row],[FX_rates]]</f>
        <v>-38431.83</v>
      </c>
    </row>
    <row r="491" spans="1:16" x14ac:dyDescent="0.45">
      <c r="A491" t="s">
        <v>499</v>
      </c>
      <c r="B491" s="1">
        <v>45132</v>
      </c>
      <c r="C491" s="2" t="s">
        <v>2012</v>
      </c>
      <c r="D491" t="s">
        <v>2017</v>
      </c>
      <c r="E491">
        <v>1840.05</v>
      </c>
      <c r="F491">
        <f>Cleaned[[#This Row],[Debit]] * Cleaned[[#This Row],[FX_rates]]</f>
        <v>103042.8</v>
      </c>
      <c r="G491">
        <v>0</v>
      </c>
      <c r="H491">
        <f>Cleaned[[#This Row],[Credit]] *  Cleaned[[#This Row],[FX_rates]]</f>
        <v>0</v>
      </c>
      <c r="I491" t="s">
        <v>2020</v>
      </c>
      <c r="J491" t="s">
        <v>2026</v>
      </c>
      <c r="K491" t="s">
        <v>2520</v>
      </c>
      <c r="L491" t="s">
        <v>4033</v>
      </c>
      <c r="M491">
        <f>Cleaned[[#This Row],[Credit]]-Cleaned[[#This Row],[Debit]]</f>
        <v>-1840.05</v>
      </c>
      <c r="N491" t="str">
        <f>_xlfn.XLOOKUP(Cleaned[[#This Row],[AccountName]], Account_Mapping!A:A, Account_Mapping!B:B,"Unmapped")</f>
        <v>Operating Expense</v>
      </c>
      <c r="O491" cm="1">
        <f t="array" ref="O491">_xlfn.XLOOKUP(
  1,
  (FX_Rates[Currency]=Cleaned[[#This Row],[Currency]])*
  (FX_Rates[RateDate]&lt;=Cleaned[[#This Row],[TxnDate]]),
  FX_Rates[Rate_To_INR],
  ,
  -1
)</f>
        <v>56</v>
      </c>
      <c r="P491" s="2">
        <f>Cleaned[[#This Row],[Net Amount]] *  Cleaned[[#This Row],[FX_rates]]</f>
        <v>-103042.8</v>
      </c>
    </row>
    <row r="492" spans="1:16" x14ac:dyDescent="0.45">
      <c r="A492" t="s">
        <v>500</v>
      </c>
      <c r="B492" s="1">
        <v>45036</v>
      </c>
      <c r="C492" s="2" t="s">
        <v>2011</v>
      </c>
      <c r="D492" t="s">
        <v>2016</v>
      </c>
      <c r="E492">
        <v>1943.87</v>
      </c>
      <c r="F492">
        <f>Cleaned[[#This Row],[Debit]] * Cleaned[[#This Row],[FX_rates]]</f>
        <v>108856.72</v>
      </c>
      <c r="G492">
        <v>0</v>
      </c>
      <c r="H492">
        <f>Cleaned[[#This Row],[Credit]] *  Cleaned[[#This Row],[FX_rates]]</f>
        <v>0</v>
      </c>
      <c r="I492" t="s">
        <v>2023</v>
      </c>
      <c r="J492" t="s">
        <v>2030</v>
      </c>
      <c r="K492" t="s">
        <v>2521</v>
      </c>
      <c r="L492" t="s">
        <v>4033</v>
      </c>
      <c r="M492">
        <f>Cleaned[[#This Row],[Credit]]-Cleaned[[#This Row],[Debit]]</f>
        <v>-1943.87</v>
      </c>
      <c r="N492" t="str">
        <f>_xlfn.XLOOKUP(Cleaned[[#This Row],[AccountName]], Account_Mapping!A:A, Account_Mapping!B:B,"Unmapped")</f>
        <v>COGS</v>
      </c>
      <c r="O492" cm="1">
        <f t="array" ref="O492">_xlfn.XLOOKUP(
  1,
  (FX_Rates[Currency]=Cleaned[[#This Row],[Currency]])*
  (FX_Rates[RateDate]&lt;=Cleaned[[#This Row],[TxnDate]]),
  FX_Rates[Rate_To_INR],
  ,
  -1
)</f>
        <v>56</v>
      </c>
      <c r="P492" s="2">
        <f>Cleaned[[#This Row],[Net Amount]] *  Cleaned[[#This Row],[FX_rates]]</f>
        <v>-108856.72</v>
      </c>
    </row>
    <row r="493" spans="1:16" x14ac:dyDescent="0.45">
      <c r="A493" t="s">
        <v>501</v>
      </c>
      <c r="B493" s="1">
        <v>45559</v>
      </c>
      <c r="C493" s="2" t="s">
        <v>2010</v>
      </c>
      <c r="D493" t="s">
        <v>2015</v>
      </c>
      <c r="E493">
        <v>0</v>
      </c>
      <c r="F493">
        <f>Cleaned[[#This Row],[Debit]] * Cleaned[[#This Row],[FX_rates]]</f>
        <v>0</v>
      </c>
      <c r="G493">
        <v>2322.15</v>
      </c>
      <c r="H493">
        <f>Cleaned[[#This Row],[Credit]] *  Cleaned[[#This Row],[FX_rates]]</f>
        <v>190416.30000000002</v>
      </c>
      <c r="I493" t="s">
        <v>2020</v>
      </c>
      <c r="J493" t="s">
        <v>2028</v>
      </c>
      <c r="K493" t="s">
        <v>2522</v>
      </c>
      <c r="L493" t="s">
        <v>4034</v>
      </c>
      <c r="M493">
        <f>Cleaned[[#This Row],[Credit]]-Cleaned[[#This Row],[Debit]]</f>
        <v>2322.15</v>
      </c>
      <c r="N493" t="str">
        <f>_xlfn.XLOOKUP(Cleaned[[#This Row],[AccountName]], Account_Mapping!A:A, Account_Mapping!B:B,"Unmapped")</f>
        <v>Revenue</v>
      </c>
      <c r="O493" cm="1">
        <f t="array" ref="O493">_xlfn.XLOOKUP(
  1,
  (FX_Rates[Currency]=Cleaned[[#This Row],[Currency]])*
  (FX_Rates[RateDate]&lt;=Cleaned[[#This Row],[TxnDate]]),
  FX_Rates[Rate_To_INR],
  ,
  -1
)</f>
        <v>82</v>
      </c>
      <c r="P493" s="2">
        <f>Cleaned[[#This Row],[Net Amount]] *  Cleaned[[#This Row],[FX_rates]]</f>
        <v>190416.30000000002</v>
      </c>
    </row>
    <row r="494" spans="1:16" x14ac:dyDescent="0.45">
      <c r="A494" t="s">
        <v>502</v>
      </c>
      <c r="B494" s="1">
        <v>45741</v>
      </c>
      <c r="C494" s="2" t="s">
        <v>2010</v>
      </c>
      <c r="D494" t="s">
        <v>2015</v>
      </c>
      <c r="E494">
        <v>0</v>
      </c>
      <c r="F494">
        <f>Cleaned[[#This Row],[Debit]] * Cleaned[[#This Row],[FX_rates]]</f>
        <v>0</v>
      </c>
      <c r="G494">
        <v>1615.42</v>
      </c>
      <c r="H494">
        <f>Cleaned[[#This Row],[Credit]] *  Cleaned[[#This Row],[FX_rates]]</f>
        <v>98540.62000000001</v>
      </c>
      <c r="I494" t="s">
        <v>2023</v>
      </c>
      <c r="J494" t="s">
        <v>2027</v>
      </c>
      <c r="K494" t="s">
        <v>2523</v>
      </c>
      <c r="L494" t="s">
        <v>4035</v>
      </c>
      <c r="M494">
        <f>Cleaned[[#This Row],[Credit]]-Cleaned[[#This Row],[Debit]]</f>
        <v>1615.42</v>
      </c>
      <c r="N494" t="str">
        <f>_xlfn.XLOOKUP(Cleaned[[#This Row],[AccountName]], Account_Mapping!A:A, Account_Mapping!B:B,"Unmapped")</f>
        <v>Revenue</v>
      </c>
      <c r="O494" cm="1">
        <f t="array" ref="O494">_xlfn.XLOOKUP(
  1,
  (FX_Rates[Currency]=Cleaned[[#This Row],[Currency]])*
  (FX_Rates[RateDate]&lt;=Cleaned[[#This Row],[TxnDate]]),
  FX_Rates[Rate_To_INR],
  ,
  -1
)</f>
        <v>61</v>
      </c>
      <c r="P494" s="2">
        <f>Cleaned[[#This Row],[Net Amount]] *  Cleaned[[#This Row],[FX_rates]]</f>
        <v>98540.62000000001</v>
      </c>
    </row>
    <row r="495" spans="1:16" x14ac:dyDescent="0.45">
      <c r="A495" t="s">
        <v>503</v>
      </c>
      <c r="B495" s="1">
        <v>45415</v>
      </c>
      <c r="C495" s="2" t="s">
        <v>2014</v>
      </c>
      <c r="D495" t="s">
        <v>2019</v>
      </c>
      <c r="E495">
        <v>0</v>
      </c>
      <c r="F495">
        <f>Cleaned[[#This Row],[Debit]] * Cleaned[[#This Row],[FX_rates]]</f>
        <v>0</v>
      </c>
      <c r="G495">
        <v>3274.24</v>
      </c>
      <c r="H495">
        <f>Cleaned[[#This Row],[Credit]] *  Cleaned[[#This Row],[FX_rates]]</f>
        <v>199728.63999999998</v>
      </c>
      <c r="I495" t="s">
        <v>2021</v>
      </c>
      <c r="J495" t="s">
        <v>2030</v>
      </c>
      <c r="K495" t="s">
        <v>2524</v>
      </c>
      <c r="L495" t="s">
        <v>4035</v>
      </c>
      <c r="M495">
        <f>Cleaned[[#This Row],[Credit]]-Cleaned[[#This Row],[Debit]]</f>
        <v>3274.24</v>
      </c>
      <c r="N495" t="str">
        <f>_xlfn.XLOOKUP(Cleaned[[#This Row],[AccountName]], Account_Mapping!A:A, Account_Mapping!B:B,"Unmapped")</f>
        <v>Revenue</v>
      </c>
      <c r="O495" cm="1">
        <f t="array" ref="O495">_xlfn.XLOOKUP(
  1,
  (FX_Rates[Currency]=Cleaned[[#This Row],[Currency]])*
  (FX_Rates[RateDate]&lt;=Cleaned[[#This Row],[TxnDate]]),
  FX_Rates[Rate_To_INR],
  ,
  -1
)</f>
        <v>61</v>
      </c>
      <c r="P495" s="2">
        <f>Cleaned[[#This Row],[Net Amount]] *  Cleaned[[#This Row],[FX_rates]]</f>
        <v>199728.63999999998</v>
      </c>
    </row>
    <row r="496" spans="1:16" x14ac:dyDescent="0.45">
      <c r="A496" t="s">
        <v>504</v>
      </c>
      <c r="B496" s="1">
        <v>45240</v>
      </c>
      <c r="C496" s="2" t="s">
        <v>2013</v>
      </c>
      <c r="D496" t="s">
        <v>2018</v>
      </c>
      <c r="E496">
        <v>293.63</v>
      </c>
      <c r="F496">
        <f>Cleaned[[#This Row],[Debit]] * Cleaned[[#This Row],[FX_rates]]</f>
        <v>17911.43</v>
      </c>
      <c r="G496">
        <v>0</v>
      </c>
      <c r="H496">
        <f>Cleaned[[#This Row],[Credit]] *  Cleaned[[#This Row],[FX_rates]]</f>
        <v>0</v>
      </c>
      <c r="I496" t="s">
        <v>2023</v>
      </c>
      <c r="J496" t="s">
        <v>2027</v>
      </c>
      <c r="K496" t="s">
        <v>2525</v>
      </c>
      <c r="L496" t="s">
        <v>4035</v>
      </c>
      <c r="M496">
        <f>Cleaned[[#This Row],[Credit]]-Cleaned[[#This Row],[Debit]]</f>
        <v>-293.63</v>
      </c>
      <c r="N496" t="str">
        <f>_xlfn.XLOOKUP(Cleaned[[#This Row],[AccountName]], Account_Mapping!A:A, Account_Mapping!B:B,"Unmapped")</f>
        <v>Operating Expense</v>
      </c>
      <c r="O496" cm="1">
        <f t="array" ref="O496">_xlfn.XLOOKUP(
  1,
  (FX_Rates[Currency]=Cleaned[[#This Row],[Currency]])*
  (FX_Rates[RateDate]&lt;=Cleaned[[#This Row],[TxnDate]]),
  FX_Rates[Rate_To_INR],
  ,
  -1
)</f>
        <v>61</v>
      </c>
      <c r="P496" s="2">
        <f>Cleaned[[#This Row],[Net Amount]] *  Cleaned[[#This Row],[FX_rates]]</f>
        <v>-17911.43</v>
      </c>
    </row>
    <row r="497" spans="1:16" x14ac:dyDescent="0.45">
      <c r="A497" t="s">
        <v>505</v>
      </c>
      <c r="B497" s="1">
        <v>44972</v>
      </c>
      <c r="C497" s="2" t="s">
        <v>2010</v>
      </c>
      <c r="D497" t="s">
        <v>2015</v>
      </c>
      <c r="E497">
        <v>0</v>
      </c>
      <c r="F497">
        <f>Cleaned[[#This Row],[Debit]] * Cleaned[[#This Row],[FX_rates]]</f>
        <v>0</v>
      </c>
      <c r="G497">
        <v>2924.19</v>
      </c>
      <c r="H497">
        <f>Cleaned[[#This Row],[Credit]] *  Cleaned[[#This Row],[FX_rates]]</f>
        <v>239783.58000000002</v>
      </c>
      <c r="I497" t="s">
        <v>2024</v>
      </c>
      <c r="J497" t="s">
        <v>2029</v>
      </c>
      <c r="K497" t="s">
        <v>2526</v>
      </c>
      <c r="L497" t="s">
        <v>4034</v>
      </c>
      <c r="M497">
        <f>Cleaned[[#This Row],[Credit]]-Cleaned[[#This Row],[Debit]]</f>
        <v>2924.19</v>
      </c>
      <c r="N497" t="str">
        <f>_xlfn.XLOOKUP(Cleaned[[#This Row],[AccountName]], Account_Mapping!A:A, Account_Mapping!B:B,"Unmapped")</f>
        <v>Revenue</v>
      </c>
      <c r="O497" cm="1">
        <f t="array" ref="O497">_xlfn.XLOOKUP(
  1,
  (FX_Rates[Currency]=Cleaned[[#This Row],[Currency]])*
  (FX_Rates[RateDate]&lt;=Cleaned[[#This Row],[TxnDate]]),
  FX_Rates[Rate_To_INR],
  ,
  -1
)</f>
        <v>82</v>
      </c>
      <c r="P497" s="2">
        <f>Cleaned[[#This Row],[Net Amount]] *  Cleaned[[#This Row],[FX_rates]]</f>
        <v>239783.58000000002</v>
      </c>
    </row>
    <row r="498" spans="1:16" x14ac:dyDescent="0.45">
      <c r="A498" t="s">
        <v>506</v>
      </c>
      <c r="B498" s="1">
        <v>45602</v>
      </c>
      <c r="C498" s="2" t="s">
        <v>2011</v>
      </c>
      <c r="D498" t="s">
        <v>2016</v>
      </c>
      <c r="E498">
        <v>630.34</v>
      </c>
      <c r="F498">
        <f>Cleaned[[#This Row],[Debit]] * Cleaned[[#This Row],[FX_rates]]</f>
        <v>51687.880000000005</v>
      </c>
      <c r="G498">
        <v>0</v>
      </c>
      <c r="H498">
        <f>Cleaned[[#This Row],[Credit]] *  Cleaned[[#This Row],[FX_rates]]</f>
        <v>0</v>
      </c>
      <c r="I498" t="s">
        <v>2020</v>
      </c>
      <c r="J498" t="s">
        <v>2026</v>
      </c>
      <c r="K498" t="s">
        <v>2527</v>
      </c>
      <c r="L498" t="s">
        <v>4034</v>
      </c>
      <c r="M498">
        <f>Cleaned[[#This Row],[Credit]]-Cleaned[[#This Row],[Debit]]</f>
        <v>-630.34</v>
      </c>
      <c r="N498" t="str">
        <f>_xlfn.XLOOKUP(Cleaned[[#This Row],[AccountName]], Account_Mapping!A:A, Account_Mapping!B:B,"Unmapped")</f>
        <v>COGS</v>
      </c>
      <c r="O498" cm="1">
        <f t="array" ref="O498">_xlfn.XLOOKUP(
  1,
  (FX_Rates[Currency]=Cleaned[[#This Row],[Currency]])*
  (FX_Rates[RateDate]&lt;=Cleaned[[#This Row],[TxnDate]]),
  FX_Rates[Rate_To_INR],
  ,
  -1
)</f>
        <v>82</v>
      </c>
      <c r="P498" s="2">
        <f>Cleaned[[#This Row],[Net Amount]] *  Cleaned[[#This Row],[FX_rates]]</f>
        <v>-51687.880000000005</v>
      </c>
    </row>
    <row r="499" spans="1:16" x14ac:dyDescent="0.45">
      <c r="A499" t="s">
        <v>507</v>
      </c>
      <c r="B499" s="1">
        <v>45336</v>
      </c>
      <c r="C499" s="2" t="s">
        <v>2010</v>
      </c>
      <c r="D499" t="s">
        <v>2015</v>
      </c>
      <c r="E499">
        <v>0</v>
      </c>
      <c r="F499">
        <f>Cleaned[[#This Row],[Debit]] * Cleaned[[#This Row],[FX_rates]]</f>
        <v>0</v>
      </c>
      <c r="G499">
        <v>2794.59</v>
      </c>
      <c r="H499">
        <f>Cleaned[[#This Row],[Credit]] *  Cleaned[[#This Row],[FX_rates]]</f>
        <v>245923.92</v>
      </c>
      <c r="I499" t="s">
        <v>2021</v>
      </c>
      <c r="J499" t="s">
        <v>2029</v>
      </c>
      <c r="K499" t="s">
        <v>2528</v>
      </c>
      <c r="L499" t="s">
        <v>4032</v>
      </c>
      <c r="M499">
        <f>Cleaned[[#This Row],[Credit]]-Cleaned[[#This Row],[Debit]]</f>
        <v>2794.59</v>
      </c>
      <c r="N499" t="str">
        <f>_xlfn.XLOOKUP(Cleaned[[#This Row],[AccountName]], Account_Mapping!A:A, Account_Mapping!B:B,"Unmapped")</f>
        <v>Revenue</v>
      </c>
      <c r="O499" cm="1">
        <f t="array" ref="O499">_xlfn.XLOOKUP(
  1,
  (FX_Rates[Currency]=Cleaned[[#This Row],[Currency]])*
  (FX_Rates[RateDate]&lt;=Cleaned[[#This Row],[TxnDate]]),
  FX_Rates[Rate_To_INR],
  ,
  -1
)</f>
        <v>88</v>
      </c>
      <c r="P499" s="2">
        <f>Cleaned[[#This Row],[Net Amount]] *  Cleaned[[#This Row],[FX_rates]]</f>
        <v>245923.92</v>
      </c>
    </row>
    <row r="500" spans="1:16" x14ac:dyDescent="0.45">
      <c r="A500" t="s">
        <v>508</v>
      </c>
      <c r="B500" s="1">
        <v>45182</v>
      </c>
      <c r="C500" s="2" t="s">
        <v>2011</v>
      </c>
      <c r="D500" t="s">
        <v>2016</v>
      </c>
      <c r="E500">
        <v>276.86</v>
      </c>
      <c r="F500">
        <f>Cleaned[[#This Row],[Debit]] * Cleaned[[#This Row],[FX_rates]]</f>
        <v>22702.52</v>
      </c>
      <c r="G500">
        <v>0</v>
      </c>
      <c r="H500">
        <f>Cleaned[[#This Row],[Credit]] *  Cleaned[[#This Row],[FX_rates]]</f>
        <v>0</v>
      </c>
      <c r="I500" t="s">
        <v>2023</v>
      </c>
      <c r="J500" t="s">
        <v>2028</v>
      </c>
      <c r="K500" t="s">
        <v>2529</v>
      </c>
      <c r="L500" t="s">
        <v>4034</v>
      </c>
      <c r="M500">
        <f>Cleaned[[#This Row],[Credit]]-Cleaned[[#This Row],[Debit]]</f>
        <v>-276.86</v>
      </c>
      <c r="N500" t="str">
        <f>_xlfn.XLOOKUP(Cleaned[[#This Row],[AccountName]], Account_Mapping!A:A, Account_Mapping!B:B,"Unmapped")</f>
        <v>COGS</v>
      </c>
      <c r="O500" cm="1">
        <f t="array" ref="O500">_xlfn.XLOOKUP(
  1,
  (FX_Rates[Currency]=Cleaned[[#This Row],[Currency]])*
  (FX_Rates[RateDate]&lt;=Cleaned[[#This Row],[TxnDate]]),
  FX_Rates[Rate_To_INR],
  ,
  -1
)</f>
        <v>82</v>
      </c>
      <c r="P500" s="2">
        <f>Cleaned[[#This Row],[Net Amount]] *  Cleaned[[#This Row],[FX_rates]]</f>
        <v>-22702.52</v>
      </c>
    </row>
    <row r="501" spans="1:16" x14ac:dyDescent="0.45">
      <c r="A501" t="s">
        <v>509</v>
      </c>
      <c r="B501" s="1">
        <v>45113</v>
      </c>
      <c r="C501" s="2" t="s">
        <v>2011</v>
      </c>
      <c r="D501" t="s">
        <v>2016</v>
      </c>
      <c r="E501">
        <v>1358.2</v>
      </c>
      <c r="F501">
        <f>Cleaned[[#This Row],[Debit]] * Cleaned[[#This Row],[FX_rates]]</f>
        <v>139894.6</v>
      </c>
      <c r="G501">
        <v>0</v>
      </c>
      <c r="H501">
        <f>Cleaned[[#This Row],[Credit]] *  Cleaned[[#This Row],[FX_rates]]</f>
        <v>0</v>
      </c>
      <c r="I501" t="s">
        <v>2020</v>
      </c>
      <c r="J501" t="s">
        <v>2029</v>
      </c>
      <c r="K501" t="s">
        <v>2530</v>
      </c>
      <c r="L501" t="s">
        <v>4031</v>
      </c>
      <c r="M501">
        <f>Cleaned[[#This Row],[Credit]]-Cleaned[[#This Row],[Debit]]</f>
        <v>-1358.2</v>
      </c>
      <c r="N501" t="str">
        <f>_xlfn.XLOOKUP(Cleaned[[#This Row],[AccountName]], Account_Mapping!A:A, Account_Mapping!B:B,"Unmapped")</f>
        <v>COGS</v>
      </c>
      <c r="O501" cm="1">
        <f t="array" ref="O501">_xlfn.XLOOKUP(
  1,
  (FX_Rates[Currency]=Cleaned[[#This Row],[Currency]])*
  (FX_Rates[RateDate]&lt;=Cleaned[[#This Row],[TxnDate]]),
  FX_Rates[Rate_To_INR],
  ,
  -1
)</f>
        <v>103</v>
      </c>
      <c r="P501" s="2">
        <f>Cleaned[[#This Row],[Net Amount]] *  Cleaned[[#This Row],[FX_rates]]</f>
        <v>-139894.6</v>
      </c>
    </row>
    <row r="502" spans="1:16" x14ac:dyDescent="0.45">
      <c r="A502" t="s">
        <v>510</v>
      </c>
      <c r="B502" s="1">
        <v>45408</v>
      </c>
      <c r="C502" s="2" t="s">
        <v>2013</v>
      </c>
      <c r="D502" t="s">
        <v>2018</v>
      </c>
      <c r="E502">
        <v>701.01</v>
      </c>
      <c r="F502">
        <f>Cleaned[[#This Row],[Debit]] * Cleaned[[#This Row],[FX_rates]]</f>
        <v>72204.03</v>
      </c>
      <c r="G502">
        <v>0</v>
      </c>
      <c r="H502">
        <f>Cleaned[[#This Row],[Credit]] *  Cleaned[[#This Row],[FX_rates]]</f>
        <v>0</v>
      </c>
      <c r="I502" t="s">
        <v>2023</v>
      </c>
      <c r="J502" t="s">
        <v>2030</v>
      </c>
      <c r="K502" t="s">
        <v>2531</v>
      </c>
      <c r="L502" t="s">
        <v>4031</v>
      </c>
      <c r="M502">
        <f>Cleaned[[#This Row],[Credit]]-Cleaned[[#This Row],[Debit]]</f>
        <v>-701.01</v>
      </c>
      <c r="N502" t="str">
        <f>_xlfn.XLOOKUP(Cleaned[[#This Row],[AccountName]], Account_Mapping!A:A, Account_Mapping!B:B,"Unmapped")</f>
        <v>Operating Expense</v>
      </c>
      <c r="O502" cm="1">
        <f t="array" ref="O502">_xlfn.XLOOKUP(
  1,
  (FX_Rates[Currency]=Cleaned[[#This Row],[Currency]])*
  (FX_Rates[RateDate]&lt;=Cleaned[[#This Row],[TxnDate]]),
  FX_Rates[Rate_To_INR],
  ,
  -1
)</f>
        <v>103</v>
      </c>
      <c r="P502" s="2">
        <f>Cleaned[[#This Row],[Net Amount]] *  Cleaned[[#This Row],[FX_rates]]</f>
        <v>-72204.03</v>
      </c>
    </row>
    <row r="503" spans="1:16" x14ac:dyDescent="0.45">
      <c r="A503" t="s">
        <v>511</v>
      </c>
      <c r="B503" s="1">
        <v>45576</v>
      </c>
      <c r="C503" s="2" t="s">
        <v>2010</v>
      </c>
      <c r="D503" t="s">
        <v>2015</v>
      </c>
      <c r="E503">
        <v>0</v>
      </c>
      <c r="F503">
        <f>Cleaned[[#This Row],[Debit]] * Cleaned[[#This Row],[FX_rates]]</f>
        <v>0</v>
      </c>
      <c r="G503">
        <v>3951.26</v>
      </c>
      <c r="H503">
        <f>Cleaned[[#This Row],[Credit]] *  Cleaned[[#This Row],[FX_rates]]</f>
        <v>221270.56</v>
      </c>
      <c r="I503" t="s">
        <v>2024</v>
      </c>
      <c r="J503" t="s">
        <v>2026</v>
      </c>
      <c r="K503" t="s">
        <v>2532</v>
      </c>
      <c r="L503" t="s">
        <v>4033</v>
      </c>
      <c r="M503">
        <f>Cleaned[[#This Row],[Credit]]-Cleaned[[#This Row],[Debit]]</f>
        <v>3951.26</v>
      </c>
      <c r="N503" t="str">
        <f>_xlfn.XLOOKUP(Cleaned[[#This Row],[AccountName]], Account_Mapping!A:A, Account_Mapping!B:B,"Unmapped")</f>
        <v>Revenue</v>
      </c>
      <c r="O503" cm="1">
        <f t="array" ref="O503">_xlfn.XLOOKUP(
  1,
  (FX_Rates[Currency]=Cleaned[[#This Row],[Currency]])*
  (FX_Rates[RateDate]&lt;=Cleaned[[#This Row],[TxnDate]]),
  FX_Rates[Rate_To_INR],
  ,
  -1
)</f>
        <v>56</v>
      </c>
      <c r="P503" s="2">
        <f>Cleaned[[#This Row],[Net Amount]] *  Cleaned[[#This Row],[FX_rates]]</f>
        <v>221270.56</v>
      </c>
    </row>
    <row r="504" spans="1:16" x14ac:dyDescent="0.45">
      <c r="A504" t="s">
        <v>512</v>
      </c>
      <c r="B504" s="1">
        <v>45105</v>
      </c>
      <c r="C504" s="2" t="s">
        <v>2010</v>
      </c>
      <c r="D504" t="s">
        <v>2015</v>
      </c>
      <c r="E504">
        <v>0</v>
      </c>
      <c r="F504">
        <f>Cleaned[[#This Row],[Debit]] * Cleaned[[#This Row],[FX_rates]]</f>
        <v>0</v>
      </c>
      <c r="G504">
        <v>1521.81</v>
      </c>
      <c r="H504">
        <f>Cleaned[[#This Row],[Credit]] *  Cleaned[[#This Row],[FX_rates]]</f>
        <v>133919.28</v>
      </c>
      <c r="I504" t="s">
        <v>2023</v>
      </c>
      <c r="J504" t="s">
        <v>2029</v>
      </c>
      <c r="K504" t="s">
        <v>2533</v>
      </c>
      <c r="L504" t="s">
        <v>4032</v>
      </c>
      <c r="M504">
        <f>Cleaned[[#This Row],[Credit]]-Cleaned[[#This Row],[Debit]]</f>
        <v>1521.81</v>
      </c>
      <c r="N504" t="str">
        <f>_xlfn.XLOOKUP(Cleaned[[#This Row],[AccountName]], Account_Mapping!A:A, Account_Mapping!B:B,"Unmapped")</f>
        <v>Revenue</v>
      </c>
      <c r="O504" cm="1">
        <f t="array" ref="O504">_xlfn.XLOOKUP(
  1,
  (FX_Rates[Currency]=Cleaned[[#This Row],[Currency]])*
  (FX_Rates[RateDate]&lt;=Cleaned[[#This Row],[TxnDate]]),
  FX_Rates[Rate_To_INR],
  ,
  -1
)</f>
        <v>88</v>
      </c>
      <c r="P504" s="2">
        <f>Cleaned[[#This Row],[Net Amount]] *  Cleaned[[#This Row],[FX_rates]]</f>
        <v>133919.28</v>
      </c>
    </row>
    <row r="505" spans="1:16" x14ac:dyDescent="0.45">
      <c r="A505" t="s">
        <v>513</v>
      </c>
      <c r="B505" s="1">
        <v>45160</v>
      </c>
      <c r="C505" s="2" t="s">
        <v>2013</v>
      </c>
      <c r="D505" t="s">
        <v>2018</v>
      </c>
      <c r="E505">
        <v>402.01</v>
      </c>
      <c r="F505">
        <f>Cleaned[[#This Row],[Debit]] * Cleaned[[#This Row],[FX_rates]]</f>
        <v>35376.879999999997</v>
      </c>
      <c r="G505">
        <v>0</v>
      </c>
      <c r="H505">
        <f>Cleaned[[#This Row],[Credit]] *  Cleaned[[#This Row],[FX_rates]]</f>
        <v>0</v>
      </c>
      <c r="I505" t="s">
        <v>2023</v>
      </c>
      <c r="J505" t="s">
        <v>2026</v>
      </c>
      <c r="K505" t="s">
        <v>2534</v>
      </c>
      <c r="L505" t="s">
        <v>4032</v>
      </c>
      <c r="M505">
        <f>Cleaned[[#This Row],[Credit]]-Cleaned[[#This Row],[Debit]]</f>
        <v>-402.01</v>
      </c>
      <c r="N505" t="str">
        <f>_xlfn.XLOOKUP(Cleaned[[#This Row],[AccountName]], Account_Mapping!A:A, Account_Mapping!B:B,"Unmapped")</f>
        <v>Operating Expense</v>
      </c>
      <c r="O505" cm="1">
        <f t="array" ref="O505">_xlfn.XLOOKUP(
  1,
  (FX_Rates[Currency]=Cleaned[[#This Row],[Currency]])*
  (FX_Rates[RateDate]&lt;=Cleaned[[#This Row],[TxnDate]]),
  FX_Rates[Rate_To_INR],
  ,
  -1
)</f>
        <v>88</v>
      </c>
      <c r="P505" s="2">
        <f>Cleaned[[#This Row],[Net Amount]] *  Cleaned[[#This Row],[FX_rates]]</f>
        <v>-35376.879999999997</v>
      </c>
    </row>
    <row r="506" spans="1:16" x14ac:dyDescent="0.45">
      <c r="A506" t="s">
        <v>514</v>
      </c>
      <c r="B506" s="1">
        <v>45334</v>
      </c>
      <c r="C506" s="2" t="s">
        <v>2011</v>
      </c>
      <c r="D506" t="s">
        <v>2016</v>
      </c>
      <c r="E506">
        <v>610.08000000000004</v>
      </c>
      <c r="F506">
        <f>Cleaned[[#This Row],[Debit]] * Cleaned[[#This Row],[FX_rates]]</f>
        <v>37214.880000000005</v>
      </c>
      <c r="G506">
        <v>0</v>
      </c>
      <c r="H506">
        <f>Cleaned[[#This Row],[Credit]] *  Cleaned[[#This Row],[FX_rates]]</f>
        <v>0</v>
      </c>
      <c r="I506" t="s">
        <v>2020</v>
      </c>
      <c r="J506" t="s">
        <v>2030</v>
      </c>
      <c r="K506" t="s">
        <v>2535</v>
      </c>
      <c r="L506" t="s">
        <v>4035</v>
      </c>
      <c r="M506">
        <f>Cleaned[[#This Row],[Credit]]-Cleaned[[#This Row],[Debit]]</f>
        <v>-610.08000000000004</v>
      </c>
      <c r="N506" t="str">
        <f>_xlfn.XLOOKUP(Cleaned[[#This Row],[AccountName]], Account_Mapping!A:A, Account_Mapping!B:B,"Unmapped")</f>
        <v>COGS</v>
      </c>
      <c r="O506" cm="1">
        <f t="array" ref="O506">_xlfn.XLOOKUP(
  1,
  (FX_Rates[Currency]=Cleaned[[#This Row],[Currency]])*
  (FX_Rates[RateDate]&lt;=Cleaned[[#This Row],[TxnDate]]),
  FX_Rates[Rate_To_INR],
  ,
  -1
)</f>
        <v>61</v>
      </c>
      <c r="P506" s="2">
        <f>Cleaned[[#This Row],[Net Amount]] *  Cleaned[[#This Row],[FX_rates]]</f>
        <v>-37214.880000000005</v>
      </c>
    </row>
    <row r="507" spans="1:16" x14ac:dyDescent="0.45">
      <c r="A507" t="s">
        <v>515</v>
      </c>
      <c r="B507" s="1">
        <v>45295</v>
      </c>
      <c r="C507" s="2" t="s">
        <v>2010</v>
      </c>
      <c r="D507" t="s">
        <v>2015</v>
      </c>
      <c r="E507">
        <v>0</v>
      </c>
      <c r="F507">
        <f>Cleaned[[#This Row],[Debit]] * Cleaned[[#This Row],[FX_rates]]</f>
        <v>0</v>
      </c>
      <c r="G507">
        <v>4713.8999999999996</v>
      </c>
      <c r="H507">
        <f>Cleaned[[#This Row],[Credit]] *  Cleaned[[#This Row],[FX_rates]]</f>
        <v>414823.19999999995</v>
      </c>
      <c r="I507" t="s">
        <v>2021</v>
      </c>
      <c r="J507" t="s">
        <v>2030</v>
      </c>
      <c r="K507" t="s">
        <v>2536</v>
      </c>
      <c r="L507" t="s">
        <v>4032</v>
      </c>
      <c r="M507">
        <f>Cleaned[[#This Row],[Credit]]-Cleaned[[#This Row],[Debit]]</f>
        <v>4713.8999999999996</v>
      </c>
      <c r="N507" t="str">
        <f>_xlfn.XLOOKUP(Cleaned[[#This Row],[AccountName]], Account_Mapping!A:A, Account_Mapping!B:B,"Unmapped")</f>
        <v>Revenue</v>
      </c>
      <c r="O507" cm="1">
        <f t="array" ref="O507">_xlfn.XLOOKUP(
  1,
  (FX_Rates[Currency]=Cleaned[[#This Row],[Currency]])*
  (FX_Rates[RateDate]&lt;=Cleaned[[#This Row],[TxnDate]]),
  FX_Rates[Rate_To_INR],
  ,
  -1
)</f>
        <v>88</v>
      </c>
      <c r="P507" s="2">
        <f>Cleaned[[#This Row],[Net Amount]] *  Cleaned[[#This Row],[FX_rates]]</f>
        <v>414823.19999999995</v>
      </c>
    </row>
    <row r="508" spans="1:16" x14ac:dyDescent="0.45">
      <c r="A508" t="s">
        <v>516</v>
      </c>
      <c r="B508" s="1">
        <v>44987</v>
      </c>
      <c r="C508" s="2" t="s">
        <v>2012</v>
      </c>
      <c r="D508" t="s">
        <v>2017</v>
      </c>
      <c r="E508">
        <v>1547.67</v>
      </c>
      <c r="F508">
        <f>Cleaned[[#This Row],[Debit]] * Cleaned[[#This Row],[FX_rates]]</f>
        <v>136194.96000000002</v>
      </c>
      <c r="G508">
        <v>0</v>
      </c>
      <c r="H508">
        <f>Cleaned[[#This Row],[Credit]] *  Cleaned[[#This Row],[FX_rates]]</f>
        <v>0</v>
      </c>
      <c r="I508" t="s">
        <v>2020</v>
      </c>
      <c r="J508" t="s">
        <v>2026</v>
      </c>
      <c r="K508" t="s">
        <v>2537</v>
      </c>
      <c r="L508" t="s">
        <v>4032</v>
      </c>
      <c r="M508">
        <f>Cleaned[[#This Row],[Credit]]-Cleaned[[#This Row],[Debit]]</f>
        <v>-1547.67</v>
      </c>
      <c r="N508" t="str">
        <f>_xlfn.XLOOKUP(Cleaned[[#This Row],[AccountName]], Account_Mapping!A:A, Account_Mapping!B:B,"Unmapped")</f>
        <v>Operating Expense</v>
      </c>
      <c r="O508" cm="1">
        <f t="array" ref="O508">_xlfn.XLOOKUP(
  1,
  (FX_Rates[Currency]=Cleaned[[#This Row],[Currency]])*
  (FX_Rates[RateDate]&lt;=Cleaned[[#This Row],[TxnDate]]),
  FX_Rates[Rate_To_INR],
  ,
  -1
)</f>
        <v>88</v>
      </c>
      <c r="P508" s="2">
        <f>Cleaned[[#This Row],[Net Amount]] *  Cleaned[[#This Row],[FX_rates]]</f>
        <v>-136194.96000000002</v>
      </c>
    </row>
    <row r="509" spans="1:16" x14ac:dyDescent="0.45">
      <c r="A509" t="s">
        <v>517</v>
      </c>
      <c r="B509" s="1">
        <v>44965</v>
      </c>
      <c r="C509" s="2" t="s">
        <v>2014</v>
      </c>
      <c r="D509" t="s">
        <v>2019</v>
      </c>
      <c r="E509">
        <v>0</v>
      </c>
      <c r="F509">
        <f>Cleaned[[#This Row],[Debit]] * Cleaned[[#This Row],[FX_rates]]</f>
        <v>0</v>
      </c>
      <c r="G509">
        <v>3002.52</v>
      </c>
      <c r="H509">
        <f>Cleaned[[#This Row],[Credit]] *  Cleaned[[#This Row],[FX_rates]]</f>
        <v>183153.72</v>
      </c>
      <c r="I509" t="s">
        <v>2021</v>
      </c>
      <c r="J509" t="s">
        <v>2030</v>
      </c>
      <c r="K509" t="s">
        <v>2538</v>
      </c>
      <c r="L509" t="s">
        <v>4035</v>
      </c>
      <c r="M509">
        <f>Cleaned[[#This Row],[Credit]]-Cleaned[[#This Row],[Debit]]</f>
        <v>3002.52</v>
      </c>
      <c r="N509" t="str">
        <f>_xlfn.XLOOKUP(Cleaned[[#This Row],[AccountName]], Account_Mapping!A:A, Account_Mapping!B:B,"Unmapped")</f>
        <v>Revenue</v>
      </c>
      <c r="O509" cm="1">
        <f t="array" ref="O509">_xlfn.XLOOKUP(
  1,
  (FX_Rates[Currency]=Cleaned[[#This Row],[Currency]])*
  (FX_Rates[RateDate]&lt;=Cleaned[[#This Row],[TxnDate]]),
  FX_Rates[Rate_To_INR],
  ,
  -1
)</f>
        <v>61</v>
      </c>
      <c r="P509" s="2">
        <f>Cleaned[[#This Row],[Net Amount]] *  Cleaned[[#This Row],[FX_rates]]</f>
        <v>183153.72</v>
      </c>
    </row>
    <row r="510" spans="1:16" x14ac:dyDescent="0.45">
      <c r="A510" t="s">
        <v>518</v>
      </c>
      <c r="B510" s="1">
        <v>45182</v>
      </c>
      <c r="C510" s="2" t="s">
        <v>2012</v>
      </c>
      <c r="D510" t="s">
        <v>2017</v>
      </c>
      <c r="E510">
        <v>1295.97</v>
      </c>
      <c r="F510">
        <f>Cleaned[[#This Row],[Debit]] * Cleaned[[#This Row],[FX_rates]]</f>
        <v>133484.91</v>
      </c>
      <c r="G510">
        <v>0</v>
      </c>
      <c r="H510">
        <f>Cleaned[[#This Row],[Credit]] *  Cleaned[[#This Row],[FX_rates]]</f>
        <v>0</v>
      </c>
      <c r="I510" t="s">
        <v>2021</v>
      </c>
      <c r="J510" t="s">
        <v>2027</v>
      </c>
      <c r="K510" t="s">
        <v>2539</v>
      </c>
      <c r="L510" t="s">
        <v>4031</v>
      </c>
      <c r="M510">
        <f>Cleaned[[#This Row],[Credit]]-Cleaned[[#This Row],[Debit]]</f>
        <v>-1295.97</v>
      </c>
      <c r="N510" t="str">
        <f>_xlfn.XLOOKUP(Cleaned[[#This Row],[AccountName]], Account_Mapping!A:A, Account_Mapping!B:B,"Unmapped")</f>
        <v>Operating Expense</v>
      </c>
      <c r="O510" cm="1">
        <f t="array" ref="O510">_xlfn.XLOOKUP(
  1,
  (FX_Rates[Currency]=Cleaned[[#This Row],[Currency]])*
  (FX_Rates[RateDate]&lt;=Cleaned[[#This Row],[TxnDate]]),
  FX_Rates[Rate_To_INR],
  ,
  -1
)</f>
        <v>103</v>
      </c>
      <c r="P510" s="2">
        <f>Cleaned[[#This Row],[Net Amount]] *  Cleaned[[#This Row],[FX_rates]]</f>
        <v>-133484.91</v>
      </c>
    </row>
    <row r="511" spans="1:16" x14ac:dyDescent="0.45">
      <c r="A511" t="s">
        <v>519</v>
      </c>
      <c r="B511" s="1">
        <v>45647</v>
      </c>
      <c r="C511" s="2" t="s">
        <v>2013</v>
      </c>
      <c r="D511" t="s">
        <v>2018</v>
      </c>
      <c r="E511">
        <v>1648.77</v>
      </c>
      <c r="F511">
        <f>Cleaned[[#This Row],[Debit]] * Cleaned[[#This Row],[FX_rates]]</f>
        <v>100574.97</v>
      </c>
      <c r="G511">
        <v>0</v>
      </c>
      <c r="H511">
        <f>Cleaned[[#This Row],[Credit]] *  Cleaned[[#This Row],[FX_rates]]</f>
        <v>0</v>
      </c>
      <c r="I511" t="s">
        <v>2025</v>
      </c>
      <c r="J511" t="s">
        <v>2030</v>
      </c>
      <c r="K511" t="s">
        <v>2540</v>
      </c>
      <c r="L511" t="s">
        <v>4035</v>
      </c>
      <c r="M511">
        <f>Cleaned[[#This Row],[Credit]]-Cleaned[[#This Row],[Debit]]</f>
        <v>-1648.77</v>
      </c>
      <c r="N511" t="str">
        <f>_xlfn.XLOOKUP(Cleaned[[#This Row],[AccountName]], Account_Mapping!A:A, Account_Mapping!B:B,"Unmapped")</f>
        <v>Operating Expense</v>
      </c>
      <c r="O511" cm="1">
        <f t="array" ref="O511">_xlfn.XLOOKUP(
  1,
  (FX_Rates[Currency]=Cleaned[[#This Row],[Currency]])*
  (FX_Rates[RateDate]&lt;=Cleaned[[#This Row],[TxnDate]]),
  FX_Rates[Rate_To_INR],
  ,
  -1
)</f>
        <v>61</v>
      </c>
      <c r="P511" s="2">
        <f>Cleaned[[#This Row],[Net Amount]] *  Cleaned[[#This Row],[FX_rates]]</f>
        <v>-100574.97</v>
      </c>
    </row>
    <row r="512" spans="1:16" x14ac:dyDescent="0.45">
      <c r="A512" t="s">
        <v>520</v>
      </c>
      <c r="B512" s="1">
        <v>44933</v>
      </c>
      <c r="C512" s="2" t="s">
        <v>2014</v>
      </c>
      <c r="D512" t="s">
        <v>2019</v>
      </c>
      <c r="E512">
        <v>0</v>
      </c>
      <c r="F512">
        <f>Cleaned[[#This Row],[Debit]] * Cleaned[[#This Row],[FX_rates]]</f>
        <v>0</v>
      </c>
      <c r="G512">
        <v>1351.35</v>
      </c>
      <c r="H512">
        <f>Cleaned[[#This Row],[Credit]] *  Cleaned[[#This Row],[FX_rates]]</f>
        <v>118918.79999999999</v>
      </c>
      <c r="I512" t="s">
        <v>2021</v>
      </c>
      <c r="J512" t="s">
        <v>2026</v>
      </c>
      <c r="K512" t="s">
        <v>2541</v>
      </c>
      <c r="L512" t="s">
        <v>4032</v>
      </c>
      <c r="M512">
        <f>Cleaned[[#This Row],[Credit]]-Cleaned[[#This Row],[Debit]]</f>
        <v>1351.35</v>
      </c>
      <c r="N512" t="str">
        <f>_xlfn.XLOOKUP(Cleaned[[#This Row],[AccountName]], Account_Mapping!A:A, Account_Mapping!B:B,"Unmapped")</f>
        <v>Revenue</v>
      </c>
      <c r="O512" cm="1">
        <f t="array" ref="O512">_xlfn.XLOOKUP(
  1,
  (FX_Rates[Currency]=Cleaned[[#This Row],[Currency]])*
  (FX_Rates[RateDate]&lt;=Cleaned[[#This Row],[TxnDate]]),
  FX_Rates[Rate_To_INR],
  ,
  -1
)</f>
        <v>88</v>
      </c>
      <c r="P512" s="2">
        <f>Cleaned[[#This Row],[Net Amount]] *  Cleaned[[#This Row],[FX_rates]]</f>
        <v>118918.79999999999</v>
      </c>
    </row>
    <row r="513" spans="1:16" x14ac:dyDescent="0.45">
      <c r="A513" t="s">
        <v>521</v>
      </c>
      <c r="B513" s="1">
        <v>45666</v>
      </c>
      <c r="C513" s="2" t="s">
        <v>2014</v>
      </c>
      <c r="D513" t="s">
        <v>2019</v>
      </c>
      <c r="E513">
        <v>0</v>
      </c>
      <c r="F513">
        <f>Cleaned[[#This Row],[Debit]] * Cleaned[[#This Row],[FX_rates]]</f>
        <v>0</v>
      </c>
      <c r="G513">
        <v>1986.96</v>
      </c>
      <c r="H513">
        <f>Cleaned[[#This Row],[Credit]] *  Cleaned[[#This Row],[FX_rates]]</f>
        <v>174852.48000000001</v>
      </c>
      <c r="I513" t="s">
        <v>2025</v>
      </c>
      <c r="J513" t="s">
        <v>2030</v>
      </c>
      <c r="K513" t="s">
        <v>2542</v>
      </c>
      <c r="L513" t="s">
        <v>4032</v>
      </c>
      <c r="M513">
        <f>Cleaned[[#This Row],[Credit]]-Cleaned[[#This Row],[Debit]]</f>
        <v>1986.96</v>
      </c>
      <c r="N513" t="str">
        <f>_xlfn.XLOOKUP(Cleaned[[#This Row],[AccountName]], Account_Mapping!A:A, Account_Mapping!B:B,"Unmapped")</f>
        <v>Revenue</v>
      </c>
      <c r="O513" cm="1">
        <f t="array" ref="O513">_xlfn.XLOOKUP(
  1,
  (FX_Rates[Currency]=Cleaned[[#This Row],[Currency]])*
  (FX_Rates[RateDate]&lt;=Cleaned[[#This Row],[TxnDate]]),
  FX_Rates[Rate_To_INR],
  ,
  -1
)</f>
        <v>88</v>
      </c>
      <c r="P513" s="2">
        <f>Cleaned[[#This Row],[Net Amount]] *  Cleaned[[#This Row],[FX_rates]]</f>
        <v>174852.48000000001</v>
      </c>
    </row>
    <row r="514" spans="1:16" x14ac:dyDescent="0.45">
      <c r="A514" t="s">
        <v>522</v>
      </c>
      <c r="B514" s="1">
        <v>45165</v>
      </c>
      <c r="C514" s="2" t="s">
        <v>2013</v>
      </c>
      <c r="D514" t="s">
        <v>2018</v>
      </c>
      <c r="E514">
        <v>1723.41</v>
      </c>
      <c r="F514">
        <f>Cleaned[[#This Row],[Debit]] * Cleaned[[#This Row],[FX_rates]]</f>
        <v>151660.08000000002</v>
      </c>
      <c r="G514">
        <v>0</v>
      </c>
      <c r="H514">
        <f>Cleaned[[#This Row],[Credit]] *  Cleaned[[#This Row],[FX_rates]]</f>
        <v>0</v>
      </c>
      <c r="I514" t="s">
        <v>2020</v>
      </c>
      <c r="J514" t="s">
        <v>2030</v>
      </c>
      <c r="K514" t="s">
        <v>2543</v>
      </c>
      <c r="L514" t="s">
        <v>4032</v>
      </c>
      <c r="M514">
        <f>Cleaned[[#This Row],[Credit]]-Cleaned[[#This Row],[Debit]]</f>
        <v>-1723.41</v>
      </c>
      <c r="N514" t="str">
        <f>_xlfn.XLOOKUP(Cleaned[[#This Row],[AccountName]], Account_Mapping!A:A, Account_Mapping!B:B,"Unmapped")</f>
        <v>Operating Expense</v>
      </c>
      <c r="O514" cm="1">
        <f t="array" ref="O514">_xlfn.XLOOKUP(
  1,
  (FX_Rates[Currency]=Cleaned[[#This Row],[Currency]])*
  (FX_Rates[RateDate]&lt;=Cleaned[[#This Row],[TxnDate]]),
  FX_Rates[Rate_To_INR],
  ,
  -1
)</f>
        <v>88</v>
      </c>
      <c r="P514" s="2">
        <f>Cleaned[[#This Row],[Net Amount]] *  Cleaned[[#This Row],[FX_rates]]</f>
        <v>-151660.08000000002</v>
      </c>
    </row>
    <row r="515" spans="1:16" x14ac:dyDescent="0.45">
      <c r="A515" t="s">
        <v>523</v>
      </c>
      <c r="B515" s="1">
        <v>45007</v>
      </c>
      <c r="C515" s="2" t="s">
        <v>2014</v>
      </c>
      <c r="D515" t="s">
        <v>2019</v>
      </c>
      <c r="E515">
        <v>0</v>
      </c>
      <c r="F515">
        <f>Cleaned[[#This Row],[Debit]] * Cleaned[[#This Row],[FX_rates]]</f>
        <v>0</v>
      </c>
      <c r="G515">
        <v>386.09</v>
      </c>
      <c r="H515">
        <f>Cleaned[[#This Row],[Credit]] *  Cleaned[[#This Row],[FX_rates]]</f>
        <v>21621.039999999997</v>
      </c>
      <c r="I515" t="s">
        <v>2023</v>
      </c>
      <c r="J515" t="s">
        <v>2028</v>
      </c>
      <c r="K515" t="s">
        <v>2544</v>
      </c>
      <c r="L515" t="s">
        <v>4033</v>
      </c>
      <c r="M515">
        <f>Cleaned[[#This Row],[Credit]]-Cleaned[[#This Row],[Debit]]</f>
        <v>386.09</v>
      </c>
      <c r="N515" t="str">
        <f>_xlfn.XLOOKUP(Cleaned[[#This Row],[AccountName]], Account_Mapping!A:A, Account_Mapping!B:B,"Unmapped")</f>
        <v>Revenue</v>
      </c>
      <c r="O515" cm="1">
        <f t="array" ref="O515">_xlfn.XLOOKUP(
  1,
  (FX_Rates[Currency]=Cleaned[[#This Row],[Currency]])*
  (FX_Rates[RateDate]&lt;=Cleaned[[#This Row],[TxnDate]]),
  FX_Rates[Rate_To_INR],
  ,
  -1
)</f>
        <v>56</v>
      </c>
      <c r="P515" s="2">
        <f>Cleaned[[#This Row],[Net Amount]] *  Cleaned[[#This Row],[FX_rates]]</f>
        <v>21621.039999999997</v>
      </c>
    </row>
    <row r="516" spans="1:16" x14ac:dyDescent="0.45">
      <c r="A516" t="s">
        <v>524</v>
      </c>
      <c r="B516" s="1">
        <v>45547</v>
      </c>
      <c r="C516" s="2" t="s">
        <v>2010</v>
      </c>
      <c r="D516" t="s">
        <v>2015</v>
      </c>
      <c r="E516">
        <v>0</v>
      </c>
      <c r="F516">
        <f>Cleaned[[#This Row],[Debit]] * Cleaned[[#This Row],[FX_rates]]</f>
        <v>0</v>
      </c>
      <c r="G516">
        <v>2180.11</v>
      </c>
      <c r="H516">
        <f>Cleaned[[#This Row],[Credit]] *  Cleaned[[#This Row],[FX_rates]]</f>
        <v>191849.68000000002</v>
      </c>
      <c r="I516" t="s">
        <v>2021</v>
      </c>
      <c r="J516" t="s">
        <v>2028</v>
      </c>
      <c r="K516" t="s">
        <v>2545</v>
      </c>
      <c r="L516" t="s">
        <v>4032</v>
      </c>
      <c r="M516">
        <f>Cleaned[[#This Row],[Credit]]-Cleaned[[#This Row],[Debit]]</f>
        <v>2180.11</v>
      </c>
      <c r="N516" t="str">
        <f>_xlfn.XLOOKUP(Cleaned[[#This Row],[AccountName]], Account_Mapping!A:A, Account_Mapping!B:B,"Unmapped")</f>
        <v>Revenue</v>
      </c>
      <c r="O516" cm="1">
        <f t="array" ref="O516">_xlfn.XLOOKUP(
  1,
  (FX_Rates[Currency]=Cleaned[[#This Row],[Currency]])*
  (FX_Rates[RateDate]&lt;=Cleaned[[#This Row],[TxnDate]]),
  FX_Rates[Rate_To_INR],
  ,
  -1
)</f>
        <v>88</v>
      </c>
      <c r="P516" s="2">
        <f>Cleaned[[#This Row],[Net Amount]] *  Cleaned[[#This Row],[FX_rates]]</f>
        <v>191849.68000000002</v>
      </c>
    </row>
    <row r="517" spans="1:16" x14ac:dyDescent="0.45">
      <c r="A517" t="s">
        <v>525</v>
      </c>
      <c r="B517" s="1">
        <v>45554</v>
      </c>
      <c r="C517" s="2" t="s">
        <v>2012</v>
      </c>
      <c r="D517" t="s">
        <v>2017</v>
      </c>
      <c r="E517">
        <v>1283.72</v>
      </c>
      <c r="F517">
        <f>Cleaned[[#This Row],[Debit]] * Cleaned[[#This Row],[FX_rates]]</f>
        <v>71888.320000000007</v>
      </c>
      <c r="G517">
        <v>0</v>
      </c>
      <c r="H517">
        <f>Cleaned[[#This Row],[Credit]] *  Cleaned[[#This Row],[FX_rates]]</f>
        <v>0</v>
      </c>
      <c r="I517" t="s">
        <v>2020</v>
      </c>
      <c r="J517" t="s">
        <v>2029</v>
      </c>
      <c r="K517" t="s">
        <v>2546</v>
      </c>
      <c r="L517" t="s">
        <v>4033</v>
      </c>
      <c r="M517">
        <f>Cleaned[[#This Row],[Credit]]-Cleaned[[#This Row],[Debit]]</f>
        <v>-1283.72</v>
      </c>
      <c r="N517" t="str">
        <f>_xlfn.XLOOKUP(Cleaned[[#This Row],[AccountName]], Account_Mapping!A:A, Account_Mapping!B:B,"Unmapped")</f>
        <v>Operating Expense</v>
      </c>
      <c r="O517" cm="1">
        <f t="array" ref="O517">_xlfn.XLOOKUP(
  1,
  (FX_Rates[Currency]=Cleaned[[#This Row],[Currency]])*
  (FX_Rates[RateDate]&lt;=Cleaned[[#This Row],[TxnDate]]),
  FX_Rates[Rate_To_INR],
  ,
  -1
)</f>
        <v>56</v>
      </c>
      <c r="P517" s="2">
        <f>Cleaned[[#This Row],[Net Amount]] *  Cleaned[[#This Row],[FX_rates]]</f>
        <v>-71888.320000000007</v>
      </c>
    </row>
    <row r="518" spans="1:16" x14ac:dyDescent="0.45">
      <c r="A518" t="s">
        <v>526</v>
      </c>
      <c r="B518" s="1">
        <v>45785</v>
      </c>
      <c r="C518" s="2" t="s">
        <v>2012</v>
      </c>
      <c r="D518" t="s">
        <v>2017</v>
      </c>
      <c r="E518">
        <v>1809.13</v>
      </c>
      <c r="F518">
        <f>Cleaned[[#This Row],[Debit]] * Cleaned[[#This Row],[FX_rates]]</f>
        <v>110356.93000000001</v>
      </c>
      <c r="G518">
        <v>0</v>
      </c>
      <c r="H518">
        <f>Cleaned[[#This Row],[Credit]] *  Cleaned[[#This Row],[FX_rates]]</f>
        <v>0</v>
      </c>
      <c r="I518" t="s">
        <v>2023</v>
      </c>
      <c r="J518" t="s">
        <v>2030</v>
      </c>
      <c r="K518" t="s">
        <v>2547</v>
      </c>
      <c r="L518" t="s">
        <v>4035</v>
      </c>
      <c r="M518">
        <f>Cleaned[[#This Row],[Credit]]-Cleaned[[#This Row],[Debit]]</f>
        <v>-1809.13</v>
      </c>
      <c r="N518" t="str">
        <f>_xlfn.XLOOKUP(Cleaned[[#This Row],[AccountName]], Account_Mapping!A:A, Account_Mapping!B:B,"Unmapped")</f>
        <v>Operating Expense</v>
      </c>
      <c r="O518" cm="1">
        <f t="array" ref="O518">_xlfn.XLOOKUP(
  1,
  (FX_Rates[Currency]=Cleaned[[#This Row],[Currency]])*
  (FX_Rates[RateDate]&lt;=Cleaned[[#This Row],[TxnDate]]),
  FX_Rates[Rate_To_INR],
  ,
  -1
)</f>
        <v>61</v>
      </c>
      <c r="P518" s="2">
        <f>Cleaned[[#This Row],[Net Amount]] *  Cleaned[[#This Row],[FX_rates]]</f>
        <v>-110356.93000000001</v>
      </c>
    </row>
    <row r="519" spans="1:16" x14ac:dyDescent="0.45">
      <c r="A519" t="s">
        <v>527</v>
      </c>
      <c r="B519" s="1">
        <v>45739</v>
      </c>
      <c r="C519" s="2" t="s">
        <v>2011</v>
      </c>
      <c r="D519" t="s">
        <v>2016</v>
      </c>
      <c r="E519">
        <v>1785.9</v>
      </c>
      <c r="F519">
        <f>Cleaned[[#This Row],[Debit]] * Cleaned[[#This Row],[FX_rates]]</f>
        <v>100010.40000000001</v>
      </c>
      <c r="G519">
        <v>0</v>
      </c>
      <c r="H519">
        <f>Cleaned[[#This Row],[Credit]] *  Cleaned[[#This Row],[FX_rates]]</f>
        <v>0</v>
      </c>
      <c r="I519" t="s">
        <v>2024</v>
      </c>
      <c r="J519" t="s">
        <v>2026</v>
      </c>
      <c r="K519" t="s">
        <v>2548</v>
      </c>
      <c r="L519" t="s">
        <v>4033</v>
      </c>
      <c r="M519">
        <f>Cleaned[[#This Row],[Credit]]-Cleaned[[#This Row],[Debit]]</f>
        <v>-1785.9</v>
      </c>
      <c r="N519" t="str">
        <f>_xlfn.XLOOKUP(Cleaned[[#This Row],[AccountName]], Account_Mapping!A:A, Account_Mapping!B:B,"Unmapped")</f>
        <v>COGS</v>
      </c>
      <c r="O519" cm="1">
        <f t="array" ref="O519">_xlfn.XLOOKUP(
  1,
  (FX_Rates[Currency]=Cleaned[[#This Row],[Currency]])*
  (FX_Rates[RateDate]&lt;=Cleaned[[#This Row],[TxnDate]]),
  FX_Rates[Rate_To_INR],
  ,
  -1
)</f>
        <v>56</v>
      </c>
      <c r="P519" s="2">
        <f>Cleaned[[#This Row],[Net Amount]] *  Cleaned[[#This Row],[FX_rates]]</f>
        <v>-100010.40000000001</v>
      </c>
    </row>
    <row r="520" spans="1:16" x14ac:dyDescent="0.45">
      <c r="A520" t="s">
        <v>528</v>
      </c>
      <c r="B520" s="1">
        <v>45279</v>
      </c>
      <c r="C520" s="2" t="s">
        <v>2014</v>
      </c>
      <c r="D520" t="s">
        <v>2019</v>
      </c>
      <c r="E520">
        <v>0</v>
      </c>
      <c r="F520">
        <f>Cleaned[[#This Row],[Debit]] * Cleaned[[#This Row],[FX_rates]]</f>
        <v>0</v>
      </c>
      <c r="G520">
        <v>4808.83</v>
      </c>
      <c r="H520">
        <f>Cleaned[[#This Row],[Credit]] *  Cleaned[[#This Row],[FX_rates]]</f>
        <v>394324.06</v>
      </c>
      <c r="I520" t="s">
        <v>2025</v>
      </c>
      <c r="J520" t="s">
        <v>2030</v>
      </c>
      <c r="K520" t="s">
        <v>2549</v>
      </c>
      <c r="L520" t="s">
        <v>4034</v>
      </c>
      <c r="M520">
        <f>Cleaned[[#This Row],[Credit]]-Cleaned[[#This Row],[Debit]]</f>
        <v>4808.83</v>
      </c>
      <c r="N520" t="str">
        <f>_xlfn.XLOOKUP(Cleaned[[#This Row],[AccountName]], Account_Mapping!A:A, Account_Mapping!B:B,"Unmapped")</f>
        <v>Revenue</v>
      </c>
      <c r="O520" cm="1">
        <f t="array" ref="O520">_xlfn.XLOOKUP(
  1,
  (FX_Rates[Currency]=Cleaned[[#This Row],[Currency]])*
  (FX_Rates[RateDate]&lt;=Cleaned[[#This Row],[TxnDate]]),
  FX_Rates[Rate_To_INR],
  ,
  -1
)</f>
        <v>82</v>
      </c>
      <c r="P520" s="2">
        <f>Cleaned[[#This Row],[Net Amount]] *  Cleaned[[#This Row],[FX_rates]]</f>
        <v>394324.06</v>
      </c>
    </row>
    <row r="521" spans="1:16" x14ac:dyDescent="0.45">
      <c r="A521" t="s">
        <v>529</v>
      </c>
      <c r="B521" s="1">
        <v>45571</v>
      </c>
      <c r="C521" s="2" t="s">
        <v>2011</v>
      </c>
      <c r="D521" t="s">
        <v>2016</v>
      </c>
      <c r="E521">
        <v>922.15</v>
      </c>
      <c r="F521">
        <f>Cleaned[[#This Row],[Debit]] * Cleaned[[#This Row],[FX_rates]]</f>
        <v>75616.3</v>
      </c>
      <c r="G521">
        <v>0</v>
      </c>
      <c r="H521">
        <f>Cleaned[[#This Row],[Credit]] *  Cleaned[[#This Row],[FX_rates]]</f>
        <v>0</v>
      </c>
      <c r="I521" t="s">
        <v>2023</v>
      </c>
      <c r="J521" t="s">
        <v>2029</v>
      </c>
      <c r="K521" t="s">
        <v>2550</v>
      </c>
      <c r="L521" t="s">
        <v>4034</v>
      </c>
      <c r="M521">
        <f>Cleaned[[#This Row],[Credit]]-Cleaned[[#This Row],[Debit]]</f>
        <v>-922.15</v>
      </c>
      <c r="N521" t="str">
        <f>_xlfn.XLOOKUP(Cleaned[[#This Row],[AccountName]], Account_Mapping!A:A, Account_Mapping!B:B,"Unmapped")</f>
        <v>COGS</v>
      </c>
      <c r="O521" cm="1">
        <f t="array" ref="O521">_xlfn.XLOOKUP(
  1,
  (FX_Rates[Currency]=Cleaned[[#This Row],[Currency]])*
  (FX_Rates[RateDate]&lt;=Cleaned[[#This Row],[TxnDate]]),
  FX_Rates[Rate_To_INR],
  ,
  -1
)</f>
        <v>82</v>
      </c>
      <c r="P521" s="2">
        <f>Cleaned[[#This Row],[Net Amount]] *  Cleaned[[#This Row],[FX_rates]]</f>
        <v>-75616.3</v>
      </c>
    </row>
    <row r="522" spans="1:16" x14ac:dyDescent="0.45">
      <c r="A522" t="s">
        <v>530</v>
      </c>
      <c r="B522" s="1">
        <v>45632</v>
      </c>
      <c r="C522" s="2" t="s">
        <v>2010</v>
      </c>
      <c r="D522" t="s">
        <v>2015</v>
      </c>
      <c r="E522">
        <v>0</v>
      </c>
      <c r="F522">
        <f>Cleaned[[#This Row],[Debit]] * Cleaned[[#This Row],[FX_rates]]</f>
        <v>0</v>
      </c>
      <c r="G522">
        <v>2754.43</v>
      </c>
      <c r="H522">
        <f>Cleaned[[#This Row],[Credit]] *  Cleaned[[#This Row],[FX_rates]]</f>
        <v>225863.25999999998</v>
      </c>
      <c r="I522" t="s">
        <v>2020</v>
      </c>
      <c r="J522" t="s">
        <v>2030</v>
      </c>
      <c r="K522" t="s">
        <v>2551</v>
      </c>
      <c r="L522" t="s">
        <v>4034</v>
      </c>
      <c r="M522">
        <f>Cleaned[[#This Row],[Credit]]-Cleaned[[#This Row],[Debit]]</f>
        <v>2754.43</v>
      </c>
      <c r="N522" t="str">
        <f>_xlfn.XLOOKUP(Cleaned[[#This Row],[AccountName]], Account_Mapping!A:A, Account_Mapping!B:B,"Unmapped")</f>
        <v>Revenue</v>
      </c>
      <c r="O522" cm="1">
        <f t="array" ref="O522">_xlfn.XLOOKUP(
  1,
  (FX_Rates[Currency]=Cleaned[[#This Row],[Currency]])*
  (FX_Rates[RateDate]&lt;=Cleaned[[#This Row],[TxnDate]]),
  FX_Rates[Rate_To_INR],
  ,
  -1
)</f>
        <v>82</v>
      </c>
      <c r="P522" s="2">
        <f>Cleaned[[#This Row],[Net Amount]] *  Cleaned[[#This Row],[FX_rates]]</f>
        <v>225863.25999999998</v>
      </c>
    </row>
    <row r="523" spans="1:16" x14ac:dyDescent="0.45">
      <c r="A523" t="s">
        <v>531</v>
      </c>
      <c r="B523" s="1">
        <v>45790</v>
      </c>
      <c r="C523" s="2" t="s">
        <v>2010</v>
      </c>
      <c r="D523" t="s">
        <v>2015</v>
      </c>
      <c r="E523">
        <v>0</v>
      </c>
      <c r="F523">
        <f>Cleaned[[#This Row],[Debit]] * Cleaned[[#This Row],[FX_rates]]</f>
        <v>0</v>
      </c>
      <c r="G523">
        <v>2370.2800000000002</v>
      </c>
      <c r="H523">
        <f>Cleaned[[#This Row],[Credit]] *  Cleaned[[#This Row],[FX_rates]]</f>
        <v>132735.68000000002</v>
      </c>
      <c r="I523" t="s">
        <v>2021</v>
      </c>
      <c r="J523" t="s">
        <v>2029</v>
      </c>
      <c r="K523" t="s">
        <v>2552</v>
      </c>
      <c r="L523" t="s">
        <v>4033</v>
      </c>
      <c r="M523">
        <f>Cleaned[[#This Row],[Credit]]-Cleaned[[#This Row],[Debit]]</f>
        <v>2370.2800000000002</v>
      </c>
      <c r="N523" t="str">
        <f>_xlfn.XLOOKUP(Cleaned[[#This Row],[AccountName]], Account_Mapping!A:A, Account_Mapping!B:B,"Unmapped")</f>
        <v>Revenue</v>
      </c>
      <c r="O523" cm="1">
        <f t="array" ref="O523">_xlfn.XLOOKUP(
  1,
  (FX_Rates[Currency]=Cleaned[[#This Row],[Currency]])*
  (FX_Rates[RateDate]&lt;=Cleaned[[#This Row],[TxnDate]]),
  FX_Rates[Rate_To_INR],
  ,
  -1
)</f>
        <v>56</v>
      </c>
      <c r="P523" s="2">
        <f>Cleaned[[#This Row],[Net Amount]] *  Cleaned[[#This Row],[FX_rates]]</f>
        <v>132735.68000000002</v>
      </c>
    </row>
    <row r="524" spans="1:16" x14ac:dyDescent="0.45">
      <c r="A524" t="s">
        <v>532</v>
      </c>
      <c r="B524" s="1">
        <v>45188</v>
      </c>
      <c r="C524" s="2" t="s">
        <v>2011</v>
      </c>
      <c r="D524" t="s">
        <v>2016</v>
      </c>
      <c r="E524">
        <v>649.98</v>
      </c>
      <c r="F524">
        <f>Cleaned[[#This Row],[Debit]] * Cleaned[[#This Row],[FX_rates]]</f>
        <v>57198.240000000005</v>
      </c>
      <c r="G524">
        <v>0</v>
      </c>
      <c r="H524">
        <f>Cleaned[[#This Row],[Credit]] *  Cleaned[[#This Row],[FX_rates]]</f>
        <v>0</v>
      </c>
      <c r="I524" t="s">
        <v>2022</v>
      </c>
      <c r="J524" t="s">
        <v>2029</v>
      </c>
      <c r="K524" t="s">
        <v>2553</v>
      </c>
      <c r="L524" t="s">
        <v>4032</v>
      </c>
      <c r="M524">
        <f>Cleaned[[#This Row],[Credit]]-Cleaned[[#This Row],[Debit]]</f>
        <v>-649.98</v>
      </c>
      <c r="N524" t="str">
        <f>_xlfn.XLOOKUP(Cleaned[[#This Row],[AccountName]], Account_Mapping!A:A, Account_Mapping!B:B,"Unmapped")</f>
        <v>COGS</v>
      </c>
      <c r="O524" cm="1">
        <f t="array" ref="O524">_xlfn.XLOOKUP(
  1,
  (FX_Rates[Currency]=Cleaned[[#This Row],[Currency]])*
  (FX_Rates[RateDate]&lt;=Cleaned[[#This Row],[TxnDate]]),
  FX_Rates[Rate_To_INR],
  ,
  -1
)</f>
        <v>88</v>
      </c>
      <c r="P524" s="2">
        <f>Cleaned[[#This Row],[Net Amount]] *  Cleaned[[#This Row],[FX_rates]]</f>
        <v>-57198.240000000005</v>
      </c>
    </row>
    <row r="525" spans="1:16" x14ac:dyDescent="0.45">
      <c r="A525" t="s">
        <v>533</v>
      </c>
      <c r="B525" s="1">
        <v>45441</v>
      </c>
      <c r="C525" s="2" t="s">
        <v>2014</v>
      </c>
      <c r="D525" t="s">
        <v>2019</v>
      </c>
      <c r="E525">
        <v>0</v>
      </c>
      <c r="F525">
        <f>Cleaned[[#This Row],[Debit]] * Cleaned[[#This Row],[FX_rates]]</f>
        <v>0</v>
      </c>
      <c r="G525">
        <v>402.69</v>
      </c>
      <c r="H525">
        <f>Cleaned[[#This Row],[Credit]] *  Cleaned[[#This Row],[FX_rates]]</f>
        <v>35436.720000000001</v>
      </c>
      <c r="I525" t="s">
        <v>2023</v>
      </c>
      <c r="J525" t="s">
        <v>2029</v>
      </c>
      <c r="K525" t="s">
        <v>2554</v>
      </c>
      <c r="L525" t="s">
        <v>4032</v>
      </c>
      <c r="M525">
        <f>Cleaned[[#This Row],[Credit]]-Cleaned[[#This Row],[Debit]]</f>
        <v>402.69</v>
      </c>
      <c r="N525" t="str">
        <f>_xlfn.XLOOKUP(Cleaned[[#This Row],[AccountName]], Account_Mapping!A:A, Account_Mapping!B:B,"Unmapped")</f>
        <v>Revenue</v>
      </c>
      <c r="O525" cm="1">
        <f t="array" ref="O525">_xlfn.XLOOKUP(
  1,
  (FX_Rates[Currency]=Cleaned[[#This Row],[Currency]])*
  (FX_Rates[RateDate]&lt;=Cleaned[[#This Row],[TxnDate]]),
  FX_Rates[Rate_To_INR],
  ,
  -1
)</f>
        <v>88</v>
      </c>
      <c r="P525" s="2">
        <f>Cleaned[[#This Row],[Net Amount]] *  Cleaned[[#This Row],[FX_rates]]</f>
        <v>35436.720000000001</v>
      </c>
    </row>
    <row r="526" spans="1:16" x14ac:dyDescent="0.45">
      <c r="A526" t="s">
        <v>534</v>
      </c>
      <c r="B526" s="1">
        <v>45250</v>
      </c>
      <c r="C526" s="2" t="s">
        <v>2012</v>
      </c>
      <c r="D526" t="s">
        <v>2017</v>
      </c>
      <c r="E526">
        <v>154.30000000000001</v>
      </c>
      <c r="F526">
        <f>Cleaned[[#This Row],[Debit]] * Cleaned[[#This Row],[FX_rates]]</f>
        <v>15892.900000000001</v>
      </c>
      <c r="G526">
        <v>0</v>
      </c>
      <c r="H526">
        <f>Cleaned[[#This Row],[Credit]] *  Cleaned[[#This Row],[FX_rates]]</f>
        <v>0</v>
      </c>
      <c r="I526" t="s">
        <v>2023</v>
      </c>
      <c r="J526" t="s">
        <v>2026</v>
      </c>
      <c r="K526" t="s">
        <v>2555</v>
      </c>
      <c r="L526" t="s">
        <v>4031</v>
      </c>
      <c r="M526">
        <f>Cleaned[[#This Row],[Credit]]-Cleaned[[#This Row],[Debit]]</f>
        <v>-154.30000000000001</v>
      </c>
      <c r="N526" t="str">
        <f>_xlfn.XLOOKUP(Cleaned[[#This Row],[AccountName]], Account_Mapping!A:A, Account_Mapping!B:B,"Unmapped")</f>
        <v>Operating Expense</v>
      </c>
      <c r="O526" cm="1">
        <f t="array" ref="O526">_xlfn.XLOOKUP(
  1,
  (FX_Rates[Currency]=Cleaned[[#This Row],[Currency]])*
  (FX_Rates[RateDate]&lt;=Cleaned[[#This Row],[TxnDate]]),
  FX_Rates[Rate_To_INR],
  ,
  -1
)</f>
        <v>103</v>
      </c>
      <c r="P526" s="2">
        <f>Cleaned[[#This Row],[Net Amount]] *  Cleaned[[#This Row],[FX_rates]]</f>
        <v>-15892.900000000001</v>
      </c>
    </row>
    <row r="527" spans="1:16" x14ac:dyDescent="0.45">
      <c r="A527" t="s">
        <v>535</v>
      </c>
      <c r="B527" s="1">
        <v>45366</v>
      </c>
      <c r="C527" s="2" t="s">
        <v>2010</v>
      </c>
      <c r="D527" t="s">
        <v>2015</v>
      </c>
      <c r="E527">
        <v>0</v>
      </c>
      <c r="F527">
        <f>Cleaned[[#This Row],[Debit]] * Cleaned[[#This Row],[FX_rates]]</f>
        <v>0</v>
      </c>
      <c r="G527">
        <v>3155.19</v>
      </c>
      <c r="H527">
        <f>Cleaned[[#This Row],[Credit]] *  Cleaned[[#This Row],[FX_rates]]</f>
        <v>277656.72000000003</v>
      </c>
      <c r="I527" t="s">
        <v>2024</v>
      </c>
      <c r="J527" t="s">
        <v>2026</v>
      </c>
      <c r="K527" t="s">
        <v>2556</v>
      </c>
      <c r="L527" t="s">
        <v>4032</v>
      </c>
      <c r="M527">
        <f>Cleaned[[#This Row],[Credit]]-Cleaned[[#This Row],[Debit]]</f>
        <v>3155.19</v>
      </c>
      <c r="N527" t="str">
        <f>_xlfn.XLOOKUP(Cleaned[[#This Row],[AccountName]], Account_Mapping!A:A, Account_Mapping!B:B,"Unmapped")</f>
        <v>Revenue</v>
      </c>
      <c r="O527" cm="1">
        <f t="array" ref="O527">_xlfn.XLOOKUP(
  1,
  (FX_Rates[Currency]=Cleaned[[#This Row],[Currency]])*
  (FX_Rates[RateDate]&lt;=Cleaned[[#This Row],[TxnDate]]),
  FX_Rates[Rate_To_INR],
  ,
  -1
)</f>
        <v>88</v>
      </c>
      <c r="P527" s="2">
        <f>Cleaned[[#This Row],[Net Amount]] *  Cleaned[[#This Row],[FX_rates]]</f>
        <v>277656.72000000003</v>
      </c>
    </row>
    <row r="528" spans="1:16" x14ac:dyDescent="0.45">
      <c r="A528" t="s">
        <v>536</v>
      </c>
      <c r="B528" s="1">
        <v>44942</v>
      </c>
      <c r="C528" s="2" t="s">
        <v>2012</v>
      </c>
      <c r="D528" t="s">
        <v>2017</v>
      </c>
      <c r="E528">
        <v>1455.97</v>
      </c>
      <c r="F528">
        <f>Cleaned[[#This Row],[Debit]] * Cleaned[[#This Row],[FX_rates]]</f>
        <v>119389.54000000001</v>
      </c>
      <c r="G528">
        <v>0</v>
      </c>
      <c r="H528">
        <f>Cleaned[[#This Row],[Credit]] *  Cleaned[[#This Row],[FX_rates]]</f>
        <v>0</v>
      </c>
      <c r="I528" t="s">
        <v>2023</v>
      </c>
      <c r="J528" t="s">
        <v>2028</v>
      </c>
      <c r="K528" t="s">
        <v>2557</v>
      </c>
      <c r="L528" t="s">
        <v>4034</v>
      </c>
      <c r="M528">
        <f>Cleaned[[#This Row],[Credit]]-Cleaned[[#This Row],[Debit]]</f>
        <v>-1455.97</v>
      </c>
      <c r="N528" t="str">
        <f>_xlfn.XLOOKUP(Cleaned[[#This Row],[AccountName]], Account_Mapping!A:A, Account_Mapping!B:B,"Unmapped")</f>
        <v>Operating Expense</v>
      </c>
      <c r="O528" cm="1">
        <f t="array" ref="O528">_xlfn.XLOOKUP(
  1,
  (FX_Rates[Currency]=Cleaned[[#This Row],[Currency]])*
  (FX_Rates[RateDate]&lt;=Cleaned[[#This Row],[TxnDate]]),
  FX_Rates[Rate_To_INR],
  ,
  -1
)</f>
        <v>82</v>
      </c>
      <c r="P528" s="2">
        <f>Cleaned[[#This Row],[Net Amount]] *  Cleaned[[#This Row],[FX_rates]]</f>
        <v>-119389.54000000001</v>
      </c>
    </row>
    <row r="529" spans="1:16" x14ac:dyDescent="0.45">
      <c r="A529" t="s">
        <v>537</v>
      </c>
      <c r="B529" s="1">
        <v>45287</v>
      </c>
      <c r="C529" s="2" t="s">
        <v>2011</v>
      </c>
      <c r="D529" t="s">
        <v>2016</v>
      </c>
      <c r="E529">
        <v>133.86000000000001</v>
      </c>
      <c r="F529">
        <f>Cleaned[[#This Row],[Debit]] * Cleaned[[#This Row],[FX_rates]]</f>
        <v>11779.68</v>
      </c>
      <c r="G529">
        <v>0</v>
      </c>
      <c r="H529">
        <f>Cleaned[[#This Row],[Credit]] *  Cleaned[[#This Row],[FX_rates]]</f>
        <v>0</v>
      </c>
      <c r="I529" t="s">
        <v>2025</v>
      </c>
      <c r="J529" t="s">
        <v>2029</v>
      </c>
      <c r="K529" t="s">
        <v>2558</v>
      </c>
      <c r="L529" t="s">
        <v>4032</v>
      </c>
      <c r="M529">
        <f>Cleaned[[#This Row],[Credit]]-Cleaned[[#This Row],[Debit]]</f>
        <v>-133.86000000000001</v>
      </c>
      <c r="N529" t="str">
        <f>_xlfn.XLOOKUP(Cleaned[[#This Row],[AccountName]], Account_Mapping!A:A, Account_Mapping!B:B,"Unmapped")</f>
        <v>COGS</v>
      </c>
      <c r="O529" cm="1">
        <f t="array" ref="O529">_xlfn.XLOOKUP(
  1,
  (FX_Rates[Currency]=Cleaned[[#This Row],[Currency]])*
  (FX_Rates[RateDate]&lt;=Cleaned[[#This Row],[TxnDate]]),
  FX_Rates[Rate_To_INR],
  ,
  -1
)</f>
        <v>88</v>
      </c>
      <c r="P529" s="2">
        <f>Cleaned[[#This Row],[Net Amount]] *  Cleaned[[#This Row],[FX_rates]]</f>
        <v>-11779.68</v>
      </c>
    </row>
    <row r="530" spans="1:16" x14ac:dyDescent="0.45">
      <c r="A530" t="s">
        <v>538</v>
      </c>
      <c r="B530" s="1">
        <v>45435</v>
      </c>
      <c r="C530" s="2" t="s">
        <v>2011</v>
      </c>
      <c r="D530" t="s">
        <v>2016</v>
      </c>
      <c r="E530">
        <v>928.81</v>
      </c>
      <c r="F530">
        <f>Cleaned[[#This Row],[Debit]] * Cleaned[[#This Row],[FX_rates]]</f>
        <v>52013.36</v>
      </c>
      <c r="G530">
        <v>0</v>
      </c>
      <c r="H530">
        <f>Cleaned[[#This Row],[Credit]] *  Cleaned[[#This Row],[FX_rates]]</f>
        <v>0</v>
      </c>
      <c r="I530" t="s">
        <v>2025</v>
      </c>
      <c r="J530" t="s">
        <v>2027</v>
      </c>
      <c r="K530" t="s">
        <v>2559</v>
      </c>
      <c r="L530" t="s">
        <v>4033</v>
      </c>
      <c r="M530">
        <f>Cleaned[[#This Row],[Credit]]-Cleaned[[#This Row],[Debit]]</f>
        <v>-928.81</v>
      </c>
      <c r="N530" t="str">
        <f>_xlfn.XLOOKUP(Cleaned[[#This Row],[AccountName]], Account_Mapping!A:A, Account_Mapping!B:B,"Unmapped")</f>
        <v>COGS</v>
      </c>
      <c r="O530" cm="1">
        <f t="array" ref="O530">_xlfn.XLOOKUP(
  1,
  (FX_Rates[Currency]=Cleaned[[#This Row],[Currency]])*
  (FX_Rates[RateDate]&lt;=Cleaned[[#This Row],[TxnDate]]),
  FX_Rates[Rate_To_INR],
  ,
  -1
)</f>
        <v>56</v>
      </c>
      <c r="P530" s="2">
        <f>Cleaned[[#This Row],[Net Amount]] *  Cleaned[[#This Row],[FX_rates]]</f>
        <v>-52013.36</v>
      </c>
    </row>
    <row r="531" spans="1:16" x14ac:dyDescent="0.45">
      <c r="A531" t="s">
        <v>539</v>
      </c>
      <c r="B531" s="1">
        <v>45027</v>
      </c>
      <c r="C531" s="2" t="s">
        <v>2014</v>
      </c>
      <c r="D531" t="s">
        <v>2019</v>
      </c>
      <c r="E531">
        <v>0</v>
      </c>
      <c r="F531">
        <f>Cleaned[[#This Row],[Debit]] * Cleaned[[#This Row],[FX_rates]]</f>
        <v>0</v>
      </c>
      <c r="G531">
        <v>4936.62</v>
      </c>
      <c r="H531">
        <f>Cleaned[[#This Row],[Credit]] *  Cleaned[[#This Row],[FX_rates]]</f>
        <v>508471.86</v>
      </c>
      <c r="I531" t="s">
        <v>2022</v>
      </c>
      <c r="J531" t="s">
        <v>2028</v>
      </c>
      <c r="K531" t="s">
        <v>2560</v>
      </c>
      <c r="L531" t="s">
        <v>4031</v>
      </c>
      <c r="M531">
        <f>Cleaned[[#This Row],[Credit]]-Cleaned[[#This Row],[Debit]]</f>
        <v>4936.62</v>
      </c>
      <c r="N531" t="str">
        <f>_xlfn.XLOOKUP(Cleaned[[#This Row],[AccountName]], Account_Mapping!A:A, Account_Mapping!B:B,"Unmapped")</f>
        <v>Revenue</v>
      </c>
      <c r="O531" cm="1">
        <f t="array" ref="O531">_xlfn.XLOOKUP(
  1,
  (FX_Rates[Currency]=Cleaned[[#This Row],[Currency]])*
  (FX_Rates[RateDate]&lt;=Cleaned[[#This Row],[TxnDate]]),
  FX_Rates[Rate_To_INR],
  ,
  -1
)</f>
        <v>103</v>
      </c>
      <c r="P531" s="2">
        <f>Cleaned[[#This Row],[Net Amount]] *  Cleaned[[#This Row],[FX_rates]]</f>
        <v>508471.86</v>
      </c>
    </row>
    <row r="532" spans="1:16" x14ac:dyDescent="0.45">
      <c r="A532" t="s">
        <v>540</v>
      </c>
      <c r="B532" s="1">
        <v>45435</v>
      </c>
      <c r="C532" s="2" t="s">
        <v>2012</v>
      </c>
      <c r="D532" t="s">
        <v>2017</v>
      </c>
      <c r="E532">
        <v>1152.7</v>
      </c>
      <c r="F532">
        <f>Cleaned[[#This Row],[Debit]] * Cleaned[[#This Row],[FX_rates]]</f>
        <v>101437.6</v>
      </c>
      <c r="G532">
        <v>0</v>
      </c>
      <c r="H532">
        <f>Cleaned[[#This Row],[Credit]] *  Cleaned[[#This Row],[FX_rates]]</f>
        <v>0</v>
      </c>
      <c r="I532" t="s">
        <v>2020</v>
      </c>
      <c r="J532" t="s">
        <v>2027</v>
      </c>
      <c r="K532" t="s">
        <v>2561</v>
      </c>
      <c r="L532" t="s">
        <v>4032</v>
      </c>
      <c r="M532">
        <f>Cleaned[[#This Row],[Credit]]-Cleaned[[#This Row],[Debit]]</f>
        <v>-1152.7</v>
      </c>
      <c r="N532" t="str">
        <f>_xlfn.XLOOKUP(Cleaned[[#This Row],[AccountName]], Account_Mapping!A:A, Account_Mapping!B:B,"Unmapped")</f>
        <v>Operating Expense</v>
      </c>
      <c r="O532" cm="1">
        <f t="array" ref="O532">_xlfn.XLOOKUP(
  1,
  (FX_Rates[Currency]=Cleaned[[#This Row],[Currency]])*
  (FX_Rates[RateDate]&lt;=Cleaned[[#This Row],[TxnDate]]),
  FX_Rates[Rate_To_INR],
  ,
  -1
)</f>
        <v>88</v>
      </c>
      <c r="P532" s="2">
        <f>Cleaned[[#This Row],[Net Amount]] *  Cleaned[[#This Row],[FX_rates]]</f>
        <v>-101437.6</v>
      </c>
    </row>
    <row r="533" spans="1:16" x14ac:dyDescent="0.45">
      <c r="A533" t="s">
        <v>541</v>
      </c>
      <c r="B533" s="1">
        <v>45644</v>
      </c>
      <c r="C533" s="2" t="s">
        <v>2013</v>
      </c>
      <c r="D533" t="s">
        <v>2018</v>
      </c>
      <c r="E533">
        <v>1793.92</v>
      </c>
      <c r="F533">
        <f>Cleaned[[#This Row],[Debit]] * Cleaned[[#This Row],[FX_rates]]</f>
        <v>100459.52</v>
      </c>
      <c r="G533">
        <v>0</v>
      </c>
      <c r="H533">
        <f>Cleaned[[#This Row],[Credit]] *  Cleaned[[#This Row],[FX_rates]]</f>
        <v>0</v>
      </c>
      <c r="I533" t="s">
        <v>2024</v>
      </c>
      <c r="J533" t="s">
        <v>2030</v>
      </c>
      <c r="K533" t="s">
        <v>2562</v>
      </c>
      <c r="L533" t="s">
        <v>4033</v>
      </c>
      <c r="M533">
        <f>Cleaned[[#This Row],[Credit]]-Cleaned[[#This Row],[Debit]]</f>
        <v>-1793.92</v>
      </c>
      <c r="N533" t="str">
        <f>_xlfn.XLOOKUP(Cleaned[[#This Row],[AccountName]], Account_Mapping!A:A, Account_Mapping!B:B,"Unmapped")</f>
        <v>Operating Expense</v>
      </c>
      <c r="O533" cm="1">
        <f t="array" ref="O533">_xlfn.XLOOKUP(
  1,
  (FX_Rates[Currency]=Cleaned[[#This Row],[Currency]])*
  (FX_Rates[RateDate]&lt;=Cleaned[[#This Row],[TxnDate]]),
  FX_Rates[Rate_To_INR],
  ,
  -1
)</f>
        <v>56</v>
      </c>
      <c r="P533" s="2">
        <f>Cleaned[[#This Row],[Net Amount]] *  Cleaned[[#This Row],[FX_rates]]</f>
        <v>-100459.52</v>
      </c>
    </row>
    <row r="534" spans="1:16" x14ac:dyDescent="0.45">
      <c r="A534" t="s">
        <v>542</v>
      </c>
      <c r="B534" s="1">
        <v>45468</v>
      </c>
      <c r="C534" s="2" t="s">
        <v>2011</v>
      </c>
      <c r="D534" t="s">
        <v>2016</v>
      </c>
      <c r="E534">
        <v>1022.78</v>
      </c>
      <c r="F534">
        <f>Cleaned[[#This Row],[Debit]] * Cleaned[[#This Row],[FX_rates]]</f>
        <v>83867.959999999992</v>
      </c>
      <c r="G534">
        <v>0</v>
      </c>
      <c r="H534">
        <f>Cleaned[[#This Row],[Credit]] *  Cleaned[[#This Row],[FX_rates]]</f>
        <v>0</v>
      </c>
      <c r="I534" t="s">
        <v>2020</v>
      </c>
      <c r="J534" t="s">
        <v>2026</v>
      </c>
      <c r="K534" t="s">
        <v>2563</v>
      </c>
      <c r="L534" t="s">
        <v>4034</v>
      </c>
      <c r="M534">
        <f>Cleaned[[#This Row],[Credit]]-Cleaned[[#This Row],[Debit]]</f>
        <v>-1022.78</v>
      </c>
      <c r="N534" t="str">
        <f>_xlfn.XLOOKUP(Cleaned[[#This Row],[AccountName]], Account_Mapping!A:A, Account_Mapping!B:B,"Unmapped")</f>
        <v>COGS</v>
      </c>
      <c r="O534" cm="1">
        <f t="array" ref="O534">_xlfn.XLOOKUP(
  1,
  (FX_Rates[Currency]=Cleaned[[#This Row],[Currency]])*
  (FX_Rates[RateDate]&lt;=Cleaned[[#This Row],[TxnDate]]),
  FX_Rates[Rate_To_INR],
  ,
  -1
)</f>
        <v>82</v>
      </c>
      <c r="P534" s="2">
        <f>Cleaned[[#This Row],[Net Amount]] *  Cleaned[[#This Row],[FX_rates]]</f>
        <v>-83867.959999999992</v>
      </c>
    </row>
    <row r="535" spans="1:16" x14ac:dyDescent="0.45">
      <c r="A535" t="s">
        <v>543</v>
      </c>
      <c r="B535" s="1">
        <v>45662</v>
      </c>
      <c r="C535" s="2" t="s">
        <v>2010</v>
      </c>
      <c r="D535" t="s">
        <v>2015</v>
      </c>
      <c r="E535">
        <v>0</v>
      </c>
      <c r="F535">
        <f>Cleaned[[#This Row],[Debit]] * Cleaned[[#This Row],[FX_rates]]</f>
        <v>0</v>
      </c>
      <c r="G535">
        <v>1831.2</v>
      </c>
      <c r="H535">
        <f>Cleaned[[#This Row],[Credit]] *  Cleaned[[#This Row],[FX_rates]]</f>
        <v>161145.60000000001</v>
      </c>
      <c r="I535" t="s">
        <v>2023</v>
      </c>
      <c r="J535" t="s">
        <v>2030</v>
      </c>
      <c r="K535" t="s">
        <v>2564</v>
      </c>
      <c r="L535" t="s">
        <v>4032</v>
      </c>
      <c r="M535">
        <f>Cleaned[[#This Row],[Credit]]-Cleaned[[#This Row],[Debit]]</f>
        <v>1831.2</v>
      </c>
      <c r="N535" t="str">
        <f>_xlfn.XLOOKUP(Cleaned[[#This Row],[AccountName]], Account_Mapping!A:A, Account_Mapping!B:B,"Unmapped")</f>
        <v>Revenue</v>
      </c>
      <c r="O535" cm="1">
        <f t="array" ref="O535">_xlfn.XLOOKUP(
  1,
  (FX_Rates[Currency]=Cleaned[[#This Row],[Currency]])*
  (FX_Rates[RateDate]&lt;=Cleaned[[#This Row],[TxnDate]]),
  FX_Rates[Rate_To_INR],
  ,
  -1
)</f>
        <v>88</v>
      </c>
      <c r="P535" s="2">
        <f>Cleaned[[#This Row],[Net Amount]] *  Cleaned[[#This Row],[FX_rates]]</f>
        <v>161145.60000000001</v>
      </c>
    </row>
    <row r="536" spans="1:16" x14ac:dyDescent="0.45">
      <c r="A536" t="s">
        <v>544</v>
      </c>
      <c r="B536" s="1">
        <v>45786</v>
      </c>
      <c r="C536" s="2" t="s">
        <v>2010</v>
      </c>
      <c r="D536" t="s">
        <v>2015</v>
      </c>
      <c r="E536">
        <v>0</v>
      </c>
      <c r="F536">
        <f>Cleaned[[#This Row],[Debit]] * Cleaned[[#This Row],[FX_rates]]</f>
        <v>0</v>
      </c>
      <c r="G536">
        <v>1273.25</v>
      </c>
      <c r="H536">
        <f>Cleaned[[#This Row],[Credit]] *  Cleaned[[#This Row],[FX_rates]]</f>
        <v>112046</v>
      </c>
      <c r="I536" t="s">
        <v>2023</v>
      </c>
      <c r="J536" t="s">
        <v>2029</v>
      </c>
      <c r="K536" t="s">
        <v>2565</v>
      </c>
      <c r="L536" t="s">
        <v>4032</v>
      </c>
      <c r="M536">
        <f>Cleaned[[#This Row],[Credit]]-Cleaned[[#This Row],[Debit]]</f>
        <v>1273.25</v>
      </c>
      <c r="N536" t="str">
        <f>_xlfn.XLOOKUP(Cleaned[[#This Row],[AccountName]], Account_Mapping!A:A, Account_Mapping!B:B,"Unmapped")</f>
        <v>Revenue</v>
      </c>
      <c r="O536" cm="1">
        <f t="array" ref="O536">_xlfn.XLOOKUP(
  1,
  (FX_Rates[Currency]=Cleaned[[#This Row],[Currency]])*
  (FX_Rates[RateDate]&lt;=Cleaned[[#This Row],[TxnDate]]),
  FX_Rates[Rate_To_INR],
  ,
  -1
)</f>
        <v>88</v>
      </c>
      <c r="P536" s="2">
        <f>Cleaned[[#This Row],[Net Amount]] *  Cleaned[[#This Row],[FX_rates]]</f>
        <v>112046</v>
      </c>
    </row>
    <row r="537" spans="1:16" x14ac:dyDescent="0.45">
      <c r="A537" t="s">
        <v>545</v>
      </c>
      <c r="B537" s="1">
        <v>45214</v>
      </c>
      <c r="C537" s="2" t="s">
        <v>2014</v>
      </c>
      <c r="D537" t="s">
        <v>2019</v>
      </c>
      <c r="E537">
        <v>0</v>
      </c>
      <c r="F537">
        <f>Cleaned[[#This Row],[Debit]] * Cleaned[[#This Row],[FX_rates]]</f>
        <v>0</v>
      </c>
      <c r="G537">
        <v>3620.97</v>
      </c>
      <c r="H537">
        <f>Cleaned[[#This Row],[Credit]] *  Cleaned[[#This Row],[FX_rates]]</f>
        <v>372959.91</v>
      </c>
      <c r="I537" t="s">
        <v>2024</v>
      </c>
      <c r="J537" t="s">
        <v>2030</v>
      </c>
      <c r="K537" t="s">
        <v>2566</v>
      </c>
      <c r="L537" t="s">
        <v>4031</v>
      </c>
      <c r="M537">
        <f>Cleaned[[#This Row],[Credit]]-Cleaned[[#This Row],[Debit]]</f>
        <v>3620.97</v>
      </c>
      <c r="N537" t="str">
        <f>_xlfn.XLOOKUP(Cleaned[[#This Row],[AccountName]], Account_Mapping!A:A, Account_Mapping!B:B,"Unmapped")</f>
        <v>Revenue</v>
      </c>
      <c r="O537" cm="1">
        <f t="array" ref="O537">_xlfn.XLOOKUP(
  1,
  (FX_Rates[Currency]=Cleaned[[#This Row],[Currency]])*
  (FX_Rates[RateDate]&lt;=Cleaned[[#This Row],[TxnDate]]),
  FX_Rates[Rate_To_INR],
  ,
  -1
)</f>
        <v>103</v>
      </c>
      <c r="P537" s="2">
        <f>Cleaned[[#This Row],[Net Amount]] *  Cleaned[[#This Row],[FX_rates]]</f>
        <v>372959.91</v>
      </c>
    </row>
    <row r="538" spans="1:16" x14ac:dyDescent="0.45">
      <c r="A538" t="s">
        <v>546</v>
      </c>
      <c r="B538" s="1">
        <v>45451</v>
      </c>
      <c r="C538" s="2" t="s">
        <v>2010</v>
      </c>
      <c r="D538" t="s">
        <v>2015</v>
      </c>
      <c r="E538">
        <v>0</v>
      </c>
      <c r="F538">
        <f>Cleaned[[#This Row],[Debit]] * Cleaned[[#This Row],[FX_rates]]</f>
        <v>0</v>
      </c>
      <c r="G538">
        <v>2592.4299999999998</v>
      </c>
      <c r="H538">
        <f>Cleaned[[#This Row],[Credit]] *  Cleaned[[#This Row],[FX_rates]]</f>
        <v>228133.84</v>
      </c>
      <c r="I538" t="s">
        <v>2023</v>
      </c>
      <c r="J538" t="s">
        <v>2026</v>
      </c>
      <c r="K538" t="s">
        <v>2567</v>
      </c>
      <c r="L538" t="s">
        <v>4032</v>
      </c>
      <c r="M538">
        <f>Cleaned[[#This Row],[Credit]]-Cleaned[[#This Row],[Debit]]</f>
        <v>2592.4299999999998</v>
      </c>
      <c r="N538" t="str">
        <f>_xlfn.XLOOKUP(Cleaned[[#This Row],[AccountName]], Account_Mapping!A:A, Account_Mapping!B:B,"Unmapped")</f>
        <v>Revenue</v>
      </c>
      <c r="O538" cm="1">
        <f t="array" ref="O538">_xlfn.XLOOKUP(
  1,
  (FX_Rates[Currency]=Cleaned[[#This Row],[Currency]])*
  (FX_Rates[RateDate]&lt;=Cleaned[[#This Row],[TxnDate]]),
  FX_Rates[Rate_To_INR],
  ,
  -1
)</f>
        <v>88</v>
      </c>
      <c r="P538" s="2">
        <f>Cleaned[[#This Row],[Net Amount]] *  Cleaned[[#This Row],[FX_rates]]</f>
        <v>228133.84</v>
      </c>
    </row>
    <row r="539" spans="1:16" x14ac:dyDescent="0.45">
      <c r="A539" t="s">
        <v>547</v>
      </c>
      <c r="B539" s="1">
        <v>45730</v>
      </c>
      <c r="C539" s="2" t="s">
        <v>2011</v>
      </c>
      <c r="D539" t="s">
        <v>2016</v>
      </c>
      <c r="E539">
        <v>1683.82</v>
      </c>
      <c r="F539">
        <f>Cleaned[[#This Row],[Debit]] * Cleaned[[#This Row],[FX_rates]]</f>
        <v>94293.92</v>
      </c>
      <c r="G539">
        <v>0</v>
      </c>
      <c r="H539">
        <f>Cleaned[[#This Row],[Credit]] *  Cleaned[[#This Row],[FX_rates]]</f>
        <v>0</v>
      </c>
      <c r="I539" t="s">
        <v>2023</v>
      </c>
      <c r="J539" t="s">
        <v>2028</v>
      </c>
      <c r="K539" t="s">
        <v>2568</v>
      </c>
      <c r="L539" t="s">
        <v>4033</v>
      </c>
      <c r="M539">
        <f>Cleaned[[#This Row],[Credit]]-Cleaned[[#This Row],[Debit]]</f>
        <v>-1683.82</v>
      </c>
      <c r="N539" t="str">
        <f>_xlfn.XLOOKUP(Cleaned[[#This Row],[AccountName]], Account_Mapping!A:A, Account_Mapping!B:B,"Unmapped")</f>
        <v>COGS</v>
      </c>
      <c r="O539" cm="1">
        <f t="array" ref="O539">_xlfn.XLOOKUP(
  1,
  (FX_Rates[Currency]=Cleaned[[#This Row],[Currency]])*
  (FX_Rates[RateDate]&lt;=Cleaned[[#This Row],[TxnDate]]),
  FX_Rates[Rate_To_INR],
  ,
  -1
)</f>
        <v>56</v>
      </c>
      <c r="P539" s="2">
        <f>Cleaned[[#This Row],[Net Amount]] *  Cleaned[[#This Row],[FX_rates]]</f>
        <v>-94293.92</v>
      </c>
    </row>
    <row r="540" spans="1:16" x14ac:dyDescent="0.45">
      <c r="A540" t="s">
        <v>548</v>
      </c>
      <c r="B540" s="1">
        <v>45190</v>
      </c>
      <c r="C540" s="2" t="s">
        <v>2013</v>
      </c>
      <c r="D540" t="s">
        <v>2018</v>
      </c>
      <c r="E540">
        <v>1735.98</v>
      </c>
      <c r="F540">
        <f>Cleaned[[#This Row],[Debit]] * Cleaned[[#This Row],[FX_rates]]</f>
        <v>97214.88</v>
      </c>
      <c r="G540">
        <v>0</v>
      </c>
      <c r="H540">
        <f>Cleaned[[#This Row],[Credit]] *  Cleaned[[#This Row],[FX_rates]]</f>
        <v>0</v>
      </c>
      <c r="I540" t="s">
        <v>2020</v>
      </c>
      <c r="J540" t="s">
        <v>2026</v>
      </c>
      <c r="K540" t="s">
        <v>2569</v>
      </c>
      <c r="L540" t="s">
        <v>4033</v>
      </c>
      <c r="M540">
        <f>Cleaned[[#This Row],[Credit]]-Cleaned[[#This Row],[Debit]]</f>
        <v>-1735.98</v>
      </c>
      <c r="N540" t="str">
        <f>_xlfn.XLOOKUP(Cleaned[[#This Row],[AccountName]], Account_Mapping!A:A, Account_Mapping!B:B,"Unmapped")</f>
        <v>Operating Expense</v>
      </c>
      <c r="O540" cm="1">
        <f t="array" ref="O540">_xlfn.XLOOKUP(
  1,
  (FX_Rates[Currency]=Cleaned[[#This Row],[Currency]])*
  (FX_Rates[RateDate]&lt;=Cleaned[[#This Row],[TxnDate]]),
  FX_Rates[Rate_To_INR],
  ,
  -1
)</f>
        <v>56</v>
      </c>
      <c r="P540" s="2">
        <f>Cleaned[[#This Row],[Net Amount]] *  Cleaned[[#This Row],[FX_rates]]</f>
        <v>-97214.88</v>
      </c>
    </row>
    <row r="541" spans="1:16" x14ac:dyDescent="0.45">
      <c r="A541" t="s">
        <v>549</v>
      </c>
      <c r="B541" s="1">
        <v>45797</v>
      </c>
      <c r="C541" s="2" t="s">
        <v>2010</v>
      </c>
      <c r="D541" t="s">
        <v>2015</v>
      </c>
      <c r="E541">
        <v>0</v>
      </c>
      <c r="F541">
        <f>Cleaned[[#This Row],[Debit]] * Cleaned[[#This Row],[FX_rates]]</f>
        <v>0</v>
      </c>
      <c r="G541">
        <v>3791.55</v>
      </c>
      <c r="H541">
        <f>Cleaned[[#This Row],[Credit]] *  Cleaned[[#This Row],[FX_rates]]</f>
        <v>333656.40000000002</v>
      </c>
      <c r="I541" t="s">
        <v>2024</v>
      </c>
      <c r="J541" t="s">
        <v>2028</v>
      </c>
      <c r="K541" t="s">
        <v>2570</v>
      </c>
      <c r="L541" t="s">
        <v>4032</v>
      </c>
      <c r="M541">
        <f>Cleaned[[#This Row],[Credit]]-Cleaned[[#This Row],[Debit]]</f>
        <v>3791.55</v>
      </c>
      <c r="N541" t="str">
        <f>_xlfn.XLOOKUP(Cleaned[[#This Row],[AccountName]], Account_Mapping!A:A, Account_Mapping!B:B,"Unmapped")</f>
        <v>Revenue</v>
      </c>
      <c r="O541" cm="1">
        <f t="array" ref="O541">_xlfn.XLOOKUP(
  1,
  (FX_Rates[Currency]=Cleaned[[#This Row],[Currency]])*
  (FX_Rates[RateDate]&lt;=Cleaned[[#This Row],[TxnDate]]),
  FX_Rates[Rate_To_INR],
  ,
  -1
)</f>
        <v>88</v>
      </c>
      <c r="P541" s="2">
        <f>Cleaned[[#This Row],[Net Amount]] *  Cleaned[[#This Row],[FX_rates]]</f>
        <v>333656.40000000002</v>
      </c>
    </row>
    <row r="542" spans="1:16" x14ac:dyDescent="0.45">
      <c r="A542" t="s">
        <v>550</v>
      </c>
      <c r="B542" s="1">
        <v>45687</v>
      </c>
      <c r="C542" s="2" t="s">
        <v>2014</v>
      </c>
      <c r="D542" t="s">
        <v>2019</v>
      </c>
      <c r="E542">
        <v>0</v>
      </c>
      <c r="F542">
        <f>Cleaned[[#This Row],[Debit]] * Cleaned[[#This Row],[FX_rates]]</f>
        <v>0</v>
      </c>
      <c r="G542">
        <v>2119.27</v>
      </c>
      <c r="H542">
        <f>Cleaned[[#This Row],[Credit]] *  Cleaned[[#This Row],[FX_rates]]</f>
        <v>173780.13999999998</v>
      </c>
      <c r="I542" t="s">
        <v>2020</v>
      </c>
      <c r="J542" t="s">
        <v>2026</v>
      </c>
      <c r="K542" t="s">
        <v>2571</v>
      </c>
      <c r="L542" t="s">
        <v>4034</v>
      </c>
      <c r="M542">
        <f>Cleaned[[#This Row],[Credit]]-Cleaned[[#This Row],[Debit]]</f>
        <v>2119.27</v>
      </c>
      <c r="N542" t="str">
        <f>_xlfn.XLOOKUP(Cleaned[[#This Row],[AccountName]], Account_Mapping!A:A, Account_Mapping!B:B,"Unmapped")</f>
        <v>Revenue</v>
      </c>
      <c r="O542" cm="1">
        <f t="array" ref="O542">_xlfn.XLOOKUP(
  1,
  (FX_Rates[Currency]=Cleaned[[#This Row],[Currency]])*
  (FX_Rates[RateDate]&lt;=Cleaned[[#This Row],[TxnDate]]),
  FX_Rates[Rate_To_INR],
  ,
  -1
)</f>
        <v>82</v>
      </c>
      <c r="P542" s="2">
        <f>Cleaned[[#This Row],[Net Amount]] *  Cleaned[[#This Row],[FX_rates]]</f>
        <v>173780.13999999998</v>
      </c>
    </row>
    <row r="543" spans="1:16" x14ac:dyDescent="0.45">
      <c r="A543" t="s">
        <v>551</v>
      </c>
      <c r="B543" s="1">
        <v>45586</v>
      </c>
      <c r="C543" s="2" t="s">
        <v>2014</v>
      </c>
      <c r="D543" t="s">
        <v>2019</v>
      </c>
      <c r="E543">
        <v>0</v>
      </c>
      <c r="F543">
        <f>Cleaned[[#This Row],[Debit]] * Cleaned[[#This Row],[FX_rates]]</f>
        <v>0</v>
      </c>
      <c r="G543">
        <v>3802.31</v>
      </c>
      <c r="H543">
        <f>Cleaned[[#This Row],[Credit]] *  Cleaned[[#This Row],[FX_rates]]</f>
        <v>231940.91</v>
      </c>
      <c r="I543" t="s">
        <v>2023</v>
      </c>
      <c r="J543" t="s">
        <v>2028</v>
      </c>
      <c r="K543" t="s">
        <v>2572</v>
      </c>
      <c r="L543" t="s">
        <v>4035</v>
      </c>
      <c r="M543">
        <f>Cleaned[[#This Row],[Credit]]-Cleaned[[#This Row],[Debit]]</f>
        <v>3802.31</v>
      </c>
      <c r="N543" t="str">
        <f>_xlfn.XLOOKUP(Cleaned[[#This Row],[AccountName]], Account_Mapping!A:A, Account_Mapping!B:B,"Unmapped")</f>
        <v>Revenue</v>
      </c>
      <c r="O543" cm="1">
        <f t="array" ref="O543">_xlfn.XLOOKUP(
  1,
  (FX_Rates[Currency]=Cleaned[[#This Row],[Currency]])*
  (FX_Rates[RateDate]&lt;=Cleaned[[#This Row],[TxnDate]]),
  FX_Rates[Rate_To_INR],
  ,
  -1
)</f>
        <v>61</v>
      </c>
      <c r="P543" s="2">
        <f>Cleaned[[#This Row],[Net Amount]] *  Cleaned[[#This Row],[FX_rates]]</f>
        <v>231940.91</v>
      </c>
    </row>
    <row r="544" spans="1:16" x14ac:dyDescent="0.45">
      <c r="A544" t="s">
        <v>552</v>
      </c>
      <c r="B544" s="1">
        <v>45670</v>
      </c>
      <c r="C544" s="2" t="s">
        <v>2014</v>
      </c>
      <c r="D544" t="s">
        <v>2019</v>
      </c>
      <c r="E544">
        <v>0</v>
      </c>
      <c r="F544">
        <f>Cleaned[[#This Row],[Debit]] * Cleaned[[#This Row],[FX_rates]]</f>
        <v>0</v>
      </c>
      <c r="G544">
        <v>1414.25</v>
      </c>
      <c r="H544">
        <f>Cleaned[[#This Row],[Credit]] *  Cleaned[[#This Row],[FX_rates]]</f>
        <v>115968.5</v>
      </c>
      <c r="I544" t="s">
        <v>2020</v>
      </c>
      <c r="J544" t="s">
        <v>2029</v>
      </c>
      <c r="K544" t="s">
        <v>2573</v>
      </c>
      <c r="L544" t="s">
        <v>4034</v>
      </c>
      <c r="M544">
        <f>Cleaned[[#This Row],[Credit]]-Cleaned[[#This Row],[Debit]]</f>
        <v>1414.25</v>
      </c>
      <c r="N544" t="str">
        <f>_xlfn.XLOOKUP(Cleaned[[#This Row],[AccountName]], Account_Mapping!A:A, Account_Mapping!B:B,"Unmapped")</f>
        <v>Revenue</v>
      </c>
      <c r="O544" cm="1">
        <f t="array" ref="O544">_xlfn.XLOOKUP(
  1,
  (FX_Rates[Currency]=Cleaned[[#This Row],[Currency]])*
  (FX_Rates[RateDate]&lt;=Cleaned[[#This Row],[TxnDate]]),
  FX_Rates[Rate_To_INR],
  ,
  -1
)</f>
        <v>82</v>
      </c>
      <c r="P544" s="2">
        <f>Cleaned[[#This Row],[Net Amount]] *  Cleaned[[#This Row],[FX_rates]]</f>
        <v>115968.5</v>
      </c>
    </row>
    <row r="545" spans="1:16" x14ac:dyDescent="0.45">
      <c r="A545" t="s">
        <v>553</v>
      </c>
      <c r="B545" s="1">
        <v>45630</v>
      </c>
      <c r="C545" s="2" t="s">
        <v>2010</v>
      </c>
      <c r="D545" t="s">
        <v>2015</v>
      </c>
      <c r="E545">
        <v>0</v>
      </c>
      <c r="F545">
        <f>Cleaned[[#This Row],[Debit]] * Cleaned[[#This Row],[FX_rates]]</f>
        <v>0</v>
      </c>
      <c r="G545">
        <v>1404.17</v>
      </c>
      <c r="H545">
        <f>Cleaned[[#This Row],[Credit]] *  Cleaned[[#This Row],[FX_rates]]</f>
        <v>78633.52</v>
      </c>
      <c r="I545" t="s">
        <v>2022</v>
      </c>
      <c r="J545" t="s">
        <v>2026</v>
      </c>
      <c r="K545" t="s">
        <v>2574</v>
      </c>
      <c r="L545" t="s">
        <v>4033</v>
      </c>
      <c r="M545">
        <f>Cleaned[[#This Row],[Credit]]-Cleaned[[#This Row],[Debit]]</f>
        <v>1404.17</v>
      </c>
      <c r="N545" t="str">
        <f>_xlfn.XLOOKUP(Cleaned[[#This Row],[AccountName]], Account_Mapping!A:A, Account_Mapping!B:B,"Unmapped")</f>
        <v>Revenue</v>
      </c>
      <c r="O545" cm="1">
        <f t="array" ref="O545">_xlfn.XLOOKUP(
  1,
  (FX_Rates[Currency]=Cleaned[[#This Row],[Currency]])*
  (FX_Rates[RateDate]&lt;=Cleaned[[#This Row],[TxnDate]]),
  FX_Rates[Rate_To_INR],
  ,
  -1
)</f>
        <v>56</v>
      </c>
      <c r="P545" s="2">
        <f>Cleaned[[#This Row],[Net Amount]] *  Cleaned[[#This Row],[FX_rates]]</f>
        <v>78633.52</v>
      </c>
    </row>
    <row r="546" spans="1:16" x14ac:dyDescent="0.45">
      <c r="A546" t="s">
        <v>554</v>
      </c>
      <c r="B546" s="1">
        <v>45048</v>
      </c>
      <c r="C546" s="2" t="s">
        <v>2014</v>
      </c>
      <c r="D546" t="s">
        <v>2019</v>
      </c>
      <c r="E546">
        <v>0</v>
      </c>
      <c r="F546">
        <f>Cleaned[[#This Row],[Debit]] * Cleaned[[#This Row],[FX_rates]]</f>
        <v>0</v>
      </c>
      <c r="G546">
        <v>3160.15</v>
      </c>
      <c r="H546">
        <f>Cleaned[[#This Row],[Credit]] *  Cleaned[[#This Row],[FX_rates]]</f>
        <v>192769.15</v>
      </c>
      <c r="I546" t="s">
        <v>2024</v>
      </c>
      <c r="J546" t="s">
        <v>2028</v>
      </c>
      <c r="K546" t="s">
        <v>2575</v>
      </c>
      <c r="L546" t="s">
        <v>4035</v>
      </c>
      <c r="M546">
        <f>Cleaned[[#This Row],[Credit]]-Cleaned[[#This Row],[Debit]]</f>
        <v>3160.15</v>
      </c>
      <c r="N546" t="str">
        <f>_xlfn.XLOOKUP(Cleaned[[#This Row],[AccountName]], Account_Mapping!A:A, Account_Mapping!B:B,"Unmapped")</f>
        <v>Revenue</v>
      </c>
      <c r="O546" cm="1">
        <f t="array" ref="O546">_xlfn.XLOOKUP(
  1,
  (FX_Rates[Currency]=Cleaned[[#This Row],[Currency]])*
  (FX_Rates[RateDate]&lt;=Cleaned[[#This Row],[TxnDate]]),
  FX_Rates[Rate_To_INR],
  ,
  -1
)</f>
        <v>61</v>
      </c>
      <c r="P546" s="2">
        <f>Cleaned[[#This Row],[Net Amount]] *  Cleaned[[#This Row],[FX_rates]]</f>
        <v>192769.15</v>
      </c>
    </row>
    <row r="547" spans="1:16" x14ac:dyDescent="0.45">
      <c r="A547" t="s">
        <v>555</v>
      </c>
      <c r="B547" s="1">
        <v>45077</v>
      </c>
      <c r="C547" s="2" t="s">
        <v>2012</v>
      </c>
      <c r="D547" t="s">
        <v>2017</v>
      </c>
      <c r="E547">
        <v>344.52</v>
      </c>
      <c r="F547">
        <f>Cleaned[[#This Row],[Debit]] * Cleaned[[#This Row],[FX_rates]]</f>
        <v>19293.12</v>
      </c>
      <c r="G547">
        <v>0</v>
      </c>
      <c r="H547">
        <f>Cleaned[[#This Row],[Credit]] *  Cleaned[[#This Row],[FX_rates]]</f>
        <v>0</v>
      </c>
      <c r="I547" t="s">
        <v>2024</v>
      </c>
      <c r="J547" t="s">
        <v>2028</v>
      </c>
      <c r="K547" t="s">
        <v>2576</v>
      </c>
      <c r="L547" t="s">
        <v>4033</v>
      </c>
      <c r="M547">
        <f>Cleaned[[#This Row],[Credit]]-Cleaned[[#This Row],[Debit]]</f>
        <v>-344.52</v>
      </c>
      <c r="N547" t="str">
        <f>_xlfn.XLOOKUP(Cleaned[[#This Row],[AccountName]], Account_Mapping!A:A, Account_Mapping!B:B,"Unmapped")</f>
        <v>Operating Expense</v>
      </c>
      <c r="O547" cm="1">
        <f t="array" ref="O547">_xlfn.XLOOKUP(
  1,
  (FX_Rates[Currency]=Cleaned[[#This Row],[Currency]])*
  (FX_Rates[RateDate]&lt;=Cleaned[[#This Row],[TxnDate]]),
  FX_Rates[Rate_To_INR],
  ,
  -1
)</f>
        <v>56</v>
      </c>
      <c r="P547" s="2">
        <f>Cleaned[[#This Row],[Net Amount]] *  Cleaned[[#This Row],[FX_rates]]</f>
        <v>-19293.12</v>
      </c>
    </row>
    <row r="548" spans="1:16" x14ac:dyDescent="0.45">
      <c r="A548" t="s">
        <v>556</v>
      </c>
      <c r="B548" s="1">
        <v>45552</v>
      </c>
      <c r="C548" s="2" t="s">
        <v>2012</v>
      </c>
      <c r="D548" t="s">
        <v>2017</v>
      </c>
      <c r="E548">
        <v>846.89</v>
      </c>
      <c r="F548">
        <f>Cleaned[[#This Row],[Debit]] * Cleaned[[#This Row],[FX_rates]]</f>
        <v>87229.67</v>
      </c>
      <c r="G548">
        <v>0</v>
      </c>
      <c r="H548">
        <f>Cleaned[[#This Row],[Credit]] *  Cleaned[[#This Row],[FX_rates]]</f>
        <v>0</v>
      </c>
      <c r="I548" t="s">
        <v>2023</v>
      </c>
      <c r="J548" t="s">
        <v>2029</v>
      </c>
      <c r="K548" t="s">
        <v>2577</v>
      </c>
      <c r="L548" t="s">
        <v>4031</v>
      </c>
      <c r="M548">
        <f>Cleaned[[#This Row],[Credit]]-Cleaned[[#This Row],[Debit]]</f>
        <v>-846.89</v>
      </c>
      <c r="N548" t="str">
        <f>_xlfn.XLOOKUP(Cleaned[[#This Row],[AccountName]], Account_Mapping!A:A, Account_Mapping!B:B,"Unmapped")</f>
        <v>Operating Expense</v>
      </c>
      <c r="O548" cm="1">
        <f t="array" ref="O548">_xlfn.XLOOKUP(
  1,
  (FX_Rates[Currency]=Cleaned[[#This Row],[Currency]])*
  (FX_Rates[RateDate]&lt;=Cleaned[[#This Row],[TxnDate]]),
  FX_Rates[Rate_To_INR],
  ,
  -1
)</f>
        <v>103</v>
      </c>
      <c r="P548" s="2">
        <f>Cleaned[[#This Row],[Net Amount]] *  Cleaned[[#This Row],[FX_rates]]</f>
        <v>-87229.67</v>
      </c>
    </row>
    <row r="549" spans="1:16" x14ac:dyDescent="0.45">
      <c r="A549" t="s">
        <v>557</v>
      </c>
      <c r="B549" s="1">
        <v>45806</v>
      </c>
      <c r="C549" s="2" t="s">
        <v>2013</v>
      </c>
      <c r="D549" t="s">
        <v>2018</v>
      </c>
      <c r="E549">
        <v>1316.39</v>
      </c>
      <c r="F549">
        <f>Cleaned[[#This Row],[Debit]] * Cleaned[[#This Row],[FX_rates]]</f>
        <v>80299.790000000008</v>
      </c>
      <c r="G549">
        <v>0</v>
      </c>
      <c r="H549">
        <f>Cleaned[[#This Row],[Credit]] *  Cleaned[[#This Row],[FX_rates]]</f>
        <v>0</v>
      </c>
      <c r="I549" t="s">
        <v>2024</v>
      </c>
      <c r="J549" t="s">
        <v>2030</v>
      </c>
      <c r="K549" t="s">
        <v>2578</v>
      </c>
      <c r="L549" t="s">
        <v>4035</v>
      </c>
      <c r="M549">
        <f>Cleaned[[#This Row],[Credit]]-Cleaned[[#This Row],[Debit]]</f>
        <v>-1316.39</v>
      </c>
      <c r="N549" t="str">
        <f>_xlfn.XLOOKUP(Cleaned[[#This Row],[AccountName]], Account_Mapping!A:A, Account_Mapping!B:B,"Unmapped")</f>
        <v>Operating Expense</v>
      </c>
      <c r="O549" cm="1">
        <f t="array" ref="O549">_xlfn.XLOOKUP(
  1,
  (FX_Rates[Currency]=Cleaned[[#This Row],[Currency]])*
  (FX_Rates[RateDate]&lt;=Cleaned[[#This Row],[TxnDate]]),
  FX_Rates[Rate_To_INR],
  ,
  -1
)</f>
        <v>61</v>
      </c>
      <c r="P549" s="2">
        <f>Cleaned[[#This Row],[Net Amount]] *  Cleaned[[#This Row],[FX_rates]]</f>
        <v>-80299.790000000008</v>
      </c>
    </row>
    <row r="550" spans="1:16" x14ac:dyDescent="0.45">
      <c r="A550" t="s">
        <v>558</v>
      </c>
      <c r="B550" s="1">
        <v>45600</v>
      </c>
      <c r="C550" s="2" t="s">
        <v>2013</v>
      </c>
      <c r="D550" t="s">
        <v>2018</v>
      </c>
      <c r="E550">
        <v>1731.71</v>
      </c>
      <c r="F550">
        <f>Cleaned[[#This Row],[Debit]] * Cleaned[[#This Row],[FX_rates]]</f>
        <v>178366.13</v>
      </c>
      <c r="G550">
        <v>0</v>
      </c>
      <c r="H550">
        <f>Cleaned[[#This Row],[Credit]] *  Cleaned[[#This Row],[FX_rates]]</f>
        <v>0</v>
      </c>
      <c r="I550" t="s">
        <v>2020</v>
      </c>
      <c r="J550" t="s">
        <v>2028</v>
      </c>
      <c r="K550" t="s">
        <v>2579</v>
      </c>
      <c r="L550" t="s">
        <v>4031</v>
      </c>
      <c r="M550">
        <f>Cleaned[[#This Row],[Credit]]-Cleaned[[#This Row],[Debit]]</f>
        <v>-1731.71</v>
      </c>
      <c r="N550" t="str">
        <f>_xlfn.XLOOKUP(Cleaned[[#This Row],[AccountName]], Account_Mapping!A:A, Account_Mapping!B:B,"Unmapped")</f>
        <v>Operating Expense</v>
      </c>
      <c r="O550" cm="1">
        <f t="array" ref="O550">_xlfn.XLOOKUP(
  1,
  (FX_Rates[Currency]=Cleaned[[#This Row],[Currency]])*
  (FX_Rates[RateDate]&lt;=Cleaned[[#This Row],[TxnDate]]),
  FX_Rates[Rate_To_INR],
  ,
  -1
)</f>
        <v>103</v>
      </c>
      <c r="P550" s="2">
        <f>Cleaned[[#This Row],[Net Amount]] *  Cleaned[[#This Row],[FX_rates]]</f>
        <v>-178366.13</v>
      </c>
    </row>
    <row r="551" spans="1:16" x14ac:dyDescent="0.45">
      <c r="A551" t="s">
        <v>559</v>
      </c>
      <c r="B551" s="1">
        <v>45433</v>
      </c>
      <c r="C551" s="2" t="s">
        <v>2011</v>
      </c>
      <c r="D551" t="s">
        <v>2016</v>
      </c>
      <c r="E551">
        <v>1683.19</v>
      </c>
      <c r="F551">
        <f>Cleaned[[#This Row],[Debit]] * Cleaned[[#This Row],[FX_rates]]</f>
        <v>138021.58000000002</v>
      </c>
      <c r="G551">
        <v>0</v>
      </c>
      <c r="H551">
        <f>Cleaned[[#This Row],[Credit]] *  Cleaned[[#This Row],[FX_rates]]</f>
        <v>0</v>
      </c>
      <c r="I551" t="s">
        <v>2024</v>
      </c>
      <c r="J551" t="s">
        <v>2028</v>
      </c>
      <c r="K551" t="s">
        <v>2580</v>
      </c>
      <c r="L551" t="s">
        <v>4034</v>
      </c>
      <c r="M551">
        <f>Cleaned[[#This Row],[Credit]]-Cleaned[[#This Row],[Debit]]</f>
        <v>-1683.19</v>
      </c>
      <c r="N551" t="str">
        <f>_xlfn.XLOOKUP(Cleaned[[#This Row],[AccountName]], Account_Mapping!A:A, Account_Mapping!B:B,"Unmapped")</f>
        <v>COGS</v>
      </c>
      <c r="O551" cm="1">
        <f t="array" ref="O551">_xlfn.XLOOKUP(
  1,
  (FX_Rates[Currency]=Cleaned[[#This Row],[Currency]])*
  (FX_Rates[RateDate]&lt;=Cleaned[[#This Row],[TxnDate]]),
  FX_Rates[Rate_To_INR],
  ,
  -1
)</f>
        <v>82</v>
      </c>
      <c r="P551" s="2">
        <f>Cleaned[[#This Row],[Net Amount]] *  Cleaned[[#This Row],[FX_rates]]</f>
        <v>-138021.58000000002</v>
      </c>
    </row>
    <row r="552" spans="1:16" x14ac:dyDescent="0.45">
      <c r="A552" t="s">
        <v>560</v>
      </c>
      <c r="B552" s="1">
        <v>45536</v>
      </c>
      <c r="C552" s="2" t="s">
        <v>2012</v>
      </c>
      <c r="D552" t="s">
        <v>2017</v>
      </c>
      <c r="E552">
        <v>225.82</v>
      </c>
      <c r="F552">
        <f>Cleaned[[#This Row],[Debit]] * Cleaned[[#This Row],[FX_rates]]</f>
        <v>23259.46</v>
      </c>
      <c r="G552">
        <v>0</v>
      </c>
      <c r="H552">
        <f>Cleaned[[#This Row],[Credit]] *  Cleaned[[#This Row],[FX_rates]]</f>
        <v>0</v>
      </c>
      <c r="I552" t="s">
        <v>2023</v>
      </c>
      <c r="J552" t="s">
        <v>2028</v>
      </c>
      <c r="K552" t="s">
        <v>2581</v>
      </c>
      <c r="L552" t="s">
        <v>4031</v>
      </c>
      <c r="M552">
        <f>Cleaned[[#This Row],[Credit]]-Cleaned[[#This Row],[Debit]]</f>
        <v>-225.82</v>
      </c>
      <c r="N552" t="str">
        <f>_xlfn.XLOOKUP(Cleaned[[#This Row],[AccountName]], Account_Mapping!A:A, Account_Mapping!B:B,"Unmapped")</f>
        <v>Operating Expense</v>
      </c>
      <c r="O552" cm="1">
        <f t="array" ref="O552">_xlfn.XLOOKUP(
  1,
  (FX_Rates[Currency]=Cleaned[[#This Row],[Currency]])*
  (FX_Rates[RateDate]&lt;=Cleaned[[#This Row],[TxnDate]]),
  FX_Rates[Rate_To_INR],
  ,
  -1
)</f>
        <v>103</v>
      </c>
      <c r="P552" s="2">
        <f>Cleaned[[#This Row],[Net Amount]] *  Cleaned[[#This Row],[FX_rates]]</f>
        <v>-23259.46</v>
      </c>
    </row>
    <row r="553" spans="1:16" x14ac:dyDescent="0.45">
      <c r="A553" t="s">
        <v>561</v>
      </c>
      <c r="B553" s="1">
        <v>45050</v>
      </c>
      <c r="C553" s="2" t="s">
        <v>2010</v>
      </c>
      <c r="D553" t="s">
        <v>2015</v>
      </c>
      <c r="E553">
        <v>0</v>
      </c>
      <c r="F553">
        <f>Cleaned[[#This Row],[Debit]] * Cleaned[[#This Row],[FX_rates]]</f>
        <v>0</v>
      </c>
      <c r="G553">
        <v>3218.47</v>
      </c>
      <c r="H553">
        <f>Cleaned[[#This Row],[Credit]] *  Cleaned[[#This Row],[FX_rates]]</f>
        <v>180234.31999999998</v>
      </c>
      <c r="I553" t="s">
        <v>2022</v>
      </c>
      <c r="J553" t="s">
        <v>2028</v>
      </c>
      <c r="K553" t="s">
        <v>2582</v>
      </c>
      <c r="L553" t="s">
        <v>4033</v>
      </c>
      <c r="M553">
        <f>Cleaned[[#This Row],[Credit]]-Cleaned[[#This Row],[Debit]]</f>
        <v>3218.47</v>
      </c>
      <c r="N553" t="str">
        <f>_xlfn.XLOOKUP(Cleaned[[#This Row],[AccountName]], Account_Mapping!A:A, Account_Mapping!B:B,"Unmapped")</f>
        <v>Revenue</v>
      </c>
      <c r="O553" cm="1">
        <f t="array" ref="O553">_xlfn.XLOOKUP(
  1,
  (FX_Rates[Currency]=Cleaned[[#This Row],[Currency]])*
  (FX_Rates[RateDate]&lt;=Cleaned[[#This Row],[TxnDate]]),
  FX_Rates[Rate_To_INR],
  ,
  -1
)</f>
        <v>56</v>
      </c>
      <c r="P553" s="2">
        <f>Cleaned[[#This Row],[Net Amount]] *  Cleaned[[#This Row],[FX_rates]]</f>
        <v>180234.31999999998</v>
      </c>
    </row>
    <row r="554" spans="1:16" x14ac:dyDescent="0.45">
      <c r="A554" t="s">
        <v>562</v>
      </c>
      <c r="B554" s="1">
        <v>45182</v>
      </c>
      <c r="C554" s="2" t="s">
        <v>2014</v>
      </c>
      <c r="D554" t="s">
        <v>2019</v>
      </c>
      <c r="E554">
        <v>0</v>
      </c>
      <c r="F554">
        <f>Cleaned[[#This Row],[Debit]] * Cleaned[[#This Row],[FX_rates]]</f>
        <v>0</v>
      </c>
      <c r="G554">
        <v>489.03</v>
      </c>
      <c r="H554">
        <f>Cleaned[[#This Row],[Credit]] *  Cleaned[[#This Row],[FX_rates]]</f>
        <v>29830.829999999998</v>
      </c>
      <c r="I554" t="s">
        <v>2022</v>
      </c>
      <c r="J554" t="s">
        <v>2026</v>
      </c>
      <c r="K554" t="s">
        <v>2583</v>
      </c>
      <c r="L554" t="s">
        <v>4035</v>
      </c>
      <c r="M554">
        <f>Cleaned[[#This Row],[Credit]]-Cleaned[[#This Row],[Debit]]</f>
        <v>489.03</v>
      </c>
      <c r="N554" t="str">
        <f>_xlfn.XLOOKUP(Cleaned[[#This Row],[AccountName]], Account_Mapping!A:A, Account_Mapping!B:B,"Unmapped")</f>
        <v>Revenue</v>
      </c>
      <c r="O554" cm="1">
        <f t="array" ref="O554">_xlfn.XLOOKUP(
  1,
  (FX_Rates[Currency]=Cleaned[[#This Row],[Currency]])*
  (FX_Rates[RateDate]&lt;=Cleaned[[#This Row],[TxnDate]]),
  FX_Rates[Rate_To_INR],
  ,
  -1
)</f>
        <v>61</v>
      </c>
      <c r="P554" s="2">
        <f>Cleaned[[#This Row],[Net Amount]] *  Cleaned[[#This Row],[FX_rates]]</f>
        <v>29830.829999999998</v>
      </c>
    </row>
    <row r="555" spans="1:16" x14ac:dyDescent="0.45">
      <c r="A555" t="s">
        <v>563</v>
      </c>
      <c r="B555" s="1">
        <v>45820</v>
      </c>
      <c r="C555" s="2" t="s">
        <v>2013</v>
      </c>
      <c r="D555" t="s">
        <v>2018</v>
      </c>
      <c r="E555">
        <v>558.76</v>
      </c>
      <c r="F555">
        <f>Cleaned[[#This Row],[Debit]] * Cleaned[[#This Row],[FX_rates]]</f>
        <v>45818.32</v>
      </c>
      <c r="G555">
        <v>0</v>
      </c>
      <c r="H555">
        <f>Cleaned[[#This Row],[Credit]] *  Cleaned[[#This Row],[FX_rates]]</f>
        <v>0</v>
      </c>
      <c r="I555" t="s">
        <v>2022</v>
      </c>
      <c r="J555" t="s">
        <v>2029</v>
      </c>
      <c r="K555" t="s">
        <v>2584</v>
      </c>
      <c r="L555" t="s">
        <v>4034</v>
      </c>
      <c r="M555">
        <f>Cleaned[[#This Row],[Credit]]-Cleaned[[#This Row],[Debit]]</f>
        <v>-558.76</v>
      </c>
      <c r="N555" t="str">
        <f>_xlfn.XLOOKUP(Cleaned[[#This Row],[AccountName]], Account_Mapping!A:A, Account_Mapping!B:B,"Unmapped")</f>
        <v>Operating Expense</v>
      </c>
      <c r="O555" cm="1">
        <f t="array" ref="O555">_xlfn.XLOOKUP(
  1,
  (FX_Rates[Currency]=Cleaned[[#This Row],[Currency]])*
  (FX_Rates[RateDate]&lt;=Cleaned[[#This Row],[TxnDate]]),
  FX_Rates[Rate_To_INR],
  ,
  -1
)</f>
        <v>82</v>
      </c>
      <c r="P555" s="2">
        <f>Cleaned[[#This Row],[Net Amount]] *  Cleaned[[#This Row],[FX_rates]]</f>
        <v>-45818.32</v>
      </c>
    </row>
    <row r="556" spans="1:16" x14ac:dyDescent="0.45">
      <c r="A556" t="s">
        <v>564</v>
      </c>
      <c r="B556" s="1">
        <v>44949</v>
      </c>
      <c r="C556" s="2" t="s">
        <v>2010</v>
      </c>
      <c r="D556" t="s">
        <v>2015</v>
      </c>
      <c r="E556">
        <v>0</v>
      </c>
      <c r="F556">
        <f>Cleaned[[#This Row],[Debit]] * Cleaned[[#This Row],[FX_rates]]</f>
        <v>0</v>
      </c>
      <c r="G556">
        <v>3368.07</v>
      </c>
      <c r="H556">
        <f>Cleaned[[#This Row],[Credit]] *  Cleaned[[#This Row],[FX_rates]]</f>
        <v>346911.21</v>
      </c>
      <c r="I556" t="s">
        <v>2023</v>
      </c>
      <c r="J556" t="s">
        <v>2027</v>
      </c>
      <c r="K556" t="s">
        <v>2585</v>
      </c>
      <c r="L556" t="s">
        <v>4031</v>
      </c>
      <c r="M556">
        <f>Cleaned[[#This Row],[Credit]]-Cleaned[[#This Row],[Debit]]</f>
        <v>3368.07</v>
      </c>
      <c r="N556" t="str">
        <f>_xlfn.XLOOKUP(Cleaned[[#This Row],[AccountName]], Account_Mapping!A:A, Account_Mapping!B:B,"Unmapped")</f>
        <v>Revenue</v>
      </c>
      <c r="O556" cm="1">
        <f t="array" ref="O556">_xlfn.XLOOKUP(
  1,
  (FX_Rates[Currency]=Cleaned[[#This Row],[Currency]])*
  (FX_Rates[RateDate]&lt;=Cleaned[[#This Row],[TxnDate]]),
  FX_Rates[Rate_To_INR],
  ,
  -1
)</f>
        <v>103</v>
      </c>
      <c r="P556" s="2">
        <f>Cleaned[[#This Row],[Net Amount]] *  Cleaned[[#This Row],[FX_rates]]</f>
        <v>346911.21</v>
      </c>
    </row>
    <row r="557" spans="1:16" x14ac:dyDescent="0.45">
      <c r="A557" t="s">
        <v>565</v>
      </c>
      <c r="B557" s="1">
        <v>45709</v>
      </c>
      <c r="C557" s="2" t="s">
        <v>2011</v>
      </c>
      <c r="D557" t="s">
        <v>2016</v>
      </c>
      <c r="E557">
        <v>1354.74</v>
      </c>
      <c r="F557">
        <f>Cleaned[[#This Row],[Debit]] * Cleaned[[#This Row],[FX_rates]]</f>
        <v>82639.14</v>
      </c>
      <c r="G557">
        <v>0</v>
      </c>
      <c r="H557">
        <f>Cleaned[[#This Row],[Credit]] *  Cleaned[[#This Row],[FX_rates]]</f>
        <v>0</v>
      </c>
      <c r="I557" t="s">
        <v>2021</v>
      </c>
      <c r="J557" t="s">
        <v>2026</v>
      </c>
      <c r="K557" t="s">
        <v>2586</v>
      </c>
      <c r="L557" t="s">
        <v>4035</v>
      </c>
      <c r="M557">
        <f>Cleaned[[#This Row],[Credit]]-Cleaned[[#This Row],[Debit]]</f>
        <v>-1354.74</v>
      </c>
      <c r="N557" t="str">
        <f>_xlfn.XLOOKUP(Cleaned[[#This Row],[AccountName]], Account_Mapping!A:A, Account_Mapping!B:B,"Unmapped")</f>
        <v>COGS</v>
      </c>
      <c r="O557" cm="1">
        <f t="array" ref="O557">_xlfn.XLOOKUP(
  1,
  (FX_Rates[Currency]=Cleaned[[#This Row],[Currency]])*
  (FX_Rates[RateDate]&lt;=Cleaned[[#This Row],[TxnDate]]),
  FX_Rates[Rate_To_INR],
  ,
  -1
)</f>
        <v>61</v>
      </c>
      <c r="P557" s="2">
        <f>Cleaned[[#This Row],[Net Amount]] *  Cleaned[[#This Row],[FX_rates]]</f>
        <v>-82639.14</v>
      </c>
    </row>
    <row r="558" spans="1:16" x14ac:dyDescent="0.45">
      <c r="A558" t="s">
        <v>566</v>
      </c>
      <c r="B558" s="1">
        <v>45577</v>
      </c>
      <c r="C558" s="2" t="s">
        <v>2013</v>
      </c>
      <c r="D558" t="s">
        <v>2018</v>
      </c>
      <c r="E558">
        <v>421.39</v>
      </c>
      <c r="F558">
        <f>Cleaned[[#This Row],[Debit]] * Cleaned[[#This Row],[FX_rates]]</f>
        <v>34553.979999999996</v>
      </c>
      <c r="G558">
        <v>0</v>
      </c>
      <c r="H558">
        <f>Cleaned[[#This Row],[Credit]] *  Cleaned[[#This Row],[FX_rates]]</f>
        <v>0</v>
      </c>
      <c r="I558" t="s">
        <v>2024</v>
      </c>
      <c r="J558" t="s">
        <v>2028</v>
      </c>
      <c r="K558" t="s">
        <v>2587</v>
      </c>
      <c r="L558" t="s">
        <v>4034</v>
      </c>
      <c r="M558">
        <f>Cleaned[[#This Row],[Credit]]-Cleaned[[#This Row],[Debit]]</f>
        <v>-421.39</v>
      </c>
      <c r="N558" t="str">
        <f>_xlfn.XLOOKUP(Cleaned[[#This Row],[AccountName]], Account_Mapping!A:A, Account_Mapping!B:B,"Unmapped")</f>
        <v>Operating Expense</v>
      </c>
      <c r="O558" cm="1">
        <f t="array" ref="O558">_xlfn.XLOOKUP(
  1,
  (FX_Rates[Currency]=Cleaned[[#This Row],[Currency]])*
  (FX_Rates[RateDate]&lt;=Cleaned[[#This Row],[TxnDate]]),
  FX_Rates[Rate_To_INR],
  ,
  -1
)</f>
        <v>82</v>
      </c>
      <c r="P558" s="2">
        <f>Cleaned[[#This Row],[Net Amount]] *  Cleaned[[#This Row],[FX_rates]]</f>
        <v>-34553.979999999996</v>
      </c>
    </row>
    <row r="559" spans="1:16" x14ac:dyDescent="0.45">
      <c r="A559" t="s">
        <v>567</v>
      </c>
      <c r="B559" s="1">
        <v>45327</v>
      </c>
      <c r="C559" s="2" t="s">
        <v>2013</v>
      </c>
      <c r="D559" t="s">
        <v>2018</v>
      </c>
      <c r="E559">
        <v>618.39</v>
      </c>
      <c r="F559">
        <f>Cleaned[[#This Row],[Debit]] * Cleaned[[#This Row],[FX_rates]]</f>
        <v>63694.17</v>
      </c>
      <c r="G559">
        <v>0</v>
      </c>
      <c r="H559">
        <f>Cleaned[[#This Row],[Credit]] *  Cleaned[[#This Row],[FX_rates]]</f>
        <v>0</v>
      </c>
      <c r="I559" t="s">
        <v>2021</v>
      </c>
      <c r="J559" t="s">
        <v>2028</v>
      </c>
      <c r="K559" t="s">
        <v>2588</v>
      </c>
      <c r="L559" t="s">
        <v>4031</v>
      </c>
      <c r="M559">
        <f>Cleaned[[#This Row],[Credit]]-Cleaned[[#This Row],[Debit]]</f>
        <v>-618.39</v>
      </c>
      <c r="N559" t="str">
        <f>_xlfn.XLOOKUP(Cleaned[[#This Row],[AccountName]], Account_Mapping!A:A, Account_Mapping!B:B,"Unmapped")</f>
        <v>Operating Expense</v>
      </c>
      <c r="O559" cm="1">
        <f t="array" ref="O559">_xlfn.XLOOKUP(
  1,
  (FX_Rates[Currency]=Cleaned[[#This Row],[Currency]])*
  (FX_Rates[RateDate]&lt;=Cleaned[[#This Row],[TxnDate]]),
  FX_Rates[Rate_To_INR],
  ,
  -1
)</f>
        <v>103</v>
      </c>
      <c r="P559" s="2">
        <f>Cleaned[[#This Row],[Net Amount]] *  Cleaned[[#This Row],[FX_rates]]</f>
        <v>-63694.17</v>
      </c>
    </row>
    <row r="560" spans="1:16" x14ac:dyDescent="0.45">
      <c r="A560" t="s">
        <v>568</v>
      </c>
      <c r="B560" s="1">
        <v>45776</v>
      </c>
      <c r="C560" s="2" t="s">
        <v>2012</v>
      </c>
      <c r="D560" t="s">
        <v>2017</v>
      </c>
      <c r="E560">
        <v>1649.25</v>
      </c>
      <c r="F560">
        <f>Cleaned[[#This Row],[Debit]] * Cleaned[[#This Row],[FX_rates]]</f>
        <v>92358</v>
      </c>
      <c r="G560">
        <v>0</v>
      </c>
      <c r="H560">
        <f>Cleaned[[#This Row],[Credit]] *  Cleaned[[#This Row],[FX_rates]]</f>
        <v>0</v>
      </c>
      <c r="I560" t="s">
        <v>2023</v>
      </c>
      <c r="J560" t="s">
        <v>2027</v>
      </c>
      <c r="K560" t="s">
        <v>2589</v>
      </c>
      <c r="L560" t="s">
        <v>4033</v>
      </c>
      <c r="M560">
        <f>Cleaned[[#This Row],[Credit]]-Cleaned[[#This Row],[Debit]]</f>
        <v>-1649.25</v>
      </c>
      <c r="N560" t="str">
        <f>_xlfn.XLOOKUP(Cleaned[[#This Row],[AccountName]], Account_Mapping!A:A, Account_Mapping!B:B,"Unmapped")</f>
        <v>Operating Expense</v>
      </c>
      <c r="O560" cm="1">
        <f t="array" ref="O560">_xlfn.XLOOKUP(
  1,
  (FX_Rates[Currency]=Cleaned[[#This Row],[Currency]])*
  (FX_Rates[RateDate]&lt;=Cleaned[[#This Row],[TxnDate]]),
  FX_Rates[Rate_To_INR],
  ,
  -1
)</f>
        <v>56</v>
      </c>
      <c r="P560" s="2">
        <f>Cleaned[[#This Row],[Net Amount]] *  Cleaned[[#This Row],[FX_rates]]</f>
        <v>-92358</v>
      </c>
    </row>
    <row r="561" spans="1:16" x14ac:dyDescent="0.45">
      <c r="A561" t="s">
        <v>569</v>
      </c>
      <c r="B561" s="1">
        <v>45710</v>
      </c>
      <c r="C561" s="2" t="s">
        <v>2010</v>
      </c>
      <c r="D561" t="s">
        <v>2015</v>
      </c>
      <c r="E561">
        <v>0</v>
      </c>
      <c r="F561">
        <f>Cleaned[[#This Row],[Debit]] * Cleaned[[#This Row],[FX_rates]]</f>
        <v>0</v>
      </c>
      <c r="G561">
        <v>3741.45</v>
      </c>
      <c r="H561">
        <f>Cleaned[[#This Row],[Credit]] *  Cleaned[[#This Row],[FX_rates]]</f>
        <v>385369.35</v>
      </c>
      <c r="I561" t="s">
        <v>2023</v>
      </c>
      <c r="J561" t="s">
        <v>2029</v>
      </c>
      <c r="K561" t="s">
        <v>2590</v>
      </c>
      <c r="L561" t="s">
        <v>4031</v>
      </c>
      <c r="M561">
        <f>Cleaned[[#This Row],[Credit]]-Cleaned[[#This Row],[Debit]]</f>
        <v>3741.45</v>
      </c>
      <c r="N561" t="str">
        <f>_xlfn.XLOOKUP(Cleaned[[#This Row],[AccountName]], Account_Mapping!A:A, Account_Mapping!B:B,"Unmapped")</f>
        <v>Revenue</v>
      </c>
      <c r="O561" cm="1">
        <f t="array" ref="O561">_xlfn.XLOOKUP(
  1,
  (FX_Rates[Currency]=Cleaned[[#This Row],[Currency]])*
  (FX_Rates[RateDate]&lt;=Cleaned[[#This Row],[TxnDate]]),
  FX_Rates[Rate_To_INR],
  ,
  -1
)</f>
        <v>103</v>
      </c>
      <c r="P561" s="2">
        <f>Cleaned[[#This Row],[Net Amount]] *  Cleaned[[#This Row],[FX_rates]]</f>
        <v>385369.35</v>
      </c>
    </row>
    <row r="562" spans="1:16" x14ac:dyDescent="0.45">
      <c r="A562" t="s">
        <v>570</v>
      </c>
      <c r="B562" s="1">
        <v>44982</v>
      </c>
      <c r="C562" s="2" t="s">
        <v>2010</v>
      </c>
      <c r="D562" t="s">
        <v>2015</v>
      </c>
      <c r="E562">
        <v>0</v>
      </c>
      <c r="F562">
        <f>Cleaned[[#This Row],[Debit]] * Cleaned[[#This Row],[FX_rates]]</f>
        <v>0</v>
      </c>
      <c r="G562">
        <v>3563.43</v>
      </c>
      <c r="H562">
        <f>Cleaned[[#This Row],[Credit]] *  Cleaned[[#This Row],[FX_rates]]</f>
        <v>292201.26</v>
      </c>
      <c r="I562" t="s">
        <v>2021</v>
      </c>
      <c r="J562" t="s">
        <v>2030</v>
      </c>
      <c r="K562" t="s">
        <v>2591</v>
      </c>
      <c r="L562" t="s">
        <v>4034</v>
      </c>
      <c r="M562">
        <f>Cleaned[[#This Row],[Credit]]-Cleaned[[#This Row],[Debit]]</f>
        <v>3563.43</v>
      </c>
      <c r="N562" t="str">
        <f>_xlfn.XLOOKUP(Cleaned[[#This Row],[AccountName]], Account_Mapping!A:A, Account_Mapping!B:B,"Unmapped")</f>
        <v>Revenue</v>
      </c>
      <c r="O562" cm="1">
        <f t="array" ref="O562">_xlfn.XLOOKUP(
  1,
  (FX_Rates[Currency]=Cleaned[[#This Row],[Currency]])*
  (FX_Rates[RateDate]&lt;=Cleaned[[#This Row],[TxnDate]]),
  FX_Rates[Rate_To_INR],
  ,
  -1
)</f>
        <v>82</v>
      </c>
      <c r="P562" s="2">
        <f>Cleaned[[#This Row],[Net Amount]] *  Cleaned[[#This Row],[FX_rates]]</f>
        <v>292201.26</v>
      </c>
    </row>
    <row r="563" spans="1:16" x14ac:dyDescent="0.45">
      <c r="A563" t="s">
        <v>571</v>
      </c>
      <c r="B563" s="1">
        <v>45620</v>
      </c>
      <c r="C563" s="2" t="s">
        <v>2012</v>
      </c>
      <c r="D563" t="s">
        <v>2017</v>
      </c>
      <c r="E563">
        <v>1010.12</v>
      </c>
      <c r="F563">
        <f>Cleaned[[#This Row],[Debit]] * Cleaned[[#This Row],[FX_rates]]</f>
        <v>82829.84</v>
      </c>
      <c r="G563">
        <v>0</v>
      </c>
      <c r="H563">
        <f>Cleaned[[#This Row],[Credit]] *  Cleaned[[#This Row],[FX_rates]]</f>
        <v>0</v>
      </c>
      <c r="I563" t="s">
        <v>2021</v>
      </c>
      <c r="J563" t="s">
        <v>2028</v>
      </c>
      <c r="K563" t="s">
        <v>2592</v>
      </c>
      <c r="L563" t="s">
        <v>4034</v>
      </c>
      <c r="M563">
        <f>Cleaned[[#This Row],[Credit]]-Cleaned[[#This Row],[Debit]]</f>
        <v>-1010.12</v>
      </c>
      <c r="N563" t="str">
        <f>_xlfn.XLOOKUP(Cleaned[[#This Row],[AccountName]], Account_Mapping!A:A, Account_Mapping!B:B,"Unmapped")</f>
        <v>Operating Expense</v>
      </c>
      <c r="O563" cm="1">
        <f t="array" ref="O563">_xlfn.XLOOKUP(
  1,
  (FX_Rates[Currency]=Cleaned[[#This Row],[Currency]])*
  (FX_Rates[RateDate]&lt;=Cleaned[[#This Row],[TxnDate]]),
  FX_Rates[Rate_To_INR],
  ,
  -1
)</f>
        <v>82</v>
      </c>
      <c r="P563" s="2">
        <f>Cleaned[[#This Row],[Net Amount]] *  Cleaned[[#This Row],[FX_rates]]</f>
        <v>-82829.84</v>
      </c>
    </row>
    <row r="564" spans="1:16" x14ac:dyDescent="0.45">
      <c r="A564" t="s">
        <v>572</v>
      </c>
      <c r="B564" s="1">
        <v>45783</v>
      </c>
      <c r="C564" s="2" t="s">
        <v>2010</v>
      </c>
      <c r="D564" t="s">
        <v>2015</v>
      </c>
      <c r="E564">
        <v>0</v>
      </c>
      <c r="F564">
        <f>Cleaned[[#This Row],[Debit]] * Cleaned[[#This Row],[FX_rates]]</f>
        <v>0</v>
      </c>
      <c r="G564">
        <v>4926.55</v>
      </c>
      <c r="H564">
        <f>Cleaned[[#This Row],[Credit]] *  Cleaned[[#This Row],[FX_rates]]</f>
        <v>403977.10000000003</v>
      </c>
      <c r="I564" t="s">
        <v>2022</v>
      </c>
      <c r="J564" t="s">
        <v>2029</v>
      </c>
      <c r="K564" t="s">
        <v>2593</v>
      </c>
      <c r="L564" t="s">
        <v>4034</v>
      </c>
      <c r="M564">
        <f>Cleaned[[#This Row],[Credit]]-Cleaned[[#This Row],[Debit]]</f>
        <v>4926.55</v>
      </c>
      <c r="N564" t="str">
        <f>_xlfn.XLOOKUP(Cleaned[[#This Row],[AccountName]], Account_Mapping!A:A, Account_Mapping!B:B,"Unmapped")</f>
        <v>Revenue</v>
      </c>
      <c r="O564" cm="1">
        <f t="array" ref="O564">_xlfn.XLOOKUP(
  1,
  (FX_Rates[Currency]=Cleaned[[#This Row],[Currency]])*
  (FX_Rates[RateDate]&lt;=Cleaned[[#This Row],[TxnDate]]),
  FX_Rates[Rate_To_INR],
  ,
  -1
)</f>
        <v>82</v>
      </c>
      <c r="P564" s="2">
        <f>Cleaned[[#This Row],[Net Amount]] *  Cleaned[[#This Row],[FX_rates]]</f>
        <v>403977.10000000003</v>
      </c>
    </row>
    <row r="565" spans="1:16" x14ac:dyDescent="0.45">
      <c r="A565" t="s">
        <v>573</v>
      </c>
      <c r="B565" s="1">
        <v>45396</v>
      </c>
      <c r="C565" s="2" t="s">
        <v>2010</v>
      </c>
      <c r="D565" t="s">
        <v>2015</v>
      </c>
      <c r="E565">
        <v>0</v>
      </c>
      <c r="F565">
        <f>Cleaned[[#This Row],[Debit]] * Cleaned[[#This Row],[FX_rates]]</f>
        <v>0</v>
      </c>
      <c r="G565">
        <v>3762.76</v>
      </c>
      <c r="H565">
        <f>Cleaned[[#This Row],[Credit]] *  Cleaned[[#This Row],[FX_rates]]</f>
        <v>308546.32</v>
      </c>
      <c r="I565" t="s">
        <v>2025</v>
      </c>
      <c r="J565" t="s">
        <v>2030</v>
      </c>
      <c r="K565" t="s">
        <v>2594</v>
      </c>
      <c r="L565" t="s">
        <v>4034</v>
      </c>
      <c r="M565">
        <f>Cleaned[[#This Row],[Credit]]-Cleaned[[#This Row],[Debit]]</f>
        <v>3762.76</v>
      </c>
      <c r="N565" t="str">
        <f>_xlfn.XLOOKUP(Cleaned[[#This Row],[AccountName]], Account_Mapping!A:A, Account_Mapping!B:B,"Unmapped")</f>
        <v>Revenue</v>
      </c>
      <c r="O565" cm="1">
        <f t="array" ref="O565">_xlfn.XLOOKUP(
  1,
  (FX_Rates[Currency]=Cleaned[[#This Row],[Currency]])*
  (FX_Rates[RateDate]&lt;=Cleaned[[#This Row],[TxnDate]]),
  FX_Rates[Rate_To_INR],
  ,
  -1
)</f>
        <v>82</v>
      </c>
      <c r="P565" s="2">
        <f>Cleaned[[#This Row],[Net Amount]] *  Cleaned[[#This Row],[FX_rates]]</f>
        <v>308546.32</v>
      </c>
    </row>
    <row r="566" spans="1:16" x14ac:dyDescent="0.45">
      <c r="A566" t="s">
        <v>574</v>
      </c>
      <c r="B566" s="1">
        <v>45165</v>
      </c>
      <c r="C566" s="2" t="s">
        <v>2013</v>
      </c>
      <c r="D566" t="s">
        <v>2018</v>
      </c>
      <c r="E566">
        <v>372.65</v>
      </c>
      <c r="F566">
        <f>Cleaned[[#This Row],[Debit]] * Cleaned[[#This Row],[FX_rates]]</f>
        <v>20868.399999999998</v>
      </c>
      <c r="G566">
        <v>0</v>
      </c>
      <c r="H566">
        <f>Cleaned[[#This Row],[Credit]] *  Cleaned[[#This Row],[FX_rates]]</f>
        <v>0</v>
      </c>
      <c r="I566" t="s">
        <v>2021</v>
      </c>
      <c r="J566" t="s">
        <v>2030</v>
      </c>
      <c r="K566" t="s">
        <v>2595</v>
      </c>
      <c r="L566" t="s">
        <v>4033</v>
      </c>
      <c r="M566">
        <f>Cleaned[[#This Row],[Credit]]-Cleaned[[#This Row],[Debit]]</f>
        <v>-372.65</v>
      </c>
      <c r="N566" t="str">
        <f>_xlfn.XLOOKUP(Cleaned[[#This Row],[AccountName]], Account_Mapping!A:A, Account_Mapping!B:B,"Unmapped")</f>
        <v>Operating Expense</v>
      </c>
      <c r="O566" cm="1">
        <f t="array" ref="O566">_xlfn.XLOOKUP(
  1,
  (FX_Rates[Currency]=Cleaned[[#This Row],[Currency]])*
  (FX_Rates[RateDate]&lt;=Cleaned[[#This Row],[TxnDate]]),
  FX_Rates[Rate_To_INR],
  ,
  -1
)</f>
        <v>56</v>
      </c>
      <c r="P566" s="2">
        <f>Cleaned[[#This Row],[Net Amount]] *  Cleaned[[#This Row],[FX_rates]]</f>
        <v>-20868.399999999998</v>
      </c>
    </row>
    <row r="567" spans="1:16" x14ac:dyDescent="0.45">
      <c r="A567" t="s">
        <v>575</v>
      </c>
      <c r="B567" s="1">
        <v>45573</v>
      </c>
      <c r="C567" s="2" t="s">
        <v>2013</v>
      </c>
      <c r="D567" t="s">
        <v>2018</v>
      </c>
      <c r="E567">
        <v>1040.76</v>
      </c>
      <c r="F567">
        <f>Cleaned[[#This Row],[Debit]] * Cleaned[[#This Row],[FX_rates]]</f>
        <v>107198.28</v>
      </c>
      <c r="G567">
        <v>0</v>
      </c>
      <c r="H567">
        <f>Cleaned[[#This Row],[Credit]] *  Cleaned[[#This Row],[FX_rates]]</f>
        <v>0</v>
      </c>
      <c r="I567" t="s">
        <v>2024</v>
      </c>
      <c r="J567" t="s">
        <v>2028</v>
      </c>
      <c r="K567" t="s">
        <v>2596</v>
      </c>
      <c r="L567" t="s">
        <v>4031</v>
      </c>
      <c r="M567">
        <f>Cleaned[[#This Row],[Credit]]-Cleaned[[#This Row],[Debit]]</f>
        <v>-1040.76</v>
      </c>
      <c r="N567" t="str">
        <f>_xlfn.XLOOKUP(Cleaned[[#This Row],[AccountName]], Account_Mapping!A:A, Account_Mapping!B:B,"Unmapped")</f>
        <v>Operating Expense</v>
      </c>
      <c r="O567" cm="1">
        <f t="array" ref="O567">_xlfn.XLOOKUP(
  1,
  (FX_Rates[Currency]=Cleaned[[#This Row],[Currency]])*
  (FX_Rates[RateDate]&lt;=Cleaned[[#This Row],[TxnDate]]),
  FX_Rates[Rate_To_INR],
  ,
  -1
)</f>
        <v>103</v>
      </c>
      <c r="P567" s="2">
        <f>Cleaned[[#This Row],[Net Amount]] *  Cleaned[[#This Row],[FX_rates]]</f>
        <v>-107198.28</v>
      </c>
    </row>
    <row r="568" spans="1:16" x14ac:dyDescent="0.45">
      <c r="A568" t="s">
        <v>576</v>
      </c>
      <c r="B568" s="1">
        <v>45625</v>
      </c>
      <c r="C568" s="2" t="s">
        <v>2013</v>
      </c>
      <c r="D568" t="s">
        <v>2018</v>
      </c>
      <c r="E568">
        <v>1458.37</v>
      </c>
      <c r="F568">
        <f>Cleaned[[#This Row],[Debit]] * Cleaned[[#This Row],[FX_rates]]</f>
        <v>81668.72</v>
      </c>
      <c r="G568">
        <v>0</v>
      </c>
      <c r="H568">
        <f>Cleaned[[#This Row],[Credit]] *  Cleaned[[#This Row],[FX_rates]]</f>
        <v>0</v>
      </c>
      <c r="I568" t="s">
        <v>2022</v>
      </c>
      <c r="J568" t="s">
        <v>2026</v>
      </c>
      <c r="K568" t="s">
        <v>2597</v>
      </c>
      <c r="L568" t="s">
        <v>4033</v>
      </c>
      <c r="M568">
        <f>Cleaned[[#This Row],[Credit]]-Cleaned[[#This Row],[Debit]]</f>
        <v>-1458.37</v>
      </c>
      <c r="N568" t="str">
        <f>_xlfn.XLOOKUP(Cleaned[[#This Row],[AccountName]], Account_Mapping!A:A, Account_Mapping!B:B,"Unmapped")</f>
        <v>Operating Expense</v>
      </c>
      <c r="O568" cm="1">
        <f t="array" ref="O568">_xlfn.XLOOKUP(
  1,
  (FX_Rates[Currency]=Cleaned[[#This Row],[Currency]])*
  (FX_Rates[RateDate]&lt;=Cleaned[[#This Row],[TxnDate]]),
  FX_Rates[Rate_To_INR],
  ,
  -1
)</f>
        <v>56</v>
      </c>
      <c r="P568" s="2">
        <f>Cleaned[[#This Row],[Net Amount]] *  Cleaned[[#This Row],[FX_rates]]</f>
        <v>-81668.72</v>
      </c>
    </row>
    <row r="569" spans="1:16" x14ac:dyDescent="0.45">
      <c r="A569" t="s">
        <v>577</v>
      </c>
      <c r="B569" s="1">
        <v>45456</v>
      </c>
      <c r="C569" s="2" t="s">
        <v>2014</v>
      </c>
      <c r="D569" t="s">
        <v>2019</v>
      </c>
      <c r="E569">
        <v>0</v>
      </c>
      <c r="F569">
        <f>Cleaned[[#This Row],[Debit]] * Cleaned[[#This Row],[FX_rates]]</f>
        <v>0</v>
      </c>
      <c r="G569">
        <v>529.02</v>
      </c>
      <c r="H569">
        <f>Cleaned[[#This Row],[Credit]] *  Cleaned[[#This Row],[FX_rates]]</f>
        <v>54489.06</v>
      </c>
      <c r="I569" t="s">
        <v>2024</v>
      </c>
      <c r="J569" t="s">
        <v>2029</v>
      </c>
      <c r="K569" t="s">
        <v>2598</v>
      </c>
      <c r="L569" t="s">
        <v>4031</v>
      </c>
      <c r="M569">
        <f>Cleaned[[#This Row],[Credit]]-Cleaned[[#This Row],[Debit]]</f>
        <v>529.02</v>
      </c>
      <c r="N569" t="str">
        <f>_xlfn.XLOOKUP(Cleaned[[#This Row],[AccountName]], Account_Mapping!A:A, Account_Mapping!B:B,"Unmapped")</f>
        <v>Revenue</v>
      </c>
      <c r="O569" cm="1">
        <f t="array" ref="O569">_xlfn.XLOOKUP(
  1,
  (FX_Rates[Currency]=Cleaned[[#This Row],[Currency]])*
  (FX_Rates[RateDate]&lt;=Cleaned[[#This Row],[TxnDate]]),
  FX_Rates[Rate_To_INR],
  ,
  -1
)</f>
        <v>103</v>
      </c>
      <c r="P569" s="2">
        <f>Cleaned[[#This Row],[Net Amount]] *  Cleaned[[#This Row],[FX_rates]]</f>
        <v>54489.06</v>
      </c>
    </row>
    <row r="570" spans="1:16" x14ac:dyDescent="0.45">
      <c r="A570" t="s">
        <v>578</v>
      </c>
      <c r="B570" s="1">
        <v>45628</v>
      </c>
      <c r="C570" s="2" t="s">
        <v>2014</v>
      </c>
      <c r="D570" t="s">
        <v>2019</v>
      </c>
      <c r="E570">
        <v>0</v>
      </c>
      <c r="F570">
        <f>Cleaned[[#This Row],[Debit]] * Cleaned[[#This Row],[FX_rates]]</f>
        <v>0</v>
      </c>
      <c r="G570">
        <v>4167.67</v>
      </c>
      <c r="H570">
        <f>Cleaned[[#This Row],[Credit]] *  Cleaned[[#This Row],[FX_rates]]</f>
        <v>341748.94</v>
      </c>
      <c r="I570" t="s">
        <v>2024</v>
      </c>
      <c r="J570" t="s">
        <v>2027</v>
      </c>
      <c r="K570" t="s">
        <v>2599</v>
      </c>
      <c r="L570" t="s">
        <v>4034</v>
      </c>
      <c r="M570">
        <f>Cleaned[[#This Row],[Credit]]-Cleaned[[#This Row],[Debit]]</f>
        <v>4167.67</v>
      </c>
      <c r="N570" t="str">
        <f>_xlfn.XLOOKUP(Cleaned[[#This Row],[AccountName]], Account_Mapping!A:A, Account_Mapping!B:B,"Unmapped")</f>
        <v>Revenue</v>
      </c>
      <c r="O570" cm="1">
        <f t="array" ref="O570">_xlfn.XLOOKUP(
  1,
  (FX_Rates[Currency]=Cleaned[[#This Row],[Currency]])*
  (FX_Rates[RateDate]&lt;=Cleaned[[#This Row],[TxnDate]]),
  FX_Rates[Rate_To_INR],
  ,
  -1
)</f>
        <v>82</v>
      </c>
      <c r="P570" s="2">
        <f>Cleaned[[#This Row],[Net Amount]] *  Cleaned[[#This Row],[FX_rates]]</f>
        <v>341748.94</v>
      </c>
    </row>
    <row r="571" spans="1:16" x14ac:dyDescent="0.45">
      <c r="A571" t="s">
        <v>579</v>
      </c>
      <c r="B571" s="1">
        <v>45048</v>
      </c>
      <c r="C571" s="2" t="s">
        <v>2013</v>
      </c>
      <c r="D571" t="s">
        <v>2018</v>
      </c>
      <c r="E571">
        <v>1788.83</v>
      </c>
      <c r="F571">
        <f>Cleaned[[#This Row],[Debit]] * Cleaned[[#This Row],[FX_rates]]</f>
        <v>157417.03999999998</v>
      </c>
      <c r="G571">
        <v>0</v>
      </c>
      <c r="H571">
        <f>Cleaned[[#This Row],[Credit]] *  Cleaned[[#This Row],[FX_rates]]</f>
        <v>0</v>
      </c>
      <c r="I571" t="s">
        <v>2022</v>
      </c>
      <c r="J571" t="s">
        <v>2026</v>
      </c>
      <c r="K571" t="s">
        <v>2600</v>
      </c>
      <c r="L571" t="s">
        <v>4032</v>
      </c>
      <c r="M571">
        <f>Cleaned[[#This Row],[Credit]]-Cleaned[[#This Row],[Debit]]</f>
        <v>-1788.83</v>
      </c>
      <c r="N571" t="str">
        <f>_xlfn.XLOOKUP(Cleaned[[#This Row],[AccountName]], Account_Mapping!A:A, Account_Mapping!B:B,"Unmapped")</f>
        <v>Operating Expense</v>
      </c>
      <c r="O571" cm="1">
        <f t="array" ref="O571">_xlfn.XLOOKUP(
  1,
  (FX_Rates[Currency]=Cleaned[[#This Row],[Currency]])*
  (FX_Rates[RateDate]&lt;=Cleaned[[#This Row],[TxnDate]]),
  FX_Rates[Rate_To_INR],
  ,
  -1
)</f>
        <v>88</v>
      </c>
      <c r="P571" s="2">
        <f>Cleaned[[#This Row],[Net Amount]] *  Cleaned[[#This Row],[FX_rates]]</f>
        <v>-157417.03999999998</v>
      </c>
    </row>
    <row r="572" spans="1:16" x14ac:dyDescent="0.45">
      <c r="A572" t="s">
        <v>580</v>
      </c>
      <c r="B572" s="1">
        <v>45631</v>
      </c>
      <c r="C572" s="2" t="s">
        <v>2013</v>
      </c>
      <c r="D572" t="s">
        <v>2018</v>
      </c>
      <c r="E572">
        <v>929.85</v>
      </c>
      <c r="F572">
        <f>Cleaned[[#This Row],[Debit]] * Cleaned[[#This Row],[FX_rates]]</f>
        <v>76247.7</v>
      </c>
      <c r="G572">
        <v>0</v>
      </c>
      <c r="H572">
        <f>Cleaned[[#This Row],[Credit]] *  Cleaned[[#This Row],[FX_rates]]</f>
        <v>0</v>
      </c>
      <c r="I572" t="s">
        <v>2022</v>
      </c>
      <c r="J572" t="s">
        <v>2028</v>
      </c>
      <c r="K572" t="s">
        <v>2601</v>
      </c>
      <c r="L572" t="s">
        <v>4034</v>
      </c>
      <c r="M572">
        <f>Cleaned[[#This Row],[Credit]]-Cleaned[[#This Row],[Debit]]</f>
        <v>-929.85</v>
      </c>
      <c r="N572" t="str">
        <f>_xlfn.XLOOKUP(Cleaned[[#This Row],[AccountName]], Account_Mapping!A:A, Account_Mapping!B:B,"Unmapped")</f>
        <v>Operating Expense</v>
      </c>
      <c r="O572" cm="1">
        <f t="array" ref="O572">_xlfn.XLOOKUP(
  1,
  (FX_Rates[Currency]=Cleaned[[#This Row],[Currency]])*
  (FX_Rates[RateDate]&lt;=Cleaned[[#This Row],[TxnDate]]),
  FX_Rates[Rate_To_INR],
  ,
  -1
)</f>
        <v>82</v>
      </c>
      <c r="P572" s="2">
        <f>Cleaned[[#This Row],[Net Amount]] *  Cleaned[[#This Row],[FX_rates]]</f>
        <v>-76247.7</v>
      </c>
    </row>
    <row r="573" spans="1:16" x14ac:dyDescent="0.45">
      <c r="A573" t="s">
        <v>581</v>
      </c>
      <c r="B573" s="1">
        <v>45355</v>
      </c>
      <c r="C573" s="2" t="s">
        <v>2010</v>
      </c>
      <c r="D573" t="s">
        <v>2015</v>
      </c>
      <c r="E573">
        <v>0</v>
      </c>
      <c r="F573">
        <f>Cleaned[[#This Row],[Debit]] * Cleaned[[#This Row],[FX_rates]]</f>
        <v>0</v>
      </c>
      <c r="G573">
        <v>3706.89</v>
      </c>
      <c r="H573">
        <f>Cleaned[[#This Row],[Credit]] *  Cleaned[[#This Row],[FX_rates]]</f>
        <v>226120.28999999998</v>
      </c>
      <c r="I573" t="s">
        <v>2022</v>
      </c>
      <c r="J573" t="s">
        <v>2028</v>
      </c>
      <c r="K573" t="s">
        <v>2602</v>
      </c>
      <c r="L573" t="s">
        <v>4035</v>
      </c>
      <c r="M573">
        <f>Cleaned[[#This Row],[Credit]]-Cleaned[[#This Row],[Debit]]</f>
        <v>3706.89</v>
      </c>
      <c r="N573" t="str">
        <f>_xlfn.XLOOKUP(Cleaned[[#This Row],[AccountName]], Account_Mapping!A:A, Account_Mapping!B:B,"Unmapped")</f>
        <v>Revenue</v>
      </c>
      <c r="O573" cm="1">
        <f t="array" ref="O573">_xlfn.XLOOKUP(
  1,
  (FX_Rates[Currency]=Cleaned[[#This Row],[Currency]])*
  (FX_Rates[RateDate]&lt;=Cleaned[[#This Row],[TxnDate]]),
  FX_Rates[Rate_To_INR],
  ,
  -1
)</f>
        <v>61</v>
      </c>
      <c r="P573" s="2">
        <f>Cleaned[[#This Row],[Net Amount]] *  Cleaned[[#This Row],[FX_rates]]</f>
        <v>226120.28999999998</v>
      </c>
    </row>
    <row r="574" spans="1:16" x14ac:dyDescent="0.45">
      <c r="A574" t="s">
        <v>582</v>
      </c>
      <c r="B574" s="1">
        <v>45720</v>
      </c>
      <c r="C574" s="2" t="s">
        <v>2010</v>
      </c>
      <c r="D574" t="s">
        <v>2015</v>
      </c>
      <c r="E574">
        <v>0</v>
      </c>
      <c r="F574">
        <f>Cleaned[[#This Row],[Debit]] * Cleaned[[#This Row],[FX_rates]]</f>
        <v>0</v>
      </c>
      <c r="G574">
        <v>4692.96</v>
      </c>
      <c r="H574">
        <f>Cleaned[[#This Row],[Credit]] *  Cleaned[[#This Row],[FX_rates]]</f>
        <v>286270.56</v>
      </c>
      <c r="I574" t="s">
        <v>2022</v>
      </c>
      <c r="J574" t="s">
        <v>2030</v>
      </c>
      <c r="K574" t="s">
        <v>2603</v>
      </c>
      <c r="L574" t="s">
        <v>4035</v>
      </c>
      <c r="M574">
        <f>Cleaned[[#This Row],[Credit]]-Cleaned[[#This Row],[Debit]]</f>
        <v>4692.96</v>
      </c>
      <c r="N574" t="str">
        <f>_xlfn.XLOOKUP(Cleaned[[#This Row],[AccountName]], Account_Mapping!A:A, Account_Mapping!B:B,"Unmapped")</f>
        <v>Revenue</v>
      </c>
      <c r="O574" cm="1">
        <f t="array" ref="O574">_xlfn.XLOOKUP(
  1,
  (FX_Rates[Currency]=Cleaned[[#This Row],[Currency]])*
  (FX_Rates[RateDate]&lt;=Cleaned[[#This Row],[TxnDate]]),
  FX_Rates[Rate_To_INR],
  ,
  -1
)</f>
        <v>61</v>
      </c>
      <c r="P574" s="2">
        <f>Cleaned[[#This Row],[Net Amount]] *  Cleaned[[#This Row],[FX_rates]]</f>
        <v>286270.56</v>
      </c>
    </row>
    <row r="575" spans="1:16" x14ac:dyDescent="0.45">
      <c r="A575" t="s">
        <v>583</v>
      </c>
      <c r="B575" s="1">
        <v>45524</v>
      </c>
      <c r="C575" s="2" t="s">
        <v>2012</v>
      </c>
      <c r="D575" t="s">
        <v>2017</v>
      </c>
      <c r="E575">
        <v>179.56</v>
      </c>
      <c r="F575">
        <f>Cleaned[[#This Row],[Debit]] * Cleaned[[#This Row],[FX_rates]]</f>
        <v>18494.68</v>
      </c>
      <c r="G575">
        <v>0</v>
      </c>
      <c r="H575">
        <f>Cleaned[[#This Row],[Credit]] *  Cleaned[[#This Row],[FX_rates]]</f>
        <v>0</v>
      </c>
      <c r="I575" t="s">
        <v>2024</v>
      </c>
      <c r="J575" t="s">
        <v>2026</v>
      </c>
      <c r="K575" t="s">
        <v>2604</v>
      </c>
      <c r="L575" t="s">
        <v>4031</v>
      </c>
      <c r="M575">
        <f>Cleaned[[#This Row],[Credit]]-Cleaned[[#This Row],[Debit]]</f>
        <v>-179.56</v>
      </c>
      <c r="N575" t="str">
        <f>_xlfn.XLOOKUP(Cleaned[[#This Row],[AccountName]], Account_Mapping!A:A, Account_Mapping!B:B,"Unmapped")</f>
        <v>Operating Expense</v>
      </c>
      <c r="O575" cm="1">
        <f t="array" ref="O575">_xlfn.XLOOKUP(
  1,
  (FX_Rates[Currency]=Cleaned[[#This Row],[Currency]])*
  (FX_Rates[RateDate]&lt;=Cleaned[[#This Row],[TxnDate]]),
  FX_Rates[Rate_To_INR],
  ,
  -1
)</f>
        <v>103</v>
      </c>
      <c r="P575" s="2">
        <f>Cleaned[[#This Row],[Net Amount]] *  Cleaned[[#This Row],[FX_rates]]</f>
        <v>-18494.68</v>
      </c>
    </row>
    <row r="576" spans="1:16" x14ac:dyDescent="0.45">
      <c r="A576" t="s">
        <v>584</v>
      </c>
      <c r="B576" s="1">
        <v>45594</v>
      </c>
      <c r="C576" s="2" t="s">
        <v>2013</v>
      </c>
      <c r="D576" t="s">
        <v>2018</v>
      </c>
      <c r="E576">
        <v>649.71</v>
      </c>
      <c r="F576">
        <f>Cleaned[[#This Row],[Debit]] * Cleaned[[#This Row],[FX_rates]]</f>
        <v>66920.13</v>
      </c>
      <c r="G576">
        <v>0</v>
      </c>
      <c r="H576">
        <f>Cleaned[[#This Row],[Credit]] *  Cleaned[[#This Row],[FX_rates]]</f>
        <v>0</v>
      </c>
      <c r="I576" t="s">
        <v>2020</v>
      </c>
      <c r="J576" t="s">
        <v>2028</v>
      </c>
      <c r="K576" t="s">
        <v>2605</v>
      </c>
      <c r="L576" t="s">
        <v>4031</v>
      </c>
      <c r="M576">
        <f>Cleaned[[#This Row],[Credit]]-Cleaned[[#This Row],[Debit]]</f>
        <v>-649.71</v>
      </c>
      <c r="N576" t="str">
        <f>_xlfn.XLOOKUP(Cleaned[[#This Row],[AccountName]], Account_Mapping!A:A, Account_Mapping!B:B,"Unmapped")</f>
        <v>Operating Expense</v>
      </c>
      <c r="O576" cm="1">
        <f t="array" ref="O576">_xlfn.XLOOKUP(
  1,
  (FX_Rates[Currency]=Cleaned[[#This Row],[Currency]])*
  (FX_Rates[RateDate]&lt;=Cleaned[[#This Row],[TxnDate]]),
  FX_Rates[Rate_To_INR],
  ,
  -1
)</f>
        <v>103</v>
      </c>
      <c r="P576" s="2">
        <f>Cleaned[[#This Row],[Net Amount]] *  Cleaned[[#This Row],[FX_rates]]</f>
        <v>-66920.13</v>
      </c>
    </row>
    <row r="577" spans="1:16" x14ac:dyDescent="0.45">
      <c r="A577" t="s">
        <v>585</v>
      </c>
      <c r="B577" s="1">
        <v>45272</v>
      </c>
      <c r="C577" s="2" t="s">
        <v>2014</v>
      </c>
      <c r="D577" t="s">
        <v>2019</v>
      </c>
      <c r="E577">
        <v>0</v>
      </c>
      <c r="F577">
        <f>Cleaned[[#This Row],[Debit]] * Cleaned[[#This Row],[FX_rates]]</f>
        <v>0</v>
      </c>
      <c r="G577">
        <v>3347.45</v>
      </c>
      <c r="H577">
        <f>Cleaned[[#This Row],[Credit]] *  Cleaned[[#This Row],[FX_rates]]</f>
        <v>274490.89999999997</v>
      </c>
      <c r="I577" t="s">
        <v>2020</v>
      </c>
      <c r="J577" t="s">
        <v>2026</v>
      </c>
      <c r="K577" t="s">
        <v>2606</v>
      </c>
      <c r="L577" t="s">
        <v>4034</v>
      </c>
      <c r="M577">
        <f>Cleaned[[#This Row],[Credit]]-Cleaned[[#This Row],[Debit]]</f>
        <v>3347.45</v>
      </c>
      <c r="N577" t="str">
        <f>_xlfn.XLOOKUP(Cleaned[[#This Row],[AccountName]], Account_Mapping!A:A, Account_Mapping!B:B,"Unmapped")</f>
        <v>Revenue</v>
      </c>
      <c r="O577" cm="1">
        <f t="array" ref="O577">_xlfn.XLOOKUP(
  1,
  (FX_Rates[Currency]=Cleaned[[#This Row],[Currency]])*
  (FX_Rates[RateDate]&lt;=Cleaned[[#This Row],[TxnDate]]),
  FX_Rates[Rate_To_INR],
  ,
  -1
)</f>
        <v>82</v>
      </c>
      <c r="P577" s="2">
        <f>Cleaned[[#This Row],[Net Amount]] *  Cleaned[[#This Row],[FX_rates]]</f>
        <v>274490.89999999997</v>
      </c>
    </row>
    <row r="578" spans="1:16" x14ac:dyDescent="0.45">
      <c r="A578" t="s">
        <v>586</v>
      </c>
      <c r="B578" s="1">
        <v>45814</v>
      </c>
      <c r="C578" s="2" t="s">
        <v>2014</v>
      </c>
      <c r="D578" t="s">
        <v>2019</v>
      </c>
      <c r="E578">
        <v>0</v>
      </c>
      <c r="F578">
        <f>Cleaned[[#This Row],[Debit]] * Cleaned[[#This Row],[FX_rates]]</f>
        <v>0</v>
      </c>
      <c r="G578">
        <v>2584</v>
      </c>
      <c r="H578">
        <f>Cleaned[[#This Row],[Credit]] *  Cleaned[[#This Row],[FX_rates]]</f>
        <v>227392</v>
      </c>
      <c r="I578" t="s">
        <v>2021</v>
      </c>
      <c r="J578" t="s">
        <v>2029</v>
      </c>
      <c r="K578" t="s">
        <v>2607</v>
      </c>
      <c r="L578" t="s">
        <v>4032</v>
      </c>
      <c r="M578">
        <f>Cleaned[[#This Row],[Credit]]-Cleaned[[#This Row],[Debit]]</f>
        <v>2584</v>
      </c>
      <c r="N578" t="str">
        <f>_xlfn.XLOOKUP(Cleaned[[#This Row],[AccountName]], Account_Mapping!A:A, Account_Mapping!B:B,"Unmapped")</f>
        <v>Revenue</v>
      </c>
      <c r="O578" cm="1">
        <f t="array" ref="O578">_xlfn.XLOOKUP(
  1,
  (FX_Rates[Currency]=Cleaned[[#This Row],[Currency]])*
  (FX_Rates[RateDate]&lt;=Cleaned[[#This Row],[TxnDate]]),
  FX_Rates[Rate_To_INR],
  ,
  -1
)</f>
        <v>88</v>
      </c>
      <c r="P578" s="2">
        <f>Cleaned[[#This Row],[Net Amount]] *  Cleaned[[#This Row],[FX_rates]]</f>
        <v>227392</v>
      </c>
    </row>
    <row r="579" spans="1:16" x14ac:dyDescent="0.45">
      <c r="A579" t="s">
        <v>587</v>
      </c>
      <c r="B579" s="1">
        <v>45161</v>
      </c>
      <c r="C579" s="2" t="s">
        <v>2010</v>
      </c>
      <c r="D579" t="s">
        <v>2015</v>
      </c>
      <c r="E579">
        <v>0</v>
      </c>
      <c r="F579">
        <f>Cleaned[[#This Row],[Debit]] * Cleaned[[#This Row],[FX_rates]]</f>
        <v>0</v>
      </c>
      <c r="G579">
        <v>4254.54</v>
      </c>
      <c r="H579">
        <f>Cleaned[[#This Row],[Credit]] *  Cleaned[[#This Row],[FX_rates]]</f>
        <v>259526.94</v>
      </c>
      <c r="I579" t="s">
        <v>2023</v>
      </c>
      <c r="J579" t="s">
        <v>2027</v>
      </c>
      <c r="K579" t="s">
        <v>2608</v>
      </c>
      <c r="L579" t="s">
        <v>4035</v>
      </c>
      <c r="M579">
        <f>Cleaned[[#This Row],[Credit]]-Cleaned[[#This Row],[Debit]]</f>
        <v>4254.54</v>
      </c>
      <c r="N579" t="str">
        <f>_xlfn.XLOOKUP(Cleaned[[#This Row],[AccountName]], Account_Mapping!A:A, Account_Mapping!B:B,"Unmapped")</f>
        <v>Revenue</v>
      </c>
      <c r="O579" cm="1">
        <f t="array" ref="O579">_xlfn.XLOOKUP(
  1,
  (FX_Rates[Currency]=Cleaned[[#This Row],[Currency]])*
  (FX_Rates[RateDate]&lt;=Cleaned[[#This Row],[TxnDate]]),
  FX_Rates[Rate_To_INR],
  ,
  -1
)</f>
        <v>61</v>
      </c>
      <c r="P579" s="2">
        <f>Cleaned[[#This Row],[Net Amount]] *  Cleaned[[#This Row],[FX_rates]]</f>
        <v>259526.94</v>
      </c>
    </row>
    <row r="580" spans="1:16" x14ac:dyDescent="0.45">
      <c r="A580" t="s">
        <v>588</v>
      </c>
      <c r="B580" s="1">
        <v>45628</v>
      </c>
      <c r="C580" s="2" t="s">
        <v>2010</v>
      </c>
      <c r="D580" t="s">
        <v>2015</v>
      </c>
      <c r="E580">
        <v>0</v>
      </c>
      <c r="F580">
        <f>Cleaned[[#This Row],[Debit]] * Cleaned[[#This Row],[FX_rates]]</f>
        <v>0</v>
      </c>
      <c r="G580">
        <v>1301.08</v>
      </c>
      <c r="H580">
        <f>Cleaned[[#This Row],[Credit]] *  Cleaned[[#This Row],[FX_rates]]</f>
        <v>134011.24</v>
      </c>
      <c r="I580" t="s">
        <v>2022</v>
      </c>
      <c r="J580" t="s">
        <v>2029</v>
      </c>
      <c r="K580" t="s">
        <v>2609</v>
      </c>
      <c r="L580" t="s">
        <v>4031</v>
      </c>
      <c r="M580">
        <f>Cleaned[[#This Row],[Credit]]-Cleaned[[#This Row],[Debit]]</f>
        <v>1301.08</v>
      </c>
      <c r="N580" t="str">
        <f>_xlfn.XLOOKUP(Cleaned[[#This Row],[AccountName]], Account_Mapping!A:A, Account_Mapping!B:B,"Unmapped")</f>
        <v>Revenue</v>
      </c>
      <c r="O580" cm="1">
        <f t="array" ref="O580">_xlfn.XLOOKUP(
  1,
  (FX_Rates[Currency]=Cleaned[[#This Row],[Currency]])*
  (FX_Rates[RateDate]&lt;=Cleaned[[#This Row],[TxnDate]]),
  FX_Rates[Rate_To_INR],
  ,
  -1
)</f>
        <v>103</v>
      </c>
      <c r="P580" s="2">
        <f>Cleaned[[#This Row],[Net Amount]] *  Cleaned[[#This Row],[FX_rates]]</f>
        <v>134011.24</v>
      </c>
    </row>
    <row r="581" spans="1:16" x14ac:dyDescent="0.45">
      <c r="A581" t="s">
        <v>589</v>
      </c>
      <c r="B581" s="1">
        <v>45070</v>
      </c>
      <c r="C581" s="2" t="s">
        <v>2014</v>
      </c>
      <c r="D581" t="s">
        <v>2019</v>
      </c>
      <c r="E581">
        <v>0</v>
      </c>
      <c r="F581">
        <f>Cleaned[[#This Row],[Debit]] * Cleaned[[#This Row],[FX_rates]]</f>
        <v>0</v>
      </c>
      <c r="G581">
        <v>1565.18</v>
      </c>
      <c r="H581">
        <f>Cleaned[[#This Row],[Credit]] *  Cleaned[[#This Row],[FX_rates]]</f>
        <v>128344.76000000001</v>
      </c>
      <c r="I581" t="s">
        <v>2021</v>
      </c>
      <c r="J581" t="s">
        <v>2028</v>
      </c>
      <c r="K581" t="s">
        <v>2610</v>
      </c>
      <c r="L581" t="s">
        <v>4034</v>
      </c>
      <c r="M581">
        <f>Cleaned[[#This Row],[Credit]]-Cleaned[[#This Row],[Debit]]</f>
        <v>1565.18</v>
      </c>
      <c r="N581" t="str">
        <f>_xlfn.XLOOKUP(Cleaned[[#This Row],[AccountName]], Account_Mapping!A:A, Account_Mapping!B:B,"Unmapped")</f>
        <v>Revenue</v>
      </c>
      <c r="O581" cm="1">
        <f t="array" ref="O581">_xlfn.XLOOKUP(
  1,
  (FX_Rates[Currency]=Cleaned[[#This Row],[Currency]])*
  (FX_Rates[RateDate]&lt;=Cleaned[[#This Row],[TxnDate]]),
  FX_Rates[Rate_To_INR],
  ,
  -1
)</f>
        <v>82</v>
      </c>
      <c r="P581" s="2">
        <f>Cleaned[[#This Row],[Net Amount]] *  Cleaned[[#This Row],[FX_rates]]</f>
        <v>128344.76000000001</v>
      </c>
    </row>
    <row r="582" spans="1:16" x14ac:dyDescent="0.45">
      <c r="A582" t="s">
        <v>590</v>
      </c>
      <c r="B582" s="1">
        <v>45829</v>
      </c>
      <c r="C582" s="2" t="s">
        <v>2011</v>
      </c>
      <c r="D582" t="s">
        <v>2016</v>
      </c>
      <c r="E582">
        <v>69.31</v>
      </c>
      <c r="F582">
        <f>Cleaned[[#This Row],[Debit]] * Cleaned[[#This Row],[FX_rates]]</f>
        <v>5683.42</v>
      </c>
      <c r="G582">
        <v>0</v>
      </c>
      <c r="H582">
        <f>Cleaned[[#This Row],[Credit]] *  Cleaned[[#This Row],[FX_rates]]</f>
        <v>0</v>
      </c>
      <c r="I582" t="s">
        <v>2020</v>
      </c>
      <c r="J582" t="s">
        <v>2030</v>
      </c>
      <c r="K582" t="s">
        <v>2611</v>
      </c>
      <c r="L582" t="s">
        <v>4034</v>
      </c>
      <c r="M582">
        <f>Cleaned[[#This Row],[Credit]]-Cleaned[[#This Row],[Debit]]</f>
        <v>-69.31</v>
      </c>
      <c r="N582" t="str">
        <f>_xlfn.XLOOKUP(Cleaned[[#This Row],[AccountName]], Account_Mapping!A:A, Account_Mapping!B:B,"Unmapped")</f>
        <v>COGS</v>
      </c>
      <c r="O582" cm="1">
        <f t="array" ref="O582">_xlfn.XLOOKUP(
  1,
  (FX_Rates[Currency]=Cleaned[[#This Row],[Currency]])*
  (FX_Rates[RateDate]&lt;=Cleaned[[#This Row],[TxnDate]]),
  FX_Rates[Rate_To_INR],
  ,
  -1
)</f>
        <v>82</v>
      </c>
      <c r="P582" s="2">
        <f>Cleaned[[#This Row],[Net Amount]] *  Cleaned[[#This Row],[FX_rates]]</f>
        <v>-5683.42</v>
      </c>
    </row>
    <row r="583" spans="1:16" x14ac:dyDescent="0.45">
      <c r="A583" t="s">
        <v>591</v>
      </c>
      <c r="B583" s="1">
        <v>45587</v>
      </c>
      <c r="C583" s="2" t="s">
        <v>2011</v>
      </c>
      <c r="D583" t="s">
        <v>2016</v>
      </c>
      <c r="E583">
        <v>1752.75</v>
      </c>
      <c r="F583">
        <f>Cleaned[[#This Row],[Debit]] * Cleaned[[#This Row],[FX_rates]]</f>
        <v>106917.75</v>
      </c>
      <c r="G583">
        <v>0</v>
      </c>
      <c r="H583">
        <f>Cleaned[[#This Row],[Credit]] *  Cleaned[[#This Row],[FX_rates]]</f>
        <v>0</v>
      </c>
      <c r="I583" t="s">
        <v>2021</v>
      </c>
      <c r="J583" t="s">
        <v>2026</v>
      </c>
      <c r="K583" t="s">
        <v>2612</v>
      </c>
      <c r="L583" t="s">
        <v>4035</v>
      </c>
      <c r="M583">
        <f>Cleaned[[#This Row],[Credit]]-Cleaned[[#This Row],[Debit]]</f>
        <v>-1752.75</v>
      </c>
      <c r="N583" t="str">
        <f>_xlfn.XLOOKUP(Cleaned[[#This Row],[AccountName]], Account_Mapping!A:A, Account_Mapping!B:B,"Unmapped")</f>
        <v>COGS</v>
      </c>
      <c r="O583" cm="1">
        <f t="array" ref="O583">_xlfn.XLOOKUP(
  1,
  (FX_Rates[Currency]=Cleaned[[#This Row],[Currency]])*
  (FX_Rates[RateDate]&lt;=Cleaned[[#This Row],[TxnDate]]),
  FX_Rates[Rate_To_INR],
  ,
  -1
)</f>
        <v>61</v>
      </c>
      <c r="P583" s="2">
        <f>Cleaned[[#This Row],[Net Amount]] *  Cleaned[[#This Row],[FX_rates]]</f>
        <v>-106917.75</v>
      </c>
    </row>
    <row r="584" spans="1:16" x14ac:dyDescent="0.45">
      <c r="A584" t="s">
        <v>592</v>
      </c>
      <c r="B584" s="1">
        <v>45208</v>
      </c>
      <c r="C584" s="2" t="s">
        <v>2014</v>
      </c>
      <c r="D584" t="s">
        <v>2019</v>
      </c>
      <c r="E584">
        <v>0</v>
      </c>
      <c r="F584">
        <f>Cleaned[[#This Row],[Debit]] * Cleaned[[#This Row],[FX_rates]]</f>
        <v>0</v>
      </c>
      <c r="G584">
        <v>759.16</v>
      </c>
      <c r="H584">
        <f>Cleaned[[#This Row],[Credit]] *  Cleaned[[#This Row],[FX_rates]]</f>
        <v>46308.759999999995</v>
      </c>
      <c r="I584" t="s">
        <v>2025</v>
      </c>
      <c r="J584" t="s">
        <v>2028</v>
      </c>
      <c r="K584" t="s">
        <v>2613</v>
      </c>
      <c r="L584" t="s">
        <v>4035</v>
      </c>
      <c r="M584">
        <f>Cleaned[[#This Row],[Credit]]-Cleaned[[#This Row],[Debit]]</f>
        <v>759.16</v>
      </c>
      <c r="N584" t="str">
        <f>_xlfn.XLOOKUP(Cleaned[[#This Row],[AccountName]], Account_Mapping!A:A, Account_Mapping!B:B,"Unmapped")</f>
        <v>Revenue</v>
      </c>
      <c r="O584" cm="1">
        <f t="array" ref="O584">_xlfn.XLOOKUP(
  1,
  (FX_Rates[Currency]=Cleaned[[#This Row],[Currency]])*
  (FX_Rates[RateDate]&lt;=Cleaned[[#This Row],[TxnDate]]),
  FX_Rates[Rate_To_INR],
  ,
  -1
)</f>
        <v>61</v>
      </c>
      <c r="P584" s="2">
        <f>Cleaned[[#This Row],[Net Amount]] *  Cleaned[[#This Row],[FX_rates]]</f>
        <v>46308.759999999995</v>
      </c>
    </row>
    <row r="585" spans="1:16" x14ac:dyDescent="0.45">
      <c r="A585" t="s">
        <v>593</v>
      </c>
      <c r="B585" s="1">
        <v>45262</v>
      </c>
      <c r="C585" s="2" t="s">
        <v>2012</v>
      </c>
      <c r="D585" t="s">
        <v>2017</v>
      </c>
      <c r="E585">
        <v>350.75</v>
      </c>
      <c r="F585">
        <f>Cleaned[[#This Row],[Debit]] * Cleaned[[#This Row],[FX_rates]]</f>
        <v>21395.75</v>
      </c>
      <c r="G585">
        <v>0</v>
      </c>
      <c r="H585">
        <f>Cleaned[[#This Row],[Credit]] *  Cleaned[[#This Row],[FX_rates]]</f>
        <v>0</v>
      </c>
      <c r="I585" t="s">
        <v>2024</v>
      </c>
      <c r="J585" t="s">
        <v>2028</v>
      </c>
      <c r="K585" t="s">
        <v>2614</v>
      </c>
      <c r="L585" t="s">
        <v>4035</v>
      </c>
      <c r="M585">
        <f>Cleaned[[#This Row],[Credit]]-Cleaned[[#This Row],[Debit]]</f>
        <v>-350.75</v>
      </c>
      <c r="N585" t="str">
        <f>_xlfn.XLOOKUP(Cleaned[[#This Row],[AccountName]], Account_Mapping!A:A, Account_Mapping!B:B,"Unmapped")</f>
        <v>Operating Expense</v>
      </c>
      <c r="O585" cm="1">
        <f t="array" ref="O585">_xlfn.XLOOKUP(
  1,
  (FX_Rates[Currency]=Cleaned[[#This Row],[Currency]])*
  (FX_Rates[RateDate]&lt;=Cleaned[[#This Row],[TxnDate]]),
  FX_Rates[Rate_To_INR],
  ,
  -1
)</f>
        <v>61</v>
      </c>
      <c r="P585" s="2">
        <f>Cleaned[[#This Row],[Net Amount]] *  Cleaned[[#This Row],[FX_rates]]</f>
        <v>-21395.75</v>
      </c>
    </row>
    <row r="586" spans="1:16" x14ac:dyDescent="0.45">
      <c r="A586" t="s">
        <v>594</v>
      </c>
      <c r="B586" s="1">
        <v>45351</v>
      </c>
      <c r="C586" s="2" t="s">
        <v>2012</v>
      </c>
      <c r="D586" t="s">
        <v>2017</v>
      </c>
      <c r="E586">
        <v>1991.12</v>
      </c>
      <c r="F586">
        <f>Cleaned[[#This Row],[Debit]] * Cleaned[[#This Row],[FX_rates]]</f>
        <v>111502.72</v>
      </c>
      <c r="G586">
        <v>0</v>
      </c>
      <c r="H586">
        <f>Cleaned[[#This Row],[Credit]] *  Cleaned[[#This Row],[FX_rates]]</f>
        <v>0</v>
      </c>
      <c r="I586" t="s">
        <v>2022</v>
      </c>
      <c r="J586" t="s">
        <v>2030</v>
      </c>
      <c r="K586" t="s">
        <v>2615</v>
      </c>
      <c r="L586" t="s">
        <v>4033</v>
      </c>
      <c r="M586">
        <f>Cleaned[[#This Row],[Credit]]-Cleaned[[#This Row],[Debit]]</f>
        <v>-1991.12</v>
      </c>
      <c r="N586" t="str">
        <f>_xlfn.XLOOKUP(Cleaned[[#This Row],[AccountName]], Account_Mapping!A:A, Account_Mapping!B:B,"Unmapped")</f>
        <v>Operating Expense</v>
      </c>
      <c r="O586" cm="1">
        <f t="array" ref="O586">_xlfn.XLOOKUP(
  1,
  (FX_Rates[Currency]=Cleaned[[#This Row],[Currency]])*
  (FX_Rates[RateDate]&lt;=Cleaned[[#This Row],[TxnDate]]),
  FX_Rates[Rate_To_INR],
  ,
  -1
)</f>
        <v>56</v>
      </c>
      <c r="P586" s="2">
        <f>Cleaned[[#This Row],[Net Amount]] *  Cleaned[[#This Row],[FX_rates]]</f>
        <v>-111502.72</v>
      </c>
    </row>
    <row r="587" spans="1:16" x14ac:dyDescent="0.45">
      <c r="A587" t="s">
        <v>595</v>
      </c>
      <c r="B587" s="1">
        <v>45055</v>
      </c>
      <c r="C587" s="2" t="s">
        <v>2011</v>
      </c>
      <c r="D587" t="s">
        <v>2016</v>
      </c>
      <c r="E587">
        <v>661.12</v>
      </c>
      <c r="F587">
        <f>Cleaned[[#This Row],[Debit]] * Cleaned[[#This Row],[FX_rates]]</f>
        <v>40328.32</v>
      </c>
      <c r="G587">
        <v>0</v>
      </c>
      <c r="H587">
        <f>Cleaned[[#This Row],[Credit]] *  Cleaned[[#This Row],[FX_rates]]</f>
        <v>0</v>
      </c>
      <c r="I587" t="s">
        <v>2021</v>
      </c>
      <c r="J587" t="s">
        <v>2030</v>
      </c>
      <c r="K587" t="s">
        <v>2616</v>
      </c>
      <c r="L587" t="s">
        <v>4035</v>
      </c>
      <c r="M587">
        <f>Cleaned[[#This Row],[Credit]]-Cleaned[[#This Row],[Debit]]</f>
        <v>-661.12</v>
      </c>
      <c r="N587" t="str">
        <f>_xlfn.XLOOKUP(Cleaned[[#This Row],[AccountName]], Account_Mapping!A:A, Account_Mapping!B:B,"Unmapped")</f>
        <v>COGS</v>
      </c>
      <c r="O587" cm="1">
        <f t="array" ref="O587">_xlfn.XLOOKUP(
  1,
  (FX_Rates[Currency]=Cleaned[[#This Row],[Currency]])*
  (FX_Rates[RateDate]&lt;=Cleaned[[#This Row],[TxnDate]]),
  FX_Rates[Rate_To_INR],
  ,
  -1
)</f>
        <v>61</v>
      </c>
      <c r="P587" s="2">
        <f>Cleaned[[#This Row],[Net Amount]] *  Cleaned[[#This Row],[FX_rates]]</f>
        <v>-40328.32</v>
      </c>
    </row>
    <row r="588" spans="1:16" x14ac:dyDescent="0.45">
      <c r="A588" t="s">
        <v>596</v>
      </c>
      <c r="B588" s="1">
        <v>45205</v>
      </c>
      <c r="C588" s="2" t="s">
        <v>2013</v>
      </c>
      <c r="D588" t="s">
        <v>2018</v>
      </c>
      <c r="E588">
        <v>1109.8599999999999</v>
      </c>
      <c r="F588">
        <f>Cleaned[[#This Row],[Debit]] * Cleaned[[#This Row],[FX_rates]]</f>
        <v>97667.68</v>
      </c>
      <c r="G588">
        <v>0</v>
      </c>
      <c r="H588">
        <f>Cleaned[[#This Row],[Credit]] *  Cleaned[[#This Row],[FX_rates]]</f>
        <v>0</v>
      </c>
      <c r="I588" t="s">
        <v>2025</v>
      </c>
      <c r="J588" t="s">
        <v>2026</v>
      </c>
      <c r="K588" t="s">
        <v>2617</v>
      </c>
      <c r="L588" t="s">
        <v>4032</v>
      </c>
      <c r="M588">
        <f>Cleaned[[#This Row],[Credit]]-Cleaned[[#This Row],[Debit]]</f>
        <v>-1109.8599999999999</v>
      </c>
      <c r="N588" t="str">
        <f>_xlfn.XLOOKUP(Cleaned[[#This Row],[AccountName]], Account_Mapping!A:A, Account_Mapping!B:B,"Unmapped")</f>
        <v>Operating Expense</v>
      </c>
      <c r="O588" cm="1">
        <f t="array" ref="O588">_xlfn.XLOOKUP(
  1,
  (FX_Rates[Currency]=Cleaned[[#This Row],[Currency]])*
  (FX_Rates[RateDate]&lt;=Cleaned[[#This Row],[TxnDate]]),
  FX_Rates[Rate_To_INR],
  ,
  -1
)</f>
        <v>88</v>
      </c>
      <c r="P588" s="2">
        <f>Cleaned[[#This Row],[Net Amount]] *  Cleaned[[#This Row],[FX_rates]]</f>
        <v>-97667.68</v>
      </c>
    </row>
    <row r="589" spans="1:16" x14ac:dyDescent="0.45">
      <c r="A589" t="s">
        <v>597</v>
      </c>
      <c r="B589" s="1">
        <v>45782</v>
      </c>
      <c r="C589" s="2" t="s">
        <v>2014</v>
      </c>
      <c r="D589" t="s">
        <v>2019</v>
      </c>
      <c r="E589">
        <v>0</v>
      </c>
      <c r="F589">
        <f>Cleaned[[#This Row],[Debit]] * Cleaned[[#This Row],[FX_rates]]</f>
        <v>0</v>
      </c>
      <c r="G589">
        <v>4533.8</v>
      </c>
      <c r="H589">
        <f>Cleaned[[#This Row],[Credit]] *  Cleaned[[#This Row],[FX_rates]]</f>
        <v>276561.8</v>
      </c>
      <c r="I589" t="s">
        <v>2025</v>
      </c>
      <c r="J589" t="s">
        <v>2029</v>
      </c>
      <c r="K589" t="s">
        <v>2618</v>
      </c>
      <c r="L589" t="s">
        <v>4035</v>
      </c>
      <c r="M589">
        <f>Cleaned[[#This Row],[Credit]]-Cleaned[[#This Row],[Debit]]</f>
        <v>4533.8</v>
      </c>
      <c r="N589" t="str">
        <f>_xlfn.XLOOKUP(Cleaned[[#This Row],[AccountName]], Account_Mapping!A:A, Account_Mapping!B:B,"Unmapped")</f>
        <v>Revenue</v>
      </c>
      <c r="O589" cm="1">
        <f t="array" ref="O589">_xlfn.XLOOKUP(
  1,
  (FX_Rates[Currency]=Cleaned[[#This Row],[Currency]])*
  (FX_Rates[RateDate]&lt;=Cleaned[[#This Row],[TxnDate]]),
  FX_Rates[Rate_To_INR],
  ,
  -1
)</f>
        <v>61</v>
      </c>
      <c r="P589" s="2">
        <f>Cleaned[[#This Row],[Net Amount]] *  Cleaned[[#This Row],[FX_rates]]</f>
        <v>276561.8</v>
      </c>
    </row>
    <row r="590" spans="1:16" x14ac:dyDescent="0.45">
      <c r="A590" t="s">
        <v>598</v>
      </c>
      <c r="B590" s="1">
        <v>45757</v>
      </c>
      <c r="C590" s="2" t="s">
        <v>2013</v>
      </c>
      <c r="D590" t="s">
        <v>2018</v>
      </c>
      <c r="E590">
        <v>329.57</v>
      </c>
      <c r="F590">
        <f>Cleaned[[#This Row],[Debit]] * Cleaned[[#This Row],[FX_rates]]</f>
        <v>20103.77</v>
      </c>
      <c r="G590">
        <v>0</v>
      </c>
      <c r="H590">
        <f>Cleaned[[#This Row],[Credit]] *  Cleaned[[#This Row],[FX_rates]]</f>
        <v>0</v>
      </c>
      <c r="I590" t="s">
        <v>2023</v>
      </c>
      <c r="J590" t="s">
        <v>2030</v>
      </c>
      <c r="K590" t="s">
        <v>2619</v>
      </c>
      <c r="L590" t="s">
        <v>4035</v>
      </c>
      <c r="M590">
        <f>Cleaned[[#This Row],[Credit]]-Cleaned[[#This Row],[Debit]]</f>
        <v>-329.57</v>
      </c>
      <c r="N590" t="str">
        <f>_xlfn.XLOOKUP(Cleaned[[#This Row],[AccountName]], Account_Mapping!A:A, Account_Mapping!B:B,"Unmapped")</f>
        <v>Operating Expense</v>
      </c>
      <c r="O590" cm="1">
        <f t="array" ref="O590">_xlfn.XLOOKUP(
  1,
  (FX_Rates[Currency]=Cleaned[[#This Row],[Currency]])*
  (FX_Rates[RateDate]&lt;=Cleaned[[#This Row],[TxnDate]]),
  FX_Rates[Rate_To_INR],
  ,
  -1
)</f>
        <v>61</v>
      </c>
      <c r="P590" s="2">
        <f>Cleaned[[#This Row],[Net Amount]] *  Cleaned[[#This Row],[FX_rates]]</f>
        <v>-20103.77</v>
      </c>
    </row>
    <row r="591" spans="1:16" x14ac:dyDescent="0.45">
      <c r="A591" t="s">
        <v>599</v>
      </c>
      <c r="B591" s="1">
        <v>44992</v>
      </c>
      <c r="C591" s="2" t="s">
        <v>2010</v>
      </c>
      <c r="D591" t="s">
        <v>2015</v>
      </c>
      <c r="E591">
        <v>0</v>
      </c>
      <c r="F591">
        <f>Cleaned[[#This Row],[Debit]] * Cleaned[[#This Row],[FX_rates]]</f>
        <v>0</v>
      </c>
      <c r="G591">
        <v>4725.13</v>
      </c>
      <c r="H591">
        <f>Cleaned[[#This Row],[Credit]] *  Cleaned[[#This Row],[FX_rates]]</f>
        <v>415811.44</v>
      </c>
      <c r="I591" t="s">
        <v>2024</v>
      </c>
      <c r="J591" t="s">
        <v>2026</v>
      </c>
      <c r="K591" t="s">
        <v>2620</v>
      </c>
      <c r="L591" t="s">
        <v>4032</v>
      </c>
      <c r="M591">
        <f>Cleaned[[#This Row],[Credit]]-Cleaned[[#This Row],[Debit]]</f>
        <v>4725.13</v>
      </c>
      <c r="N591" t="str">
        <f>_xlfn.XLOOKUP(Cleaned[[#This Row],[AccountName]], Account_Mapping!A:A, Account_Mapping!B:B,"Unmapped")</f>
        <v>Revenue</v>
      </c>
      <c r="O591" cm="1">
        <f t="array" ref="O591">_xlfn.XLOOKUP(
  1,
  (FX_Rates[Currency]=Cleaned[[#This Row],[Currency]])*
  (FX_Rates[RateDate]&lt;=Cleaned[[#This Row],[TxnDate]]),
  FX_Rates[Rate_To_INR],
  ,
  -1
)</f>
        <v>88</v>
      </c>
      <c r="P591" s="2">
        <f>Cleaned[[#This Row],[Net Amount]] *  Cleaned[[#This Row],[FX_rates]]</f>
        <v>415811.44</v>
      </c>
    </row>
    <row r="592" spans="1:16" x14ac:dyDescent="0.45">
      <c r="A592" t="s">
        <v>600</v>
      </c>
      <c r="B592" s="1">
        <v>45121</v>
      </c>
      <c r="C592" s="2" t="s">
        <v>2013</v>
      </c>
      <c r="D592" t="s">
        <v>2018</v>
      </c>
      <c r="E592">
        <v>206.46</v>
      </c>
      <c r="F592">
        <f>Cleaned[[#This Row],[Debit]] * Cleaned[[#This Row],[FX_rates]]</f>
        <v>11561.76</v>
      </c>
      <c r="G592">
        <v>0</v>
      </c>
      <c r="H592">
        <f>Cleaned[[#This Row],[Credit]] *  Cleaned[[#This Row],[FX_rates]]</f>
        <v>0</v>
      </c>
      <c r="I592" t="s">
        <v>2021</v>
      </c>
      <c r="J592" t="s">
        <v>2029</v>
      </c>
      <c r="K592" t="s">
        <v>2621</v>
      </c>
      <c r="L592" t="s">
        <v>4033</v>
      </c>
      <c r="M592">
        <f>Cleaned[[#This Row],[Credit]]-Cleaned[[#This Row],[Debit]]</f>
        <v>-206.46</v>
      </c>
      <c r="N592" t="str">
        <f>_xlfn.XLOOKUP(Cleaned[[#This Row],[AccountName]], Account_Mapping!A:A, Account_Mapping!B:B,"Unmapped")</f>
        <v>Operating Expense</v>
      </c>
      <c r="O592" cm="1">
        <f t="array" ref="O592">_xlfn.XLOOKUP(
  1,
  (FX_Rates[Currency]=Cleaned[[#This Row],[Currency]])*
  (FX_Rates[RateDate]&lt;=Cleaned[[#This Row],[TxnDate]]),
  FX_Rates[Rate_To_INR],
  ,
  -1
)</f>
        <v>56</v>
      </c>
      <c r="P592" s="2">
        <f>Cleaned[[#This Row],[Net Amount]] *  Cleaned[[#This Row],[FX_rates]]</f>
        <v>-11561.76</v>
      </c>
    </row>
    <row r="593" spans="1:16" x14ac:dyDescent="0.45">
      <c r="A593" t="s">
        <v>601</v>
      </c>
      <c r="B593" s="1">
        <v>45795</v>
      </c>
      <c r="C593" s="2" t="s">
        <v>2012</v>
      </c>
      <c r="D593" t="s">
        <v>2017</v>
      </c>
      <c r="E593">
        <v>402.92</v>
      </c>
      <c r="F593">
        <f>Cleaned[[#This Row],[Debit]] * Cleaned[[#This Row],[FX_rates]]</f>
        <v>41500.76</v>
      </c>
      <c r="G593">
        <v>0</v>
      </c>
      <c r="H593">
        <f>Cleaned[[#This Row],[Credit]] *  Cleaned[[#This Row],[FX_rates]]</f>
        <v>0</v>
      </c>
      <c r="I593" t="s">
        <v>2025</v>
      </c>
      <c r="J593" t="s">
        <v>2028</v>
      </c>
      <c r="K593" t="s">
        <v>2622</v>
      </c>
      <c r="L593" t="s">
        <v>4031</v>
      </c>
      <c r="M593">
        <f>Cleaned[[#This Row],[Credit]]-Cleaned[[#This Row],[Debit]]</f>
        <v>-402.92</v>
      </c>
      <c r="N593" t="str">
        <f>_xlfn.XLOOKUP(Cleaned[[#This Row],[AccountName]], Account_Mapping!A:A, Account_Mapping!B:B,"Unmapped")</f>
        <v>Operating Expense</v>
      </c>
      <c r="O593" cm="1">
        <f t="array" ref="O593">_xlfn.XLOOKUP(
  1,
  (FX_Rates[Currency]=Cleaned[[#This Row],[Currency]])*
  (FX_Rates[RateDate]&lt;=Cleaned[[#This Row],[TxnDate]]),
  FX_Rates[Rate_To_INR],
  ,
  -1
)</f>
        <v>103</v>
      </c>
      <c r="P593" s="2">
        <f>Cleaned[[#This Row],[Net Amount]] *  Cleaned[[#This Row],[FX_rates]]</f>
        <v>-41500.76</v>
      </c>
    </row>
    <row r="594" spans="1:16" x14ac:dyDescent="0.45">
      <c r="A594" t="s">
        <v>602</v>
      </c>
      <c r="B594" s="1">
        <v>45670</v>
      </c>
      <c r="C594" s="2" t="s">
        <v>2014</v>
      </c>
      <c r="D594" t="s">
        <v>2019</v>
      </c>
      <c r="E594">
        <v>0</v>
      </c>
      <c r="F594">
        <f>Cleaned[[#This Row],[Debit]] * Cleaned[[#This Row],[FX_rates]]</f>
        <v>0</v>
      </c>
      <c r="G594">
        <v>4295.83</v>
      </c>
      <c r="H594">
        <f>Cleaned[[#This Row],[Credit]] *  Cleaned[[#This Row],[FX_rates]]</f>
        <v>442470.49</v>
      </c>
      <c r="I594" t="s">
        <v>2022</v>
      </c>
      <c r="J594" t="s">
        <v>2026</v>
      </c>
      <c r="K594" t="s">
        <v>2623</v>
      </c>
      <c r="L594" t="s">
        <v>4031</v>
      </c>
      <c r="M594">
        <f>Cleaned[[#This Row],[Credit]]-Cleaned[[#This Row],[Debit]]</f>
        <v>4295.83</v>
      </c>
      <c r="N594" t="str">
        <f>_xlfn.XLOOKUP(Cleaned[[#This Row],[AccountName]], Account_Mapping!A:A, Account_Mapping!B:B,"Unmapped")</f>
        <v>Revenue</v>
      </c>
      <c r="O594" cm="1">
        <f t="array" ref="O594">_xlfn.XLOOKUP(
  1,
  (FX_Rates[Currency]=Cleaned[[#This Row],[Currency]])*
  (FX_Rates[RateDate]&lt;=Cleaned[[#This Row],[TxnDate]]),
  FX_Rates[Rate_To_INR],
  ,
  -1
)</f>
        <v>103</v>
      </c>
      <c r="P594" s="2">
        <f>Cleaned[[#This Row],[Net Amount]] *  Cleaned[[#This Row],[FX_rates]]</f>
        <v>442470.49</v>
      </c>
    </row>
    <row r="595" spans="1:16" x14ac:dyDescent="0.45">
      <c r="A595" t="s">
        <v>603</v>
      </c>
      <c r="B595" s="1">
        <v>45278</v>
      </c>
      <c r="C595" s="2" t="s">
        <v>2014</v>
      </c>
      <c r="D595" t="s">
        <v>2019</v>
      </c>
      <c r="E595">
        <v>0</v>
      </c>
      <c r="F595">
        <f>Cleaned[[#This Row],[Debit]] * Cleaned[[#This Row],[FX_rates]]</f>
        <v>0</v>
      </c>
      <c r="G595">
        <v>3237.32</v>
      </c>
      <c r="H595">
        <f>Cleaned[[#This Row],[Credit]] *  Cleaned[[#This Row],[FX_rates]]</f>
        <v>333443.96000000002</v>
      </c>
      <c r="I595" t="s">
        <v>2024</v>
      </c>
      <c r="J595" t="s">
        <v>2028</v>
      </c>
      <c r="K595" t="s">
        <v>2624</v>
      </c>
      <c r="L595" t="s">
        <v>4031</v>
      </c>
      <c r="M595">
        <f>Cleaned[[#This Row],[Credit]]-Cleaned[[#This Row],[Debit]]</f>
        <v>3237.32</v>
      </c>
      <c r="N595" t="str">
        <f>_xlfn.XLOOKUP(Cleaned[[#This Row],[AccountName]], Account_Mapping!A:A, Account_Mapping!B:B,"Unmapped")</f>
        <v>Revenue</v>
      </c>
      <c r="O595" cm="1">
        <f t="array" ref="O595">_xlfn.XLOOKUP(
  1,
  (FX_Rates[Currency]=Cleaned[[#This Row],[Currency]])*
  (FX_Rates[RateDate]&lt;=Cleaned[[#This Row],[TxnDate]]),
  FX_Rates[Rate_To_INR],
  ,
  -1
)</f>
        <v>103</v>
      </c>
      <c r="P595" s="2">
        <f>Cleaned[[#This Row],[Net Amount]] *  Cleaned[[#This Row],[FX_rates]]</f>
        <v>333443.96000000002</v>
      </c>
    </row>
    <row r="596" spans="1:16" x14ac:dyDescent="0.45">
      <c r="A596" t="s">
        <v>604</v>
      </c>
      <c r="B596" s="1">
        <v>45256</v>
      </c>
      <c r="C596" s="2" t="s">
        <v>2012</v>
      </c>
      <c r="D596" t="s">
        <v>2017</v>
      </c>
      <c r="E596">
        <v>648.30999999999995</v>
      </c>
      <c r="F596">
        <f>Cleaned[[#This Row],[Debit]] * Cleaned[[#This Row],[FX_rates]]</f>
        <v>66775.929999999993</v>
      </c>
      <c r="G596">
        <v>0</v>
      </c>
      <c r="H596">
        <f>Cleaned[[#This Row],[Credit]] *  Cleaned[[#This Row],[FX_rates]]</f>
        <v>0</v>
      </c>
      <c r="I596" t="s">
        <v>2024</v>
      </c>
      <c r="J596" t="s">
        <v>2027</v>
      </c>
      <c r="K596" t="s">
        <v>2625</v>
      </c>
      <c r="L596" t="s">
        <v>4031</v>
      </c>
      <c r="M596">
        <f>Cleaned[[#This Row],[Credit]]-Cleaned[[#This Row],[Debit]]</f>
        <v>-648.30999999999995</v>
      </c>
      <c r="N596" t="str">
        <f>_xlfn.XLOOKUP(Cleaned[[#This Row],[AccountName]], Account_Mapping!A:A, Account_Mapping!B:B,"Unmapped")</f>
        <v>Operating Expense</v>
      </c>
      <c r="O596" cm="1">
        <f t="array" ref="O596">_xlfn.XLOOKUP(
  1,
  (FX_Rates[Currency]=Cleaned[[#This Row],[Currency]])*
  (FX_Rates[RateDate]&lt;=Cleaned[[#This Row],[TxnDate]]),
  FX_Rates[Rate_To_INR],
  ,
  -1
)</f>
        <v>103</v>
      </c>
      <c r="P596" s="2">
        <f>Cleaned[[#This Row],[Net Amount]] *  Cleaned[[#This Row],[FX_rates]]</f>
        <v>-66775.929999999993</v>
      </c>
    </row>
    <row r="597" spans="1:16" x14ac:dyDescent="0.45">
      <c r="A597" t="s">
        <v>605</v>
      </c>
      <c r="B597" s="1">
        <v>45418</v>
      </c>
      <c r="C597" s="2" t="s">
        <v>2011</v>
      </c>
      <c r="D597" t="s">
        <v>2016</v>
      </c>
      <c r="E597">
        <v>710.64</v>
      </c>
      <c r="F597">
        <f>Cleaned[[#This Row],[Debit]] * Cleaned[[#This Row],[FX_rates]]</f>
        <v>62536.32</v>
      </c>
      <c r="G597">
        <v>0</v>
      </c>
      <c r="H597">
        <f>Cleaned[[#This Row],[Credit]] *  Cleaned[[#This Row],[FX_rates]]</f>
        <v>0</v>
      </c>
      <c r="I597" t="s">
        <v>2020</v>
      </c>
      <c r="J597" t="s">
        <v>2026</v>
      </c>
      <c r="K597" t="s">
        <v>2626</v>
      </c>
      <c r="L597" t="s">
        <v>4032</v>
      </c>
      <c r="M597">
        <f>Cleaned[[#This Row],[Credit]]-Cleaned[[#This Row],[Debit]]</f>
        <v>-710.64</v>
      </c>
      <c r="N597" t="str">
        <f>_xlfn.XLOOKUP(Cleaned[[#This Row],[AccountName]], Account_Mapping!A:A, Account_Mapping!B:B,"Unmapped")</f>
        <v>COGS</v>
      </c>
      <c r="O597" cm="1">
        <f t="array" ref="O597">_xlfn.XLOOKUP(
  1,
  (FX_Rates[Currency]=Cleaned[[#This Row],[Currency]])*
  (FX_Rates[RateDate]&lt;=Cleaned[[#This Row],[TxnDate]]),
  FX_Rates[Rate_To_INR],
  ,
  -1
)</f>
        <v>88</v>
      </c>
      <c r="P597" s="2">
        <f>Cleaned[[#This Row],[Net Amount]] *  Cleaned[[#This Row],[FX_rates]]</f>
        <v>-62536.32</v>
      </c>
    </row>
    <row r="598" spans="1:16" x14ac:dyDescent="0.45">
      <c r="A598" t="s">
        <v>606</v>
      </c>
      <c r="B598" s="1">
        <v>45230</v>
      </c>
      <c r="C598" s="2" t="s">
        <v>2011</v>
      </c>
      <c r="D598" t="s">
        <v>2016</v>
      </c>
      <c r="E598">
        <v>309.33999999999997</v>
      </c>
      <c r="F598">
        <f>Cleaned[[#This Row],[Debit]] * Cleaned[[#This Row],[FX_rates]]</f>
        <v>27221.919999999998</v>
      </c>
      <c r="G598">
        <v>0</v>
      </c>
      <c r="H598">
        <f>Cleaned[[#This Row],[Credit]] *  Cleaned[[#This Row],[FX_rates]]</f>
        <v>0</v>
      </c>
      <c r="I598" t="s">
        <v>2024</v>
      </c>
      <c r="J598" t="s">
        <v>2027</v>
      </c>
      <c r="K598" t="s">
        <v>2627</v>
      </c>
      <c r="L598" t="s">
        <v>4032</v>
      </c>
      <c r="M598">
        <f>Cleaned[[#This Row],[Credit]]-Cleaned[[#This Row],[Debit]]</f>
        <v>-309.33999999999997</v>
      </c>
      <c r="N598" t="str">
        <f>_xlfn.XLOOKUP(Cleaned[[#This Row],[AccountName]], Account_Mapping!A:A, Account_Mapping!B:B,"Unmapped")</f>
        <v>COGS</v>
      </c>
      <c r="O598" cm="1">
        <f t="array" ref="O598">_xlfn.XLOOKUP(
  1,
  (FX_Rates[Currency]=Cleaned[[#This Row],[Currency]])*
  (FX_Rates[RateDate]&lt;=Cleaned[[#This Row],[TxnDate]]),
  FX_Rates[Rate_To_INR],
  ,
  -1
)</f>
        <v>88</v>
      </c>
      <c r="P598" s="2">
        <f>Cleaned[[#This Row],[Net Amount]] *  Cleaned[[#This Row],[FX_rates]]</f>
        <v>-27221.919999999998</v>
      </c>
    </row>
    <row r="599" spans="1:16" x14ac:dyDescent="0.45">
      <c r="A599" t="s">
        <v>607</v>
      </c>
      <c r="B599" s="1">
        <v>44988</v>
      </c>
      <c r="C599" s="2" t="s">
        <v>2012</v>
      </c>
      <c r="D599" t="s">
        <v>2017</v>
      </c>
      <c r="E599">
        <v>1657.7</v>
      </c>
      <c r="F599">
        <f>Cleaned[[#This Row],[Debit]] * Cleaned[[#This Row],[FX_rates]]</f>
        <v>92831.2</v>
      </c>
      <c r="G599">
        <v>0</v>
      </c>
      <c r="H599">
        <f>Cleaned[[#This Row],[Credit]] *  Cleaned[[#This Row],[FX_rates]]</f>
        <v>0</v>
      </c>
      <c r="I599" t="s">
        <v>2020</v>
      </c>
      <c r="J599" t="s">
        <v>2027</v>
      </c>
      <c r="K599" t="s">
        <v>2628</v>
      </c>
      <c r="L599" t="s">
        <v>4033</v>
      </c>
      <c r="M599">
        <f>Cleaned[[#This Row],[Credit]]-Cleaned[[#This Row],[Debit]]</f>
        <v>-1657.7</v>
      </c>
      <c r="N599" t="str">
        <f>_xlfn.XLOOKUP(Cleaned[[#This Row],[AccountName]], Account_Mapping!A:A, Account_Mapping!B:B,"Unmapped")</f>
        <v>Operating Expense</v>
      </c>
      <c r="O599" cm="1">
        <f t="array" ref="O599">_xlfn.XLOOKUP(
  1,
  (FX_Rates[Currency]=Cleaned[[#This Row],[Currency]])*
  (FX_Rates[RateDate]&lt;=Cleaned[[#This Row],[TxnDate]]),
  FX_Rates[Rate_To_INR],
  ,
  -1
)</f>
        <v>56</v>
      </c>
      <c r="P599" s="2">
        <f>Cleaned[[#This Row],[Net Amount]] *  Cleaned[[#This Row],[FX_rates]]</f>
        <v>-92831.2</v>
      </c>
    </row>
    <row r="600" spans="1:16" x14ac:dyDescent="0.45">
      <c r="A600" t="s">
        <v>608</v>
      </c>
      <c r="B600" s="1">
        <v>45271</v>
      </c>
      <c r="C600" s="2" t="s">
        <v>2013</v>
      </c>
      <c r="D600" t="s">
        <v>2018</v>
      </c>
      <c r="E600">
        <v>1748.81</v>
      </c>
      <c r="F600">
        <f>Cleaned[[#This Row],[Debit]] * Cleaned[[#This Row],[FX_rates]]</f>
        <v>153895.28</v>
      </c>
      <c r="G600">
        <v>0</v>
      </c>
      <c r="H600">
        <f>Cleaned[[#This Row],[Credit]] *  Cleaned[[#This Row],[FX_rates]]</f>
        <v>0</v>
      </c>
      <c r="I600" t="s">
        <v>2024</v>
      </c>
      <c r="J600" t="s">
        <v>2026</v>
      </c>
      <c r="K600" t="s">
        <v>2629</v>
      </c>
      <c r="L600" t="s">
        <v>4032</v>
      </c>
      <c r="M600">
        <f>Cleaned[[#This Row],[Credit]]-Cleaned[[#This Row],[Debit]]</f>
        <v>-1748.81</v>
      </c>
      <c r="N600" t="str">
        <f>_xlfn.XLOOKUP(Cleaned[[#This Row],[AccountName]], Account_Mapping!A:A, Account_Mapping!B:B,"Unmapped")</f>
        <v>Operating Expense</v>
      </c>
      <c r="O600" cm="1">
        <f t="array" ref="O600">_xlfn.XLOOKUP(
  1,
  (FX_Rates[Currency]=Cleaned[[#This Row],[Currency]])*
  (FX_Rates[RateDate]&lt;=Cleaned[[#This Row],[TxnDate]]),
  FX_Rates[Rate_To_INR],
  ,
  -1
)</f>
        <v>88</v>
      </c>
      <c r="P600" s="2">
        <f>Cleaned[[#This Row],[Net Amount]] *  Cleaned[[#This Row],[FX_rates]]</f>
        <v>-153895.28</v>
      </c>
    </row>
    <row r="601" spans="1:16" x14ac:dyDescent="0.45">
      <c r="A601" t="s">
        <v>609</v>
      </c>
      <c r="B601" s="1">
        <v>45492</v>
      </c>
      <c r="C601" s="2" t="s">
        <v>2012</v>
      </c>
      <c r="D601" t="s">
        <v>2017</v>
      </c>
      <c r="E601">
        <v>278.26</v>
      </c>
      <c r="F601">
        <f>Cleaned[[#This Row],[Debit]] * Cleaned[[#This Row],[FX_rates]]</f>
        <v>22817.32</v>
      </c>
      <c r="G601">
        <v>0</v>
      </c>
      <c r="H601">
        <f>Cleaned[[#This Row],[Credit]] *  Cleaned[[#This Row],[FX_rates]]</f>
        <v>0</v>
      </c>
      <c r="I601" t="s">
        <v>2020</v>
      </c>
      <c r="J601" t="s">
        <v>2028</v>
      </c>
      <c r="K601" t="s">
        <v>2630</v>
      </c>
      <c r="L601" t="s">
        <v>4034</v>
      </c>
      <c r="M601">
        <f>Cleaned[[#This Row],[Credit]]-Cleaned[[#This Row],[Debit]]</f>
        <v>-278.26</v>
      </c>
      <c r="N601" t="str">
        <f>_xlfn.XLOOKUP(Cleaned[[#This Row],[AccountName]], Account_Mapping!A:A, Account_Mapping!B:B,"Unmapped")</f>
        <v>Operating Expense</v>
      </c>
      <c r="O601" cm="1">
        <f t="array" ref="O601">_xlfn.XLOOKUP(
  1,
  (FX_Rates[Currency]=Cleaned[[#This Row],[Currency]])*
  (FX_Rates[RateDate]&lt;=Cleaned[[#This Row],[TxnDate]]),
  FX_Rates[Rate_To_INR],
  ,
  -1
)</f>
        <v>82</v>
      </c>
      <c r="P601" s="2">
        <f>Cleaned[[#This Row],[Net Amount]] *  Cleaned[[#This Row],[FX_rates]]</f>
        <v>-22817.32</v>
      </c>
    </row>
    <row r="602" spans="1:16" x14ac:dyDescent="0.45">
      <c r="A602" t="s">
        <v>610</v>
      </c>
      <c r="B602" s="1">
        <v>45103</v>
      </c>
      <c r="C602" s="2" t="s">
        <v>2013</v>
      </c>
      <c r="D602" t="s">
        <v>2018</v>
      </c>
      <c r="E602">
        <v>387.61</v>
      </c>
      <c r="F602">
        <f>Cleaned[[#This Row],[Debit]] * Cleaned[[#This Row],[FX_rates]]</f>
        <v>39923.83</v>
      </c>
      <c r="G602">
        <v>0</v>
      </c>
      <c r="H602">
        <f>Cleaned[[#This Row],[Credit]] *  Cleaned[[#This Row],[FX_rates]]</f>
        <v>0</v>
      </c>
      <c r="I602" t="s">
        <v>2025</v>
      </c>
      <c r="J602" t="s">
        <v>2028</v>
      </c>
      <c r="K602" t="s">
        <v>2631</v>
      </c>
      <c r="L602" t="s">
        <v>4031</v>
      </c>
      <c r="M602">
        <f>Cleaned[[#This Row],[Credit]]-Cleaned[[#This Row],[Debit]]</f>
        <v>-387.61</v>
      </c>
      <c r="N602" t="str">
        <f>_xlfn.XLOOKUP(Cleaned[[#This Row],[AccountName]], Account_Mapping!A:A, Account_Mapping!B:B,"Unmapped")</f>
        <v>Operating Expense</v>
      </c>
      <c r="O602" cm="1">
        <f t="array" ref="O602">_xlfn.XLOOKUP(
  1,
  (FX_Rates[Currency]=Cleaned[[#This Row],[Currency]])*
  (FX_Rates[RateDate]&lt;=Cleaned[[#This Row],[TxnDate]]),
  FX_Rates[Rate_To_INR],
  ,
  -1
)</f>
        <v>103</v>
      </c>
      <c r="P602" s="2">
        <f>Cleaned[[#This Row],[Net Amount]] *  Cleaned[[#This Row],[FX_rates]]</f>
        <v>-39923.83</v>
      </c>
    </row>
    <row r="603" spans="1:16" x14ac:dyDescent="0.45">
      <c r="A603" t="s">
        <v>611</v>
      </c>
      <c r="B603" s="1">
        <v>45717</v>
      </c>
      <c r="C603" s="2" t="s">
        <v>2011</v>
      </c>
      <c r="D603" t="s">
        <v>2016</v>
      </c>
      <c r="E603">
        <v>930.92</v>
      </c>
      <c r="F603">
        <f>Cleaned[[#This Row],[Debit]] * Cleaned[[#This Row],[FX_rates]]</f>
        <v>56786.119999999995</v>
      </c>
      <c r="G603">
        <v>0</v>
      </c>
      <c r="H603">
        <f>Cleaned[[#This Row],[Credit]] *  Cleaned[[#This Row],[FX_rates]]</f>
        <v>0</v>
      </c>
      <c r="I603" t="s">
        <v>2021</v>
      </c>
      <c r="J603" t="s">
        <v>2026</v>
      </c>
      <c r="K603" t="s">
        <v>2632</v>
      </c>
      <c r="L603" t="s">
        <v>4035</v>
      </c>
      <c r="M603">
        <f>Cleaned[[#This Row],[Credit]]-Cleaned[[#This Row],[Debit]]</f>
        <v>-930.92</v>
      </c>
      <c r="N603" t="str">
        <f>_xlfn.XLOOKUP(Cleaned[[#This Row],[AccountName]], Account_Mapping!A:A, Account_Mapping!B:B,"Unmapped")</f>
        <v>COGS</v>
      </c>
      <c r="O603" cm="1">
        <f t="array" ref="O603">_xlfn.XLOOKUP(
  1,
  (FX_Rates[Currency]=Cleaned[[#This Row],[Currency]])*
  (FX_Rates[RateDate]&lt;=Cleaned[[#This Row],[TxnDate]]),
  FX_Rates[Rate_To_INR],
  ,
  -1
)</f>
        <v>61</v>
      </c>
      <c r="P603" s="2">
        <f>Cleaned[[#This Row],[Net Amount]] *  Cleaned[[#This Row],[FX_rates]]</f>
        <v>-56786.119999999995</v>
      </c>
    </row>
    <row r="604" spans="1:16" x14ac:dyDescent="0.45">
      <c r="A604" t="s">
        <v>612</v>
      </c>
      <c r="B604" s="1">
        <v>45772</v>
      </c>
      <c r="C604" s="2" t="s">
        <v>2011</v>
      </c>
      <c r="D604" t="s">
        <v>2016</v>
      </c>
      <c r="E604">
        <v>1231.94</v>
      </c>
      <c r="F604">
        <f>Cleaned[[#This Row],[Debit]] * Cleaned[[#This Row],[FX_rates]]</f>
        <v>126889.82</v>
      </c>
      <c r="G604">
        <v>0</v>
      </c>
      <c r="H604">
        <f>Cleaned[[#This Row],[Credit]] *  Cleaned[[#This Row],[FX_rates]]</f>
        <v>0</v>
      </c>
      <c r="I604" t="s">
        <v>2023</v>
      </c>
      <c r="J604" t="s">
        <v>2027</v>
      </c>
      <c r="K604" t="s">
        <v>2633</v>
      </c>
      <c r="L604" t="s">
        <v>4031</v>
      </c>
      <c r="M604">
        <f>Cleaned[[#This Row],[Credit]]-Cleaned[[#This Row],[Debit]]</f>
        <v>-1231.94</v>
      </c>
      <c r="N604" t="str">
        <f>_xlfn.XLOOKUP(Cleaned[[#This Row],[AccountName]], Account_Mapping!A:A, Account_Mapping!B:B,"Unmapped")</f>
        <v>COGS</v>
      </c>
      <c r="O604" cm="1">
        <f t="array" ref="O604">_xlfn.XLOOKUP(
  1,
  (FX_Rates[Currency]=Cleaned[[#This Row],[Currency]])*
  (FX_Rates[RateDate]&lt;=Cleaned[[#This Row],[TxnDate]]),
  FX_Rates[Rate_To_INR],
  ,
  -1
)</f>
        <v>103</v>
      </c>
      <c r="P604" s="2">
        <f>Cleaned[[#This Row],[Net Amount]] *  Cleaned[[#This Row],[FX_rates]]</f>
        <v>-126889.82</v>
      </c>
    </row>
    <row r="605" spans="1:16" x14ac:dyDescent="0.45">
      <c r="A605" t="s">
        <v>613</v>
      </c>
      <c r="B605" s="1">
        <v>45691</v>
      </c>
      <c r="C605" s="2" t="s">
        <v>2013</v>
      </c>
      <c r="D605" t="s">
        <v>2018</v>
      </c>
      <c r="E605">
        <v>1911.86</v>
      </c>
      <c r="F605">
        <f>Cleaned[[#This Row],[Debit]] * Cleaned[[#This Row],[FX_rates]]</f>
        <v>116623.45999999999</v>
      </c>
      <c r="G605">
        <v>0</v>
      </c>
      <c r="H605">
        <f>Cleaned[[#This Row],[Credit]] *  Cleaned[[#This Row],[FX_rates]]</f>
        <v>0</v>
      </c>
      <c r="I605" t="s">
        <v>2025</v>
      </c>
      <c r="J605" t="s">
        <v>2029</v>
      </c>
      <c r="K605" t="s">
        <v>2634</v>
      </c>
      <c r="L605" t="s">
        <v>4035</v>
      </c>
      <c r="M605">
        <f>Cleaned[[#This Row],[Credit]]-Cleaned[[#This Row],[Debit]]</f>
        <v>-1911.86</v>
      </c>
      <c r="N605" t="str">
        <f>_xlfn.XLOOKUP(Cleaned[[#This Row],[AccountName]], Account_Mapping!A:A, Account_Mapping!B:B,"Unmapped")</f>
        <v>Operating Expense</v>
      </c>
      <c r="O605" cm="1">
        <f t="array" ref="O605">_xlfn.XLOOKUP(
  1,
  (FX_Rates[Currency]=Cleaned[[#This Row],[Currency]])*
  (FX_Rates[RateDate]&lt;=Cleaned[[#This Row],[TxnDate]]),
  FX_Rates[Rate_To_INR],
  ,
  -1
)</f>
        <v>61</v>
      </c>
      <c r="P605" s="2">
        <f>Cleaned[[#This Row],[Net Amount]] *  Cleaned[[#This Row],[FX_rates]]</f>
        <v>-116623.45999999999</v>
      </c>
    </row>
    <row r="606" spans="1:16" x14ac:dyDescent="0.45">
      <c r="A606" t="s">
        <v>614</v>
      </c>
      <c r="B606" s="1">
        <v>45059</v>
      </c>
      <c r="C606" s="2" t="s">
        <v>2014</v>
      </c>
      <c r="D606" t="s">
        <v>2019</v>
      </c>
      <c r="E606">
        <v>0</v>
      </c>
      <c r="F606">
        <f>Cleaned[[#This Row],[Debit]] * Cleaned[[#This Row],[FX_rates]]</f>
        <v>0</v>
      </c>
      <c r="G606">
        <v>1161.8599999999999</v>
      </c>
      <c r="H606">
        <f>Cleaned[[#This Row],[Credit]] *  Cleaned[[#This Row],[FX_rates]]</f>
        <v>65064.159999999996</v>
      </c>
      <c r="I606" t="s">
        <v>2023</v>
      </c>
      <c r="J606" t="s">
        <v>2028</v>
      </c>
      <c r="K606" t="s">
        <v>2635</v>
      </c>
      <c r="L606" t="s">
        <v>4033</v>
      </c>
      <c r="M606">
        <f>Cleaned[[#This Row],[Credit]]-Cleaned[[#This Row],[Debit]]</f>
        <v>1161.8599999999999</v>
      </c>
      <c r="N606" t="str">
        <f>_xlfn.XLOOKUP(Cleaned[[#This Row],[AccountName]], Account_Mapping!A:A, Account_Mapping!B:B,"Unmapped")</f>
        <v>Revenue</v>
      </c>
      <c r="O606" cm="1">
        <f t="array" ref="O606">_xlfn.XLOOKUP(
  1,
  (FX_Rates[Currency]=Cleaned[[#This Row],[Currency]])*
  (FX_Rates[RateDate]&lt;=Cleaned[[#This Row],[TxnDate]]),
  FX_Rates[Rate_To_INR],
  ,
  -1
)</f>
        <v>56</v>
      </c>
      <c r="P606" s="2">
        <f>Cleaned[[#This Row],[Net Amount]] *  Cleaned[[#This Row],[FX_rates]]</f>
        <v>65064.159999999996</v>
      </c>
    </row>
    <row r="607" spans="1:16" x14ac:dyDescent="0.45">
      <c r="A607" t="s">
        <v>615</v>
      </c>
      <c r="B607" s="1">
        <v>45194</v>
      </c>
      <c r="C607" s="2" t="s">
        <v>2013</v>
      </c>
      <c r="D607" t="s">
        <v>2018</v>
      </c>
      <c r="E607">
        <v>622.09</v>
      </c>
      <c r="F607">
        <f>Cleaned[[#This Row],[Debit]] * Cleaned[[#This Row],[FX_rates]]</f>
        <v>64075.270000000004</v>
      </c>
      <c r="G607">
        <v>0</v>
      </c>
      <c r="H607">
        <f>Cleaned[[#This Row],[Credit]] *  Cleaned[[#This Row],[FX_rates]]</f>
        <v>0</v>
      </c>
      <c r="I607" t="s">
        <v>2025</v>
      </c>
      <c r="J607" t="s">
        <v>2030</v>
      </c>
      <c r="K607" t="s">
        <v>2636</v>
      </c>
      <c r="L607" t="s">
        <v>4031</v>
      </c>
      <c r="M607">
        <f>Cleaned[[#This Row],[Credit]]-Cleaned[[#This Row],[Debit]]</f>
        <v>-622.09</v>
      </c>
      <c r="N607" t="str">
        <f>_xlfn.XLOOKUP(Cleaned[[#This Row],[AccountName]], Account_Mapping!A:A, Account_Mapping!B:B,"Unmapped")</f>
        <v>Operating Expense</v>
      </c>
      <c r="O607" cm="1">
        <f t="array" ref="O607">_xlfn.XLOOKUP(
  1,
  (FX_Rates[Currency]=Cleaned[[#This Row],[Currency]])*
  (FX_Rates[RateDate]&lt;=Cleaned[[#This Row],[TxnDate]]),
  FX_Rates[Rate_To_INR],
  ,
  -1
)</f>
        <v>103</v>
      </c>
      <c r="P607" s="2">
        <f>Cleaned[[#This Row],[Net Amount]] *  Cleaned[[#This Row],[FX_rates]]</f>
        <v>-64075.270000000004</v>
      </c>
    </row>
    <row r="608" spans="1:16" x14ac:dyDescent="0.45">
      <c r="A608" t="s">
        <v>616</v>
      </c>
      <c r="B608" s="1">
        <v>45006</v>
      </c>
      <c r="C608" s="2" t="s">
        <v>2012</v>
      </c>
      <c r="D608" t="s">
        <v>2017</v>
      </c>
      <c r="E608">
        <v>895.07</v>
      </c>
      <c r="F608">
        <f>Cleaned[[#This Row],[Debit]] * Cleaned[[#This Row],[FX_rates]]</f>
        <v>73395.740000000005</v>
      </c>
      <c r="G608">
        <v>0</v>
      </c>
      <c r="H608">
        <f>Cleaned[[#This Row],[Credit]] *  Cleaned[[#This Row],[FX_rates]]</f>
        <v>0</v>
      </c>
      <c r="I608" t="s">
        <v>2025</v>
      </c>
      <c r="J608" t="s">
        <v>2029</v>
      </c>
      <c r="K608" t="s">
        <v>2637</v>
      </c>
      <c r="L608" t="s">
        <v>4034</v>
      </c>
      <c r="M608">
        <f>Cleaned[[#This Row],[Credit]]-Cleaned[[#This Row],[Debit]]</f>
        <v>-895.07</v>
      </c>
      <c r="N608" t="str">
        <f>_xlfn.XLOOKUP(Cleaned[[#This Row],[AccountName]], Account_Mapping!A:A, Account_Mapping!B:B,"Unmapped")</f>
        <v>Operating Expense</v>
      </c>
      <c r="O608" cm="1">
        <f t="array" ref="O608">_xlfn.XLOOKUP(
  1,
  (FX_Rates[Currency]=Cleaned[[#This Row],[Currency]])*
  (FX_Rates[RateDate]&lt;=Cleaned[[#This Row],[TxnDate]]),
  FX_Rates[Rate_To_INR],
  ,
  -1
)</f>
        <v>82</v>
      </c>
      <c r="P608" s="2">
        <f>Cleaned[[#This Row],[Net Amount]] *  Cleaned[[#This Row],[FX_rates]]</f>
        <v>-73395.740000000005</v>
      </c>
    </row>
    <row r="609" spans="1:16" x14ac:dyDescent="0.45">
      <c r="A609" t="s">
        <v>617</v>
      </c>
      <c r="B609" s="1">
        <v>45334</v>
      </c>
      <c r="C609" s="2" t="s">
        <v>2012</v>
      </c>
      <c r="D609" t="s">
        <v>2017</v>
      </c>
      <c r="E609">
        <v>1093.48</v>
      </c>
      <c r="F609">
        <f>Cleaned[[#This Row],[Debit]] * Cleaned[[#This Row],[FX_rates]]</f>
        <v>66702.28</v>
      </c>
      <c r="G609">
        <v>0</v>
      </c>
      <c r="H609">
        <f>Cleaned[[#This Row],[Credit]] *  Cleaned[[#This Row],[FX_rates]]</f>
        <v>0</v>
      </c>
      <c r="I609" t="s">
        <v>2024</v>
      </c>
      <c r="J609" t="s">
        <v>2027</v>
      </c>
      <c r="K609" t="s">
        <v>2638</v>
      </c>
      <c r="L609" t="s">
        <v>4035</v>
      </c>
      <c r="M609">
        <f>Cleaned[[#This Row],[Credit]]-Cleaned[[#This Row],[Debit]]</f>
        <v>-1093.48</v>
      </c>
      <c r="N609" t="str">
        <f>_xlfn.XLOOKUP(Cleaned[[#This Row],[AccountName]], Account_Mapping!A:A, Account_Mapping!B:B,"Unmapped")</f>
        <v>Operating Expense</v>
      </c>
      <c r="O609" cm="1">
        <f t="array" ref="O609">_xlfn.XLOOKUP(
  1,
  (FX_Rates[Currency]=Cleaned[[#This Row],[Currency]])*
  (FX_Rates[RateDate]&lt;=Cleaned[[#This Row],[TxnDate]]),
  FX_Rates[Rate_To_INR],
  ,
  -1
)</f>
        <v>61</v>
      </c>
      <c r="P609" s="2">
        <f>Cleaned[[#This Row],[Net Amount]] *  Cleaned[[#This Row],[FX_rates]]</f>
        <v>-66702.28</v>
      </c>
    </row>
    <row r="610" spans="1:16" x14ac:dyDescent="0.45">
      <c r="A610" t="s">
        <v>618</v>
      </c>
      <c r="B610" s="1">
        <v>45224</v>
      </c>
      <c r="C610" s="2" t="s">
        <v>2010</v>
      </c>
      <c r="D610" t="s">
        <v>2015</v>
      </c>
      <c r="E610">
        <v>0</v>
      </c>
      <c r="F610">
        <f>Cleaned[[#This Row],[Debit]] * Cleaned[[#This Row],[FX_rates]]</f>
        <v>0</v>
      </c>
      <c r="G610">
        <v>1178.75</v>
      </c>
      <c r="H610">
        <f>Cleaned[[#This Row],[Credit]] *  Cleaned[[#This Row],[FX_rates]]</f>
        <v>66010</v>
      </c>
      <c r="I610" t="s">
        <v>2020</v>
      </c>
      <c r="J610" t="s">
        <v>2030</v>
      </c>
      <c r="K610" t="s">
        <v>2639</v>
      </c>
      <c r="L610" t="s">
        <v>4033</v>
      </c>
      <c r="M610">
        <f>Cleaned[[#This Row],[Credit]]-Cleaned[[#This Row],[Debit]]</f>
        <v>1178.75</v>
      </c>
      <c r="N610" t="str">
        <f>_xlfn.XLOOKUP(Cleaned[[#This Row],[AccountName]], Account_Mapping!A:A, Account_Mapping!B:B,"Unmapped")</f>
        <v>Revenue</v>
      </c>
      <c r="O610" cm="1">
        <f t="array" ref="O610">_xlfn.XLOOKUP(
  1,
  (FX_Rates[Currency]=Cleaned[[#This Row],[Currency]])*
  (FX_Rates[RateDate]&lt;=Cleaned[[#This Row],[TxnDate]]),
  FX_Rates[Rate_To_INR],
  ,
  -1
)</f>
        <v>56</v>
      </c>
      <c r="P610" s="2">
        <f>Cleaned[[#This Row],[Net Amount]] *  Cleaned[[#This Row],[FX_rates]]</f>
        <v>66010</v>
      </c>
    </row>
    <row r="611" spans="1:16" x14ac:dyDescent="0.45">
      <c r="A611" t="s">
        <v>619</v>
      </c>
      <c r="B611" s="1">
        <v>45584</v>
      </c>
      <c r="C611" s="2" t="s">
        <v>2014</v>
      </c>
      <c r="D611" t="s">
        <v>2019</v>
      </c>
      <c r="E611">
        <v>0</v>
      </c>
      <c r="F611">
        <f>Cleaned[[#This Row],[Debit]] * Cleaned[[#This Row],[FX_rates]]</f>
        <v>0</v>
      </c>
      <c r="G611">
        <v>1843.27</v>
      </c>
      <c r="H611">
        <f>Cleaned[[#This Row],[Credit]] *  Cleaned[[#This Row],[FX_rates]]</f>
        <v>112439.47</v>
      </c>
      <c r="I611" t="s">
        <v>2020</v>
      </c>
      <c r="J611" t="s">
        <v>2027</v>
      </c>
      <c r="K611" t="s">
        <v>2640</v>
      </c>
      <c r="L611" t="s">
        <v>4035</v>
      </c>
      <c r="M611">
        <f>Cleaned[[#This Row],[Credit]]-Cleaned[[#This Row],[Debit]]</f>
        <v>1843.27</v>
      </c>
      <c r="N611" t="str">
        <f>_xlfn.XLOOKUP(Cleaned[[#This Row],[AccountName]], Account_Mapping!A:A, Account_Mapping!B:B,"Unmapped")</f>
        <v>Revenue</v>
      </c>
      <c r="O611" cm="1">
        <f t="array" ref="O611">_xlfn.XLOOKUP(
  1,
  (FX_Rates[Currency]=Cleaned[[#This Row],[Currency]])*
  (FX_Rates[RateDate]&lt;=Cleaned[[#This Row],[TxnDate]]),
  FX_Rates[Rate_To_INR],
  ,
  -1
)</f>
        <v>61</v>
      </c>
      <c r="P611" s="2">
        <f>Cleaned[[#This Row],[Net Amount]] *  Cleaned[[#This Row],[FX_rates]]</f>
        <v>112439.47</v>
      </c>
    </row>
    <row r="612" spans="1:16" x14ac:dyDescent="0.45">
      <c r="A612" t="s">
        <v>620</v>
      </c>
      <c r="B612" s="1">
        <v>45468</v>
      </c>
      <c r="C612" s="2" t="s">
        <v>2012</v>
      </c>
      <c r="D612" t="s">
        <v>2017</v>
      </c>
      <c r="E612">
        <v>1239.45</v>
      </c>
      <c r="F612">
        <f>Cleaned[[#This Row],[Debit]] * Cleaned[[#This Row],[FX_rates]]</f>
        <v>109071.6</v>
      </c>
      <c r="G612">
        <v>0</v>
      </c>
      <c r="H612">
        <f>Cleaned[[#This Row],[Credit]] *  Cleaned[[#This Row],[FX_rates]]</f>
        <v>0</v>
      </c>
      <c r="I612" t="s">
        <v>2022</v>
      </c>
      <c r="J612" t="s">
        <v>2027</v>
      </c>
      <c r="K612" t="s">
        <v>2641</v>
      </c>
      <c r="L612" t="s">
        <v>4032</v>
      </c>
      <c r="M612">
        <f>Cleaned[[#This Row],[Credit]]-Cleaned[[#This Row],[Debit]]</f>
        <v>-1239.45</v>
      </c>
      <c r="N612" t="str">
        <f>_xlfn.XLOOKUP(Cleaned[[#This Row],[AccountName]], Account_Mapping!A:A, Account_Mapping!B:B,"Unmapped")</f>
        <v>Operating Expense</v>
      </c>
      <c r="O612" cm="1">
        <f t="array" ref="O612">_xlfn.XLOOKUP(
  1,
  (FX_Rates[Currency]=Cleaned[[#This Row],[Currency]])*
  (FX_Rates[RateDate]&lt;=Cleaned[[#This Row],[TxnDate]]),
  FX_Rates[Rate_To_INR],
  ,
  -1
)</f>
        <v>88</v>
      </c>
      <c r="P612" s="2">
        <f>Cleaned[[#This Row],[Net Amount]] *  Cleaned[[#This Row],[FX_rates]]</f>
        <v>-109071.6</v>
      </c>
    </row>
    <row r="613" spans="1:16" x14ac:dyDescent="0.45">
      <c r="A613" t="s">
        <v>621</v>
      </c>
      <c r="B613" s="1">
        <v>44943</v>
      </c>
      <c r="C613" s="2" t="s">
        <v>2010</v>
      </c>
      <c r="D613" t="s">
        <v>2015</v>
      </c>
      <c r="E613">
        <v>0</v>
      </c>
      <c r="F613">
        <f>Cleaned[[#This Row],[Debit]] * Cleaned[[#This Row],[FX_rates]]</f>
        <v>0</v>
      </c>
      <c r="G613">
        <v>3317.75</v>
      </c>
      <c r="H613">
        <f>Cleaned[[#This Row],[Credit]] *  Cleaned[[#This Row],[FX_rates]]</f>
        <v>291962</v>
      </c>
      <c r="I613" t="s">
        <v>2020</v>
      </c>
      <c r="J613" t="s">
        <v>2027</v>
      </c>
      <c r="K613" t="s">
        <v>2642</v>
      </c>
      <c r="L613" t="s">
        <v>4032</v>
      </c>
      <c r="M613">
        <f>Cleaned[[#This Row],[Credit]]-Cleaned[[#This Row],[Debit]]</f>
        <v>3317.75</v>
      </c>
      <c r="N613" t="str">
        <f>_xlfn.XLOOKUP(Cleaned[[#This Row],[AccountName]], Account_Mapping!A:A, Account_Mapping!B:B,"Unmapped")</f>
        <v>Revenue</v>
      </c>
      <c r="O613" cm="1">
        <f t="array" ref="O613">_xlfn.XLOOKUP(
  1,
  (FX_Rates[Currency]=Cleaned[[#This Row],[Currency]])*
  (FX_Rates[RateDate]&lt;=Cleaned[[#This Row],[TxnDate]]),
  FX_Rates[Rate_To_INR],
  ,
  -1
)</f>
        <v>88</v>
      </c>
      <c r="P613" s="2">
        <f>Cleaned[[#This Row],[Net Amount]] *  Cleaned[[#This Row],[FX_rates]]</f>
        <v>291962</v>
      </c>
    </row>
    <row r="614" spans="1:16" x14ac:dyDescent="0.45">
      <c r="A614" t="s">
        <v>622</v>
      </c>
      <c r="B614" s="1">
        <v>45736</v>
      </c>
      <c r="C614" s="2" t="s">
        <v>2010</v>
      </c>
      <c r="D614" t="s">
        <v>2015</v>
      </c>
      <c r="E614">
        <v>0</v>
      </c>
      <c r="F614">
        <f>Cleaned[[#This Row],[Debit]] * Cleaned[[#This Row],[FX_rates]]</f>
        <v>0</v>
      </c>
      <c r="G614">
        <v>493.21</v>
      </c>
      <c r="H614">
        <f>Cleaned[[#This Row],[Credit]] *  Cleaned[[#This Row],[FX_rates]]</f>
        <v>30085.809999999998</v>
      </c>
      <c r="I614" t="s">
        <v>2023</v>
      </c>
      <c r="J614" t="s">
        <v>2027</v>
      </c>
      <c r="K614" t="s">
        <v>2643</v>
      </c>
      <c r="L614" t="s">
        <v>4035</v>
      </c>
      <c r="M614">
        <f>Cleaned[[#This Row],[Credit]]-Cleaned[[#This Row],[Debit]]</f>
        <v>493.21</v>
      </c>
      <c r="N614" t="str">
        <f>_xlfn.XLOOKUP(Cleaned[[#This Row],[AccountName]], Account_Mapping!A:A, Account_Mapping!B:B,"Unmapped")</f>
        <v>Revenue</v>
      </c>
      <c r="O614" cm="1">
        <f t="array" ref="O614">_xlfn.XLOOKUP(
  1,
  (FX_Rates[Currency]=Cleaned[[#This Row],[Currency]])*
  (FX_Rates[RateDate]&lt;=Cleaned[[#This Row],[TxnDate]]),
  FX_Rates[Rate_To_INR],
  ,
  -1
)</f>
        <v>61</v>
      </c>
      <c r="P614" s="2">
        <f>Cleaned[[#This Row],[Net Amount]] *  Cleaned[[#This Row],[FX_rates]]</f>
        <v>30085.809999999998</v>
      </c>
    </row>
    <row r="615" spans="1:16" x14ac:dyDescent="0.45">
      <c r="A615" t="s">
        <v>623</v>
      </c>
      <c r="B615" s="1">
        <v>45000</v>
      </c>
      <c r="C615" s="2" t="s">
        <v>2012</v>
      </c>
      <c r="D615" t="s">
        <v>2017</v>
      </c>
      <c r="E615">
        <v>1638.5</v>
      </c>
      <c r="F615">
        <f>Cleaned[[#This Row],[Debit]] * Cleaned[[#This Row],[FX_rates]]</f>
        <v>168765.5</v>
      </c>
      <c r="G615">
        <v>0</v>
      </c>
      <c r="H615">
        <f>Cleaned[[#This Row],[Credit]] *  Cleaned[[#This Row],[FX_rates]]</f>
        <v>0</v>
      </c>
      <c r="I615" t="s">
        <v>2022</v>
      </c>
      <c r="J615" t="s">
        <v>2026</v>
      </c>
      <c r="K615" t="s">
        <v>2644</v>
      </c>
      <c r="L615" t="s">
        <v>4031</v>
      </c>
      <c r="M615">
        <f>Cleaned[[#This Row],[Credit]]-Cleaned[[#This Row],[Debit]]</f>
        <v>-1638.5</v>
      </c>
      <c r="N615" t="str">
        <f>_xlfn.XLOOKUP(Cleaned[[#This Row],[AccountName]], Account_Mapping!A:A, Account_Mapping!B:B,"Unmapped")</f>
        <v>Operating Expense</v>
      </c>
      <c r="O615" cm="1">
        <f t="array" ref="O615">_xlfn.XLOOKUP(
  1,
  (FX_Rates[Currency]=Cleaned[[#This Row],[Currency]])*
  (FX_Rates[RateDate]&lt;=Cleaned[[#This Row],[TxnDate]]),
  FX_Rates[Rate_To_INR],
  ,
  -1
)</f>
        <v>103</v>
      </c>
      <c r="P615" s="2">
        <f>Cleaned[[#This Row],[Net Amount]] *  Cleaned[[#This Row],[FX_rates]]</f>
        <v>-168765.5</v>
      </c>
    </row>
    <row r="616" spans="1:16" x14ac:dyDescent="0.45">
      <c r="A616" t="s">
        <v>624</v>
      </c>
      <c r="B616" s="1">
        <v>45291</v>
      </c>
      <c r="C616" s="2" t="s">
        <v>2010</v>
      </c>
      <c r="D616" t="s">
        <v>2015</v>
      </c>
      <c r="E616">
        <v>0</v>
      </c>
      <c r="F616">
        <f>Cleaned[[#This Row],[Debit]] * Cleaned[[#This Row],[FX_rates]]</f>
        <v>0</v>
      </c>
      <c r="G616">
        <v>1848.61</v>
      </c>
      <c r="H616">
        <f>Cleaned[[#This Row],[Credit]] *  Cleaned[[#This Row],[FX_rates]]</f>
        <v>190406.83</v>
      </c>
      <c r="I616" t="s">
        <v>2021</v>
      </c>
      <c r="J616" t="s">
        <v>2027</v>
      </c>
      <c r="K616" t="s">
        <v>2645</v>
      </c>
      <c r="L616" t="s">
        <v>4031</v>
      </c>
      <c r="M616">
        <f>Cleaned[[#This Row],[Credit]]-Cleaned[[#This Row],[Debit]]</f>
        <v>1848.61</v>
      </c>
      <c r="N616" t="str">
        <f>_xlfn.XLOOKUP(Cleaned[[#This Row],[AccountName]], Account_Mapping!A:A, Account_Mapping!B:B,"Unmapped")</f>
        <v>Revenue</v>
      </c>
      <c r="O616" cm="1">
        <f t="array" ref="O616">_xlfn.XLOOKUP(
  1,
  (FX_Rates[Currency]=Cleaned[[#This Row],[Currency]])*
  (FX_Rates[RateDate]&lt;=Cleaned[[#This Row],[TxnDate]]),
  FX_Rates[Rate_To_INR],
  ,
  -1
)</f>
        <v>103</v>
      </c>
      <c r="P616" s="2">
        <f>Cleaned[[#This Row],[Net Amount]] *  Cleaned[[#This Row],[FX_rates]]</f>
        <v>190406.83</v>
      </c>
    </row>
    <row r="617" spans="1:16" x14ac:dyDescent="0.45">
      <c r="A617" t="s">
        <v>625</v>
      </c>
      <c r="B617" s="1">
        <v>45022</v>
      </c>
      <c r="C617" s="2" t="s">
        <v>2013</v>
      </c>
      <c r="D617" t="s">
        <v>2018</v>
      </c>
      <c r="E617">
        <v>436.93</v>
      </c>
      <c r="F617">
        <f>Cleaned[[#This Row],[Debit]] * Cleaned[[#This Row],[FX_rates]]</f>
        <v>26652.73</v>
      </c>
      <c r="G617">
        <v>0</v>
      </c>
      <c r="H617">
        <f>Cleaned[[#This Row],[Credit]] *  Cleaned[[#This Row],[FX_rates]]</f>
        <v>0</v>
      </c>
      <c r="I617" t="s">
        <v>2021</v>
      </c>
      <c r="J617" t="s">
        <v>2029</v>
      </c>
      <c r="K617" t="s">
        <v>2646</v>
      </c>
      <c r="L617" t="s">
        <v>4035</v>
      </c>
      <c r="M617">
        <f>Cleaned[[#This Row],[Credit]]-Cleaned[[#This Row],[Debit]]</f>
        <v>-436.93</v>
      </c>
      <c r="N617" t="str">
        <f>_xlfn.XLOOKUP(Cleaned[[#This Row],[AccountName]], Account_Mapping!A:A, Account_Mapping!B:B,"Unmapped")</f>
        <v>Operating Expense</v>
      </c>
      <c r="O617" cm="1">
        <f t="array" ref="O617">_xlfn.XLOOKUP(
  1,
  (FX_Rates[Currency]=Cleaned[[#This Row],[Currency]])*
  (FX_Rates[RateDate]&lt;=Cleaned[[#This Row],[TxnDate]]),
  FX_Rates[Rate_To_INR],
  ,
  -1
)</f>
        <v>61</v>
      </c>
      <c r="P617" s="2">
        <f>Cleaned[[#This Row],[Net Amount]] *  Cleaned[[#This Row],[FX_rates]]</f>
        <v>-26652.73</v>
      </c>
    </row>
    <row r="618" spans="1:16" x14ac:dyDescent="0.45">
      <c r="A618" t="s">
        <v>626</v>
      </c>
      <c r="B618" s="1">
        <v>45475</v>
      </c>
      <c r="C618" s="2" t="s">
        <v>2011</v>
      </c>
      <c r="D618" t="s">
        <v>2016</v>
      </c>
      <c r="E618">
        <v>1498.49</v>
      </c>
      <c r="F618">
        <f>Cleaned[[#This Row],[Debit]] * Cleaned[[#This Row],[FX_rates]]</f>
        <v>122876.18000000001</v>
      </c>
      <c r="G618">
        <v>0</v>
      </c>
      <c r="H618">
        <f>Cleaned[[#This Row],[Credit]] *  Cleaned[[#This Row],[FX_rates]]</f>
        <v>0</v>
      </c>
      <c r="I618" t="s">
        <v>2021</v>
      </c>
      <c r="J618" t="s">
        <v>2028</v>
      </c>
      <c r="K618" t="s">
        <v>2647</v>
      </c>
      <c r="L618" t="s">
        <v>4034</v>
      </c>
      <c r="M618">
        <f>Cleaned[[#This Row],[Credit]]-Cleaned[[#This Row],[Debit]]</f>
        <v>-1498.49</v>
      </c>
      <c r="N618" t="str">
        <f>_xlfn.XLOOKUP(Cleaned[[#This Row],[AccountName]], Account_Mapping!A:A, Account_Mapping!B:B,"Unmapped")</f>
        <v>COGS</v>
      </c>
      <c r="O618" cm="1">
        <f t="array" ref="O618">_xlfn.XLOOKUP(
  1,
  (FX_Rates[Currency]=Cleaned[[#This Row],[Currency]])*
  (FX_Rates[RateDate]&lt;=Cleaned[[#This Row],[TxnDate]]),
  FX_Rates[Rate_To_INR],
  ,
  -1
)</f>
        <v>82</v>
      </c>
      <c r="P618" s="2">
        <f>Cleaned[[#This Row],[Net Amount]] *  Cleaned[[#This Row],[FX_rates]]</f>
        <v>-122876.18000000001</v>
      </c>
    </row>
    <row r="619" spans="1:16" x14ac:dyDescent="0.45">
      <c r="A619" t="s">
        <v>627</v>
      </c>
      <c r="B619" s="1">
        <v>45781</v>
      </c>
      <c r="C619" s="2" t="s">
        <v>2012</v>
      </c>
      <c r="D619" t="s">
        <v>2017</v>
      </c>
      <c r="E619">
        <v>1030.46</v>
      </c>
      <c r="F619">
        <f>Cleaned[[#This Row],[Debit]] * Cleaned[[#This Row],[FX_rates]]</f>
        <v>84497.72</v>
      </c>
      <c r="G619">
        <v>0</v>
      </c>
      <c r="H619">
        <f>Cleaned[[#This Row],[Credit]] *  Cleaned[[#This Row],[FX_rates]]</f>
        <v>0</v>
      </c>
      <c r="I619" t="s">
        <v>2022</v>
      </c>
      <c r="J619" t="s">
        <v>2026</v>
      </c>
      <c r="K619" t="s">
        <v>2648</v>
      </c>
      <c r="L619" t="s">
        <v>4034</v>
      </c>
      <c r="M619">
        <f>Cleaned[[#This Row],[Credit]]-Cleaned[[#This Row],[Debit]]</f>
        <v>-1030.46</v>
      </c>
      <c r="N619" t="str">
        <f>_xlfn.XLOOKUP(Cleaned[[#This Row],[AccountName]], Account_Mapping!A:A, Account_Mapping!B:B,"Unmapped")</f>
        <v>Operating Expense</v>
      </c>
      <c r="O619" cm="1">
        <f t="array" ref="O619">_xlfn.XLOOKUP(
  1,
  (FX_Rates[Currency]=Cleaned[[#This Row],[Currency]])*
  (FX_Rates[RateDate]&lt;=Cleaned[[#This Row],[TxnDate]]),
  FX_Rates[Rate_To_INR],
  ,
  -1
)</f>
        <v>82</v>
      </c>
      <c r="P619" s="2">
        <f>Cleaned[[#This Row],[Net Amount]] *  Cleaned[[#This Row],[FX_rates]]</f>
        <v>-84497.72</v>
      </c>
    </row>
    <row r="620" spans="1:16" x14ac:dyDescent="0.45">
      <c r="A620" t="s">
        <v>628</v>
      </c>
      <c r="B620" s="1">
        <v>45838</v>
      </c>
      <c r="C620" s="2" t="s">
        <v>2014</v>
      </c>
      <c r="D620" t="s">
        <v>2019</v>
      </c>
      <c r="E620">
        <v>0</v>
      </c>
      <c r="F620">
        <f>Cleaned[[#This Row],[Debit]] * Cleaned[[#This Row],[FX_rates]]</f>
        <v>0</v>
      </c>
      <c r="G620">
        <v>2665.08</v>
      </c>
      <c r="H620">
        <f>Cleaned[[#This Row],[Credit]] *  Cleaned[[#This Row],[FX_rates]]</f>
        <v>162569.88</v>
      </c>
      <c r="I620" t="s">
        <v>2024</v>
      </c>
      <c r="J620" t="s">
        <v>2026</v>
      </c>
      <c r="K620" t="s">
        <v>2649</v>
      </c>
      <c r="L620" t="s">
        <v>4035</v>
      </c>
      <c r="M620">
        <f>Cleaned[[#This Row],[Credit]]-Cleaned[[#This Row],[Debit]]</f>
        <v>2665.08</v>
      </c>
      <c r="N620" t="str">
        <f>_xlfn.XLOOKUP(Cleaned[[#This Row],[AccountName]], Account_Mapping!A:A, Account_Mapping!B:B,"Unmapped")</f>
        <v>Revenue</v>
      </c>
      <c r="O620" cm="1">
        <f t="array" ref="O620">_xlfn.XLOOKUP(
  1,
  (FX_Rates[Currency]=Cleaned[[#This Row],[Currency]])*
  (FX_Rates[RateDate]&lt;=Cleaned[[#This Row],[TxnDate]]),
  FX_Rates[Rate_To_INR],
  ,
  -1
)</f>
        <v>61</v>
      </c>
      <c r="P620" s="2">
        <f>Cleaned[[#This Row],[Net Amount]] *  Cleaned[[#This Row],[FX_rates]]</f>
        <v>162569.88</v>
      </c>
    </row>
    <row r="621" spans="1:16" x14ac:dyDescent="0.45">
      <c r="A621" t="s">
        <v>629</v>
      </c>
      <c r="B621" s="1">
        <v>45509</v>
      </c>
      <c r="C621" s="2" t="s">
        <v>2013</v>
      </c>
      <c r="D621" t="s">
        <v>2018</v>
      </c>
      <c r="E621">
        <v>416.41</v>
      </c>
      <c r="F621">
        <f>Cleaned[[#This Row],[Debit]] * Cleaned[[#This Row],[FX_rates]]</f>
        <v>25401.010000000002</v>
      </c>
      <c r="G621">
        <v>0</v>
      </c>
      <c r="H621">
        <f>Cleaned[[#This Row],[Credit]] *  Cleaned[[#This Row],[FX_rates]]</f>
        <v>0</v>
      </c>
      <c r="I621" t="s">
        <v>2023</v>
      </c>
      <c r="J621" t="s">
        <v>2027</v>
      </c>
      <c r="K621" t="s">
        <v>2650</v>
      </c>
      <c r="L621" t="s">
        <v>4035</v>
      </c>
      <c r="M621">
        <f>Cleaned[[#This Row],[Credit]]-Cleaned[[#This Row],[Debit]]</f>
        <v>-416.41</v>
      </c>
      <c r="N621" t="str">
        <f>_xlfn.XLOOKUP(Cleaned[[#This Row],[AccountName]], Account_Mapping!A:A, Account_Mapping!B:B,"Unmapped")</f>
        <v>Operating Expense</v>
      </c>
      <c r="O621" cm="1">
        <f t="array" ref="O621">_xlfn.XLOOKUP(
  1,
  (FX_Rates[Currency]=Cleaned[[#This Row],[Currency]])*
  (FX_Rates[RateDate]&lt;=Cleaned[[#This Row],[TxnDate]]),
  FX_Rates[Rate_To_INR],
  ,
  -1
)</f>
        <v>61</v>
      </c>
      <c r="P621" s="2">
        <f>Cleaned[[#This Row],[Net Amount]] *  Cleaned[[#This Row],[FX_rates]]</f>
        <v>-25401.010000000002</v>
      </c>
    </row>
    <row r="622" spans="1:16" x14ac:dyDescent="0.45">
      <c r="A622" t="s">
        <v>630</v>
      </c>
      <c r="B622" s="1">
        <v>45696</v>
      </c>
      <c r="C622" s="2" t="s">
        <v>2010</v>
      </c>
      <c r="D622" t="s">
        <v>2015</v>
      </c>
      <c r="E622">
        <v>0</v>
      </c>
      <c r="F622">
        <f>Cleaned[[#This Row],[Debit]] * Cleaned[[#This Row],[FX_rates]]</f>
        <v>0</v>
      </c>
      <c r="G622">
        <v>2058.4</v>
      </c>
      <c r="H622">
        <f>Cleaned[[#This Row],[Credit]] *  Cleaned[[#This Row],[FX_rates]]</f>
        <v>212015.2</v>
      </c>
      <c r="I622" t="s">
        <v>2022</v>
      </c>
      <c r="J622" t="s">
        <v>2029</v>
      </c>
      <c r="K622" t="s">
        <v>2651</v>
      </c>
      <c r="L622" t="s">
        <v>4031</v>
      </c>
      <c r="M622">
        <f>Cleaned[[#This Row],[Credit]]-Cleaned[[#This Row],[Debit]]</f>
        <v>2058.4</v>
      </c>
      <c r="N622" t="str">
        <f>_xlfn.XLOOKUP(Cleaned[[#This Row],[AccountName]], Account_Mapping!A:A, Account_Mapping!B:B,"Unmapped")</f>
        <v>Revenue</v>
      </c>
      <c r="O622" cm="1">
        <f t="array" ref="O622">_xlfn.XLOOKUP(
  1,
  (FX_Rates[Currency]=Cleaned[[#This Row],[Currency]])*
  (FX_Rates[RateDate]&lt;=Cleaned[[#This Row],[TxnDate]]),
  FX_Rates[Rate_To_INR],
  ,
  -1
)</f>
        <v>103</v>
      </c>
      <c r="P622" s="2">
        <f>Cleaned[[#This Row],[Net Amount]] *  Cleaned[[#This Row],[FX_rates]]</f>
        <v>212015.2</v>
      </c>
    </row>
    <row r="623" spans="1:16" x14ac:dyDescent="0.45">
      <c r="A623" t="s">
        <v>631</v>
      </c>
      <c r="B623" s="1">
        <v>45669</v>
      </c>
      <c r="C623" s="2" t="s">
        <v>2010</v>
      </c>
      <c r="D623" t="s">
        <v>2015</v>
      </c>
      <c r="E623">
        <v>0</v>
      </c>
      <c r="F623">
        <f>Cleaned[[#This Row],[Debit]] * Cleaned[[#This Row],[FX_rates]]</f>
        <v>0</v>
      </c>
      <c r="G623">
        <v>203.81</v>
      </c>
      <c r="H623">
        <f>Cleaned[[#This Row],[Credit]] *  Cleaned[[#This Row],[FX_rates]]</f>
        <v>11413.36</v>
      </c>
      <c r="I623" t="s">
        <v>2025</v>
      </c>
      <c r="J623" t="s">
        <v>2026</v>
      </c>
      <c r="K623" t="s">
        <v>2652</v>
      </c>
      <c r="L623" t="s">
        <v>4033</v>
      </c>
      <c r="M623">
        <f>Cleaned[[#This Row],[Credit]]-Cleaned[[#This Row],[Debit]]</f>
        <v>203.81</v>
      </c>
      <c r="N623" t="str">
        <f>_xlfn.XLOOKUP(Cleaned[[#This Row],[AccountName]], Account_Mapping!A:A, Account_Mapping!B:B,"Unmapped")</f>
        <v>Revenue</v>
      </c>
      <c r="O623" cm="1">
        <f t="array" ref="O623">_xlfn.XLOOKUP(
  1,
  (FX_Rates[Currency]=Cleaned[[#This Row],[Currency]])*
  (FX_Rates[RateDate]&lt;=Cleaned[[#This Row],[TxnDate]]),
  FX_Rates[Rate_To_INR],
  ,
  -1
)</f>
        <v>56</v>
      </c>
      <c r="P623" s="2">
        <f>Cleaned[[#This Row],[Net Amount]] *  Cleaned[[#This Row],[FX_rates]]</f>
        <v>11413.36</v>
      </c>
    </row>
    <row r="624" spans="1:16" x14ac:dyDescent="0.45">
      <c r="A624" t="s">
        <v>632</v>
      </c>
      <c r="B624" s="1">
        <v>45595</v>
      </c>
      <c r="C624" s="2" t="s">
        <v>2013</v>
      </c>
      <c r="D624" t="s">
        <v>2018</v>
      </c>
      <c r="E624">
        <v>1876.28</v>
      </c>
      <c r="F624">
        <f>Cleaned[[#This Row],[Debit]] * Cleaned[[#This Row],[FX_rates]]</f>
        <v>114453.08</v>
      </c>
      <c r="G624">
        <v>0</v>
      </c>
      <c r="H624">
        <f>Cleaned[[#This Row],[Credit]] *  Cleaned[[#This Row],[FX_rates]]</f>
        <v>0</v>
      </c>
      <c r="I624" t="s">
        <v>2024</v>
      </c>
      <c r="J624" t="s">
        <v>2028</v>
      </c>
      <c r="K624" t="s">
        <v>2653</v>
      </c>
      <c r="L624" t="s">
        <v>4035</v>
      </c>
      <c r="M624">
        <f>Cleaned[[#This Row],[Credit]]-Cleaned[[#This Row],[Debit]]</f>
        <v>-1876.28</v>
      </c>
      <c r="N624" t="str">
        <f>_xlfn.XLOOKUP(Cleaned[[#This Row],[AccountName]], Account_Mapping!A:A, Account_Mapping!B:B,"Unmapped")</f>
        <v>Operating Expense</v>
      </c>
      <c r="O624" cm="1">
        <f t="array" ref="O624">_xlfn.XLOOKUP(
  1,
  (FX_Rates[Currency]=Cleaned[[#This Row],[Currency]])*
  (FX_Rates[RateDate]&lt;=Cleaned[[#This Row],[TxnDate]]),
  FX_Rates[Rate_To_INR],
  ,
  -1
)</f>
        <v>61</v>
      </c>
      <c r="P624" s="2">
        <f>Cleaned[[#This Row],[Net Amount]] *  Cleaned[[#This Row],[FX_rates]]</f>
        <v>-114453.08</v>
      </c>
    </row>
    <row r="625" spans="1:16" x14ac:dyDescent="0.45">
      <c r="A625" t="s">
        <v>633</v>
      </c>
      <c r="B625" s="1">
        <v>45202</v>
      </c>
      <c r="C625" s="2" t="s">
        <v>2011</v>
      </c>
      <c r="D625" t="s">
        <v>2016</v>
      </c>
      <c r="E625">
        <v>1047.55</v>
      </c>
      <c r="F625">
        <f>Cleaned[[#This Row],[Debit]] * Cleaned[[#This Row],[FX_rates]]</f>
        <v>58662.799999999996</v>
      </c>
      <c r="G625">
        <v>0</v>
      </c>
      <c r="H625">
        <f>Cleaned[[#This Row],[Credit]] *  Cleaned[[#This Row],[FX_rates]]</f>
        <v>0</v>
      </c>
      <c r="I625" t="s">
        <v>2021</v>
      </c>
      <c r="J625" t="s">
        <v>2028</v>
      </c>
      <c r="K625" t="s">
        <v>2654</v>
      </c>
      <c r="L625" t="s">
        <v>4033</v>
      </c>
      <c r="M625">
        <f>Cleaned[[#This Row],[Credit]]-Cleaned[[#This Row],[Debit]]</f>
        <v>-1047.55</v>
      </c>
      <c r="N625" t="str">
        <f>_xlfn.XLOOKUP(Cleaned[[#This Row],[AccountName]], Account_Mapping!A:A, Account_Mapping!B:B,"Unmapped")</f>
        <v>COGS</v>
      </c>
      <c r="O625" cm="1">
        <f t="array" ref="O625">_xlfn.XLOOKUP(
  1,
  (FX_Rates[Currency]=Cleaned[[#This Row],[Currency]])*
  (FX_Rates[RateDate]&lt;=Cleaned[[#This Row],[TxnDate]]),
  FX_Rates[Rate_To_INR],
  ,
  -1
)</f>
        <v>56</v>
      </c>
      <c r="P625" s="2">
        <f>Cleaned[[#This Row],[Net Amount]] *  Cleaned[[#This Row],[FX_rates]]</f>
        <v>-58662.799999999996</v>
      </c>
    </row>
    <row r="626" spans="1:16" x14ac:dyDescent="0.45">
      <c r="A626" t="s">
        <v>634</v>
      </c>
      <c r="B626" s="1">
        <v>44943</v>
      </c>
      <c r="C626" s="2" t="s">
        <v>2010</v>
      </c>
      <c r="D626" t="s">
        <v>2015</v>
      </c>
      <c r="E626">
        <v>0</v>
      </c>
      <c r="F626">
        <f>Cleaned[[#This Row],[Debit]] * Cleaned[[#This Row],[FX_rates]]</f>
        <v>0</v>
      </c>
      <c r="G626">
        <v>3567.5</v>
      </c>
      <c r="H626">
        <f>Cleaned[[#This Row],[Credit]] *  Cleaned[[#This Row],[FX_rates]]</f>
        <v>313940</v>
      </c>
      <c r="I626" t="s">
        <v>2024</v>
      </c>
      <c r="J626" t="s">
        <v>2029</v>
      </c>
      <c r="K626" t="s">
        <v>2655</v>
      </c>
      <c r="L626" t="s">
        <v>4032</v>
      </c>
      <c r="M626">
        <f>Cleaned[[#This Row],[Credit]]-Cleaned[[#This Row],[Debit]]</f>
        <v>3567.5</v>
      </c>
      <c r="N626" t="str">
        <f>_xlfn.XLOOKUP(Cleaned[[#This Row],[AccountName]], Account_Mapping!A:A, Account_Mapping!B:B,"Unmapped")</f>
        <v>Revenue</v>
      </c>
      <c r="O626" cm="1">
        <f t="array" ref="O626">_xlfn.XLOOKUP(
  1,
  (FX_Rates[Currency]=Cleaned[[#This Row],[Currency]])*
  (FX_Rates[RateDate]&lt;=Cleaned[[#This Row],[TxnDate]]),
  FX_Rates[Rate_To_INR],
  ,
  -1
)</f>
        <v>88</v>
      </c>
      <c r="P626" s="2">
        <f>Cleaned[[#This Row],[Net Amount]] *  Cleaned[[#This Row],[FX_rates]]</f>
        <v>313940</v>
      </c>
    </row>
    <row r="627" spans="1:16" x14ac:dyDescent="0.45">
      <c r="A627" t="s">
        <v>635</v>
      </c>
      <c r="B627" s="1">
        <v>45338</v>
      </c>
      <c r="C627" s="2" t="s">
        <v>2010</v>
      </c>
      <c r="D627" t="s">
        <v>2015</v>
      </c>
      <c r="E627">
        <v>0</v>
      </c>
      <c r="F627">
        <f>Cleaned[[#This Row],[Debit]] * Cleaned[[#This Row],[FX_rates]]</f>
        <v>0</v>
      </c>
      <c r="G627">
        <v>1073.3499999999999</v>
      </c>
      <c r="H627">
        <f>Cleaned[[#This Row],[Credit]] *  Cleaned[[#This Row],[FX_rates]]</f>
        <v>65474.349999999991</v>
      </c>
      <c r="I627" t="s">
        <v>2021</v>
      </c>
      <c r="J627" t="s">
        <v>2026</v>
      </c>
      <c r="K627" t="s">
        <v>2656</v>
      </c>
      <c r="L627" t="s">
        <v>4035</v>
      </c>
      <c r="M627">
        <f>Cleaned[[#This Row],[Credit]]-Cleaned[[#This Row],[Debit]]</f>
        <v>1073.3499999999999</v>
      </c>
      <c r="N627" t="str">
        <f>_xlfn.XLOOKUP(Cleaned[[#This Row],[AccountName]], Account_Mapping!A:A, Account_Mapping!B:B,"Unmapped")</f>
        <v>Revenue</v>
      </c>
      <c r="O627" cm="1">
        <f t="array" ref="O627">_xlfn.XLOOKUP(
  1,
  (FX_Rates[Currency]=Cleaned[[#This Row],[Currency]])*
  (FX_Rates[RateDate]&lt;=Cleaned[[#This Row],[TxnDate]]),
  FX_Rates[Rate_To_INR],
  ,
  -1
)</f>
        <v>61</v>
      </c>
      <c r="P627" s="2">
        <f>Cleaned[[#This Row],[Net Amount]] *  Cleaned[[#This Row],[FX_rates]]</f>
        <v>65474.349999999991</v>
      </c>
    </row>
    <row r="628" spans="1:16" x14ac:dyDescent="0.45">
      <c r="A628" t="s">
        <v>636</v>
      </c>
      <c r="B628" s="1">
        <v>45709</v>
      </c>
      <c r="C628" s="2" t="s">
        <v>2012</v>
      </c>
      <c r="D628" t="s">
        <v>2017</v>
      </c>
      <c r="E628">
        <v>1340.18</v>
      </c>
      <c r="F628">
        <f>Cleaned[[#This Row],[Debit]] * Cleaned[[#This Row],[FX_rates]]</f>
        <v>109894.76000000001</v>
      </c>
      <c r="G628">
        <v>0</v>
      </c>
      <c r="H628">
        <f>Cleaned[[#This Row],[Credit]] *  Cleaned[[#This Row],[FX_rates]]</f>
        <v>0</v>
      </c>
      <c r="I628" t="s">
        <v>2020</v>
      </c>
      <c r="J628" t="s">
        <v>2026</v>
      </c>
      <c r="K628" t="s">
        <v>2657</v>
      </c>
      <c r="L628" t="s">
        <v>4034</v>
      </c>
      <c r="M628">
        <f>Cleaned[[#This Row],[Credit]]-Cleaned[[#This Row],[Debit]]</f>
        <v>-1340.18</v>
      </c>
      <c r="N628" t="str">
        <f>_xlfn.XLOOKUP(Cleaned[[#This Row],[AccountName]], Account_Mapping!A:A, Account_Mapping!B:B,"Unmapped")</f>
        <v>Operating Expense</v>
      </c>
      <c r="O628" cm="1">
        <f t="array" ref="O628">_xlfn.XLOOKUP(
  1,
  (FX_Rates[Currency]=Cleaned[[#This Row],[Currency]])*
  (FX_Rates[RateDate]&lt;=Cleaned[[#This Row],[TxnDate]]),
  FX_Rates[Rate_To_INR],
  ,
  -1
)</f>
        <v>82</v>
      </c>
      <c r="P628" s="2">
        <f>Cleaned[[#This Row],[Net Amount]] *  Cleaned[[#This Row],[FX_rates]]</f>
        <v>-109894.76000000001</v>
      </c>
    </row>
    <row r="629" spans="1:16" x14ac:dyDescent="0.45">
      <c r="A629" t="s">
        <v>637</v>
      </c>
      <c r="B629" s="1">
        <v>45367</v>
      </c>
      <c r="C629" s="2" t="s">
        <v>2014</v>
      </c>
      <c r="D629" t="s">
        <v>2019</v>
      </c>
      <c r="E629">
        <v>0</v>
      </c>
      <c r="F629">
        <f>Cleaned[[#This Row],[Debit]] * Cleaned[[#This Row],[FX_rates]]</f>
        <v>0</v>
      </c>
      <c r="G629">
        <v>2847.98</v>
      </c>
      <c r="H629">
        <f>Cleaned[[#This Row],[Credit]] *  Cleaned[[#This Row],[FX_rates]]</f>
        <v>233534.36000000002</v>
      </c>
      <c r="I629" t="s">
        <v>2020</v>
      </c>
      <c r="J629" t="s">
        <v>2030</v>
      </c>
      <c r="K629" t="s">
        <v>2658</v>
      </c>
      <c r="L629" t="s">
        <v>4034</v>
      </c>
      <c r="M629">
        <f>Cleaned[[#This Row],[Credit]]-Cleaned[[#This Row],[Debit]]</f>
        <v>2847.98</v>
      </c>
      <c r="N629" t="str">
        <f>_xlfn.XLOOKUP(Cleaned[[#This Row],[AccountName]], Account_Mapping!A:A, Account_Mapping!B:B,"Unmapped")</f>
        <v>Revenue</v>
      </c>
      <c r="O629" cm="1">
        <f t="array" ref="O629">_xlfn.XLOOKUP(
  1,
  (FX_Rates[Currency]=Cleaned[[#This Row],[Currency]])*
  (FX_Rates[RateDate]&lt;=Cleaned[[#This Row],[TxnDate]]),
  FX_Rates[Rate_To_INR],
  ,
  -1
)</f>
        <v>82</v>
      </c>
      <c r="P629" s="2">
        <f>Cleaned[[#This Row],[Net Amount]] *  Cleaned[[#This Row],[FX_rates]]</f>
        <v>233534.36000000002</v>
      </c>
    </row>
    <row r="630" spans="1:16" x14ac:dyDescent="0.45">
      <c r="A630" t="s">
        <v>638</v>
      </c>
      <c r="B630" s="1">
        <v>45681</v>
      </c>
      <c r="C630" s="2" t="s">
        <v>2011</v>
      </c>
      <c r="D630" t="s">
        <v>2016</v>
      </c>
      <c r="E630">
        <v>1084.3800000000001</v>
      </c>
      <c r="F630">
        <f>Cleaned[[#This Row],[Debit]] * Cleaned[[#This Row],[FX_rates]]</f>
        <v>111691.14000000001</v>
      </c>
      <c r="G630">
        <v>0</v>
      </c>
      <c r="H630">
        <f>Cleaned[[#This Row],[Credit]] *  Cleaned[[#This Row],[FX_rates]]</f>
        <v>0</v>
      </c>
      <c r="I630" t="s">
        <v>2025</v>
      </c>
      <c r="J630" t="s">
        <v>2026</v>
      </c>
      <c r="K630" t="s">
        <v>2659</v>
      </c>
      <c r="L630" t="s">
        <v>4031</v>
      </c>
      <c r="M630">
        <f>Cleaned[[#This Row],[Credit]]-Cleaned[[#This Row],[Debit]]</f>
        <v>-1084.3800000000001</v>
      </c>
      <c r="N630" t="str">
        <f>_xlfn.XLOOKUP(Cleaned[[#This Row],[AccountName]], Account_Mapping!A:A, Account_Mapping!B:B,"Unmapped")</f>
        <v>COGS</v>
      </c>
      <c r="O630" cm="1">
        <f t="array" ref="O630">_xlfn.XLOOKUP(
  1,
  (FX_Rates[Currency]=Cleaned[[#This Row],[Currency]])*
  (FX_Rates[RateDate]&lt;=Cleaned[[#This Row],[TxnDate]]),
  FX_Rates[Rate_To_INR],
  ,
  -1
)</f>
        <v>103</v>
      </c>
      <c r="P630" s="2">
        <f>Cleaned[[#This Row],[Net Amount]] *  Cleaned[[#This Row],[FX_rates]]</f>
        <v>-111691.14000000001</v>
      </c>
    </row>
    <row r="631" spans="1:16" x14ac:dyDescent="0.45">
      <c r="A631" t="s">
        <v>639</v>
      </c>
      <c r="B631" s="1">
        <v>45809</v>
      </c>
      <c r="C631" s="2" t="s">
        <v>2011</v>
      </c>
      <c r="D631" t="s">
        <v>2016</v>
      </c>
      <c r="E631">
        <v>1437.11</v>
      </c>
      <c r="F631">
        <f>Cleaned[[#This Row],[Debit]] * Cleaned[[#This Row],[FX_rates]]</f>
        <v>117843.01999999999</v>
      </c>
      <c r="G631">
        <v>0</v>
      </c>
      <c r="H631">
        <f>Cleaned[[#This Row],[Credit]] *  Cleaned[[#This Row],[FX_rates]]</f>
        <v>0</v>
      </c>
      <c r="I631" t="s">
        <v>2024</v>
      </c>
      <c r="J631" t="s">
        <v>2029</v>
      </c>
      <c r="K631" t="s">
        <v>2660</v>
      </c>
      <c r="L631" t="s">
        <v>4034</v>
      </c>
      <c r="M631">
        <f>Cleaned[[#This Row],[Credit]]-Cleaned[[#This Row],[Debit]]</f>
        <v>-1437.11</v>
      </c>
      <c r="N631" t="str">
        <f>_xlfn.XLOOKUP(Cleaned[[#This Row],[AccountName]], Account_Mapping!A:A, Account_Mapping!B:B,"Unmapped")</f>
        <v>COGS</v>
      </c>
      <c r="O631" cm="1">
        <f t="array" ref="O631">_xlfn.XLOOKUP(
  1,
  (FX_Rates[Currency]=Cleaned[[#This Row],[Currency]])*
  (FX_Rates[RateDate]&lt;=Cleaned[[#This Row],[TxnDate]]),
  FX_Rates[Rate_To_INR],
  ,
  -1
)</f>
        <v>82</v>
      </c>
      <c r="P631" s="2">
        <f>Cleaned[[#This Row],[Net Amount]] *  Cleaned[[#This Row],[FX_rates]]</f>
        <v>-117843.01999999999</v>
      </c>
    </row>
    <row r="632" spans="1:16" x14ac:dyDescent="0.45">
      <c r="A632" t="s">
        <v>640</v>
      </c>
      <c r="B632" s="1">
        <v>45470</v>
      </c>
      <c r="C632" s="2" t="s">
        <v>2010</v>
      </c>
      <c r="D632" t="s">
        <v>2015</v>
      </c>
      <c r="E632">
        <v>0</v>
      </c>
      <c r="F632">
        <f>Cleaned[[#This Row],[Debit]] * Cleaned[[#This Row],[FX_rates]]</f>
        <v>0</v>
      </c>
      <c r="G632">
        <v>4116.3900000000003</v>
      </c>
      <c r="H632">
        <f>Cleaned[[#This Row],[Credit]] *  Cleaned[[#This Row],[FX_rates]]</f>
        <v>423988.17000000004</v>
      </c>
      <c r="I632" t="s">
        <v>2021</v>
      </c>
      <c r="J632" t="s">
        <v>2030</v>
      </c>
      <c r="K632" t="s">
        <v>2661</v>
      </c>
      <c r="L632" t="s">
        <v>4031</v>
      </c>
      <c r="M632">
        <f>Cleaned[[#This Row],[Credit]]-Cleaned[[#This Row],[Debit]]</f>
        <v>4116.3900000000003</v>
      </c>
      <c r="N632" t="str">
        <f>_xlfn.XLOOKUP(Cleaned[[#This Row],[AccountName]], Account_Mapping!A:A, Account_Mapping!B:B,"Unmapped")</f>
        <v>Revenue</v>
      </c>
      <c r="O632" cm="1">
        <f t="array" ref="O632">_xlfn.XLOOKUP(
  1,
  (FX_Rates[Currency]=Cleaned[[#This Row],[Currency]])*
  (FX_Rates[RateDate]&lt;=Cleaned[[#This Row],[TxnDate]]),
  FX_Rates[Rate_To_INR],
  ,
  -1
)</f>
        <v>103</v>
      </c>
      <c r="P632" s="2">
        <f>Cleaned[[#This Row],[Net Amount]] *  Cleaned[[#This Row],[FX_rates]]</f>
        <v>423988.17000000004</v>
      </c>
    </row>
    <row r="633" spans="1:16" x14ac:dyDescent="0.45">
      <c r="A633" t="s">
        <v>641</v>
      </c>
      <c r="B633" s="1">
        <v>44979</v>
      </c>
      <c r="C633" s="2" t="s">
        <v>2013</v>
      </c>
      <c r="D633" t="s">
        <v>2018</v>
      </c>
      <c r="E633">
        <v>1732.79</v>
      </c>
      <c r="F633">
        <f>Cleaned[[#This Row],[Debit]] * Cleaned[[#This Row],[FX_rates]]</f>
        <v>105700.19</v>
      </c>
      <c r="G633">
        <v>0</v>
      </c>
      <c r="H633">
        <f>Cleaned[[#This Row],[Credit]] *  Cleaned[[#This Row],[FX_rates]]</f>
        <v>0</v>
      </c>
      <c r="I633" t="s">
        <v>2021</v>
      </c>
      <c r="J633" t="s">
        <v>2028</v>
      </c>
      <c r="K633" t="s">
        <v>2662</v>
      </c>
      <c r="L633" t="s">
        <v>4035</v>
      </c>
      <c r="M633">
        <f>Cleaned[[#This Row],[Credit]]-Cleaned[[#This Row],[Debit]]</f>
        <v>-1732.79</v>
      </c>
      <c r="N633" t="str">
        <f>_xlfn.XLOOKUP(Cleaned[[#This Row],[AccountName]], Account_Mapping!A:A, Account_Mapping!B:B,"Unmapped")</f>
        <v>Operating Expense</v>
      </c>
      <c r="O633" cm="1">
        <f t="array" ref="O633">_xlfn.XLOOKUP(
  1,
  (FX_Rates[Currency]=Cleaned[[#This Row],[Currency]])*
  (FX_Rates[RateDate]&lt;=Cleaned[[#This Row],[TxnDate]]),
  FX_Rates[Rate_To_INR],
  ,
  -1
)</f>
        <v>61</v>
      </c>
      <c r="P633" s="2">
        <f>Cleaned[[#This Row],[Net Amount]] *  Cleaned[[#This Row],[FX_rates]]</f>
        <v>-105700.19</v>
      </c>
    </row>
    <row r="634" spans="1:16" x14ac:dyDescent="0.45">
      <c r="A634" t="s">
        <v>642</v>
      </c>
      <c r="B634" s="1">
        <v>45298</v>
      </c>
      <c r="C634" s="2" t="s">
        <v>2011</v>
      </c>
      <c r="D634" t="s">
        <v>2016</v>
      </c>
      <c r="E634">
        <v>1107.71</v>
      </c>
      <c r="F634">
        <f>Cleaned[[#This Row],[Debit]] * Cleaned[[#This Row],[FX_rates]]</f>
        <v>114094.13</v>
      </c>
      <c r="G634">
        <v>0</v>
      </c>
      <c r="H634">
        <f>Cleaned[[#This Row],[Credit]] *  Cleaned[[#This Row],[FX_rates]]</f>
        <v>0</v>
      </c>
      <c r="I634" t="s">
        <v>2025</v>
      </c>
      <c r="J634" t="s">
        <v>2027</v>
      </c>
      <c r="K634" t="s">
        <v>2663</v>
      </c>
      <c r="L634" t="s">
        <v>4031</v>
      </c>
      <c r="M634">
        <f>Cleaned[[#This Row],[Credit]]-Cleaned[[#This Row],[Debit]]</f>
        <v>-1107.71</v>
      </c>
      <c r="N634" t="str">
        <f>_xlfn.XLOOKUP(Cleaned[[#This Row],[AccountName]], Account_Mapping!A:A, Account_Mapping!B:B,"Unmapped")</f>
        <v>COGS</v>
      </c>
      <c r="O634" cm="1">
        <f t="array" ref="O634">_xlfn.XLOOKUP(
  1,
  (FX_Rates[Currency]=Cleaned[[#This Row],[Currency]])*
  (FX_Rates[RateDate]&lt;=Cleaned[[#This Row],[TxnDate]]),
  FX_Rates[Rate_To_INR],
  ,
  -1
)</f>
        <v>103</v>
      </c>
      <c r="P634" s="2">
        <f>Cleaned[[#This Row],[Net Amount]] *  Cleaned[[#This Row],[FX_rates]]</f>
        <v>-114094.13</v>
      </c>
    </row>
    <row r="635" spans="1:16" x14ac:dyDescent="0.45">
      <c r="A635" t="s">
        <v>643</v>
      </c>
      <c r="B635" s="1">
        <v>45145</v>
      </c>
      <c r="C635" s="2" t="s">
        <v>2014</v>
      </c>
      <c r="D635" t="s">
        <v>2019</v>
      </c>
      <c r="E635">
        <v>0</v>
      </c>
      <c r="F635">
        <f>Cleaned[[#This Row],[Debit]] * Cleaned[[#This Row],[FX_rates]]</f>
        <v>0</v>
      </c>
      <c r="G635">
        <v>303.27</v>
      </c>
      <c r="H635">
        <f>Cleaned[[#This Row],[Credit]] *  Cleaned[[#This Row],[FX_rates]]</f>
        <v>16983.12</v>
      </c>
      <c r="I635" t="s">
        <v>2021</v>
      </c>
      <c r="J635" t="s">
        <v>2029</v>
      </c>
      <c r="K635" t="s">
        <v>2664</v>
      </c>
      <c r="L635" t="s">
        <v>4033</v>
      </c>
      <c r="M635">
        <f>Cleaned[[#This Row],[Credit]]-Cleaned[[#This Row],[Debit]]</f>
        <v>303.27</v>
      </c>
      <c r="N635" t="str">
        <f>_xlfn.XLOOKUP(Cleaned[[#This Row],[AccountName]], Account_Mapping!A:A, Account_Mapping!B:B,"Unmapped")</f>
        <v>Revenue</v>
      </c>
      <c r="O635" cm="1">
        <f t="array" ref="O635">_xlfn.XLOOKUP(
  1,
  (FX_Rates[Currency]=Cleaned[[#This Row],[Currency]])*
  (FX_Rates[RateDate]&lt;=Cleaned[[#This Row],[TxnDate]]),
  FX_Rates[Rate_To_INR],
  ,
  -1
)</f>
        <v>56</v>
      </c>
      <c r="P635" s="2">
        <f>Cleaned[[#This Row],[Net Amount]] *  Cleaned[[#This Row],[FX_rates]]</f>
        <v>16983.12</v>
      </c>
    </row>
    <row r="636" spans="1:16" x14ac:dyDescent="0.45">
      <c r="A636" t="s">
        <v>644</v>
      </c>
      <c r="B636" s="1">
        <v>44933</v>
      </c>
      <c r="C636" s="2" t="s">
        <v>2011</v>
      </c>
      <c r="D636" t="s">
        <v>2016</v>
      </c>
      <c r="E636">
        <v>608.84</v>
      </c>
      <c r="F636">
        <f>Cleaned[[#This Row],[Debit]] * Cleaned[[#This Row],[FX_rates]]</f>
        <v>34095.040000000001</v>
      </c>
      <c r="G636">
        <v>0</v>
      </c>
      <c r="H636">
        <f>Cleaned[[#This Row],[Credit]] *  Cleaned[[#This Row],[FX_rates]]</f>
        <v>0</v>
      </c>
      <c r="I636" t="s">
        <v>2025</v>
      </c>
      <c r="J636" t="s">
        <v>2030</v>
      </c>
      <c r="K636" t="s">
        <v>2665</v>
      </c>
      <c r="L636" t="s">
        <v>4033</v>
      </c>
      <c r="M636">
        <f>Cleaned[[#This Row],[Credit]]-Cleaned[[#This Row],[Debit]]</f>
        <v>-608.84</v>
      </c>
      <c r="N636" t="str">
        <f>_xlfn.XLOOKUP(Cleaned[[#This Row],[AccountName]], Account_Mapping!A:A, Account_Mapping!B:B,"Unmapped")</f>
        <v>COGS</v>
      </c>
      <c r="O636" cm="1">
        <f t="array" ref="O636">_xlfn.XLOOKUP(
  1,
  (FX_Rates[Currency]=Cleaned[[#This Row],[Currency]])*
  (FX_Rates[RateDate]&lt;=Cleaned[[#This Row],[TxnDate]]),
  FX_Rates[Rate_To_INR],
  ,
  -1
)</f>
        <v>56</v>
      </c>
      <c r="P636" s="2">
        <f>Cleaned[[#This Row],[Net Amount]] *  Cleaned[[#This Row],[FX_rates]]</f>
        <v>-34095.040000000001</v>
      </c>
    </row>
    <row r="637" spans="1:16" x14ac:dyDescent="0.45">
      <c r="A637" t="s">
        <v>645</v>
      </c>
      <c r="B637" s="1">
        <v>45104</v>
      </c>
      <c r="C637" s="2" t="s">
        <v>2012</v>
      </c>
      <c r="D637" t="s">
        <v>2017</v>
      </c>
      <c r="E637">
        <v>1438.43</v>
      </c>
      <c r="F637">
        <f>Cleaned[[#This Row],[Debit]] * Cleaned[[#This Row],[FX_rates]]</f>
        <v>87744.23000000001</v>
      </c>
      <c r="G637">
        <v>0</v>
      </c>
      <c r="H637">
        <f>Cleaned[[#This Row],[Credit]] *  Cleaned[[#This Row],[FX_rates]]</f>
        <v>0</v>
      </c>
      <c r="I637" t="s">
        <v>2021</v>
      </c>
      <c r="J637" t="s">
        <v>2028</v>
      </c>
      <c r="K637" t="s">
        <v>2666</v>
      </c>
      <c r="L637" t="s">
        <v>4035</v>
      </c>
      <c r="M637">
        <f>Cleaned[[#This Row],[Credit]]-Cleaned[[#This Row],[Debit]]</f>
        <v>-1438.43</v>
      </c>
      <c r="N637" t="str">
        <f>_xlfn.XLOOKUP(Cleaned[[#This Row],[AccountName]], Account_Mapping!A:A, Account_Mapping!B:B,"Unmapped")</f>
        <v>Operating Expense</v>
      </c>
      <c r="O637" cm="1">
        <f t="array" ref="O637">_xlfn.XLOOKUP(
  1,
  (FX_Rates[Currency]=Cleaned[[#This Row],[Currency]])*
  (FX_Rates[RateDate]&lt;=Cleaned[[#This Row],[TxnDate]]),
  FX_Rates[Rate_To_INR],
  ,
  -1
)</f>
        <v>61</v>
      </c>
      <c r="P637" s="2">
        <f>Cleaned[[#This Row],[Net Amount]] *  Cleaned[[#This Row],[FX_rates]]</f>
        <v>-87744.23000000001</v>
      </c>
    </row>
    <row r="638" spans="1:16" x14ac:dyDescent="0.45">
      <c r="A638" t="s">
        <v>646</v>
      </c>
      <c r="B638" s="1">
        <v>44989</v>
      </c>
      <c r="C638" s="2" t="s">
        <v>2010</v>
      </c>
      <c r="D638" t="s">
        <v>2015</v>
      </c>
      <c r="E638">
        <v>0</v>
      </c>
      <c r="F638">
        <f>Cleaned[[#This Row],[Debit]] * Cleaned[[#This Row],[FX_rates]]</f>
        <v>0</v>
      </c>
      <c r="G638">
        <v>1141.46</v>
      </c>
      <c r="H638">
        <f>Cleaned[[#This Row],[Credit]] *  Cleaned[[#This Row],[FX_rates]]</f>
        <v>100448.48000000001</v>
      </c>
      <c r="I638" t="s">
        <v>2024</v>
      </c>
      <c r="J638" t="s">
        <v>2030</v>
      </c>
      <c r="K638" t="s">
        <v>2667</v>
      </c>
      <c r="L638" t="s">
        <v>4032</v>
      </c>
      <c r="M638">
        <f>Cleaned[[#This Row],[Credit]]-Cleaned[[#This Row],[Debit]]</f>
        <v>1141.46</v>
      </c>
      <c r="N638" t="str">
        <f>_xlfn.XLOOKUP(Cleaned[[#This Row],[AccountName]], Account_Mapping!A:A, Account_Mapping!B:B,"Unmapped")</f>
        <v>Revenue</v>
      </c>
      <c r="O638" cm="1">
        <f t="array" ref="O638">_xlfn.XLOOKUP(
  1,
  (FX_Rates[Currency]=Cleaned[[#This Row],[Currency]])*
  (FX_Rates[RateDate]&lt;=Cleaned[[#This Row],[TxnDate]]),
  FX_Rates[Rate_To_INR],
  ,
  -1
)</f>
        <v>88</v>
      </c>
      <c r="P638" s="2">
        <f>Cleaned[[#This Row],[Net Amount]] *  Cleaned[[#This Row],[FX_rates]]</f>
        <v>100448.48000000001</v>
      </c>
    </row>
    <row r="639" spans="1:16" x14ac:dyDescent="0.45">
      <c r="A639" t="s">
        <v>647</v>
      </c>
      <c r="B639" s="1">
        <v>45523</v>
      </c>
      <c r="C639" s="2" t="s">
        <v>2012</v>
      </c>
      <c r="D639" t="s">
        <v>2017</v>
      </c>
      <c r="E639">
        <v>1263.43</v>
      </c>
      <c r="F639">
        <f>Cleaned[[#This Row],[Debit]] * Cleaned[[#This Row],[FX_rates]]</f>
        <v>77069.23000000001</v>
      </c>
      <c r="G639">
        <v>0</v>
      </c>
      <c r="H639">
        <f>Cleaned[[#This Row],[Credit]] *  Cleaned[[#This Row],[FX_rates]]</f>
        <v>0</v>
      </c>
      <c r="I639" t="s">
        <v>2024</v>
      </c>
      <c r="J639" t="s">
        <v>2027</v>
      </c>
      <c r="K639" t="s">
        <v>2668</v>
      </c>
      <c r="L639" t="s">
        <v>4035</v>
      </c>
      <c r="M639">
        <f>Cleaned[[#This Row],[Credit]]-Cleaned[[#This Row],[Debit]]</f>
        <v>-1263.43</v>
      </c>
      <c r="N639" t="str">
        <f>_xlfn.XLOOKUP(Cleaned[[#This Row],[AccountName]], Account_Mapping!A:A, Account_Mapping!B:B,"Unmapped")</f>
        <v>Operating Expense</v>
      </c>
      <c r="O639" cm="1">
        <f t="array" ref="O639">_xlfn.XLOOKUP(
  1,
  (FX_Rates[Currency]=Cleaned[[#This Row],[Currency]])*
  (FX_Rates[RateDate]&lt;=Cleaned[[#This Row],[TxnDate]]),
  FX_Rates[Rate_To_INR],
  ,
  -1
)</f>
        <v>61</v>
      </c>
      <c r="P639" s="2">
        <f>Cleaned[[#This Row],[Net Amount]] *  Cleaned[[#This Row],[FX_rates]]</f>
        <v>-77069.23000000001</v>
      </c>
    </row>
    <row r="640" spans="1:16" x14ac:dyDescent="0.45">
      <c r="A640" t="s">
        <v>648</v>
      </c>
      <c r="B640" s="1">
        <v>45121</v>
      </c>
      <c r="C640" s="2" t="s">
        <v>2010</v>
      </c>
      <c r="D640" t="s">
        <v>2015</v>
      </c>
      <c r="E640">
        <v>0</v>
      </c>
      <c r="F640">
        <f>Cleaned[[#This Row],[Debit]] * Cleaned[[#This Row],[FX_rates]]</f>
        <v>0</v>
      </c>
      <c r="G640">
        <v>3107.95</v>
      </c>
      <c r="H640">
        <f>Cleaned[[#This Row],[Credit]] *  Cleaned[[#This Row],[FX_rates]]</f>
        <v>320118.84999999998</v>
      </c>
      <c r="I640" t="s">
        <v>2021</v>
      </c>
      <c r="J640" t="s">
        <v>2026</v>
      </c>
      <c r="K640" t="s">
        <v>2669</v>
      </c>
      <c r="L640" t="s">
        <v>4031</v>
      </c>
      <c r="M640">
        <f>Cleaned[[#This Row],[Credit]]-Cleaned[[#This Row],[Debit]]</f>
        <v>3107.95</v>
      </c>
      <c r="N640" t="str">
        <f>_xlfn.XLOOKUP(Cleaned[[#This Row],[AccountName]], Account_Mapping!A:A, Account_Mapping!B:B,"Unmapped")</f>
        <v>Revenue</v>
      </c>
      <c r="O640" cm="1">
        <f t="array" ref="O640">_xlfn.XLOOKUP(
  1,
  (FX_Rates[Currency]=Cleaned[[#This Row],[Currency]])*
  (FX_Rates[RateDate]&lt;=Cleaned[[#This Row],[TxnDate]]),
  FX_Rates[Rate_To_INR],
  ,
  -1
)</f>
        <v>103</v>
      </c>
      <c r="P640" s="2">
        <f>Cleaned[[#This Row],[Net Amount]] *  Cleaned[[#This Row],[FX_rates]]</f>
        <v>320118.84999999998</v>
      </c>
    </row>
    <row r="641" spans="1:16" x14ac:dyDescent="0.45">
      <c r="A641" t="s">
        <v>649</v>
      </c>
      <c r="B641" s="1">
        <v>45589</v>
      </c>
      <c r="C641" s="2" t="s">
        <v>2011</v>
      </c>
      <c r="D641" t="s">
        <v>2016</v>
      </c>
      <c r="E641">
        <v>1600.99</v>
      </c>
      <c r="F641">
        <f>Cleaned[[#This Row],[Debit]] * Cleaned[[#This Row],[FX_rates]]</f>
        <v>97660.39</v>
      </c>
      <c r="G641">
        <v>0</v>
      </c>
      <c r="H641">
        <f>Cleaned[[#This Row],[Credit]] *  Cleaned[[#This Row],[FX_rates]]</f>
        <v>0</v>
      </c>
      <c r="I641" t="s">
        <v>2024</v>
      </c>
      <c r="J641" t="s">
        <v>2030</v>
      </c>
      <c r="K641" t="s">
        <v>2670</v>
      </c>
      <c r="L641" t="s">
        <v>4035</v>
      </c>
      <c r="M641">
        <f>Cleaned[[#This Row],[Credit]]-Cleaned[[#This Row],[Debit]]</f>
        <v>-1600.99</v>
      </c>
      <c r="N641" t="str">
        <f>_xlfn.XLOOKUP(Cleaned[[#This Row],[AccountName]], Account_Mapping!A:A, Account_Mapping!B:B,"Unmapped")</f>
        <v>COGS</v>
      </c>
      <c r="O641" cm="1">
        <f t="array" ref="O641">_xlfn.XLOOKUP(
  1,
  (FX_Rates[Currency]=Cleaned[[#This Row],[Currency]])*
  (FX_Rates[RateDate]&lt;=Cleaned[[#This Row],[TxnDate]]),
  FX_Rates[Rate_To_INR],
  ,
  -1
)</f>
        <v>61</v>
      </c>
      <c r="P641" s="2">
        <f>Cleaned[[#This Row],[Net Amount]] *  Cleaned[[#This Row],[FX_rates]]</f>
        <v>-97660.39</v>
      </c>
    </row>
    <row r="642" spans="1:16" x14ac:dyDescent="0.45">
      <c r="A642" t="s">
        <v>650</v>
      </c>
      <c r="B642" s="1">
        <v>45632</v>
      </c>
      <c r="C642" s="2" t="s">
        <v>2011</v>
      </c>
      <c r="D642" t="s">
        <v>2016</v>
      </c>
      <c r="E642">
        <v>563.6</v>
      </c>
      <c r="F642">
        <f>Cleaned[[#This Row],[Debit]] * Cleaned[[#This Row],[FX_rates]]</f>
        <v>46215.200000000004</v>
      </c>
      <c r="G642">
        <v>0</v>
      </c>
      <c r="H642">
        <f>Cleaned[[#This Row],[Credit]] *  Cleaned[[#This Row],[FX_rates]]</f>
        <v>0</v>
      </c>
      <c r="I642" t="s">
        <v>2020</v>
      </c>
      <c r="J642" t="s">
        <v>2029</v>
      </c>
      <c r="K642" t="s">
        <v>2671</v>
      </c>
      <c r="L642" t="s">
        <v>4034</v>
      </c>
      <c r="M642">
        <f>Cleaned[[#This Row],[Credit]]-Cleaned[[#This Row],[Debit]]</f>
        <v>-563.6</v>
      </c>
      <c r="N642" t="str">
        <f>_xlfn.XLOOKUP(Cleaned[[#This Row],[AccountName]], Account_Mapping!A:A, Account_Mapping!B:B,"Unmapped")</f>
        <v>COGS</v>
      </c>
      <c r="O642" cm="1">
        <f t="array" ref="O642">_xlfn.XLOOKUP(
  1,
  (FX_Rates[Currency]=Cleaned[[#This Row],[Currency]])*
  (FX_Rates[RateDate]&lt;=Cleaned[[#This Row],[TxnDate]]),
  FX_Rates[Rate_To_INR],
  ,
  -1
)</f>
        <v>82</v>
      </c>
      <c r="P642" s="2">
        <f>Cleaned[[#This Row],[Net Amount]] *  Cleaned[[#This Row],[FX_rates]]</f>
        <v>-46215.200000000004</v>
      </c>
    </row>
    <row r="643" spans="1:16" x14ac:dyDescent="0.45">
      <c r="A643" t="s">
        <v>651</v>
      </c>
      <c r="B643" s="1">
        <v>45096</v>
      </c>
      <c r="C643" s="2" t="s">
        <v>2011</v>
      </c>
      <c r="D643" t="s">
        <v>2016</v>
      </c>
      <c r="E643">
        <v>961.83</v>
      </c>
      <c r="F643">
        <f>Cleaned[[#This Row],[Debit]] * Cleaned[[#This Row],[FX_rates]]</f>
        <v>99068.49</v>
      </c>
      <c r="G643">
        <v>0</v>
      </c>
      <c r="H643">
        <f>Cleaned[[#This Row],[Credit]] *  Cleaned[[#This Row],[FX_rates]]</f>
        <v>0</v>
      </c>
      <c r="I643" t="s">
        <v>2023</v>
      </c>
      <c r="J643" t="s">
        <v>2030</v>
      </c>
      <c r="K643" t="s">
        <v>2672</v>
      </c>
      <c r="L643" t="s">
        <v>4031</v>
      </c>
      <c r="M643">
        <f>Cleaned[[#This Row],[Credit]]-Cleaned[[#This Row],[Debit]]</f>
        <v>-961.83</v>
      </c>
      <c r="N643" t="str">
        <f>_xlfn.XLOOKUP(Cleaned[[#This Row],[AccountName]], Account_Mapping!A:A, Account_Mapping!B:B,"Unmapped")</f>
        <v>COGS</v>
      </c>
      <c r="O643" cm="1">
        <f t="array" ref="O643">_xlfn.XLOOKUP(
  1,
  (FX_Rates[Currency]=Cleaned[[#This Row],[Currency]])*
  (FX_Rates[RateDate]&lt;=Cleaned[[#This Row],[TxnDate]]),
  FX_Rates[Rate_To_INR],
  ,
  -1
)</f>
        <v>103</v>
      </c>
      <c r="P643" s="2">
        <f>Cleaned[[#This Row],[Net Amount]] *  Cleaned[[#This Row],[FX_rates]]</f>
        <v>-99068.49</v>
      </c>
    </row>
    <row r="644" spans="1:16" x14ac:dyDescent="0.45">
      <c r="A644" t="s">
        <v>652</v>
      </c>
      <c r="B644" s="1">
        <v>45779</v>
      </c>
      <c r="C644" s="2" t="s">
        <v>2012</v>
      </c>
      <c r="D644" t="s">
        <v>2017</v>
      </c>
      <c r="E644">
        <v>1455.41</v>
      </c>
      <c r="F644">
        <f>Cleaned[[#This Row],[Debit]] * Cleaned[[#This Row],[FX_rates]]</f>
        <v>119343.62000000001</v>
      </c>
      <c r="G644">
        <v>0</v>
      </c>
      <c r="H644">
        <f>Cleaned[[#This Row],[Credit]] *  Cleaned[[#This Row],[FX_rates]]</f>
        <v>0</v>
      </c>
      <c r="I644" t="s">
        <v>2024</v>
      </c>
      <c r="J644" t="s">
        <v>2028</v>
      </c>
      <c r="K644" t="s">
        <v>2673</v>
      </c>
      <c r="L644" t="s">
        <v>4034</v>
      </c>
      <c r="M644">
        <f>Cleaned[[#This Row],[Credit]]-Cleaned[[#This Row],[Debit]]</f>
        <v>-1455.41</v>
      </c>
      <c r="N644" t="str">
        <f>_xlfn.XLOOKUP(Cleaned[[#This Row],[AccountName]], Account_Mapping!A:A, Account_Mapping!B:B,"Unmapped")</f>
        <v>Operating Expense</v>
      </c>
      <c r="O644" cm="1">
        <f t="array" ref="O644">_xlfn.XLOOKUP(
  1,
  (FX_Rates[Currency]=Cleaned[[#This Row],[Currency]])*
  (FX_Rates[RateDate]&lt;=Cleaned[[#This Row],[TxnDate]]),
  FX_Rates[Rate_To_INR],
  ,
  -1
)</f>
        <v>82</v>
      </c>
      <c r="P644" s="2">
        <f>Cleaned[[#This Row],[Net Amount]] *  Cleaned[[#This Row],[FX_rates]]</f>
        <v>-119343.62000000001</v>
      </c>
    </row>
    <row r="645" spans="1:16" x14ac:dyDescent="0.45">
      <c r="A645" t="s">
        <v>653</v>
      </c>
      <c r="B645" s="1">
        <v>44956</v>
      </c>
      <c r="C645" s="2" t="s">
        <v>2011</v>
      </c>
      <c r="D645" t="s">
        <v>2016</v>
      </c>
      <c r="E645">
        <v>1057.3599999999999</v>
      </c>
      <c r="F645">
        <f>Cleaned[[#This Row],[Debit]] * Cleaned[[#This Row],[FX_rates]]</f>
        <v>86703.51999999999</v>
      </c>
      <c r="G645">
        <v>0</v>
      </c>
      <c r="H645">
        <f>Cleaned[[#This Row],[Credit]] *  Cleaned[[#This Row],[FX_rates]]</f>
        <v>0</v>
      </c>
      <c r="I645" t="s">
        <v>2020</v>
      </c>
      <c r="J645" t="s">
        <v>2027</v>
      </c>
      <c r="K645" t="s">
        <v>2674</v>
      </c>
      <c r="L645" t="s">
        <v>4034</v>
      </c>
      <c r="M645">
        <f>Cleaned[[#This Row],[Credit]]-Cleaned[[#This Row],[Debit]]</f>
        <v>-1057.3599999999999</v>
      </c>
      <c r="N645" t="str">
        <f>_xlfn.XLOOKUP(Cleaned[[#This Row],[AccountName]], Account_Mapping!A:A, Account_Mapping!B:B,"Unmapped")</f>
        <v>COGS</v>
      </c>
      <c r="O645" cm="1">
        <f t="array" ref="O645">_xlfn.XLOOKUP(
  1,
  (FX_Rates[Currency]=Cleaned[[#This Row],[Currency]])*
  (FX_Rates[RateDate]&lt;=Cleaned[[#This Row],[TxnDate]]),
  FX_Rates[Rate_To_INR],
  ,
  -1
)</f>
        <v>82</v>
      </c>
      <c r="P645" s="2">
        <f>Cleaned[[#This Row],[Net Amount]] *  Cleaned[[#This Row],[FX_rates]]</f>
        <v>-86703.51999999999</v>
      </c>
    </row>
    <row r="646" spans="1:16" x14ac:dyDescent="0.45">
      <c r="A646" t="s">
        <v>654</v>
      </c>
      <c r="B646" s="1">
        <v>45432</v>
      </c>
      <c r="C646" s="2" t="s">
        <v>2014</v>
      </c>
      <c r="D646" t="s">
        <v>2019</v>
      </c>
      <c r="E646">
        <v>0</v>
      </c>
      <c r="F646">
        <f>Cleaned[[#This Row],[Debit]] * Cleaned[[#This Row],[FX_rates]]</f>
        <v>0</v>
      </c>
      <c r="G646">
        <v>3358.16</v>
      </c>
      <c r="H646">
        <f>Cleaned[[#This Row],[Credit]] *  Cleaned[[#This Row],[FX_rates]]</f>
        <v>295518.07999999996</v>
      </c>
      <c r="I646" t="s">
        <v>2021</v>
      </c>
      <c r="J646" t="s">
        <v>2030</v>
      </c>
      <c r="K646" t="s">
        <v>2675</v>
      </c>
      <c r="L646" t="s">
        <v>4032</v>
      </c>
      <c r="M646">
        <f>Cleaned[[#This Row],[Credit]]-Cleaned[[#This Row],[Debit]]</f>
        <v>3358.16</v>
      </c>
      <c r="N646" t="str">
        <f>_xlfn.XLOOKUP(Cleaned[[#This Row],[AccountName]], Account_Mapping!A:A, Account_Mapping!B:B,"Unmapped")</f>
        <v>Revenue</v>
      </c>
      <c r="O646" cm="1">
        <f t="array" ref="O646">_xlfn.XLOOKUP(
  1,
  (FX_Rates[Currency]=Cleaned[[#This Row],[Currency]])*
  (FX_Rates[RateDate]&lt;=Cleaned[[#This Row],[TxnDate]]),
  FX_Rates[Rate_To_INR],
  ,
  -1
)</f>
        <v>88</v>
      </c>
      <c r="P646" s="2">
        <f>Cleaned[[#This Row],[Net Amount]] *  Cleaned[[#This Row],[FX_rates]]</f>
        <v>295518.07999999996</v>
      </c>
    </row>
    <row r="647" spans="1:16" x14ac:dyDescent="0.45">
      <c r="A647" t="s">
        <v>655</v>
      </c>
      <c r="B647" s="1">
        <v>45055</v>
      </c>
      <c r="C647" s="2" t="s">
        <v>2014</v>
      </c>
      <c r="D647" t="s">
        <v>2019</v>
      </c>
      <c r="E647">
        <v>0</v>
      </c>
      <c r="F647">
        <f>Cleaned[[#This Row],[Debit]] * Cleaned[[#This Row],[FX_rates]]</f>
        <v>0</v>
      </c>
      <c r="G647">
        <v>1525.47</v>
      </c>
      <c r="H647">
        <f>Cleaned[[#This Row],[Credit]] *  Cleaned[[#This Row],[FX_rates]]</f>
        <v>157123.41</v>
      </c>
      <c r="I647" t="s">
        <v>2022</v>
      </c>
      <c r="J647" t="s">
        <v>2029</v>
      </c>
      <c r="K647" t="s">
        <v>2676</v>
      </c>
      <c r="L647" t="s">
        <v>4031</v>
      </c>
      <c r="M647">
        <f>Cleaned[[#This Row],[Credit]]-Cleaned[[#This Row],[Debit]]</f>
        <v>1525.47</v>
      </c>
      <c r="N647" t="str">
        <f>_xlfn.XLOOKUP(Cleaned[[#This Row],[AccountName]], Account_Mapping!A:A, Account_Mapping!B:B,"Unmapped")</f>
        <v>Revenue</v>
      </c>
      <c r="O647" cm="1">
        <f t="array" ref="O647">_xlfn.XLOOKUP(
  1,
  (FX_Rates[Currency]=Cleaned[[#This Row],[Currency]])*
  (FX_Rates[RateDate]&lt;=Cleaned[[#This Row],[TxnDate]]),
  FX_Rates[Rate_To_INR],
  ,
  -1
)</f>
        <v>103</v>
      </c>
      <c r="P647" s="2">
        <f>Cleaned[[#This Row],[Net Amount]] *  Cleaned[[#This Row],[FX_rates]]</f>
        <v>157123.41</v>
      </c>
    </row>
    <row r="648" spans="1:16" x14ac:dyDescent="0.45">
      <c r="A648" t="s">
        <v>656</v>
      </c>
      <c r="B648" s="1">
        <v>44993</v>
      </c>
      <c r="C648" s="2" t="s">
        <v>2013</v>
      </c>
      <c r="D648" t="s">
        <v>2018</v>
      </c>
      <c r="E648">
        <v>707.2</v>
      </c>
      <c r="F648">
        <f>Cleaned[[#This Row],[Debit]] * Cleaned[[#This Row],[FX_rates]]</f>
        <v>62233.600000000006</v>
      </c>
      <c r="G648">
        <v>0</v>
      </c>
      <c r="H648">
        <f>Cleaned[[#This Row],[Credit]] *  Cleaned[[#This Row],[FX_rates]]</f>
        <v>0</v>
      </c>
      <c r="I648" t="s">
        <v>2024</v>
      </c>
      <c r="J648" t="s">
        <v>2026</v>
      </c>
      <c r="K648" t="s">
        <v>2677</v>
      </c>
      <c r="L648" t="s">
        <v>4032</v>
      </c>
      <c r="M648">
        <f>Cleaned[[#This Row],[Credit]]-Cleaned[[#This Row],[Debit]]</f>
        <v>-707.2</v>
      </c>
      <c r="N648" t="str">
        <f>_xlfn.XLOOKUP(Cleaned[[#This Row],[AccountName]], Account_Mapping!A:A, Account_Mapping!B:B,"Unmapped")</f>
        <v>Operating Expense</v>
      </c>
      <c r="O648" cm="1">
        <f t="array" ref="O648">_xlfn.XLOOKUP(
  1,
  (FX_Rates[Currency]=Cleaned[[#This Row],[Currency]])*
  (FX_Rates[RateDate]&lt;=Cleaned[[#This Row],[TxnDate]]),
  FX_Rates[Rate_To_INR],
  ,
  -1
)</f>
        <v>88</v>
      </c>
      <c r="P648" s="2">
        <f>Cleaned[[#This Row],[Net Amount]] *  Cleaned[[#This Row],[FX_rates]]</f>
        <v>-62233.600000000006</v>
      </c>
    </row>
    <row r="649" spans="1:16" x14ac:dyDescent="0.45">
      <c r="A649" t="s">
        <v>657</v>
      </c>
      <c r="B649" s="1">
        <v>45227</v>
      </c>
      <c r="C649" s="2" t="s">
        <v>2012</v>
      </c>
      <c r="D649" t="s">
        <v>2017</v>
      </c>
      <c r="E649">
        <v>1209.72</v>
      </c>
      <c r="F649">
        <f>Cleaned[[#This Row],[Debit]] * Cleaned[[#This Row],[FX_rates]]</f>
        <v>67744.320000000007</v>
      </c>
      <c r="G649">
        <v>0</v>
      </c>
      <c r="H649">
        <f>Cleaned[[#This Row],[Credit]] *  Cleaned[[#This Row],[FX_rates]]</f>
        <v>0</v>
      </c>
      <c r="I649" t="s">
        <v>2022</v>
      </c>
      <c r="J649" t="s">
        <v>2028</v>
      </c>
      <c r="K649" t="s">
        <v>2678</v>
      </c>
      <c r="L649" t="s">
        <v>4033</v>
      </c>
      <c r="M649">
        <f>Cleaned[[#This Row],[Credit]]-Cleaned[[#This Row],[Debit]]</f>
        <v>-1209.72</v>
      </c>
      <c r="N649" t="str">
        <f>_xlfn.XLOOKUP(Cleaned[[#This Row],[AccountName]], Account_Mapping!A:A, Account_Mapping!B:B,"Unmapped")</f>
        <v>Operating Expense</v>
      </c>
      <c r="O649" cm="1">
        <f t="array" ref="O649">_xlfn.XLOOKUP(
  1,
  (FX_Rates[Currency]=Cleaned[[#This Row],[Currency]])*
  (FX_Rates[RateDate]&lt;=Cleaned[[#This Row],[TxnDate]]),
  FX_Rates[Rate_To_INR],
  ,
  -1
)</f>
        <v>56</v>
      </c>
      <c r="P649" s="2">
        <f>Cleaned[[#This Row],[Net Amount]] *  Cleaned[[#This Row],[FX_rates]]</f>
        <v>-67744.320000000007</v>
      </c>
    </row>
    <row r="650" spans="1:16" x14ac:dyDescent="0.45">
      <c r="A650" t="s">
        <v>658</v>
      </c>
      <c r="B650" s="1">
        <v>45441</v>
      </c>
      <c r="C650" s="2" t="s">
        <v>2011</v>
      </c>
      <c r="D650" t="s">
        <v>2016</v>
      </c>
      <c r="E650">
        <v>1696.57</v>
      </c>
      <c r="F650">
        <f>Cleaned[[#This Row],[Debit]] * Cleaned[[#This Row],[FX_rates]]</f>
        <v>174746.71</v>
      </c>
      <c r="G650">
        <v>0</v>
      </c>
      <c r="H650">
        <f>Cleaned[[#This Row],[Credit]] *  Cleaned[[#This Row],[FX_rates]]</f>
        <v>0</v>
      </c>
      <c r="I650" t="s">
        <v>2020</v>
      </c>
      <c r="J650" t="s">
        <v>2028</v>
      </c>
      <c r="K650" t="s">
        <v>2679</v>
      </c>
      <c r="L650" t="s">
        <v>4031</v>
      </c>
      <c r="M650">
        <f>Cleaned[[#This Row],[Credit]]-Cleaned[[#This Row],[Debit]]</f>
        <v>-1696.57</v>
      </c>
      <c r="N650" t="str">
        <f>_xlfn.XLOOKUP(Cleaned[[#This Row],[AccountName]], Account_Mapping!A:A, Account_Mapping!B:B,"Unmapped")</f>
        <v>COGS</v>
      </c>
      <c r="O650" cm="1">
        <f t="array" ref="O650">_xlfn.XLOOKUP(
  1,
  (FX_Rates[Currency]=Cleaned[[#This Row],[Currency]])*
  (FX_Rates[RateDate]&lt;=Cleaned[[#This Row],[TxnDate]]),
  FX_Rates[Rate_To_INR],
  ,
  -1
)</f>
        <v>103</v>
      </c>
      <c r="P650" s="2">
        <f>Cleaned[[#This Row],[Net Amount]] *  Cleaned[[#This Row],[FX_rates]]</f>
        <v>-174746.71</v>
      </c>
    </row>
    <row r="651" spans="1:16" x14ac:dyDescent="0.45">
      <c r="A651" t="s">
        <v>659</v>
      </c>
      <c r="B651" s="1">
        <v>45341</v>
      </c>
      <c r="C651" s="2" t="s">
        <v>2010</v>
      </c>
      <c r="D651" t="s">
        <v>2015</v>
      </c>
      <c r="E651">
        <v>0</v>
      </c>
      <c r="F651">
        <f>Cleaned[[#This Row],[Debit]] * Cleaned[[#This Row],[FX_rates]]</f>
        <v>0</v>
      </c>
      <c r="G651">
        <v>2657.38</v>
      </c>
      <c r="H651">
        <f>Cleaned[[#This Row],[Credit]] *  Cleaned[[#This Row],[FX_rates]]</f>
        <v>273710.14</v>
      </c>
      <c r="I651" t="s">
        <v>2025</v>
      </c>
      <c r="J651" t="s">
        <v>2027</v>
      </c>
      <c r="K651" t="s">
        <v>2680</v>
      </c>
      <c r="L651" t="s">
        <v>4031</v>
      </c>
      <c r="M651">
        <f>Cleaned[[#This Row],[Credit]]-Cleaned[[#This Row],[Debit]]</f>
        <v>2657.38</v>
      </c>
      <c r="N651" t="str">
        <f>_xlfn.XLOOKUP(Cleaned[[#This Row],[AccountName]], Account_Mapping!A:A, Account_Mapping!B:B,"Unmapped")</f>
        <v>Revenue</v>
      </c>
      <c r="O651" cm="1">
        <f t="array" ref="O651">_xlfn.XLOOKUP(
  1,
  (FX_Rates[Currency]=Cleaned[[#This Row],[Currency]])*
  (FX_Rates[RateDate]&lt;=Cleaned[[#This Row],[TxnDate]]),
  FX_Rates[Rate_To_INR],
  ,
  -1
)</f>
        <v>103</v>
      </c>
      <c r="P651" s="2">
        <f>Cleaned[[#This Row],[Net Amount]] *  Cleaned[[#This Row],[FX_rates]]</f>
        <v>273710.14</v>
      </c>
    </row>
    <row r="652" spans="1:16" x14ac:dyDescent="0.45">
      <c r="A652" t="s">
        <v>660</v>
      </c>
      <c r="B652" s="1">
        <v>45742</v>
      </c>
      <c r="C652" s="2" t="s">
        <v>2010</v>
      </c>
      <c r="D652" t="s">
        <v>2015</v>
      </c>
      <c r="E652">
        <v>0</v>
      </c>
      <c r="F652">
        <f>Cleaned[[#This Row],[Debit]] * Cleaned[[#This Row],[FX_rates]]</f>
        <v>0</v>
      </c>
      <c r="G652">
        <v>4294.0600000000004</v>
      </c>
      <c r="H652">
        <f>Cleaned[[#This Row],[Credit]] *  Cleaned[[#This Row],[FX_rates]]</f>
        <v>352112.92000000004</v>
      </c>
      <c r="I652" t="s">
        <v>2021</v>
      </c>
      <c r="J652" t="s">
        <v>2029</v>
      </c>
      <c r="K652" t="s">
        <v>2681</v>
      </c>
      <c r="L652" t="s">
        <v>4034</v>
      </c>
      <c r="M652">
        <f>Cleaned[[#This Row],[Credit]]-Cleaned[[#This Row],[Debit]]</f>
        <v>4294.0600000000004</v>
      </c>
      <c r="N652" t="str">
        <f>_xlfn.XLOOKUP(Cleaned[[#This Row],[AccountName]], Account_Mapping!A:A, Account_Mapping!B:B,"Unmapped")</f>
        <v>Revenue</v>
      </c>
      <c r="O652" cm="1">
        <f t="array" ref="O652">_xlfn.XLOOKUP(
  1,
  (FX_Rates[Currency]=Cleaned[[#This Row],[Currency]])*
  (FX_Rates[RateDate]&lt;=Cleaned[[#This Row],[TxnDate]]),
  FX_Rates[Rate_To_INR],
  ,
  -1
)</f>
        <v>82</v>
      </c>
      <c r="P652" s="2">
        <f>Cleaned[[#This Row],[Net Amount]] *  Cleaned[[#This Row],[FX_rates]]</f>
        <v>352112.92000000004</v>
      </c>
    </row>
    <row r="653" spans="1:16" x14ac:dyDescent="0.45">
      <c r="A653" t="s">
        <v>661</v>
      </c>
      <c r="B653" s="1">
        <v>45253</v>
      </c>
      <c r="C653" s="2" t="s">
        <v>2010</v>
      </c>
      <c r="D653" t="s">
        <v>2015</v>
      </c>
      <c r="E653">
        <v>0</v>
      </c>
      <c r="F653">
        <f>Cleaned[[#This Row],[Debit]] * Cleaned[[#This Row],[FX_rates]]</f>
        <v>0</v>
      </c>
      <c r="G653">
        <v>451.28</v>
      </c>
      <c r="H653">
        <f>Cleaned[[#This Row],[Credit]] *  Cleaned[[#This Row],[FX_rates]]</f>
        <v>37004.959999999999</v>
      </c>
      <c r="I653" t="s">
        <v>2024</v>
      </c>
      <c r="J653" t="s">
        <v>2027</v>
      </c>
      <c r="K653" t="s">
        <v>2682</v>
      </c>
      <c r="L653" t="s">
        <v>4034</v>
      </c>
      <c r="M653">
        <f>Cleaned[[#This Row],[Credit]]-Cleaned[[#This Row],[Debit]]</f>
        <v>451.28</v>
      </c>
      <c r="N653" t="str">
        <f>_xlfn.XLOOKUP(Cleaned[[#This Row],[AccountName]], Account_Mapping!A:A, Account_Mapping!B:B,"Unmapped")</f>
        <v>Revenue</v>
      </c>
      <c r="O653" cm="1">
        <f t="array" ref="O653">_xlfn.XLOOKUP(
  1,
  (FX_Rates[Currency]=Cleaned[[#This Row],[Currency]])*
  (FX_Rates[RateDate]&lt;=Cleaned[[#This Row],[TxnDate]]),
  FX_Rates[Rate_To_INR],
  ,
  -1
)</f>
        <v>82</v>
      </c>
      <c r="P653" s="2">
        <f>Cleaned[[#This Row],[Net Amount]] *  Cleaned[[#This Row],[FX_rates]]</f>
        <v>37004.959999999999</v>
      </c>
    </row>
    <row r="654" spans="1:16" x14ac:dyDescent="0.45">
      <c r="A654" t="s">
        <v>662</v>
      </c>
      <c r="B654" s="1">
        <v>45527</v>
      </c>
      <c r="C654" s="2" t="s">
        <v>2013</v>
      </c>
      <c r="D654" t="s">
        <v>2018</v>
      </c>
      <c r="E654">
        <v>1730.45</v>
      </c>
      <c r="F654">
        <f>Cleaned[[#This Row],[Debit]] * Cleaned[[#This Row],[FX_rates]]</f>
        <v>141896.9</v>
      </c>
      <c r="G654">
        <v>0</v>
      </c>
      <c r="H654">
        <f>Cleaned[[#This Row],[Credit]] *  Cleaned[[#This Row],[FX_rates]]</f>
        <v>0</v>
      </c>
      <c r="I654" t="s">
        <v>2021</v>
      </c>
      <c r="J654" t="s">
        <v>2029</v>
      </c>
      <c r="K654" t="s">
        <v>2683</v>
      </c>
      <c r="L654" t="s">
        <v>4034</v>
      </c>
      <c r="M654">
        <f>Cleaned[[#This Row],[Credit]]-Cleaned[[#This Row],[Debit]]</f>
        <v>-1730.45</v>
      </c>
      <c r="N654" t="str">
        <f>_xlfn.XLOOKUP(Cleaned[[#This Row],[AccountName]], Account_Mapping!A:A, Account_Mapping!B:B,"Unmapped")</f>
        <v>Operating Expense</v>
      </c>
      <c r="O654" cm="1">
        <f t="array" ref="O654">_xlfn.XLOOKUP(
  1,
  (FX_Rates[Currency]=Cleaned[[#This Row],[Currency]])*
  (FX_Rates[RateDate]&lt;=Cleaned[[#This Row],[TxnDate]]),
  FX_Rates[Rate_To_INR],
  ,
  -1
)</f>
        <v>82</v>
      </c>
      <c r="P654" s="2">
        <f>Cleaned[[#This Row],[Net Amount]] *  Cleaned[[#This Row],[FX_rates]]</f>
        <v>-141896.9</v>
      </c>
    </row>
    <row r="655" spans="1:16" x14ac:dyDescent="0.45">
      <c r="A655" t="s">
        <v>663</v>
      </c>
      <c r="B655" s="1">
        <v>44927</v>
      </c>
      <c r="C655" s="2" t="s">
        <v>2010</v>
      </c>
      <c r="D655" t="s">
        <v>2015</v>
      </c>
      <c r="E655">
        <v>0</v>
      </c>
      <c r="F655">
        <f>Cleaned[[#This Row],[Debit]] * Cleaned[[#This Row],[FX_rates]]</f>
        <v>0</v>
      </c>
      <c r="G655">
        <v>4570.1099999999997</v>
      </c>
      <c r="H655">
        <f>Cleaned[[#This Row],[Credit]] *  Cleaned[[#This Row],[FX_rates]]</f>
        <v>374749.01999999996</v>
      </c>
      <c r="I655" t="s">
        <v>2024</v>
      </c>
      <c r="J655" t="s">
        <v>2030</v>
      </c>
      <c r="K655" t="s">
        <v>2684</v>
      </c>
      <c r="L655" t="s">
        <v>4034</v>
      </c>
      <c r="M655">
        <f>Cleaned[[#This Row],[Credit]]-Cleaned[[#This Row],[Debit]]</f>
        <v>4570.1099999999997</v>
      </c>
      <c r="N655" t="str">
        <f>_xlfn.XLOOKUP(Cleaned[[#This Row],[AccountName]], Account_Mapping!A:A, Account_Mapping!B:B,"Unmapped")</f>
        <v>Revenue</v>
      </c>
      <c r="O655" cm="1">
        <f t="array" ref="O655">_xlfn.XLOOKUP(
  1,
  (FX_Rates[Currency]=Cleaned[[#This Row],[Currency]])*
  (FX_Rates[RateDate]&lt;=Cleaned[[#This Row],[TxnDate]]),
  FX_Rates[Rate_To_INR],
  ,
  -1
)</f>
        <v>82</v>
      </c>
      <c r="P655" s="2">
        <f>Cleaned[[#This Row],[Net Amount]] *  Cleaned[[#This Row],[FX_rates]]</f>
        <v>374749.01999999996</v>
      </c>
    </row>
    <row r="656" spans="1:16" x14ac:dyDescent="0.45">
      <c r="A656" t="s">
        <v>664</v>
      </c>
      <c r="B656" s="1">
        <v>45638</v>
      </c>
      <c r="C656" s="2" t="s">
        <v>2013</v>
      </c>
      <c r="D656" t="s">
        <v>2018</v>
      </c>
      <c r="E656">
        <v>1200.67</v>
      </c>
      <c r="F656">
        <f>Cleaned[[#This Row],[Debit]] * Cleaned[[#This Row],[FX_rates]]</f>
        <v>73240.87000000001</v>
      </c>
      <c r="G656">
        <v>0</v>
      </c>
      <c r="H656">
        <f>Cleaned[[#This Row],[Credit]] *  Cleaned[[#This Row],[FX_rates]]</f>
        <v>0</v>
      </c>
      <c r="I656" t="s">
        <v>2025</v>
      </c>
      <c r="J656" t="s">
        <v>2026</v>
      </c>
      <c r="K656" t="s">
        <v>2685</v>
      </c>
      <c r="L656" t="s">
        <v>4035</v>
      </c>
      <c r="M656">
        <f>Cleaned[[#This Row],[Credit]]-Cleaned[[#This Row],[Debit]]</f>
        <v>-1200.67</v>
      </c>
      <c r="N656" t="str">
        <f>_xlfn.XLOOKUP(Cleaned[[#This Row],[AccountName]], Account_Mapping!A:A, Account_Mapping!B:B,"Unmapped")</f>
        <v>Operating Expense</v>
      </c>
      <c r="O656" cm="1">
        <f t="array" ref="O656">_xlfn.XLOOKUP(
  1,
  (FX_Rates[Currency]=Cleaned[[#This Row],[Currency]])*
  (FX_Rates[RateDate]&lt;=Cleaned[[#This Row],[TxnDate]]),
  FX_Rates[Rate_To_INR],
  ,
  -1
)</f>
        <v>61</v>
      </c>
      <c r="P656" s="2">
        <f>Cleaned[[#This Row],[Net Amount]] *  Cleaned[[#This Row],[FX_rates]]</f>
        <v>-73240.87000000001</v>
      </c>
    </row>
    <row r="657" spans="1:16" x14ac:dyDescent="0.45">
      <c r="A657" t="s">
        <v>665</v>
      </c>
      <c r="B657" s="1">
        <v>45388</v>
      </c>
      <c r="C657" s="2" t="s">
        <v>2011</v>
      </c>
      <c r="D657" t="s">
        <v>2016</v>
      </c>
      <c r="E657">
        <v>1429.26</v>
      </c>
      <c r="F657">
        <f>Cleaned[[#This Row],[Debit]] * Cleaned[[#This Row],[FX_rates]]</f>
        <v>125774.88</v>
      </c>
      <c r="G657">
        <v>0</v>
      </c>
      <c r="H657">
        <f>Cleaned[[#This Row],[Credit]] *  Cleaned[[#This Row],[FX_rates]]</f>
        <v>0</v>
      </c>
      <c r="I657" t="s">
        <v>2025</v>
      </c>
      <c r="J657" t="s">
        <v>2029</v>
      </c>
      <c r="K657" t="s">
        <v>2686</v>
      </c>
      <c r="L657" t="s">
        <v>4032</v>
      </c>
      <c r="M657">
        <f>Cleaned[[#This Row],[Credit]]-Cleaned[[#This Row],[Debit]]</f>
        <v>-1429.26</v>
      </c>
      <c r="N657" t="str">
        <f>_xlfn.XLOOKUP(Cleaned[[#This Row],[AccountName]], Account_Mapping!A:A, Account_Mapping!B:B,"Unmapped")</f>
        <v>COGS</v>
      </c>
      <c r="O657" cm="1">
        <f t="array" ref="O657">_xlfn.XLOOKUP(
  1,
  (FX_Rates[Currency]=Cleaned[[#This Row],[Currency]])*
  (FX_Rates[RateDate]&lt;=Cleaned[[#This Row],[TxnDate]]),
  FX_Rates[Rate_To_INR],
  ,
  -1
)</f>
        <v>88</v>
      </c>
      <c r="P657" s="2">
        <f>Cleaned[[#This Row],[Net Amount]] *  Cleaned[[#This Row],[FX_rates]]</f>
        <v>-125774.88</v>
      </c>
    </row>
    <row r="658" spans="1:16" x14ac:dyDescent="0.45">
      <c r="A658" t="s">
        <v>666</v>
      </c>
      <c r="B658" s="1">
        <v>45143</v>
      </c>
      <c r="C658" s="2" t="s">
        <v>2013</v>
      </c>
      <c r="D658" t="s">
        <v>2018</v>
      </c>
      <c r="E658">
        <v>1489.09</v>
      </c>
      <c r="F658">
        <f>Cleaned[[#This Row],[Debit]] * Cleaned[[#This Row],[FX_rates]]</f>
        <v>131039.92</v>
      </c>
      <c r="G658">
        <v>0</v>
      </c>
      <c r="H658">
        <f>Cleaned[[#This Row],[Credit]] *  Cleaned[[#This Row],[FX_rates]]</f>
        <v>0</v>
      </c>
      <c r="I658" t="s">
        <v>2020</v>
      </c>
      <c r="J658" t="s">
        <v>2028</v>
      </c>
      <c r="K658" t="s">
        <v>2687</v>
      </c>
      <c r="L658" t="s">
        <v>4032</v>
      </c>
      <c r="M658">
        <f>Cleaned[[#This Row],[Credit]]-Cleaned[[#This Row],[Debit]]</f>
        <v>-1489.09</v>
      </c>
      <c r="N658" t="str">
        <f>_xlfn.XLOOKUP(Cleaned[[#This Row],[AccountName]], Account_Mapping!A:A, Account_Mapping!B:B,"Unmapped")</f>
        <v>Operating Expense</v>
      </c>
      <c r="O658" cm="1">
        <f t="array" ref="O658">_xlfn.XLOOKUP(
  1,
  (FX_Rates[Currency]=Cleaned[[#This Row],[Currency]])*
  (FX_Rates[RateDate]&lt;=Cleaned[[#This Row],[TxnDate]]),
  FX_Rates[Rate_To_INR],
  ,
  -1
)</f>
        <v>88</v>
      </c>
      <c r="P658" s="2">
        <f>Cleaned[[#This Row],[Net Amount]] *  Cleaned[[#This Row],[FX_rates]]</f>
        <v>-131039.92</v>
      </c>
    </row>
    <row r="659" spans="1:16" x14ac:dyDescent="0.45">
      <c r="A659" t="s">
        <v>667</v>
      </c>
      <c r="B659" s="1">
        <v>45438</v>
      </c>
      <c r="C659" s="2" t="s">
        <v>2010</v>
      </c>
      <c r="D659" t="s">
        <v>2015</v>
      </c>
      <c r="E659">
        <v>0</v>
      </c>
      <c r="F659">
        <f>Cleaned[[#This Row],[Debit]] * Cleaned[[#This Row],[FX_rates]]</f>
        <v>0</v>
      </c>
      <c r="G659">
        <v>1528.95</v>
      </c>
      <c r="H659">
        <f>Cleaned[[#This Row],[Credit]] *  Cleaned[[#This Row],[FX_rates]]</f>
        <v>93265.95</v>
      </c>
      <c r="I659" t="s">
        <v>2023</v>
      </c>
      <c r="J659" t="s">
        <v>2030</v>
      </c>
      <c r="K659" t="s">
        <v>2688</v>
      </c>
      <c r="L659" t="s">
        <v>4035</v>
      </c>
      <c r="M659">
        <f>Cleaned[[#This Row],[Credit]]-Cleaned[[#This Row],[Debit]]</f>
        <v>1528.95</v>
      </c>
      <c r="N659" t="str">
        <f>_xlfn.XLOOKUP(Cleaned[[#This Row],[AccountName]], Account_Mapping!A:A, Account_Mapping!B:B,"Unmapped")</f>
        <v>Revenue</v>
      </c>
      <c r="O659" cm="1">
        <f t="array" ref="O659">_xlfn.XLOOKUP(
  1,
  (FX_Rates[Currency]=Cleaned[[#This Row],[Currency]])*
  (FX_Rates[RateDate]&lt;=Cleaned[[#This Row],[TxnDate]]),
  FX_Rates[Rate_To_INR],
  ,
  -1
)</f>
        <v>61</v>
      </c>
      <c r="P659" s="2">
        <f>Cleaned[[#This Row],[Net Amount]] *  Cleaned[[#This Row],[FX_rates]]</f>
        <v>93265.95</v>
      </c>
    </row>
    <row r="660" spans="1:16" x14ac:dyDescent="0.45">
      <c r="A660" t="s">
        <v>668</v>
      </c>
      <c r="B660" s="1">
        <v>45620</v>
      </c>
      <c r="C660" s="2" t="s">
        <v>2014</v>
      </c>
      <c r="D660" t="s">
        <v>2019</v>
      </c>
      <c r="E660">
        <v>0</v>
      </c>
      <c r="F660">
        <f>Cleaned[[#This Row],[Debit]] * Cleaned[[#This Row],[FX_rates]]</f>
        <v>0</v>
      </c>
      <c r="G660">
        <v>4139.3100000000004</v>
      </c>
      <c r="H660">
        <f>Cleaned[[#This Row],[Credit]] *  Cleaned[[#This Row],[FX_rates]]</f>
        <v>252497.91000000003</v>
      </c>
      <c r="I660" t="s">
        <v>2021</v>
      </c>
      <c r="J660" t="s">
        <v>2027</v>
      </c>
      <c r="K660" t="s">
        <v>2689</v>
      </c>
      <c r="L660" t="s">
        <v>4035</v>
      </c>
      <c r="M660">
        <f>Cleaned[[#This Row],[Credit]]-Cleaned[[#This Row],[Debit]]</f>
        <v>4139.3100000000004</v>
      </c>
      <c r="N660" t="str">
        <f>_xlfn.XLOOKUP(Cleaned[[#This Row],[AccountName]], Account_Mapping!A:A, Account_Mapping!B:B,"Unmapped")</f>
        <v>Revenue</v>
      </c>
      <c r="O660" cm="1">
        <f t="array" ref="O660">_xlfn.XLOOKUP(
  1,
  (FX_Rates[Currency]=Cleaned[[#This Row],[Currency]])*
  (FX_Rates[RateDate]&lt;=Cleaned[[#This Row],[TxnDate]]),
  FX_Rates[Rate_To_INR],
  ,
  -1
)</f>
        <v>61</v>
      </c>
      <c r="P660" s="2">
        <f>Cleaned[[#This Row],[Net Amount]] *  Cleaned[[#This Row],[FX_rates]]</f>
        <v>252497.91000000003</v>
      </c>
    </row>
    <row r="661" spans="1:16" x14ac:dyDescent="0.45">
      <c r="A661" t="s">
        <v>669</v>
      </c>
      <c r="B661" s="1">
        <v>45463</v>
      </c>
      <c r="C661" s="2" t="s">
        <v>2012</v>
      </c>
      <c r="D661" t="s">
        <v>2017</v>
      </c>
      <c r="E661">
        <v>1781.01</v>
      </c>
      <c r="F661">
        <f>Cleaned[[#This Row],[Debit]] * Cleaned[[#This Row],[FX_rates]]</f>
        <v>108641.61</v>
      </c>
      <c r="G661">
        <v>0</v>
      </c>
      <c r="H661">
        <f>Cleaned[[#This Row],[Credit]] *  Cleaned[[#This Row],[FX_rates]]</f>
        <v>0</v>
      </c>
      <c r="I661" t="s">
        <v>2020</v>
      </c>
      <c r="J661" t="s">
        <v>2030</v>
      </c>
      <c r="K661" t="s">
        <v>2690</v>
      </c>
      <c r="L661" t="s">
        <v>4035</v>
      </c>
      <c r="M661">
        <f>Cleaned[[#This Row],[Credit]]-Cleaned[[#This Row],[Debit]]</f>
        <v>-1781.01</v>
      </c>
      <c r="N661" t="str">
        <f>_xlfn.XLOOKUP(Cleaned[[#This Row],[AccountName]], Account_Mapping!A:A, Account_Mapping!B:B,"Unmapped")</f>
        <v>Operating Expense</v>
      </c>
      <c r="O661" cm="1">
        <f t="array" ref="O661">_xlfn.XLOOKUP(
  1,
  (FX_Rates[Currency]=Cleaned[[#This Row],[Currency]])*
  (FX_Rates[RateDate]&lt;=Cleaned[[#This Row],[TxnDate]]),
  FX_Rates[Rate_To_INR],
  ,
  -1
)</f>
        <v>61</v>
      </c>
      <c r="P661" s="2">
        <f>Cleaned[[#This Row],[Net Amount]] *  Cleaned[[#This Row],[FX_rates]]</f>
        <v>-108641.61</v>
      </c>
    </row>
    <row r="662" spans="1:16" x14ac:dyDescent="0.45">
      <c r="A662" t="s">
        <v>670</v>
      </c>
      <c r="B662" s="1">
        <v>45188</v>
      </c>
      <c r="C662" s="2" t="s">
        <v>2011</v>
      </c>
      <c r="D662" t="s">
        <v>2016</v>
      </c>
      <c r="E662">
        <v>1659.6</v>
      </c>
      <c r="F662">
        <f>Cleaned[[#This Row],[Debit]] * Cleaned[[#This Row],[FX_rates]]</f>
        <v>170938.8</v>
      </c>
      <c r="G662">
        <v>0</v>
      </c>
      <c r="H662">
        <f>Cleaned[[#This Row],[Credit]] *  Cleaned[[#This Row],[FX_rates]]</f>
        <v>0</v>
      </c>
      <c r="I662" t="s">
        <v>2021</v>
      </c>
      <c r="J662" t="s">
        <v>2029</v>
      </c>
      <c r="K662" t="s">
        <v>2691</v>
      </c>
      <c r="L662" t="s">
        <v>4031</v>
      </c>
      <c r="M662">
        <f>Cleaned[[#This Row],[Credit]]-Cleaned[[#This Row],[Debit]]</f>
        <v>-1659.6</v>
      </c>
      <c r="N662" t="str">
        <f>_xlfn.XLOOKUP(Cleaned[[#This Row],[AccountName]], Account_Mapping!A:A, Account_Mapping!B:B,"Unmapped")</f>
        <v>COGS</v>
      </c>
      <c r="O662" cm="1">
        <f t="array" ref="O662">_xlfn.XLOOKUP(
  1,
  (FX_Rates[Currency]=Cleaned[[#This Row],[Currency]])*
  (FX_Rates[RateDate]&lt;=Cleaned[[#This Row],[TxnDate]]),
  FX_Rates[Rate_To_INR],
  ,
  -1
)</f>
        <v>103</v>
      </c>
      <c r="P662" s="2">
        <f>Cleaned[[#This Row],[Net Amount]] *  Cleaned[[#This Row],[FX_rates]]</f>
        <v>-170938.8</v>
      </c>
    </row>
    <row r="663" spans="1:16" x14ac:dyDescent="0.45">
      <c r="A663" t="s">
        <v>671</v>
      </c>
      <c r="B663" s="1">
        <v>45777</v>
      </c>
      <c r="C663" s="2" t="s">
        <v>2012</v>
      </c>
      <c r="D663" t="s">
        <v>2017</v>
      </c>
      <c r="E663">
        <v>1220.3</v>
      </c>
      <c r="F663">
        <f>Cleaned[[#This Row],[Debit]] * Cleaned[[#This Row],[FX_rates]]</f>
        <v>100064.59999999999</v>
      </c>
      <c r="G663">
        <v>0</v>
      </c>
      <c r="H663">
        <f>Cleaned[[#This Row],[Credit]] *  Cleaned[[#This Row],[FX_rates]]</f>
        <v>0</v>
      </c>
      <c r="I663" t="s">
        <v>2022</v>
      </c>
      <c r="J663" t="s">
        <v>2027</v>
      </c>
      <c r="K663" t="s">
        <v>2692</v>
      </c>
      <c r="L663" t="s">
        <v>4034</v>
      </c>
      <c r="M663">
        <f>Cleaned[[#This Row],[Credit]]-Cleaned[[#This Row],[Debit]]</f>
        <v>-1220.3</v>
      </c>
      <c r="N663" t="str">
        <f>_xlfn.XLOOKUP(Cleaned[[#This Row],[AccountName]], Account_Mapping!A:A, Account_Mapping!B:B,"Unmapped")</f>
        <v>Operating Expense</v>
      </c>
      <c r="O663" cm="1">
        <f t="array" ref="O663">_xlfn.XLOOKUP(
  1,
  (FX_Rates[Currency]=Cleaned[[#This Row],[Currency]])*
  (FX_Rates[RateDate]&lt;=Cleaned[[#This Row],[TxnDate]]),
  FX_Rates[Rate_To_INR],
  ,
  -1
)</f>
        <v>82</v>
      </c>
      <c r="P663" s="2">
        <f>Cleaned[[#This Row],[Net Amount]] *  Cleaned[[#This Row],[FX_rates]]</f>
        <v>-100064.59999999999</v>
      </c>
    </row>
    <row r="664" spans="1:16" x14ac:dyDescent="0.45">
      <c r="A664" t="s">
        <v>672</v>
      </c>
      <c r="B664" s="1">
        <v>45569</v>
      </c>
      <c r="C664" s="2" t="s">
        <v>2011</v>
      </c>
      <c r="D664" t="s">
        <v>2016</v>
      </c>
      <c r="E664">
        <v>1327.71</v>
      </c>
      <c r="F664">
        <f>Cleaned[[#This Row],[Debit]] * Cleaned[[#This Row],[FX_rates]]</f>
        <v>116838.48000000001</v>
      </c>
      <c r="G664">
        <v>0</v>
      </c>
      <c r="H664">
        <f>Cleaned[[#This Row],[Credit]] *  Cleaned[[#This Row],[FX_rates]]</f>
        <v>0</v>
      </c>
      <c r="I664" t="s">
        <v>2023</v>
      </c>
      <c r="J664" t="s">
        <v>2029</v>
      </c>
      <c r="K664" t="s">
        <v>2693</v>
      </c>
      <c r="L664" t="s">
        <v>4032</v>
      </c>
      <c r="M664">
        <f>Cleaned[[#This Row],[Credit]]-Cleaned[[#This Row],[Debit]]</f>
        <v>-1327.71</v>
      </c>
      <c r="N664" t="str">
        <f>_xlfn.XLOOKUP(Cleaned[[#This Row],[AccountName]], Account_Mapping!A:A, Account_Mapping!B:B,"Unmapped")</f>
        <v>COGS</v>
      </c>
      <c r="O664" cm="1">
        <f t="array" ref="O664">_xlfn.XLOOKUP(
  1,
  (FX_Rates[Currency]=Cleaned[[#This Row],[Currency]])*
  (FX_Rates[RateDate]&lt;=Cleaned[[#This Row],[TxnDate]]),
  FX_Rates[Rate_To_INR],
  ,
  -1
)</f>
        <v>88</v>
      </c>
      <c r="P664" s="2">
        <f>Cleaned[[#This Row],[Net Amount]] *  Cleaned[[#This Row],[FX_rates]]</f>
        <v>-116838.48000000001</v>
      </c>
    </row>
    <row r="665" spans="1:16" x14ac:dyDescent="0.45">
      <c r="A665" t="s">
        <v>673</v>
      </c>
      <c r="B665" s="1">
        <v>45631</v>
      </c>
      <c r="C665" s="2" t="s">
        <v>2011</v>
      </c>
      <c r="D665" t="s">
        <v>2016</v>
      </c>
      <c r="E665">
        <v>1760.57</v>
      </c>
      <c r="F665">
        <f>Cleaned[[#This Row],[Debit]] * Cleaned[[#This Row],[FX_rates]]</f>
        <v>181338.71</v>
      </c>
      <c r="G665">
        <v>0</v>
      </c>
      <c r="H665">
        <f>Cleaned[[#This Row],[Credit]] *  Cleaned[[#This Row],[FX_rates]]</f>
        <v>0</v>
      </c>
      <c r="I665" t="s">
        <v>2023</v>
      </c>
      <c r="J665" t="s">
        <v>2027</v>
      </c>
      <c r="K665" t="s">
        <v>2694</v>
      </c>
      <c r="L665" t="s">
        <v>4031</v>
      </c>
      <c r="M665">
        <f>Cleaned[[#This Row],[Credit]]-Cleaned[[#This Row],[Debit]]</f>
        <v>-1760.57</v>
      </c>
      <c r="N665" t="str">
        <f>_xlfn.XLOOKUP(Cleaned[[#This Row],[AccountName]], Account_Mapping!A:A, Account_Mapping!B:B,"Unmapped")</f>
        <v>COGS</v>
      </c>
      <c r="O665" cm="1">
        <f t="array" ref="O665">_xlfn.XLOOKUP(
  1,
  (FX_Rates[Currency]=Cleaned[[#This Row],[Currency]])*
  (FX_Rates[RateDate]&lt;=Cleaned[[#This Row],[TxnDate]]),
  FX_Rates[Rate_To_INR],
  ,
  -1
)</f>
        <v>103</v>
      </c>
      <c r="P665" s="2">
        <f>Cleaned[[#This Row],[Net Amount]] *  Cleaned[[#This Row],[FX_rates]]</f>
        <v>-181338.71</v>
      </c>
    </row>
    <row r="666" spans="1:16" x14ac:dyDescent="0.45">
      <c r="A666" t="s">
        <v>674</v>
      </c>
      <c r="B666" s="1">
        <v>45367</v>
      </c>
      <c r="C666" s="2" t="s">
        <v>2012</v>
      </c>
      <c r="D666" t="s">
        <v>2017</v>
      </c>
      <c r="E666">
        <v>832.19</v>
      </c>
      <c r="F666">
        <f>Cleaned[[#This Row],[Debit]] * Cleaned[[#This Row],[FX_rates]]</f>
        <v>46602.64</v>
      </c>
      <c r="G666">
        <v>0</v>
      </c>
      <c r="H666">
        <f>Cleaned[[#This Row],[Credit]] *  Cleaned[[#This Row],[FX_rates]]</f>
        <v>0</v>
      </c>
      <c r="I666" t="s">
        <v>2022</v>
      </c>
      <c r="J666" t="s">
        <v>2026</v>
      </c>
      <c r="K666" t="s">
        <v>2695</v>
      </c>
      <c r="L666" t="s">
        <v>4033</v>
      </c>
      <c r="M666">
        <f>Cleaned[[#This Row],[Credit]]-Cleaned[[#This Row],[Debit]]</f>
        <v>-832.19</v>
      </c>
      <c r="N666" t="str">
        <f>_xlfn.XLOOKUP(Cleaned[[#This Row],[AccountName]], Account_Mapping!A:A, Account_Mapping!B:B,"Unmapped")</f>
        <v>Operating Expense</v>
      </c>
      <c r="O666" cm="1">
        <f t="array" ref="O666">_xlfn.XLOOKUP(
  1,
  (FX_Rates[Currency]=Cleaned[[#This Row],[Currency]])*
  (FX_Rates[RateDate]&lt;=Cleaned[[#This Row],[TxnDate]]),
  FX_Rates[Rate_To_INR],
  ,
  -1
)</f>
        <v>56</v>
      </c>
      <c r="P666" s="2">
        <f>Cleaned[[#This Row],[Net Amount]] *  Cleaned[[#This Row],[FX_rates]]</f>
        <v>-46602.64</v>
      </c>
    </row>
    <row r="667" spans="1:16" x14ac:dyDescent="0.45">
      <c r="A667" t="s">
        <v>675</v>
      </c>
      <c r="B667" s="1">
        <v>44951</v>
      </c>
      <c r="C667" s="2" t="s">
        <v>2011</v>
      </c>
      <c r="D667" t="s">
        <v>2016</v>
      </c>
      <c r="E667">
        <v>243.79</v>
      </c>
      <c r="F667">
        <f>Cleaned[[#This Row],[Debit]] * Cleaned[[#This Row],[FX_rates]]</f>
        <v>14871.189999999999</v>
      </c>
      <c r="G667">
        <v>0</v>
      </c>
      <c r="H667">
        <f>Cleaned[[#This Row],[Credit]] *  Cleaned[[#This Row],[FX_rates]]</f>
        <v>0</v>
      </c>
      <c r="I667" t="s">
        <v>2021</v>
      </c>
      <c r="J667" t="s">
        <v>2028</v>
      </c>
      <c r="K667" t="s">
        <v>2696</v>
      </c>
      <c r="L667" t="s">
        <v>4035</v>
      </c>
      <c r="M667">
        <f>Cleaned[[#This Row],[Credit]]-Cleaned[[#This Row],[Debit]]</f>
        <v>-243.79</v>
      </c>
      <c r="N667" t="str">
        <f>_xlfn.XLOOKUP(Cleaned[[#This Row],[AccountName]], Account_Mapping!A:A, Account_Mapping!B:B,"Unmapped")</f>
        <v>COGS</v>
      </c>
      <c r="O667" cm="1">
        <f t="array" ref="O667">_xlfn.XLOOKUP(
  1,
  (FX_Rates[Currency]=Cleaned[[#This Row],[Currency]])*
  (FX_Rates[RateDate]&lt;=Cleaned[[#This Row],[TxnDate]]),
  FX_Rates[Rate_To_INR],
  ,
  -1
)</f>
        <v>61</v>
      </c>
      <c r="P667" s="2">
        <f>Cleaned[[#This Row],[Net Amount]] *  Cleaned[[#This Row],[FX_rates]]</f>
        <v>-14871.189999999999</v>
      </c>
    </row>
    <row r="668" spans="1:16" x14ac:dyDescent="0.45">
      <c r="A668" t="s">
        <v>676</v>
      </c>
      <c r="B668" s="1">
        <v>45770</v>
      </c>
      <c r="C668" s="2" t="s">
        <v>2013</v>
      </c>
      <c r="D668" t="s">
        <v>2018</v>
      </c>
      <c r="E668">
        <v>560.62</v>
      </c>
      <c r="F668">
        <f>Cleaned[[#This Row],[Debit]] * Cleaned[[#This Row],[FX_rates]]</f>
        <v>31394.720000000001</v>
      </c>
      <c r="G668">
        <v>0</v>
      </c>
      <c r="H668">
        <f>Cleaned[[#This Row],[Credit]] *  Cleaned[[#This Row],[FX_rates]]</f>
        <v>0</v>
      </c>
      <c r="I668" t="s">
        <v>2020</v>
      </c>
      <c r="J668" t="s">
        <v>2027</v>
      </c>
      <c r="K668" t="s">
        <v>2697</v>
      </c>
      <c r="L668" t="s">
        <v>4033</v>
      </c>
      <c r="M668">
        <f>Cleaned[[#This Row],[Credit]]-Cleaned[[#This Row],[Debit]]</f>
        <v>-560.62</v>
      </c>
      <c r="N668" t="str">
        <f>_xlfn.XLOOKUP(Cleaned[[#This Row],[AccountName]], Account_Mapping!A:A, Account_Mapping!B:B,"Unmapped")</f>
        <v>Operating Expense</v>
      </c>
      <c r="O668" cm="1">
        <f t="array" ref="O668">_xlfn.XLOOKUP(
  1,
  (FX_Rates[Currency]=Cleaned[[#This Row],[Currency]])*
  (FX_Rates[RateDate]&lt;=Cleaned[[#This Row],[TxnDate]]),
  FX_Rates[Rate_To_INR],
  ,
  -1
)</f>
        <v>56</v>
      </c>
      <c r="P668" s="2">
        <f>Cleaned[[#This Row],[Net Amount]] *  Cleaned[[#This Row],[FX_rates]]</f>
        <v>-31394.720000000001</v>
      </c>
    </row>
    <row r="669" spans="1:16" x14ac:dyDescent="0.45">
      <c r="A669" t="s">
        <v>677</v>
      </c>
      <c r="B669" s="1">
        <v>45224</v>
      </c>
      <c r="C669" s="2" t="s">
        <v>2014</v>
      </c>
      <c r="D669" t="s">
        <v>2019</v>
      </c>
      <c r="E669">
        <v>0</v>
      </c>
      <c r="F669">
        <f>Cleaned[[#This Row],[Debit]] * Cleaned[[#This Row],[FX_rates]]</f>
        <v>0</v>
      </c>
      <c r="G669">
        <v>4106.57</v>
      </c>
      <c r="H669">
        <f>Cleaned[[#This Row],[Credit]] *  Cleaned[[#This Row],[FX_rates]]</f>
        <v>422976.70999999996</v>
      </c>
      <c r="I669" t="s">
        <v>2023</v>
      </c>
      <c r="J669" t="s">
        <v>2026</v>
      </c>
      <c r="K669" t="s">
        <v>2698</v>
      </c>
      <c r="L669" t="s">
        <v>4031</v>
      </c>
      <c r="M669">
        <f>Cleaned[[#This Row],[Credit]]-Cleaned[[#This Row],[Debit]]</f>
        <v>4106.57</v>
      </c>
      <c r="N669" t="str">
        <f>_xlfn.XLOOKUP(Cleaned[[#This Row],[AccountName]], Account_Mapping!A:A, Account_Mapping!B:B,"Unmapped")</f>
        <v>Revenue</v>
      </c>
      <c r="O669" cm="1">
        <f t="array" ref="O669">_xlfn.XLOOKUP(
  1,
  (FX_Rates[Currency]=Cleaned[[#This Row],[Currency]])*
  (FX_Rates[RateDate]&lt;=Cleaned[[#This Row],[TxnDate]]),
  FX_Rates[Rate_To_INR],
  ,
  -1
)</f>
        <v>103</v>
      </c>
      <c r="P669" s="2">
        <f>Cleaned[[#This Row],[Net Amount]] *  Cleaned[[#This Row],[FX_rates]]</f>
        <v>422976.70999999996</v>
      </c>
    </row>
    <row r="670" spans="1:16" x14ac:dyDescent="0.45">
      <c r="A670" t="s">
        <v>678</v>
      </c>
      <c r="B670" s="1">
        <v>45724</v>
      </c>
      <c r="C670" s="2" t="s">
        <v>2013</v>
      </c>
      <c r="D670" t="s">
        <v>2018</v>
      </c>
      <c r="E670">
        <v>873.19</v>
      </c>
      <c r="F670">
        <f>Cleaned[[#This Row],[Debit]] * Cleaned[[#This Row],[FX_rates]]</f>
        <v>89938.57</v>
      </c>
      <c r="G670">
        <v>0</v>
      </c>
      <c r="H670">
        <f>Cleaned[[#This Row],[Credit]] *  Cleaned[[#This Row],[FX_rates]]</f>
        <v>0</v>
      </c>
      <c r="I670" t="s">
        <v>2022</v>
      </c>
      <c r="J670" t="s">
        <v>2027</v>
      </c>
      <c r="K670" t="s">
        <v>2699</v>
      </c>
      <c r="L670" t="s">
        <v>4031</v>
      </c>
      <c r="M670">
        <f>Cleaned[[#This Row],[Credit]]-Cleaned[[#This Row],[Debit]]</f>
        <v>-873.19</v>
      </c>
      <c r="N670" t="str">
        <f>_xlfn.XLOOKUP(Cleaned[[#This Row],[AccountName]], Account_Mapping!A:A, Account_Mapping!B:B,"Unmapped")</f>
        <v>Operating Expense</v>
      </c>
      <c r="O670" cm="1">
        <f t="array" ref="O670">_xlfn.XLOOKUP(
  1,
  (FX_Rates[Currency]=Cleaned[[#This Row],[Currency]])*
  (FX_Rates[RateDate]&lt;=Cleaned[[#This Row],[TxnDate]]),
  FX_Rates[Rate_To_INR],
  ,
  -1
)</f>
        <v>103</v>
      </c>
      <c r="P670" s="2">
        <f>Cleaned[[#This Row],[Net Amount]] *  Cleaned[[#This Row],[FX_rates]]</f>
        <v>-89938.57</v>
      </c>
    </row>
    <row r="671" spans="1:16" x14ac:dyDescent="0.45">
      <c r="A671" t="s">
        <v>679</v>
      </c>
      <c r="B671" s="1">
        <v>45223</v>
      </c>
      <c r="C671" s="2" t="s">
        <v>2014</v>
      </c>
      <c r="D671" t="s">
        <v>2019</v>
      </c>
      <c r="E671">
        <v>0</v>
      </c>
      <c r="F671">
        <f>Cleaned[[#This Row],[Debit]] * Cleaned[[#This Row],[FX_rates]]</f>
        <v>0</v>
      </c>
      <c r="G671">
        <v>541.23</v>
      </c>
      <c r="H671">
        <f>Cleaned[[#This Row],[Credit]] *  Cleaned[[#This Row],[FX_rates]]</f>
        <v>33015.03</v>
      </c>
      <c r="I671" t="s">
        <v>2023</v>
      </c>
      <c r="J671" t="s">
        <v>2028</v>
      </c>
      <c r="K671" t="s">
        <v>2700</v>
      </c>
      <c r="L671" t="s">
        <v>4035</v>
      </c>
      <c r="M671">
        <f>Cleaned[[#This Row],[Credit]]-Cleaned[[#This Row],[Debit]]</f>
        <v>541.23</v>
      </c>
      <c r="N671" t="str">
        <f>_xlfn.XLOOKUP(Cleaned[[#This Row],[AccountName]], Account_Mapping!A:A, Account_Mapping!B:B,"Unmapped")</f>
        <v>Revenue</v>
      </c>
      <c r="O671" cm="1">
        <f t="array" ref="O671">_xlfn.XLOOKUP(
  1,
  (FX_Rates[Currency]=Cleaned[[#This Row],[Currency]])*
  (FX_Rates[RateDate]&lt;=Cleaned[[#This Row],[TxnDate]]),
  FX_Rates[Rate_To_INR],
  ,
  -1
)</f>
        <v>61</v>
      </c>
      <c r="P671" s="2">
        <f>Cleaned[[#This Row],[Net Amount]] *  Cleaned[[#This Row],[FX_rates]]</f>
        <v>33015.03</v>
      </c>
    </row>
    <row r="672" spans="1:16" x14ac:dyDescent="0.45">
      <c r="A672" t="s">
        <v>680</v>
      </c>
      <c r="B672" s="1">
        <v>45402</v>
      </c>
      <c r="C672" s="2" t="s">
        <v>2011</v>
      </c>
      <c r="D672" t="s">
        <v>2016</v>
      </c>
      <c r="E672">
        <v>793.98</v>
      </c>
      <c r="F672">
        <f>Cleaned[[#This Row],[Debit]] * Cleaned[[#This Row],[FX_rates]]</f>
        <v>69870.240000000005</v>
      </c>
      <c r="G672">
        <v>0</v>
      </c>
      <c r="H672">
        <f>Cleaned[[#This Row],[Credit]] *  Cleaned[[#This Row],[FX_rates]]</f>
        <v>0</v>
      </c>
      <c r="I672" t="s">
        <v>2022</v>
      </c>
      <c r="J672" t="s">
        <v>2029</v>
      </c>
      <c r="K672" t="s">
        <v>2701</v>
      </c>
      <c r="L672" t="s">
        <v>4032</v>
      </c>
      <c r="M672">
        <f>Cleaned[[#This Row],[Credit]]-Cleaned[[#This Row],[Debit]]</f>
        <v>-793.98</v>
      </c>
      <c r="N672" t="str">
        <f>_xlfn.XLOOKUP(Cleaned[[#This Row],[AccountName]], Account_Mapping!A:A, Account_Mapping!B:B,"Unmapped")</f>
        <v>COGS</v>
      </c>
      <c r="O672" cm="1">
        <f t="array" ref="O672">_xlfn.XLOOKUP(
  1,
  (FX_Rates[Currency]=Cleaned[[#This Row],[Currency]])*
  (FX_Rates[RateDate]&lt;=Cleaned[[#This Row],[TxnDate]]),
  FX_Rates[Rate_To_INR],
  ,
  -1
)</f>
        <v>88</v>
      </c>
      <c r="P672" s="2">
        <f>Cleaned[[#This Row],[Net Amount]] *  Cleaned[[#This Row],[FX_rates]]</f>
        <v>-69870.240000000005</v>
      </c>
    </row>
    <row r="673" spans="1:16" x14ac:dyDescent="0.45">
      <c r="A673" t="s">
        <v>681</v>
      </c>
      <c r="B673" s="1">
        <v>45099</v>
      </c>
      <c r="C673" s="2" t="s">
        <v>2013</v>
      </c>
      <c r="D673" t="s">
        <v>2018</v>
      </c>
      <c r="E673">
        <v>644.58000000000004</v>
      </c>
      <c r="F673">
        <f>Cleaned[[#This Row],[Debit]] * Cleaned[[#This Row],[FX_rates]]</f>
        <v>52855.560000000005</v>
      </c>
      <c r="G673">
        <v>0</v>
      </c>
      <c r="H673">
        <f>Cleaned[[#This Row],[Credit]] *  Cleaned[[#This Row],[FX_rates]]</f>
        <v>0</v>
      </c>
      <c r="I673" t="s">
        <v>2025</v>
      </c>
      <c r="J673" t="s">
        <v>2028</v>
      </c>
      <c r="K673" t="s">
        <v>2702</v>
      </c>
      <c r="L673" t="s">
        <v>4034</v>
      </c>
      <c r="M673">
        <f>Cleaned[[#This Row],[Credit]]-Cleaned[[#This Row],[Debit]]</f>
        <v>-644.58000000000004</v>
      </c>
      <c r="N673" t="str">
        <f>_xlfn.XLOOKUP(Cleaned[[#This Row],[AccountName]], Account_Mapping!A:A, Account_Mapping!B:B,"Unmapped")</f>
        <v>Operating Expense</v>
      </c>
      <c r="O673" cm="1">
        <f t="array" ref="O673">_xlfn.XLOOKUP(
  1,
  (FX_Rates[Currency]=Cleaned[[#This Row],[Currency]])*
  (FX_Rates[RateDate]&lt;=Cleaned[[#This Row],[TxnDate]]),
  FX_Rates[Rate_To_INR],
  ,
  -1
)</f>
        <v>82</v>
      </c>
      <c r="P673" s="2">
        <f>Cleaned[[#This Row],[Net Amount]] *  Cleaned[[#This Row],[FX_rates]]</f>
        <v>-52855.560000000005</v>
      </c>
    </row>
    <row r="674" spans="1:16" x14ac:dyDescent="0.45">
      <c r="A674" t="s">
        <v>682</v>
      </c>
      <c r="B674" s="1">
        <v>44969</v>
      </c>
      <c r="C674" s="2" t="s">
        <v>2013</v>
      </c>
      <c r="D674" t="s">
        <v>2018</v>
      </c>
      <c r="E674">
        <v>222.19</v>
      </c>
      <c r="F674">
        <f>Cleaned[[#This Row],[Debit]] * Cleaned[[#This Row],[FX_rates]]</f>
        <v>22885.57</v>
      </c>
      <c r="G674">
        <v>0</v>
      </c>
      <c r="H674">
        <f>Cleaned[[#This Row],[Credit]] *  Cleaned[[#This Row],[FX_rates]]</f>
        <v>0</v>
      </c>
      <c r="I674" t="s">
        <v>2023</v>
      </c>
      <c r="J674" t="s">
        <v>2029</v>
      </c>
      <c r="K674" t="s">
        <v>2703</v>
      </c>
      <c r="L674" t="s">
        <v>4031</v>
      </c>
      <c r="M674">
        <f>Cleaned[[#This Row],[Credit]]-Cleaned[[#This Row],[Debit]]</f>
        <v>-222.19</v>
      </c>
      <c r="N674" t="str">
        <f>_xlfn.XLOOKUP(Cleaned[[#This Row],[AccountName]], Account_Mapping!A:A, Account_Mapping!B:B,"Unmapped")</f>
        <v>Operating Expense</v>
      </c>
      <c r="O674" cm="1">
        <f t="array" ref="O674">_xlfn.XLOOKUP(
  1,
  (FX_Rates[Currency]=Cleaned[[#This Row],[Currency]])*
  (FX_Rates[RateDate]&lt;=Cleaned[[#This Row],[TxnDate]]),
  FX_Rates[Rate_To_INR],
  ,
  -1
)</f>
        <v>103</v>
      </c>
      <c r="P674" s="2">
        <f>Cleaned[[#This Row],[Net Amount]] *  Cleaned[[#This Row],[FX_rates]]</f>
        <v>-22885.57</v>
      </c>
    </row>
    <row r="675" spans="1:16" x14ac:dyDescent="0.45">
      <c r="A675" t="s">
        <v>683</v>
      </c>
      <c r="B675" s="1">
        <v>45381</v>
      </c>
      <c r="C675" s="2" t="s">
        <v>2012</v>
      </c>
      <c r="D675" t="s">
        <v>2017</v>
      </c>
      <c r="E675">
        <v>296.98</v>
      </c>
      <c r="F675">
        <f>Cleaned[[#This Row],[Debit]] * Cleaned[[#This Row],[FX_rates]]</f>
        <v>16630.88</v>
      </c>
      <c r="G675">
        <v>0</v>
      </c>
      <c r="H675">
        <f>Cleaned[[#This Row],[Credit]] *  Cleaned[[#This Row],[FX_rates]]</f>
        <v>0</v>
      </c>
      <c r="I675" t="s">
        <v>2025</v>
      </c>
      <c r="J675" t="s">
        <v>2030</v>
      </c>
      <c r="K675" t="s">
        <v>2704</v>
      </c>
      <c r="L675" t="s">
        <v>4033</v>
      </c>
      <c r="M675">
        <f>Cleaned[[#This Row],[Credit]]-Cleaned[[#This Row],[Debit]]</f>
        <v>-296.98</v>
      </c>
      <c r="N675" t="str">
        <f>_xlfn.XLOOKUP(Cleaned[[#This Row],[AccountName]], Account_Mapping!A:A, Account_Mapping!B:B,"Unmapped")</f>
        <v>Operating Expense</v>
      </c>
      <c r="O675" cm="1">
        <f t="array" ref="O675">_xlfn.XLOOKUP(
  1,
  (FX_Rates[Currency]=Cleaned[[#This Row],[Currency]])*
  (FX_Rates[RateDate]&lt;=Cleaned[[#This Row],[TxnDate]]),
  FX_Rates[Rate_To_INR],
  ,
  -1
)</f>
        <v>56</v>
      </c>
      <c r="P675" s="2">
        <f>Cleaned[[#This Row],[Net Amount]] *  Cleaned[[#This Row],[FX_rates]]</f>
        <v>-16630.88</v>
      </c>
    </row>
    <row r="676" spans="1:16" x14ac:dyDescent="0.45">
      <c r="A676" t="s">
        <v>684</v>
      </c>
      <c r="B676" s="1">
        <v>45408</v>
      </c>
      <c r="C676" s="2" t="s">
        <v>2013</v>
      </c>
      <c r="D676" t="s">
        <v>2018</v>
      </c>
      <c r="E676">
        <v>1919.89</v>
      </c>
      <c r="F676">
        <f>Cleaned[[#This Row],[Debit]] * Cleaned[[#This Row],[FX_rates]]</f>
        <v>117113.29000000001</v>
      </c>
      <c r="G676">
        <v>0</v>
      </c>
      <c r="H676">
        <f>Cleaned[[#This Row],[Credit]] *  Cleaned[[#This Row],[FX_rates]]</f>
        <v>0</v>
      </c>
      <c r="I676" t="s">
        <v>2020</v>
      </c>
      <c r="J676" t="s">
        <v>2029</v>
      </c>
      <c r="K676" t="s">
        <v>2705</v>
      </c>
      <c r="L676" t="s">
        <v>4035</v>
      </c>
      <c r="M676">
        <f>Cleaned[[#This Row],[Credit]]-Cleaned[[#This Row],[Debit]]</f>
        <v>-1919.89</v>
      </c>
      <c r="N676" t="str">
        <f>_xlfn.XLOOKUP(Cleaned[[#This Row],[AccountName]], Account_Mapping!A:A, Account_Mapping!B:B,"Unmapped")</f>
        <v>Operating Expense</v>
      </c>
      <c r="O676" cm="1">
        <f t="array" ref="O676">_xlfn.XLOOKUP(
  1,
  (FX_Rates[Currency]=Cleaned[[#This Row],[Currency]])*
  (FX_Rates[RateDate]&lt;=Cleaned[[#This Row],[TxnDate]]),
  FX_Rates[Rate_To_INR],
  ,
  -1
)</f>
        <v>61</v>
      </c>
      <c r="P676" s="2">
        <f>Cleaned[[#This Row],[Net Amount]] *  Cleaned[[#This Row],[FX_rates]]</f>
        <v>-117113.29000000001</v>
      </c>
    </row>
    <row r="677" spans="1:16" x14ac:dyDescent="0.45">
      <c r="A677" t="s">
        <v>685</v>
      </c>
      <c r="B677" s="1">
        <v>45467</v>
      </c>
      <c r="C677" s="2" t="s">
        <v>2014</v>
      </c>
      <c r="D677" t="s">
        <v>2019</v>
      </c>
      <c r="E677">
        <v>0</v>
      </c>
      <c r="F677">
        <f>Cleaned[[#This Row],[Debit]] * Cleaned[[#This Row],[FX_rates]]</f>
        <v>0</v>
      </c>
      <c r="G677">
        <v>3948.96</v>
      </c>
      <c r="H677">
        <f>Cleaned[[#This Row],[Credit]] *  Cleaned[[#This Row],[FX_rates]]</f>
        <v>347508.47999999998</v>
      </c>
      <c r="I677" t="s">
        <v>2023</v>
      </c>
      <c r="J677" t="s">
        <v>2029</v>
      </c>
      <c r="K677" t="s">
        <v>2706</v>
      </c>
      <c r="L677" t="s">
        <v>4032</v>
      </c>
      <c r="M677">
        <f>Cleaned[[#This Row],[Credit]]-Cleaned[[#This Row],[Debit]]</f>
        <v>3948.96</v>
      </c>
      <c r="N677" t="str">
        <f>_xlfn.XLOOKUP(Cleaned[[#This Row],[AccountName]], Account_Mapping!A:A, Account_Mapping!B:B,"Unmapped")</f>
        <v>Revenue</v>
      </c>
      <c r="O677" cm="1">
        <f t="array" ref="O677">_xlfn.XLOOKUP(
  1,
  (FX_Rates[Currency]=Cleaned[[#This Row],[Currency]])*
  (FX_Rates[RateDate]&lt;=Cleaned[[#This Row],[TxnDate]]),
  FX_Rates[Rate_To_INR],
  ,
  -1
)</f>
        <v>88</v>
      </c>
      <c r="P677" s="2">
        <f>Cleaned[[#This Row],[Net Amount]] *  Cleaned[[#This Row],[FX_rates]]</f>
        <v>347508.47999999998</v>
      </c>
    </row>
    <row r="678" spans="1:16" x14ac:dyDescent="0.45">
      <c r="A678" t="s">
        <v>686</v>
      </c>
      <c r="B678" s="1">
        <v>45165</v>
      </c>
      <c r="C678" s="2" t="s">
        <v>2010</v>
      </c>
      <c r="D678" t="s">
        <v>2015</v>
      </c>
      <c r="E678">
        <v>0</v>
      </c>
      <c r="F678">
        <f>Cleaned[[#This Row],[Debit]] * Cleaned[[#This Row],[FX_rates]]</f>
        <v>0</v>
      </c>
      <c r="G678">
        <v>1952.91</v>
      </c>
      <c r="H678">
        <f>Cleaned[[#This Row],[Credit]] *  Cleaned[[#This Row],[FX_rates]]</f>
        <v>171856.08000000002</v>
      </c>
      <c r="I678" t="s">
        <v>2024</v>
      </c>
      <c r="J678" t="s">
        <v>2026</v>
      </c>
      <c r="K678" t="s">
        <v>2707</v>
      </c>
      <c r="L678" t="s">
        <v>4032</v>
      </c>
      <c r="M678">
        <f>Cleaned[[#This Row],[Credit]]-Cleaned[[#This Row],[Debit]]</f>
        <v>1952.91</v>
      </c>
      <c r="N678" t="str">
        <f>_xlfn.XLOOKUP(Cleaned[[#This Row],[AccountName]], Account_Mapping!A:A, Account_Mapping!B:B,"Unmapped")</f>
        <v>Revenue</v>
      </c>
      <c r="O678" cm="1">
        <f t="array" ref="O678">_xlfn.XLOOKUP(
  1,
  (FX_Rates[Currency]=Cleaned[[#This Row],[Currency]])*
  (FX_Rates[RateDate]&lt;=Cleaned[[#This Row],[TxnDate]]),
  FX_Rates[Rate_To_INR],
  ,
  -1
)</f>
        <v>88</v>
      </c>
      <c r="P678" s="2">
        <f>Cleaned[[#This Row],[Net Amount]] *  Cleaned[[#This Row],[FX_rates]]</f>
        <v>171856.08000000002</v>
      </c>
    </row>
    <row r="679" spans="1:16" x14ac:dyDescent="0.45">
      <c r="A679" t="s">
        <v>687</v>
      </c>
      <c r="B679" s="1">
        <v>45278</v>
      </c>
      <c r="C679" s="2" t="s">
        <v>2010</v>
      </c>
      <c r="D679" t="s">
        <v>2015</v>
      </c>
      <c r="E679">
        <v>0</v>
      </c>
      <c r="F679">
        <f>Cleaned[[#This Row],[Debit]] * Cleaned[[#This Row],[FX_rates]]</f>
        <v>0</v>
      </c>
      <c r="G679">
        <v>4819.25</v>
      </c>
      <c r="H679">
        <f>Cleaned[[#This Row],[Credit]] *  Cleaned[[#This Row],[FX_rates]]</f>
        <v>395178.5</v>
      </c>
      <c r="I679" t="s">
        <v>2025</v>
      </c>
      <c r="J679" t="s">
        <v>2026</v>
      </c>
      <c r="K679" t="s">
        <v>2708</v>
      </c>
      <c r="L679" t="s">
        <v>4034</v>
      </c>
      <c r="M679">
        <f>Cleaned[[#This Row],[Credit]]-Cleaned[[#This Row],[Debit]]</f>
        <v>4819.25</v>
      </c>
      <c r="N679" t="str">
        <f>_xlfn.XLOOKUP(Cleaned[[#This Row],[AccountName]], Account_Mapping!A:A, Account_Mapping!B:B,"Unmapped")</f>
        <v>Revenue</v>
      </c>
      <c r="O679" cm="1">
        <f t="array" ref="O679">_xlfn.XLOOKUP(
  1,
  (FX_Rates[Currency]=Cleaned[[#This Row],[Currency]])*
  (FX_Rates[RateDate]&lt;=Cleaned[[#This Row],[TxnDate]]),
  FX_Rates[Rate_To_INR],
  ,
  -1
)</f>
        <v>82</v>
      </c>
      <c r="P679" s="2">
        <f>Cleaned[[#This Row],[Net Amount]] *  Cleaned[[#This Row],[FX_rates]]</f>
        <v>395178.5</v>
      </c>
    </row>
    <row r="680" spans="1:16" x14ac:dyDescent="0.45">
      <c r="A680" t="s">
        <v>688</v>
      </c>
      <c r="B680" s="1">
        <v>45061</v>
      </c>
      <c r="C680" s="2" t="s">
        <v>2012</v>
      </c>
      <c r="D680" t="s">
        <v>2017</v>
      </c>
      <c r="E680">
        <v>385.69</v>
      </c>
      <c r="F680">
        <f>Cleaned[[#This Row],[Debit]] * Cleaned[[#This Row],[FX_rates]]</f>
        <v>21598.639999999999</v>
      </c>
      <c r="G680">
        <v>0</v>
      </c>
      <c r="H680">
        <f>Cleaned[[#This Row],[Credit]] *  Cleaned[[#This Row],[FX_rates]]</f>
        <v>0</v>
      </c>
      <c r="I680" t="s">
        <v>2023</v>
      </c>
      <c r="J680" t="s">
        <v>2030</v>
      </c>
      <c r="K680" t="s">
        <v>2709</v>
      </c>
      <c r="L680" t="s">
        <v>4033</v>
      </c>
      <c r="M680">
        <f>Cleaned[[#This Row],[Credit]]-Cleaned[[#This Row],[Debit]]</f>
        <v>-385.69</v>
      </c>
      <c r="N680" t="str">
        <f>_xlfn.XLOOKUP(Cleaned[[#This Row],[AccountName]], Account_Mapping!A:A, Account_Mapping!B:B,"Unmapped")</f>
        <v>Operating Expense</v>
      </c>
      <c r="O680" cm="1">
        <f t="array" ref="O680">_xlfn.XLOOKUP(
  1,
  (FX_Rates[Currency]=Cleaned[[#This Row],[Currency]])*
  (FX_Rates[RateDate]&lt;=Cleaned[[#This Row],[TxnDate]]),
  FX_Rates[Rate_To_INR],
  ,
  -1
)</f>
        <v>56</v>
      </c>
      <c r="P680" s="2">
        <f>Cleaned[[#This Row],[Net Amount]] *  Cleaned[[#This Row],[FX_rates]]</f>
        <v>-21598.639999999999</v>
      </c>
    </row>
    <row r="681" spans="1:16" x14ac:dyDescent="0.45">
      <c r="A681" t="s">
        <v>689</v>
      </c>
      <c r="B681" s="1">
        <v>44949</v>
      </c>
      <c r="C681" s="2" t="s">
        <v>2013</v>
      </c>
      <c r="D681" t="s">
        <v>2018</v>
      </c>
      <c r="E681">
        <v>269.3</v>
      </c>
      <c r="F681">
        <f>Cleaned[[#This Row],[Debit]] * Cleaned[[#This Row],[FX_rates]]</f>
        <v>23698.400000000001</v>
      </c>
      <c r="G681">
        <v>0</v>
      </c>
      <c r="H681">
        <f>Cleaned[[#This Row],[Credit]] *  Cleaned[[#This Row],[FX_rates]]</f>
        <v>0</v>
      </c>
      <c r="I681" t="s">
        <v>2024</v>
      </c>
      <c r="J681" t="s">
        <v>2030</v>
      </c>
      <c r="K681" t="s">
        <v>2710</v>
      </c>
      <c r="L681" t="s">
        <v>4032</v>
      </c>
      <c r="M681">
        <f>Cleaned[[#This Row],[Credit]]-Cleaned[[#This Row],[Debit]]</f>
        <v>-269.3</v>
      </c>
      <c r="N681" t="str">
        <f>_xlfn.XLOOKUP(Cleaned[[#This Row],[AccountName]], Account_Mapping!A:A, Account_Mapping!B:B,"Unmapped")</f>
        <v>Operating Expense</v>
      </c>
      <c r="O681" cm="1">
        <f t="array" ref="O681">_xlfn.XLOOKUP(
  1,
  (FX_Rates[Currency]=Cleaned[[#This Row],[Currency]])*
  (FX_Rates[RateDate]&lt;=Cleaned[[#This Row],[TxnDate]]),
  FX_Rates[Rate_To_INR],
  ,
  -1
)</f>
        <v>88</v>
      </c>
      <c r="P681" s="2">
        <f>Cleaned[[#This Row],[Net Amount]] *  Cleaned[[#This Row],[FX_rates]]</f>
        <v>-23698.400000000001</v>
      </c>
    </row>
    <row r="682" spans="1:16" x14ac:dyDescent="0.45">
      <c r="A682" t="s">
        <v>690</v>
      </c>
      <c r="B682" s="1">
        <v>45504</v>
      </c>
      <c r="C682" s="2" t="s">
        <v>2014</v>
      </c>
      <c r="D682" t="s">
        <v>2019</v>
      </c>
      <c r="E682">
        <v>0</v>
      </c>
      <c r="F682">
        <f>Cleaned[[#This Row],[Debit]] * Cleaned[[#This Row],[FX_rates]]</f>
        <v>0</v>
      </c>
      <c r="G682">
        <v>4910.29</v>
      </c>
      <c r="H682">
        <f>Cleaned[[#This Row],[Credit]] *  Cleaned[[#This Row],[FX_rates]]</f>
        <v>505759.87</v>
      </c>
      <c r="I682" t="s">
        <v>2020</v>
      </c>
      <c r="J682" t="s">
        <v>2030</v>
      </c>
      <c r="K682" t="s">
        <v>2711</v>
      </c>
      <c r="L682" t="s">
        <v>4031</v>
      </c>
      <c r="M682">
        <f>Cleaned[[#This Row],[Credit]]-Cleaned[[#This Row],[Debit]]</f>
        <v>4910.29</v>
      </c>
      <c r="N682" t="str">
        <f>_xlfn.XLOOKUP(Cleaned[[#This Row],[AccountName]], Account_Mapping!A:A, Account_Mapping!B:B,"Unmapped")</f>
        <v>Revenue</v>
      </c>
      <c r="O682" cm="1">
        <f t="array" ref="O682">_xlfn.XLOOKUP(
  1,
  (FX_Rates[Currency]=Cleaned[[#This Row],[Currency]])*
  (FX_Rates[RateDate]&lt;=Cleaned[[#This Row],[TxnDate]]),
  FX_Rates[Rate_To_INR],
  ,
  -1
)</f>
        <v>103</v>
      </c>
      <c r="P682" s="2">
        <f>Cleaned[[#This Row],[Net Amount]] *  Cleaned[[#This Row],[FX_rates]]</f>
        <v>505759.87</v>
      </c>
    </row>
    <row r="683" spans="1:16" x14ac:dyDescent="0.45">
      <c r="A683" t="s">
        <v>691</v>
      </c>
      <c r="B683" s="1">
        <v>45397</v>
      </c>
      <c r="C683" s="2" t="s">
        <v>2014</v>
      </c>
      <c r="D683" t="s">
        <v>2019</v>
      </c>
      <c r="E683">
        <v>0</v>
      </c>
      <c r="F683">
        <f>Cleaned[[#This Row],[Debit]] * Cleaned[[#This Row],[FX_rates]]</f>
        <v>0</v>
      </c>
      <c r="G683">
        <v>2866.16</v>
      </c>
      <c r="H683">
        <f>Cleaned[[#This Row],[Credit]] *  Cleaned[[#This Row],[FX_rates]]</f>
        <v>160504.95999999999</v>
      </c>
      <c r="I683" t="s">
        <v>2024</v>
      </c>
      <c r="J683" t="s">
        <v>2029</v>
      </c>
      <c r="K683" t="s">
        <v>2712</v>
      </c>
      <c r="L683" t="s">
        <v>4033</v>
      </c>
      <c r="M683">
        <f>Cleaned[[#This Row],[Credit]]-Cleaned[[#This Row],[Debit]]</f>
        <v>2866.16</v>
      </c>
      <c r="N683" t="str">
        <f>_xlfn.XLOOKUP(Cleaned[[#This Row],[AccountName]], Account_Mapping!A:A, Account_Mapping!B:B,"Unmapped")</f>
        <v>Revenue</v>
      </c>
      <c r="O683" cm="1">
        <f t="array" ref="O683">_xlfn.XLOOKUP(
  1,
  (FX_Rates[Currency]=Cleaned[[#This Row],[Currency]])*
  (FX_Rates[RateDate]&lt;=Cleaned[[#This Row],[TxnDate]]),
  FX_Rates[Rate_To_INR],
  ,
  -1
)</f>
        <v>56</v>
      </c>
      <c r="P683" s="2">
        <f>Cleaned[[#This Row],[Net Amount]] *  Cleaned[[#This Row],[FX_rates]]</f>
        <v>160504.95999999999</v>
      </c>
    </row>
    <row r="684" spans="1:16" x14ac:dyDescent="0.45">
      <c r="A684" t="s">
        <v>692</v>
      </c>
      <c r="B684" s="1">
        <v>45832</v>
      </c>
      <c r="C684" s="2" t="s">
        <v>2013</v>
      </c>
      <c r="D684" t="s">
        <v>2018</v>
      </c>
      <c r="E684">
        <v>151.68</v>
      </c>
      <c r="F684">
        <f>Cleaned[[#This Row],[Debit]] * Cleaned[[#This Row],[FX_rates]]</f>
        <v>8494.08</v>
      </c>
      <c r="G684">
        <v>0</v>
      </c>
      <c r="H684">
        <f>Cleaned[[#This Row],[Credit]] *  Cleaned[[#This Row],[FX_rates]]</f>
        <v>0</v>
      </c>
      <c r="I684" t="s">
        <v>2022</v>
      </c>
      <c r="J684" t="s">
        <v>2029</v>
      </c>
      <c r="K684" t="s">
        <v>2713</v>
      </c>
      <c r="L684" t="s">
        <v>4033</v>
      </c>
      <c r="M684">
        <f>Cleaned[[#This Row],[Credit]]-Cleaned[[#This Row],[Debit]]</f>
        <v>-151.68</v>
      </c>
      <c r="N684" t="str">
        <f>_xlfn.XLOOKUP(Cleaned[[#This Row],[AccountName]], Account_Mapping!A:A, Account_Mapping!B:B,"Unmapped")</f>
        <v>Operating Expense</v>
      </c>
      <c r="O684" cm="1">
        <f t="array" ref="O684">_xlfn.XLOOKUP(
  1,
  (FX_Rates[Currency]=Cleaned[[#This Row],[Currency]])*
  (FX_Rates[RateDate]&lt;=Cleaned[[#This Row],[TxnDate]]),
  FX_Rates[Rate_To_INR],
  ,
  -1
)</f>
        <v>56</v>
      </c>
      <c r="P684" s="2">
        <f>Cleaned[[#This Row],[Net Amount]] *  Cleaned[[#This Row],[FX_rates]]</f>
        <v>-8494.08</v>
      </c>
    </row>
    <row r="685" spans="1:16" x14ac:dyDescent="0.45">
      <c r="A685" t="s">
        <v>693</v>
      </c>
      <c r="B685" s="1">
        <v>45149</v>
      </c>
      <c r="C685" s="2" t="s">
        <v>2014</v>
      </c>
      <c r="D685" t="s">
        <v>2019</v>
      </c>
      <c r="E685">
        <v>0</v>
      </c>
      <c r="F685">
        <f>Cleaned[[#This Row],[Debit]] * Cleaned[[#This Row],[FX_rates]]</f>
        <v>0</v>
      </c>
      <c r="G685">
        <v>1246.53</v>
      </c>
      <c r="H685">
        <f>Cleaned[[#This Row],[Credit]] *  Cleaned[[#This Row],[FX_rates]]</f>
        <v>102215.45999999999</v>
      </c>
      <c r="I685" t="s">
        <v>2022</v>
      </c>
      <c r="J685" t="s">
        <v>2028</v>
      </c>
      <c r="K685" t="s">
        <v>2714</v>
      </c>
      <c r="L685" t="s">
        <v>4034</v>
      </c>
      <c r="M685">
        <f>Cleaned[[#This Row],[Credit]]-Cleaned[[#This Row],[Debit]]</f>
        <v>1246.53</v>
      </c>
      <c r="N685" t="str">
        <f>_xlfn.XLOOKUP(Cleaned[[#This Row],[AccountName]], Account_Mapping!A:A, Account_Mapping!B:B,"Unmapped")</f>
        <v>Revenue</v>
      </c>
      <c r="O685" cm="1">
        <f t="array" ref="O685">_xlfn.XLOOKUP(
  1,
  (FX_Rates[Currency]=Cleaned[[#This Row],[Currency]])*
  (FX_Rates[RateDate]&lt;=Cleaned[[#This Row],[TxnDate]]),
  FX_Rates[Rate_To_INR],
  ,
  -1
)</f>
        <v>82</v>
      </c>
      <c r="P685" s="2">
        <f>Cleaned[[#This Row],[Net Amount]] *  Cleaned[[#This Row],[FX_rates]]</f>
        <v>102215.45999999999</v>
      </c>
    </row>
    <row r="686" spans="1:16" x14ac:dyDescent="0.45">
      <c r="A686" t="s">
        <v>694</v>
      </c>
      <c r="B686" s="1">
        <v>45646</v>
      </c>
      <c r="C686" s="2" t="s">
        <v>2012</v>
      </c>
      <c r="D686" t="s">
        <v>2017</v>
      </c>
      <c r="E686">
        <v>1724.65</v>
      </c>
      <c r="F686">
        <f>Cleaned[[#This Row],[Debit]] * Cleaned[[#This Row],[FX_rates]]</f>
        <v>177638.95</v>
      </c>
      <c r="G686">
        <v>0</v>
      </c>
      <c r="H686">
        <f>Cleaned[[#This Row],[Credit]] *  Cleaned[[#This Row],[FX_rates]]</f>
        <v>0</v>
      </c>
      <c r="I686" t="s">
        <v>2024</v>
      </c>
      <c r="J686" t="s">
        <v>2026</v>
      </c>
      <c r="K686" t="s">
        <v>2715</v>
      </c>
      <c r="L686" t="s">
        <v>4031</v>
      </c>
      <c r="M686">
        <f>Cleaned[[#This Row],[Credit]]-Cleaned[[#This Row],[Debit]]</f>
        <v>-1724.65</v>
      </c>
      <c r="N686" t="str">
        <f>_xlfn.XLOOKUP(Cleaned[[#This Row],[AccountName]], Account_Mapping!A:A, Account_Mapping!B:B,"Unmapped")</f>
        <v>Operating Expense</v>
      </c>
      <c r="O686" cm="1">
        <f t="array" ref="O686">_xlfn.XLOOKUP(
  1,
  (FX_Rates[Currency]=Cleaned[[#This Row],[Currency]])*
  (FX_Rates[RateDate]&lt;=Cleaned[[#This Row],[TxnDate]]),
  FX_Rates[Rate_To_INR],
  ,
  -1
)</f>
        <v>103</v>
      </c>
      <c r="P686" s="2">
        <f>Cleaned[[#This Row],[Net Amount]] *  Cleaned[[#This Row],[FX_rates]]</f>
        <v>-177638.95</v>
      </c>
    </row>
    <row r="687" spans="1:16" x14ac:dyDescent="0.45">
      <c r="A687" t="s">
        <v>695</v>
      </c>
      <c r="B687" s="1">
        <v>45716</v>
      </c>
      <c r="C687" s="2" t="s">
        <v>2013</v>
      </c>
      <c r="D687" t="s">
        <v>2018</v>
      </c>
      <c r="E687">
        <v>1411.99</v>
      </c>
      <c r="F687">
        <f>Cleaned[[#This Row],[Debit]] * Cleaned[[#This Row],[FX_rates]]</f>
        <v>115783.18000000001</v>
      </c>
      <c r="G687">
        <v>0</v>
      </c>
      <c r="H687">
        <f>Cleaned[[#This Row],[Credit]] *  Cleaned[[#This Row],[FX_rates]]</f>
        <v>0</v>
      </c>
      <c r="I687" t="s">
        <v>2020</v>
      </c>
      <c r="J687" t="s">
        <v>2029</v>
      </c>
      <c r="K687" t="s">
        <v>2716</v>
      </c>
      <c r="L687" t="s">
        <v>4034</v>
      </c>
      <c r="M687">
        <f>Cleaned[[#This Row],[Credit]]-Cleaned[[#This Row],[Debit]]</f>
        <v>-1411.99</v>
      </c>
      <c r="N687" t="str">
        <f>_xlfn.XLOOKUP(Cleaned[[#This Row],[AccountName]], Account_Mapping!A:A, Account_Mapping!B:B,"Unmapped")</f>
        <v>Operating Expense</v>
      </c>
      <c r="O687" cm="1">
        <f t="array" ref="O687">_xlfn.XLOOKUP(
  1,
  (FX_Rates[Currency]=Cleaned[[#This Row],[Currency]])*
  (FX_Rates[RateDate]&lt;=Cleaned[[#This Row],[TxnDate]]),
  FX_Rates[Rate_To_INR],
  ,
  -1
)</f>
        <v>82</v>
      </c>
      <c r="P687" s="2">
        <f>Cleaned[[#This Row],[Net Amount]] *  Cleaned[[#This Row],[FX_rates]]</f>
        <v>-115783.18000000001</v>
      </c>
    </row>
    <row r="688" spans="1:16" x14ac:dyDescent="0.45">
      <c r="A688" t="s">
        <v>696</v>
      </c>
      <c r="B688" s="1">
        <v>45299</v>
      </c>
      <c r="C688" s="2" t="s">
        <v>2013</v>
      </c>
      <c r="D688" t="s">
        <v>2018</v>
      </c>
      <c r="E688">
        <v>753.12</v>
      </c>
      <c r="F688">
        <f>Cleaned[[#This Row],[Debit]] * Cleaned[[#This Row],[FX_rates]]</f>
        <v>61755.840000000004</v>
      </c>
      <c r="G688">
        <v>0</v>
      </c>
      <c r="H688">
        <f>Cleaned[[#This Row],[Credit]] *  Cleaned[[#This Row],[FX_rates]]</f>
        <v>0</v>
      </c>
      <c r="I688" t="s">
        <v>2024</v>
      </c>
      <c r="J688" t="s">
        <v>2028</v>
      </c>
      <c r="K688" t="s">
        <v>2717</v>
      </c>
      <c r="L688" t="s">
        <v>4034</v>
      </c>
      <c r="M688">
        <f>Cleaned[[#This Row],[Credit]]-Cleaned[[#This Row],[Debit]]</f>
        <v>-753.12</v>
      </c>
      <c r="N688" t="str">
        <f>_xlfn.XLOOKUP(Cleaned[[#This Row],[AccountName]], Account_Mapping!A:A, Account_Mapping!B:B,"Unmapped")</f>
        <v>Operating Expense</v>
      </c>
      <c r="O688" cm="1">
        <f t="array" ref="O688">_xlfn.XLOOKUP(
  1,
  (FX_Rates[Currency]=Cleaned[[#This Row],[Currency]])*
  (FX_Rates[RateDate]&lt;=Cleaned[[#This Row],[TxnDate]]),
  FX_Rates[Rate_To_INR],
  ,
  -1
)</f>
        <v>82</v>
      </c>
      <c r="P688" s="2">
        <f>Cleaned[[#This Row],[Net Amount]] *  Cleaned[[#This Row],[FX_rates]]</f>
        <v>-61755.840000000004</v>
      </c>
    </row>
    <row r="689" spans="1:16" x14ac:dyDescent="0.45">
      <c r="A689" t="s">
        <v>697</v>
      </c>
      <c r="B689" s="1">
        <v>45613</v>
      </c>
      <c r="C689" s="2" t="s">
        <v>2010</v>
      </c>
      <c r="D689" t="s">
        <v>2015</v>
      </c>
      <c r="E689">
        <v>0</v>
      </c>
      <c r="F689">
        <f>Cleaned[[#This Row],[Debit]] * Cleaned[[#This Row],[FX_rates]]</f>
        <v>0</v>
      </c>
      <c r="G689">
        <v>3744.19</v>
      </c>
      <c r="H689">
        <f>Cleaned[[#This Row],[Credit]] *  Cleaned[[#This Row],[FX_rates]]</f>
        <v>329488.72000000003</v>
      </c>
      <c r="I689" t="s">
        <v>2024</v>
      </c>
      <c r="J689" t="s">
        <v>2030</v>
      </c>
      <c r="K689" t="s">
        <v>2718</v>
      </c>
      <c r="L689" t="s">
        <v>4032</v>
      </c>
      <c r="M689">
        <f>Cleaned[[#This Row],[Credit]]-Cleaned[[#This Row],[Debit]]</f>
        <v>3744.19</v>
      </c>
      <c r="N689" t="str">
        <f>_xlfn.XLOOKUP(Cleaned[[#This Row],[AccountName]], Account_Mapping!A:A, Account_Mapping!B:B,"Unmapped")</f>
        <v>Revenue</v>
      </c>
      <c r="O689" cm="1">
        <f t="array" ref="O689">_xlfn.XLOOKUP(
  1,
  (FX_Rates[Currency]=Cleaned[[#This Row],[Currency]])*
  (FX_Rates[RateDate]&lt;=Cleaned[[#This Row],[TxnDate]]),
  FX_Rates[Rate_To_INR],
  ,
  -1
)</f>
        <v>88</v>
      </c>
      <c r="P689" s="2">
        <f>Cleaned[[#This Row],[Net Amount]] *  Cleaned[[#This Row],[FX_rates]]</f>
        <v>329488.72000000003</v>
      </c>
    </row>
    <row r="690" spans="1:16" x14ac:dyDescent="0.45">
      <c r="A690" t="s">
        <v>698</v>
      </c>
      <c r="B690" s="1">
        <v>45365</v>
      </c>
      <c r="C690" s="2" t="s">
        <v>2011</v>
      </c>
      <c r="D690" t="s">
        <v>2016</v>
      </c>
      <c r="E690">
        <v>906.55</v>
      </c>
      <c r="F690">
        <f>Cleaned[[#This Row],[Debit]] * Cleaned[[#This Row],[FX_rates]]</f>
        <v>55299.549999999996</v>
      </c>
      <c r="G690">
        <v>0</v>
      </c>
      <c r="H690">
        <f>Cleaned[[#This Row],[Credit]] *  Cleaned[[#This Row],[FX_rates]]</f>
        <v>0</v>
      </c>
      <c r="I690" t="s">
        <v>2020</v>
      </c>
      <c r="J690" t="s">
        <v>2029</v>
      </c>
      <c r="K690" t="s">
        <v>2719</v>
      </c>
      <c r="L690" t="s">
        <v>4035</v>
      </c>
      <c r="M690">
        <f>Cleaned[[#This Row],[Credit]]-Cleaned[[#This Row],[Debit]]</f>
        <v>-906.55</v>
      </c>
      <c r="N690" t="str">
        <f>_xlfn.XLOOKUP(Cleaned[[#This Row],[AccountName]], Account_Mapping!A:A, Account_Mapping!B:B,"Unmapped")</f>
        <v>COGS</v>
      </c>
      <c r="O690" cm="1">
        <f t="array" ref="O690">_xlfn.XLOOKUP(
  1,
  (FX_Rates[Currency]=Cleaned[[#This Row],[Currency]])*
  (FX_Rates[RateDate]&lt;=Cleaned[[#This Row],[TxnDate]]),
  FX_Rates[Rate_To_INR],
  ,
  -1
)</f>
        <v>61</v>
      </c>
      <c r="P690" s="2">
        <f>Cleaned[[#This Row],[Net Amount]] *  Cleaned[[#This Row],[FX_rates]]</f>
        <v>-55299.549999999996</v>
      </c>
    </row>
    <row r="691" spans="1:16" x14ac:dyDescent="0.45">
      <c r="A691" t="s">
        <v>699</v>
      </c>
      <c r="B691" s="1">
        <v>44982</v>
      </c>
      <c r="C691" s="2" t="s">
        <v>2013</v>
      </c>
      <c r="D691" t="s">
        <v>2018</v>
      </c>
      <c r="E691">
        <v>215.69</v>
      </c>
      <c r="F691">
        <f>Cleaned[[#This Row],[Debit]] * Cleaned[[#This Row],[FX_rates]]</f>
        <v>12078.64</v>
      </c>
      <c r="G691">
        <v>0</v>
      </c>
      <c r="H691">
        <f>Cleaned[[#This Row],[Credit]] *  Cleaned[[#This Row],[FX_rates]]</f>
        <v>0</v>
      </c>
      <c r="I691" t="s">
        <v>2022</v>
      </c>
      <c r="J691" t="s">
        <v>2027</v>
      </c>
      <c r="K691" t="s">
        <v>2720</v>
      </c>
      <c r="L691" t="s">
        <v>4033</v>
      </c>
      <c r="M691">
        <f>Cleaned[[#This Row],[Credit]]-Cleaned[[#This Row],[Debit]]</f>
        <v>-215.69</v>
      </c>
      <c r="N691" t="str">
        <f>_xlfn.XLOOKUP(Cleaned[[#This Row],[AccountName]], Account_Mapping!A:A, Account_Mapping!B:B,"Unmapped")</f>
        <v>Operating Expense</v>
      </c>
      <c r="O691" cm="1">
        <f t="array" ref="O691">_xlfn.XLOOKUP(
  1,
  (FX_Rates[Currency]=Cleaned[[#This Row],[Currency]])*
  (FX_Rates[RateDate]&lt;=Cleaned[[#This Row],[TxnDate]]),
  FX_Rates[Rate_To_INR],
  ,
  -1
)</f>
        <v>56</v>
      </c>
      <c r="P691" s="2">
        <f>Cleaned[[#This Row],[Net Amount]] *  Cleaned[[#This Row],[FX_rates]]</f>
        <v>-12078.64</v>
      </c>
    </row>
    <row r="692" spans="1:16" x14ac:dyDescent="0.45">
      <c r="A692" t="s">
        <v>700</v>
      </c>
      <c r="B692" s="1">
        <v>45631</v>
      </c>
      <c r="C692" s="2" t="s">
        <v>2011</v>
      </c>
      <c r="D692" t="s">
        <v>2016</v>
      </c>
      <c r="E692">
        <v>1478.7</v>
      </c>
      <c r="F692">
        <f>Cleaned[[#This Row],[Debit]] * Cleaned[[#This Row],[FX_rates]]</f>
        <v>82807.199999999997</v>
      </c>
      <c r="G692">
        <v>0</v>
      </c>
      <c r="H692">
        <f>Cleaned[[#This Row],[Credit]] *  Cleaned[[#This Row],[FX_rates]]</f>
        <v>0</v>
      </c>
      <c r="I692" t="s">
        <v>2021</v>
      </c>
      <c r="J692" t="s">
        <v>2030</v>
      </c>
      <c r="K692" t="s">
        <v>2721</v>
      </c>
      <c r="L692" t="s">
        <v>4033</v>
      </c>
      <c r="M692">
        <f>Cleaned[[#This Row],[Credit]]-Cleaned[[#This Row],[Debit]]</f>
        <v>-1478.7</v>
      </c>
      <c r="N692" t="str">
        <f>_xlfn.XLOOKUP(Cleaned[[#This Row],[AccountName]], Account_Mapping!A:A, Account_Mapping!B:B,"Unmapped")</f>
        <v>COGS</v>
      </c>
      <c r="O692" cm="1">
        <f t="array" ref="O692">_xlfn.XLOOKUP(
  1,
  (FX_Rates[Currency]=Cleaned[[#This Row],[Currency]])*
  (FX_Rates[RateDate]&lt;=Cleaned[[#This Row],[TxnDate]]),
  FX_Rates[Rate_To_INR],
  ,
  -1
)</f>
        <v>56</v>
      </c>
      <c r="P692" s="2">
        <f>Cleaned[[#This Row],[Net Amount]] *  Cleaned[[#This Row],[FX_rates]]</f>
        <v>-82807.199999999997</v>
      </c>
    </row>
    <row r="693" spans="1:16" x14ac:dyDescent="0.45">
      <c r="A693" t="s">
        <v>701</v>
      </c>
      <c r="B693" s="1">
        <v>45733</v>
      </c>
      <c r="C693" s="2" t="s">
        <v>2010</v>
      </c>
      <c r="D693" t="s">
        <v>2015</v>
      </c>
      <c r="E693">
        <v>0</v>
      </c>
      <c r="F693">
        <f>Cleaned[[#This Row],[Debit]] * Cleaned[[#This Row],[FX_rates]]</f>
        <v>0</v>
      </c>
      <c r="G693">
        <v>3502.79</v>
      </c>
      <c r="H693">
        <f>Cleaned[[#This Row],[Credit]] *  Cleaned[[#This Row],[FX_rates]]</f>
        <v>360787.37</v>
      </c>
      <c r="I693" t="s">
        <v>2025</v>
      </c>
      <c r="J693" t="s">
        <v>2026</v>
      </c>
      <c r="K693" t="s">
        <v>2722</v>
      </c>
      <c r="L693" t="s">
        <v>4031</v>
      </c>
      <c r="M693">
        <f>Cleaned[[#This Row],[Credit]]-Cleaned[[#This Row],[Debit]]</f>
        <v>3502.79</v>
      </c>
      <c r="N693" t="str">
        <f>_xlfn.XLOOKUP(Cleaned[[#This Row],[AccountName]], Account_Mapping!A:A, Account_Mapping!B:B,"Unmapped")</f>
        <v>Revenue</v>
      </c>
      <c r="O693" cm="1">
        <f t="array" ref="O693">_xlfn.XLOOKUP(
  1,
  (FX_Rates[Currency]=Cleaned[[#This Row],[Currency]])*
  (FX_Rates[RateDate]&lt;=Cleaned[[#This Row],[TxnDate]]),
  FX_Rates[Rate_To_INR],
  ,
  -1
)</f>
        <v>103</v>
      </c>
      <c r="P693" s="2">
        <f>Cleaned[[#This Row],[Net Amount]] *  Cleaned[[#This Row],[FX_rates]]</f>
        <v>360787.37</v>
      </c>
    </row>
    <row r="694" spans="1:16" x14ac:dyDescent="0.45">
      <c r="A694" t="s">
        <v>702</v>
      </c>
      <c r="B694" s="1">
        <v>45367</v>
      </c>
      <c r="C694" s="2" t="s">
        <v>2010</v>
      </c>
      <c r="D694" t="s">
        <v>2015</v>
      </c>
      <c r="E694">
        <v>0</v>
      </c>
      <c r="F694">
        <f>Cleaned[[#This Row],[Debit]] * Cleaned[[#This Row],[FX_rates]]</f>
        <v>0</v>
      </c>
      <c r="G694">
        <v>2828.86</v>
      </c>
      <c r="H694">
        <f>Cleaned[[#This Row],[Credit]] *  Cleaned[[#This Row],[FX_rates]]</f>
        <v>231966.52000000002</v>
      </c>
      <c r="I694" t="s">
        <v>2020</v>
      </c>
      <c r="J694" t="s">
        <v>2026</v>
      </c>
      <c r="K694" t="s">
        <v>2723</v>
      </c>
      <c r="L694" t="s">
        <v>4034</v>
      </c>
      <c r="M694">
        <f>Cleaned[[#This Row],[Credit]]-Cleaned[[#This Row],[Debit]]</f>
        <v>2828.86</v>
      </c>
      <c r="N694" t="str">
        <f>_xlfn.XLOOKUP(Cleaned[[#This Row],[AccountName]], Account_Mapping!A:A, Account_Mapping!B:B,"Unmapped")</f>
        <v>Revenue</v>
      </c>
      <c r="O694" cm="1">
        <f t="array" ref="O694">_xlfn.XLOOKUP(
  1,
  (FX_Rates[Currency]=Cleaned[[#This Row],[Currency]])*
  (FX_Rates[RateDate]&lt;=Cleaned[[#This Row],[TxnDate]]),
  FX_Rates[Rate_To_INR],
  ,
  -1
)</f>
        <v>82</v>
      </c>
      <c r="P694" s="2">
        <f>Cleaned[[#This Row],[Net Amount]] *  Cleaned[[#This Row],[FX_rates]]</f>
        <v>231966.52000000002</v>
      </c>
    </row>
    <row r="695" spans="1:16" x14ac:dyDescent="0.45">
      <c r="A695" t="s">
        <v>703</v>
      </c>
      <c r="B695" s="1">
        <v>45025</v>
      </c>
      <c r="C695" s="2" t="s">
        <v>2012</v>
      </c>
      <c r="D695" t="s">
        <v>2017</v>
      </c>
      <c r="E695">
        <v>130.63999999999999</v>
      </c>
      <c r="F695">
        <f>Cleaned[[#This Row],[Debit]] * Cleaned[[#This Row],[FX_rates]]</f>
        <v>11496.32</v>
      </c>
      <c r="G695">
        <v>0</v>
      </c>
      <c r="H695">
        <f>Cleaned[[#This Row],[Credit]] *  Cleaned[[#This Row],[FX_rates]]</f>
        <v>0</v>
      </c>
      <c r="I695" t="s">
        <v>2024</v>
      </c>
      <c r="J695" t="s">
        <v>2026</v>
      </c>
      <c r="K695" t="s">
        <v>2724</v>
      </c>
      <c r="L695" t="s">
        <v>4032</v>
      </c>
      <c r="M695">
        <f>Cleaned[[#This Row],[Credit]]-Cleaned[[#This Row],[Debit]]</f>
        <v>-130.63999999999999</v>
      </c>
      <c r="N695" t="str">
        <f>_xlfn.XLOOKUP(Cleaned[[#This Row],[AccountName]], Account_Mapping!A:A, Account_Mapping!B:B,"Unmapped")</f>
        <v>Operating Expense</v>
      </c>
      <c r="O695" cm="1">
        <f t="array" ref="O695">_xlfn.XLOOKUP(
  1,
  (FX_Rates[Currency]=Cleaned[[#This Row],[Currency]])*
  (FX_Rates[RateDate]&lt;=Cleaned[[#This Row],[TxnDate]]),
  FX_Rates[Rate_To_INR],
  ,
  -1
)</f>
        <v>88</v>
      </c>
      <c r="P695" s="2">
        <f>Cleaned[[#This Row],[Net Amount]] *  Cleaned[[#This Row],[FX_rates]]</f>
        <v>-11496.32</v>
      </c>
    </row>
    <row r="696" spans="1:16" x14ac:dyDescent="0.45">
      <c r="A696" t="s">
        <v>704</v>
      </c>
      <c r="B696" s="1">
        <v>45423</v>
      </c>
      <c r="C696" s="2" t="s">
        <v>2012</v>
      </c>
      <c r="D696" t="s">
        <v>2017</v>
      </c>
      <c r="E696">
        <v>1824.18</v>
      </c>
      <c r="F696">
        <f>Cleaned[[#This Row],[Debit]] * Cleaned[[#This Row],[FX_rates]]</f>
        <v>111274.98000000001</v>
      </c>
      <c r="G696">
        <v>0</v>
      </c>
      <c r="H696">
        <f>Cleaned[[#This Row],[Credit]] *  Cleaned[[#This Row],[FX_rates]]</f>
        <v>0</v>
      </c>
      <c r="I696" t="s">
        <v>2022</v>
      </c>
      <c r="J696" t="s">
        <v>2027</v>
      </c>
      <c r="K696" t="s">
        <v>2725</v>
      </c>
      <c r="L696" t="s">
        <v>4035</v>
      </c>
      <c r="M696">
        <f>Cleaned[[#This Row],[Credit]]-Cleaned[[#This Row],[Debit]]</f>
        <v>-1824.18</v>
      </c>
      <c r="N696" t="str">
        <f>_xlfn.XLOOKUP(Cleaned[[#This Row],[AccountName]], Account_Mapping!A:A, Account_Mapping!B:B,"Unmapped")</f>
        <v>Operating Expense</v>
      </c>
      <c r="O696" cm="1">
        <f t="array" ref="O696">_xlfn.XLOOKUP(
  1,
  (FX_Rates[Currency]=Cleaned[[#This Row],[Currency]])*
  (FX_Rates[RateDate]&lt;=Cleaned[[#This Row],[TxnDate]]),
  FX_Rates[Rate_To_INR],
  ,
  -1
)</f>
        <v>61</v>
      </c>
      <c r="P696" s="2">
        <f>Cleaned[[#This Row],[Net Amount]] *  Cleaned[[#This Row],[FX_rates]]</f>
        <v>-111274.98000000001</v>
      </c>
    </row>
    <row r="697" spans="1:16" x14ac:dyDescent="0.45">
      <c r="A697" t="s">
        <v>705</v>
      </c>
      <c r="B697" s="1">
        <v>45634</v>
      </c>
      <c r="C697" s="2" t="s">
        <v>2014</v>
      </c>
      <c r="D697" t="s">
        <v>2019</v>
      </c>
      <c r="E697">
        <v>0</v>
      </c>
      <c r="F697">
        <f>Cleaned[[#This Row],[Debit]] * Cleaned[[#This Row],[FX_rates]]</f>
        <v>0</v>
      </c>
      <c r="G697">
        <v>2401.06</v>
      </c>
      <c r="H697">
        <f>Cleaned[[#This Row],[Credit]] *  Cleaned[[#This Row],[FX_rates]]</f>
        <v>211293.28</v>
      </c>
      <c r="I697" t="s">
        <v>2020</v>
      </c>
      <c r="J697" t="s">
        <v>2026</v>
      </c>
      <c r="K697" t="s">
        <v>2726</v>
      </c>
      <c r="L697" t="s">
        <v>4032</v>
      </c>
      <c r="M697">
        <f>Cleaned[[#This Row],[Credit]]-Cleaned[[#This Row],[Debit]]</f>
        <v>2401.06</v>
      </c>
      <c r="N697" t="str">
        <f>_xlfn.XLOOKUP(Cleaned[[#This Row],[AccountName]], Account_Mapping!A:A, Account_Mapping!B:B,"Unmapped")</f>
        <v>Revenue</v>
      </c>
      <c r="O697" cm="1">
        <f t="array" ref="O697">_xlfn.XLOOKUP(
  1,
  (FX_Rates[Currency]=Cleaned[[#This Row],[Currency]])*
  (FX_Rates[RateDate]&lt;=Cleaned[[#This Row],[TxnDate]]),
  FX_Rates[Rate_To_INR],
  ,
  -1
)</f>
        <v>88</v>
      </c>
      <c r="P697" s="2">
        <f>Cleaned[[#This Row],[Net Amount]] *  Cleaned[[#This Row],[FX_rates]]</f>
        <v>211293.28</v>
      </c>
    </row>
    <row r="698" spans="1:16" x14ac:dyDescent="0.45">
      <c r="A698" t="s">
        <v>706</v>
      </c>
      <c r="B698" s="1">
        <v>45226</v>
      </c>
      <c r="C698" s="2" t="s">
        <v>2014</v>
      </c>
      <c r="D698" t="s">
        <v>2019</v>
      </c>
      <c r="E698">
        <v>0</v>
      </c>
      <c r="F698">
        <f>Cleaned[[#This Row],[Debit]] * Cleaned[[#This Row],[FX_rates]]</f>
        <v>0</v>
      </c>
      <c r="G698">
        <v>3086.33</v>
      </c>
      <c r="H698">
        <f>Cleaned[[#This Row],[Credit]] *  Cleaned[[#This Row],[FX_rates]]</f>
        <v>271597.03999999998</v>
      </c>
      <c r="I698" t="s">
        <v>2021</v>
      </c>
      <c r="J698" t="s">
        <v>2028</v>
      </c>
      <c r="K698" t="s">
        <v>2727</v>
      </c>
      <c r="L698" t="s">
        <v>4032</v>
      </c>
      <c r="M698">
        <f>Cleaned[[#This Row],[Credit]]-Cleaned[[#This Row],[Debit]]</f>
        <v>3086.33</v>
      </c>
      <c r="N698" t="str">
        <f>_xlfn.XLOOKUP(Cleaned[[#This Row],[AccountName]], Account_Mapping!A:A, Account_Mapping!B:B,"Unmapped")</f>
        <v>Revenue</v>
      </c>
      <c r="O698" cm="1">
        <f t="array" ref="O698">_xlfn.XLOOKUP(
  1,
  (FX_Rates[Currency]=Cleaned[[#This Row],[Currency]])*
  (FX_Rates[RateDate]&lt;=Cleaned[[#This Row],[TxnDate]]),
  FX_Rates[Rate_To_INR],
  ,
  -1
)</f>
        <v>88</v>
      </c>
      <c r="P698" s="2">
        <f>Cleaned[[#This Row],[Net Amount]] *  Cleaned[[#This Row],[FX_rates]]</f>
        <v>271597.03999999998</v>
      </c>
    </row>
    <row r="699" spans="1:16" x14ac:dyDescent="0.45">
      <c r="A699" t="s">
        <v>707</v>
      </c>
      <c r="B699" s="1">
        <v>45681</v>
      </c>
      <c r="C699" s="2" t="s">
        <v>2011</v>
      </c>
      <c r="D699" t="s">
        <v>2016</v>
      </c>
      <c r="E699">
        <v>1546.69</v>
      </c>
      <c r="F699">
        <f>Cleaned[[#This Row],[Debit]] * Cleaned[[#This Row],[FX_rates]]</f>
        <v>159309.07</v>
      </c>
      <c r="G699">
        <v>0</v>
      </c>
      <c r="H699">
        <f>Cleaned[[#This Row],[Credit]] *  Cleaned[[#This Row],[FX_rates]]</f>
        <v>0</v>
      </c>
      <c r="I699" t="s">
        <v>2021</v>
      </c>
      <c r="J699" t="s">
        <v>2029</v>
      </c>
      <c r="K699" t="s">
        <v>2728</v>
      </c>
      <c r="L699" t="s">
        <v>4031</v>
      </c>
      <c r="M699">
        <f>Cleaned[[#This Row],[Credit]]-Cleaned[[#This Row],[Debit]]</f>
        <v>-1546.69</v>
      </c>
      <c r="N699" t="str">
        <f>_xlfn.XLOOKUP(Cleaned[[#This Row],[AccountName]], Account_Mapping!A:A, Account_Mapping!B:B,"Unmapped")</f>
        <v>COGS</v>
      </c>
      <c r="O699" cm="1">
        <f t="array" ref="O699">_xlfn.XLOOKUP(
  1,
  (FX_Rates[Currency]=Cleaned[[#This Row],[Currency]])*
  (FX_Rates[RateDate]&lt;=Cleaned[[#This Row],[TxnDate]]),
  FX_Rates[Rate_To_INR],
  ,
  -1
)</f>
        <v>103</v>
      </c>
      <c r="P699" s="2">
        <f>Cleaned[[#This Row],[Net Amount]] *  Cleaned[[#This Row],[FX_rates]]</f>
        <v>-159309.07</v>
      </c>
    </row>
    <row r="700" spans="1:16" x14ac:dyDescent="0.45">
      <c r="A700" t="s">
        <v>708</v>
      </c>
      <c r="B700" s="1">
        <v>45369</v>
      </c>
      <c r="C700" s="2" t="s">
        <v>2014</v>
      </c>
      <c r="D700" t="s">
        <v>2019</v>
      </c>
      <c r="E700">
        <v>0</v>
      </c>
      <c r="F700">
        <f>Cleaned[[#This Row],[Debit]] * Cleaned[[#This Row],[FX_rates]]</f>
        <v>0</v>
      </c>
      <c r="G700">
        <v>2135.0700000000002</v>
      </c>
      <c r="H700">
        <f>Cleaned[[#This Row],[Credit]] *  Cleaned[[#This Row],[FX_rates]]</f>
        <v>175075.74000000002</v>
      </c>
      <c r="I700" t="s">
        <v>2022</v>
      </c>
      <c r="J700" t="s">
        <v>2027</v>
      </c>
      <c r="K700" t="s">
        <v>2729</v>
      </c>
      <c r="L700" t="s">
        <v>4034</v>
      </c>
      <c r="M700">
        <f>Cleaned[[#This Row],[Credit]]-Cleaned[[#This Row],[Debit]]</f>
        <v>2135.0700000000002</v>
      </c>
      <c r="N700" t="str">
        <f>_xlfn.XLOOKUP(Cleaned[[#This Row],[AccountName]], Account_Mapping!A:A, Account_Mapping!B:B,"Unmapped")</f>
        <v>Revenue</v>
      </c>
      <c r="O700" cm="1">
        <f t="array" ref="O700">_xlfn.XLOOKUP(
  1,
  (FX_Rates[Currency]=Cleaned[[#This Row],[Currency]])*
  (FX_Rates[RateDate]&lt;=Cleaned[[#This Row],[TxnDate]]),
  FX_Rates[Rate_To_INR],
  ,
  -1
)</f>
        <v>82</v>
      </c>
      <c r="P700" s="2">
        <f>Cleaned[[#This Row],[Net Amount]] *  Cleaned[[#This Row],[FX_rates]]</f>
        <v>175075.74000000002</v>
      </c>
    </row>
    <row r="701" spans="1:16" x14ac:dyDescent="0.45">
      <c r="A701" t="s">
        <v>709</v>
      </c>
      <c r="B701" s="1">
        <v>45030</v>
      </c>
      <c r="C701" s="2" t="s">
        <v>2010</v>
      </c>
      <c r="D701" t="s">
        <v>2015</v>
      </c>
      <c r="E701">
        <v>0</v>
      </c>
      <c r="F701">
        <f>Cleaned[[#This Row],[Debit]] * Cleaned[[#This Row],[FX_rates]]</f>
        <v>0</v>
      </c>
      <c r="G701">
        <v>337.27</v>
      </c>
      <c r="H701">
        <f>Cleaned[[#This Row],[Credit]] *  Cleaned[[#This Row],[FX_rates]]</f>
        <v>29679.759999999998</v>
      </c>
      <c r="I701" t="s">
        <v>2024</v>
      </c>
      <c r="J701" t="s">
        <v>2029</v>
      </c>
      <c r="K701" t="s">
        <v>2730</v>
      </c>
      <c r="L701" t="s">
        <v>4032</v>
      </c>
      <c r="M701">
        <f>Cleaned[[#This Row],[Credit]]-Cleaned[[#This Row],[Debit]]</f>
        <v>337.27</v>
      </c>
      <c r="N701" t="str">
        <f>_xlfn.XLOOKUP(Cleaned[[#This Row],[AccountName]], Account_Mapping!A:A, Account_Mapping!B:B,"Unmapped")</f>
        <v>Revenue</v>
      </c>
      <c r="O701" cm="1">
        <f t="array" ref="O701">_xlfn.XLOOKUP(
  1,
  (FX_Rates[Currency]=Cleaned[[#This Row],[Currency]])*
  (FX_Rates[RateDate]&lt;=Cleaned[[#This Row],[TxnDate]]),
  FX_Rates[Rate_To_INR],
  ,
  -1
)</f>
        <v>88</v>
      </c>
      <c r="P701" s="2">
        <f>Cleaned[[#This Row],[Net Amount]] *  Cleaned[[#This Row],[FX_rates]]</f>
        <v>29679.759999999998</v>
      </c>
    </row>
    <row r="702" spans="1:16" x14ac:dyDescent="0.45">
      <c r="A702" t="s">
        <v>710</v>
      </c>
      <c r="B702" s="1">
        <v>44988</v>
      </c>
      <c r="C702" s="2" t="s">
        <v>2014</v>
      </c>
      <c r="D702" t="s">
        <v>2019</v>
      </c>
      <c r="E702">
        <v>0</v>
      </c>
      <c r="F702">
        <f>Cleaned[[#This Row],[Debit]] * Cleaned[[#This Row],[FX_rates]]</f>
        <v>0</v>
      </c>
      <c r="G702">
        <v>4145.3100000000004</v>
      </c>
      <c r="H702">
        <f>Cleaned[[#This Row],[Credit]] *  Cleaned[[#This Row],[FX_rates]]</f>
        <v>426966.93000000005</v>
      </c>
      <c r="I702" t="s">
        <v>2023</v>
      </c>
      <c r="J702" t="s">
        <v>2030</v>
      </c>
      <c r="K702" t="s">
        <v>2731</v>
      </c>
      <c r="L702" t="s">
        <v>4031</v>
      </c>
      <c r="M702">
        <f>Cleaned[[#This Row],[Credit]]-Cleaned[[#This Row],[Debit]]</f>
        <v>4145.3100000000004</v>
      </c>
      <c r="N702" t="str">
        <f>_xlfn.XLOOKUP(Cleaned[[#This Row],[AccountName]], Account_Mapping!A:A, Account_Mapping!B:B,"Unmapped")</f>
        <v>Revenue</v>
      </c>
      <c r="O702" cm="1">
        <f t="array" ref="O702">_xlfn.XLOOKUP(
  1,
  (FX_Rates[Currency]=Cleaned[[#This Row],[Currency]])*
  (FX_Rates[RateDate]&lt;=Cleaned[[#This Row],[TxnDate]]),
  FX_Rates[Rate_To_INR],
  ,
  -1
)</f>
        <v>103</v>
      </c>
      <c r="P702" s="2">
        <f>Cleaned[[#This Row],[Net Amount]] *  Cleaned[[#This Row],[FX_rates]]</f>
        <v>426966.93000000005</v>
      </c>
    </row>
    <row r="703" spans="1:16" x14ac:dyDescent="0.45">
      <c r="A703" t="s">
        <v>711</v>
      </c>
      <c r="B703" s="1">
        <v>45249</v>
      </c>
      <c r="C703" s="2" t="s">
        <v>2013</v>
      </c>
      <c r="D703" t="s">
        <v>2018</v>
      </c>
      <c r="E703">
        <v>322.43</v>
      </c>
      <c r="F703">
        <f>Cleaned[[#This Row],[Debit]] * Cleaned[[#This Row],[FX_rates]]</f>
        <v>19668.23</v>
      </c>
      <c r="G703">
        <v>0</v>
      </c>
      <c r="H703">
        <f>Cleaned[[#This Row],[Credit]] *  Cleaned[[#This Row],[FX_rates]]</f>
        <v>0</v>
      </c>
      <c r="I703" t="s">
        <v>2024</v>
      </c>
      <c r="J703" t="s">
        <v>2029</v>
      </c>
      <c r="K703" t="s">
        <v>2732</v>
      </c>
      <c r="L703" t="s">
        <v>4035</v>
      </c>
      <c r="M703">
        <f>Cleaned[[#This Row],[Credit]]-Cleaned[[#This Row],[Debit]]</f>
        <v>-322.43</v>
      </c>
      <c r="N703" t="str">
        <f>_xlfn.XLOOKUP(Cleaned[[#This Row],[AccountName]], Account_Mapping!A:A, Account_Mapping!B:B,"Unmapped")</f>
        <v>Operating Expense</v>
      </c>
      <c r="O703" cm="1">
        <f t="array" ref="O703">_xlfn.XLOOKUP(
  1,
  (FX_Rates[Currency]=Cleaned[[#This Row],[Currency]])*
  (FX_Rates[RateDate]&lt;=Cleaned[[#This Row],[TxnDate]]),
  FX_Rates[Rate_To_INR],
  ,
  -1
)</f>
        <v>61</v>
      </c>
      <c r="P703" s="2">
        <f>Cleaned[[#This Row],[Net Amount]] *  Cleaned[[#This Row],[FX_rates]]</f>
        <v>-19668.23</v>
      </c>
    </row>
    <row r="704" spans="1:16" x14ac:dyDescent="0.45">
      <c r="A704" t="s">
        <v>712</v>
      </c>
      <c r="B704" s="1">
        <v>45474</v>
      </c>
      <c r="C704" s="2" t="s">
        <v>2012</v>
      </c>
      <c r="D704" t="s">
        <v>2017</v>
      </c>
      <c r="E704">
        <v>1350.68</v>
      </c>
      <c r="F704">
        <f>Cleaned[[#This Row],[Debit]] * Cleaned[[#This Row],[FX_rates]]</f>
        <v>110755.76000000001</v>
      </c>
      <c r="G704">
        <v>0</v>
      </c>
      <c r="H704">
        <f>Cleaned[[#This Row],[Credit]] *  Cleaned[[#This Row],[FX_rates]]</f>
        <v>0</v>
      </c>
      <c r="I704" t="s">
        <v>2020</v>
      </c>
      <c r="J704" t="s">
        <v>2029</v>
      </c>
      <c r="K704" t="s">
        <v>2733</v>
      </c>
      <c r="L704" t="s">
        <v>4034</v>
      </c>
      <c r="M704">
        <f>Cleaned[[#This Row],[Credit]]-Cleaned[[#This Row],[Debit]]</f>
        <v>-1350.68</v>
      </c>
      <c r="N704" t="str">
        <f>_xlfn.XLOOKUP(Cleaned[[#This Row],[AccountName]], Account_Mapping!A:A, Account_Mapping!B:B,"Unmapped")</f>
        <v>Operating Expense</v>
      </c>
      <c r="O704" cm="1">
        <f t="array" ref="O704">_xlfn.XLOOKUP(
  1,
  (FX_Rates[Currency]=Cleaned[[#This Row],[Currency]])*
  (FX_Rates[RateDate]&lt;=Cleaned[[#This Row],[TxnDate]]),
  FX_Rates[Rate_To_INR],
  ,
  -1
)</f>
        <v>82</v>
      </c>
      <c r="P704" s="2">
        <f>Cleaned[[#This Row],[Net Amount]] *  Cleaned[[#This Row],[FX_rates]]</f>
        <v>-110755.76000000001</v>
      </c>
    </row>
    <row r="705" spans="1:16" x14ac:dyDescent="0.45">
      <c r="A705" t="s">
        <v>713</v>
      </c>
      <c r="B705" s="1">
        <v>45264</v>
      </c>
      <c r="C705" s="2" t="s">
        <v>2012</v>
      </c>
      <c r="D705" t="s">
        <v>2017</v>
      </c>
      <c r="E705">
        <v>1038.71</v>
      </c>
      <c r="F705">
        <f>Cleaned[[#This Row],[Debit]] * Cleaned[[#This Row],[FX_rates]]</f>
        <v>91406.48000000001</v>
      </c>
      <c r="G705">
        <v>0</v>
      </c>
      <c r="H705">
        <f>Cleaned[[#This Row],[Credit]] *  Cleaned[[#This Row],[FX_rates]]</f>
        <v>0</v>
      </c>
      <c r="I705" t="s">
        <v>2022</v>
      </c>
      <c r="J705" t="s">
        <v>2027</v>
      </c>
      <c r="K705" t="s">
        <v>2734</v>
      </c>
      <c r="L705" t="s">
        <v>4032</v>
      </c>
      <c r="M705">
        <f>Cleaned[[#This Row],[Credit]]-Cleaned[[#This Row],[Debit]]</f>
        <v>-1038.71</v>
      </c>
      <c r="N705" t="str">
        <f>_xlfn.XLOOKUP(Cleaned[[#This Row],[AccountName]], Account_Mapping!A:A, Account_Mapping!B:B,"Unmapped")</f>
        <v>Operating Expense</v>
      </c>
      <c r="O705" cm="1">
        <f t="array" ref="O705">_xlfn.XLOOKUP(
  1,
  (FX_Rates[Currency]=Cleaned[[#This Row],[Currency]])*
  (FX_Rates[RateDate]&lt;=Cleaned[[#This Row],[TxnDate]]),
  FX_Rates[Rate_To_INR],
  ,
  -1
)</f>
        <v>88</v>
      </c>
      <c r="P705" s="2">
        <f>Cleaned[[#This Row],[Net Amount]] *  Cleaned[[#This Row],[FX_rates]]</f>
        <v>-91406.48000000001</v>
      </c>
    </row>
    <row r="706" spans="1:16" x14ac:dyDescent="0.45">
      <c r="A706" t="s">
        <v>714</v>
      </c>
      <c r="B706" s="1">
        <v>45672</v>
      </c>
      <c r="C706" s="2" t="s">
        <v>2011</v>
      </c>
      <c r="D706" t="s">
        <v>2016</v>
      </c>
      <c r="E706">
        <v>1455.61</v>
      </c>
      <c r="F706">
        <f>Cleaned[[#This Row],[Debit]] * Cleaned[[#This Row],[FX_rates]]</f>
        <v>128093.68</v>
      </c>
      <c r="G706">
        <v>0</v>
      </c>
      <c r="H706">
        <f>Cleaned[[#This Row],[Credit]] *  Cleaned[[#This Row],[FX_rates]]</f>
        <v>0</v>
      </c>
      <c r="I706" t="s">
        <v>2022</v>
      </c>
      <c r="J706" t="s">
        <v>2026</v>
      </c>
      <c r="K706" t="s">
        <v>2735</v>
      </c>
      <c r="L706" t="s">
        <v>4032</v>
      </c>
      <c r="M706">
        <f>Cleaned[[#This Row],[Credit]]-Cleaned[[#This Row],[Debit]]</f>
        <v>-1455.61</v>
      </c>
      <c r="N706" t="str">
        <f>_xlfn.XLOOKUP(Cleaned[[#This Row],[AccountName]], Account_Mapping!A:A, Account_Mapping!B:B,"Unmapped")</f>
        <v>COGS</v>
      </c>
      <c r="O706" cm="1">
        <f t="array" ref="O706">_xlfn.XLOOKUP(
  1,
  (FX_Rates[Currency]=Cleaned[[#This Row],[Currency]])*
  (FX_Rates[RateDate]&lt;=Cleaned[[#This Row],[TxnDate]]),
  FX_Rates[Rate_To_INR],
  ,
  -1
)</f>
        <v>88</v>
      </c>
      <c r="P706" s="2">
        <f>Cleaned[[#This Row],[Net Amount]] *  Cleaned[[#This Row],[FX_rates]]</f>
        <v>-128093.68</v>
      </c>
    </row>
    <row r="707" spans="1:16" x14ac:dyDescent="0.45">
      <c r="A707" t="s">
        <v>715</v>
      </c>
      <c r="B707" s="1">
        <v>45303</v>
      </c>
      <c r="C707" s="2" t="s">
        <v>2012</v>
      </c>
      <c r="D707" t="s">
        <v>2017</v>
      </c>
      <c r="E707">
        <v>1723.07</v>
      </c>
      <c r="F707">
        <f>Cleaned[[#This Row],[Debit]] * Cleaned[[#This Row],[FX_rates]]</f>
        <v>177476.21</v>
      </c>
      <c r="G707">
        <v>0</v>
      </c>
      <c r="H707">
        <f>Cleaned[[#This Row],[Credit]] *  Cleaned[[#This Row],[FX_rates]]</f>
        <v>0</v>
      </c>
      <c r="I707" t="s">
        <v>2025</v>
      </c>
      <c r="J707" t="s">
        <v>2030</v>
      </c>
      <c r="K707" t="s">
        <v>2736</v>
      </c>
      <c r="L707" t="s">
        <v>4031</v>
      </c>
      <c r="M707">
        <f>Cleaned[[#This Row],[Credit]]-Cleaned[[#This Row],[Debit]]</f>
        <v>-1723.07</v>
      </c>
      <c r="N707" t="str">
        <f>_xlfn.XLOOKUP(Cleaned[[#This Row],[AccountName]], Account_Mapping!A:A, Account_Mapping!B:B,"Unmapped")</f>
        <v>Operating Expense</v>
      </c>
      <c r="O707" cm="1">
        <f t="array" ref="O707">_xlfn.XLOOKUP(
  1,
  (FX_Rates[Currency]=Cleaned[[#This Row],[Currency]])*
  (FX_Rates[RateDate]&lt;=Cleaned[[#This Row],[TxnDate]]),
  FX_Rates[Rate_To_INR],
  ,
  -1
)</f>
        <v>103</v>
      </c>
      <c r="P707" s="2">
        <f>Cleaned[[#This Row],[Net Amount]] *  Cleaned[[#This Row],[FX_rates]]</f>
        <v>-177476.21</v>
      </c>
    </row>
    <row r="708" spans="1:16" x14ac:dyDescent="0.45">
      <c r="A708" t="s">
        <v>716</v>
      </c>
      <c r="B708" s="1">
        <v>45282</v>
      </c>
      <c r="C708" s="2" t="s">
        <v>2014</v>
      </c>
      <c r="D708" t="s">
        <v>2019</v>
      </c>
      <c r="E708">
        <v>0</v>
      </c>
      <c r="F708">
        <f>Cleaned[[#This Row],[Debit]] * Cleaned[[#This Row],[FX_rates]]</f>
        <v>0</v>
      </c>
      <c r="G708">
        <v>965.55</v>
      </c>
      <c r="H708">
        <f>Cleaned[[#This Row],[Credit]] *  Cleaned[[#This Row],[FX_rates]]</f>
        <v>84968.4</v>
      </c>
      <c r="I708" t="s">
        <v>2020</v>
      </c>
      <c r="J708" t="s">
        <v>2027</v>
      </c>
      <c r="K708" t="s">
        <v>2737</v>
      </c>
      <c r="L708" t="s">
        <v>4032</v>
      </c>
      <c r="M708">
        <f>Cleaned[[#This Row],[Credit]]-Cleaned[[#This Row],[Debit]]</f>
        <v>965.55</v>
      </c>
      <c r="N708" t="str">
        <f>_xlfn.XLOOKUP(Cleaned[[#This Row],[AccountName]], Account_Mapping!A:A, Account_Mapping!B:B,"Unmapped")</f>
        <v>Revenue</v>
      </c>
      <c r="O708" cm="1">
        <f t="array" ref="O708">_xlfn.XLOOKUP(
  1,
  (FX_Rates[Currency]=Cleaned[[#This Row],[Currency]])*
  (FX_Rates[RateDate]&lt;=Cleaned[[#This Row],[TxnDate]]),
  FX_Rates[Rate_To_INR],
  ,
  -1
)</f>
        <v>88</v>
      </c>
      <c r="P708" s="2">
        <f>Cleaned[[#This Row],[Net Amount]] *  Cleaned[[#This Row],[FX_rates]]</f>
        <v>84968.4</v>
      </c>
    </row>
    <row r="709" spans="1:16" x14ac:dyDescent="0.45">
      <c r="A709" t="s">
        <v>717</v>
      </c>
      <c r="B709" s="1">
        <v>45656</v>
      </c>
      <c r="C709" s="2" t="s">
        <v>2014</v>
      </c>
      <c r="D709" t="s">
        <v>2019</v>
      </c>
      <c r="E709">
        <v>0</v>
      </c>
      <c r="F709">
        <f>Cleaned[[#This Row],[Debit]] * Cleaned[[#This Row],[FX_rates]]</f>
        <v>0</v>
      </c>
      <c r="G709">
        <v>1927.89</v>
      </c>
      <c r="H709">
        <f>Cleaned[[#This Row],[Credit]] *  Cleaned[[#This Row],[FX_rates]]</f>
        <v>198572.67</v>
      </c>
      <c r="I709" t="s">
        <v>2021</v>
      </c>
      <c r="J709" t="s">
        <v>2026</v>
      </c>
      <c r="K709" t="s">
        <v>2738</v>
      </c>
      <c r="L709" t="s">
        <v>4031</v>
      </c>
      <c r="M709">
        <f>Cleaned[[#This Row],[Credit]]-Cleaned[[#This Row],[Debit]]</f>
        <v>1927.89</v>
      </c>
      <c r="N709" t="str">
        <f>_xlfn.XLOOKUP(Cleaned[[#This Row],[AccountName]], Account_Mapping!A:A, Account_Mapping!B:B,"Unmapped")</f>
        <v>Revenue</v>
      </c>
      <c r="O709" cm="1">
        <f t="array" ref="O709">_xlfn.XLOOKUP(
  1,
  (FX_Rates[Currency]=Cleaned[[#This Row],[Currency]])*
  (FX_Rates[RateDate]&lt;=Cleaned[[#This Row],[TxnDate]]),
  FX_Rates[Rate_To_INR],
  ,
  -1
)</f>
        <v>103</v>
      </c>
      <c r="P709" s="2">
        <f>Cleaned[[#This Row],[Net Amount]] *  Cleaned[[#This Row],[FX_rates]]</f>
        <v>198572.67</v>
      </c>
    </row>
    <row r="710" spans="1:16" x14ac:dyDescent="0.45">
      <c r="A710" t="s">
        <v>718</v>
      </c>
      <c r="B710" s="1">
        <v>45827</v>
      </c>
      <c r="C710" s="2" t="s">
        <v>2013</v>
      </c>
      <c r="D710" t="s">
        <v>2018</v>
      </c>
      <c r="E710">
        <v>1789.3</v>
      </c>
      <c r="F710">
        <f>Cleaned[[#This Row],[Debit]] * Cleaned[[#This Row],[FX_rates]]</f>
        <v>157458.4</v>
      </c>
      <c r="G710">
        <v>0</v>
      </c>
      <c r="H710">
        <f>Cleaned[[#This Row],[Credit]] *  Cleaned[[#This Row],[FX_rates]]</f>
        <v>0</v>
      </c>
      <c r="I710" t="s">
        <v>2023</v>
      </c>
      <c r="J710" t="s">
        <v>2030</v>
      </c>
      <c r="K710" t="s">
        <v>2739</v>
      </c>
      <c r="L710" t="s">
        <v>4032</v>
      </c>
      <c r="M710">
        <f>Cleaned[[#This Row],[Credit]]-Cleaned[[#This Row],[Debit]]</f>
        <v>-1789.3</v>
      </c>
      <c r="N710" t="str">
        <f>_xlfn.XLOOKUP(Cleaned[[#This Row],[AccountName]], Account_Mapping!A:A, Account_Mapping!B:B,"Unmapped")</f>
        <v>Operating Expense</v>
      </c>
      <c r="O710" cm="1">
        <f t="array" ref="O710">_xlfn.XLOOKUP(
  1,
  (FX_Rates[Currency]=Cleaned[[#This Row],[Currency]])*
  (FX_Rates[RateDate]&lt;=Cleaned[[#This Row],[TxnDate]]),
  FX_Rates[Rate_To_INR],
  ,
  -1
)</f>
        <v>88</v>
      </c>
      <c r="P710" s="2">
        <f>Cleaned[[#This Row],[Net Amount]] *  Cleaned[[#This Row],[FX_rates]]</f>
        <v>-157458.4</v>
      </c>
    </row>
    <row r="711" spans="1:16" x14ac:dyDescent="0.45">
      <c r="A711" t="s">
        <v>719</v>
      </c>
      <c r="B711" s="1">
        <v>45362</v>
      </c>
      <c r="C711" s="2" t="s">
        <v>2014</v>
      </c>
      <c r="D711" t="s">
        <v>2019</v>
      </c>
      <c r="E711">
        <v>0</v>
      </c>
      <c r="F711">
        <f>Cleaned[[#This Row],[Debit]] * Cleaned[[#This Row],[FX_rates]]</f>
        <v>0</v>
      </c>
      <c r="G711">
        <v>1155.8499999999999</v>
      </c>
      <c r="H711">
        <f>Cleaned[[#This Row],[Credit]] *  Cleaned[[#This Row],[FX_rates]]</f>
        <v>70506.849999999991</v>
      </c>
      <c r="I711" t="s">
        <v>2024</v>
      </c>
      <c r="J711" t="s">
        <v>2030</v>
      </c>
      <c r="K711" t="s">
        <v>2740</v>
      </c>
      <c r="L711" t="s">
        <v>4035</v>
      </c>
      <c r="M711">
        <f>Cleaned[[#This Row],[Credit]]-Cleaned[[#This Row],[Debit]]</f>
        <v>1155.8499999999999</v>
      </c>
      <c r="N711" t="str">
        <f>_xlfn.XLOOKUP(Cleaned[[#This Row],[AccountName]], Account_Mapping!A:A, Account_Mapping!B:B,"Unmapped")</f>
        <v>Revenue</v>
      </c>
      <c r="O711" cm="1">
        <f t="array" ref="O711">_xlfn.XLOOKUP(
  1,
  (FX_Rates[Currency]=Cleaned[[#This Row],[Currency]])*
  (FX_Rates[RateDate]&lt;=Cleaned[[#This Row],[TxnDate]]),
  FX_Rates[Rate_To_INR],
  ,
  -1
)</f>
        <v>61</v>
      </c>
      <c r="P711" s="2">
        <f>Cleaned[[#This Row],[Net Amount]] *  Cleaned[[#This Row],[FX_rates]]</f>
        <v>70506.849999999991</v>
      </c>
    </row>
    <row r="712" spans="1:16" x14ac:dyDescent="0.45">
      <c r="A712" t="s">
        <v>720</v>
      </c>
      <c r="B712" s="1">
        <v>45068</v>
      </c>
      <c r="C712" s="2" t="s">
        <v>2010</v>
      </c>
      <c r="D712" t="s">
        <v>2015</v>
      </c>
      <c r="E712">
        <v>0</v>
      </c>
      <c r="F712">
        <f>Cleaned[[#This Row],[Debit]] * Cleaned[[#This Row],[FX_rates]]</f>
        <v>0</v>
      </c>
      <c r="G712">
        <v>1701.37</v>
      </c>
      <c r="H712">
        <f>Cleaned[[#This Row],[Credit]] *  Cleaned[[#This Row],[FX_rates]]</f>
        <v>139512.34</v>
      </c>
      <c r="I712" t="s">
        <v>2023</v>
      </c>
      <c r="J712" t="s">
        <v>2028</v>
      </c>
      <c r="K712" t="s">
        <v>2741</v>
      </c>
      <c r="L712" t="s">
        <v>4034</v>
      </c>
      <c r="M712">
        <f>Cleaned[[#This Row],[Credit]]-Cleaned[[#This Row],[Debit]]</f>
        <v>1701.37</v>
      </c>
      <c r="N712" t="str">
        <f>_xlfn.XLOOKUP(Cleaned[[#This Row],[AccountName]], Account_Mapping!A:A, Account_Mapping!B:B,"Unmapped")</f>
        <v>Revenue</v>
      </c>
      <c r="O712" cm="1">
        <f t="array" ref="O712">_xlfn.XLOOKUP(
  1,
  (FX_Rates[Currency]=Cleaned[[#This Row],[Currency]])*
  (FX_Rates[RateDate]&lt;=Cleaned[[#This Row],[TxnDate]]),
  FX_Rates[Rate_To_INR],
  ,
  -1
)</f>
        <v>82</v>
      </c>
      <c r="P712" s="2">
        <f>Cleaned[[#This Row],[Net Amount]] *  Cleaned[[#This Row],[FX_rates]]</f>
        <v>139512.34</v>
      </c>
    </row>
    <row r="713" spans="1:16" x14ac:dyDescent="0.45">
      <c r="A713" t="s">
        <v>721</v>
      </c>
      <c r="B713" s="1">
        <v>45803</v>
      </c>
      <c r="C713" s="2" t="s">
        <v>2013</v>
      </c>
      <c r="D713" t="s">
        <v>2018</v>
      </c>
      <c r="E713">
        <v>706.44</v>
      </c>
      <c r="F713">
        <f>Cleaned[[#This Row],[Debit]] * Cleaned[[#This Row],[FX_rates]]</f>
        <v>57928.08</v>
      </c>
      <c r="G713">
        <v>0</v>
      </c>
      <c r="H713">
        <f>Cleaned[[#This Row],[Credit]] *  Cleaned[[#This Row],[FX_rates]]</f>
        <v>0</v>
      </c>
      <c r="I713" t="s">
        <v>2021</v>
      </c>
      <c r="J713" t="s">
        <v>2028</v>
      </c>
      <c r="K713" t="s">
        <v>2742</v>
      </c>
      <c r="L713" t="s">
        <v>4034</v>
      </c>
      <c r="M713">
        <f>Cleaned[[#This Row],[Credit]]-Cleaned[[#This Row],[Debit]]</f>
        <v>-706.44</v>
      </c>
      <c r="N713" t="str">
        <f>_xlfn.XLOOKUP(Cleaned[[#This Row],[AccountName]], Account_Mapping!A:A, Account_Mapping!B:B,"Unmapped")</f>
        <v>Operating Expense</v>
      </c>
      <c r="O713" cm="1">
        <f t="array" ref="O713">_xlfn.XLOOKUP(
  1,
  (FX_Rates[Currency]=Cleaned[[#This Row],[Currency]])*
  (FX_Rates[RateDate]&lt;=Cleaned[[#This Row],[TxnDate]]),
  FX_Rates[Rate_To_INR],
  ,
  -1
)</f>
        <v>82</v>
      </c>
      <c r="P713" s="2">
        <f>Cleaned[[#This Row],[Net Amount]] *  Cleaned[[#This Row],[FX_rates]]</f>
        <v>-57928.08</v>
      </c>
    </row>
    <row r="714" spans="1:16" x14ac:dyDescent="0.45">
      <c r="A714" t="s">
        <v>722</v>
      </c>
      <c r="B714" s="1">
        <v>45588</v>
      </c>
      <c r="C714" s="2" t="s">
        <v>2010</v>
      </c>
      <c r="D714" t="s">
        <v>2015</v>
      </c>
      <c r="E714">
        <v>0</v>
      </c>
      <c r="F714">
        <f>Cleaned[[#This Row],[Debit]] * Cleaned[[#This Row],[FX_rates]]</f>
        <v>0</v>
      </c>
      <c r="G714">
        <v>734.04</v>
      </c>
      <c r="H714">
        <f>Cleaned[[#This Row],[Credit]] *  Cleaned[[#This Row],[FX_rates]]</f>
        <v>41106.239999999998</v>
      </c>
      <c r="I714" t="s">
        <v>2020</v>
      </c>
      <c r="J714" t="s">
        <v>2030</v>
      </c>
      <c r="K714" t="s">
        <v>2743</v>
      </c>
      <c r="L714" t="s">
        <v>4033</v>
      </c>
      <c r="M714">
        <f>Cleaned[[#This Row],[Credit]]-Cleaned[[#This Row],[Debit]]</f>
        <v>734.04</v>
      </c>
      <c r="N714" t="str">
        <f>_xlfn.XLOOKUP(Cleaned[[#This Row],[AccountName]], Account_Mapping!A:A, Account_Mapping!B:B,"Unmapped")</f>
        <v>Revenue</v>
      </c>
      <c r="O714" cm="1">
        <f t="array" ref="O714">_xlfn.XLOOKUP(
  1,
  (FX_Rates[Currency]=Cleaned[[#This Row],[Currency]])*
  (FX_Rates[RateDate]&lt;=Cleaned[[#This Row],[TxnDate]]),
  FX_Rates[Rate_To_INR],
  ,
  -1
)</f>
        <v>56</v>
      </c>
      <c r="P714" s="2">
        <f>Cleaned[[#This Row],[Net Amount]] *  Cleaned[[#This Row],[FX_rates]]</f>
        <v>41106.239999999998</v>
      </c>
    </row>
    <row r="715" spans="1:16" x14ac:dyDescent="0.45">
      <c r="A715" t="s">
        <v>723</v>
      </c>
      <c r="B715" s="1">
        <v>45752</v>
      </c>
      <c r="C715" s="2" t="s">
        <v>2013</v>
      </c>
      <c r="D715" t="s">
        <v>2018</v>
      </c>
      <c r="E715">
        <v>1551.77</v>
      </c>
      <c r="F715">
        <f>Cleaned[[#This Row],[Debit]] * Cleaned[[#This Row],[FX_rates]]</f>
        <v>86899.12</v>
      </c>
      <c r="G715">
        <v>0</v>
      </c>
      <c r="H715">
        <f>Cleaned[[#This Row],[Credit]] *  Cleaned[[#This Row],[FX_rates]]</f>
        <v>0</v>
      </c>
      <c r="I715" t="s">
        <v>2020</v>
      </c>
      <c r="J715" t="s">
        <v>2028</v>
      </c>
      <c r="K715" t="s">
        <v>2744</v>
      </c>
      <c r="L715" t="s">
        <v>4033</v>
      </c>
      <c r="M715">
        <f>Cleaned[[#This Row],[Credit]]-Cleaned[[#This Row],[Debit]]</f>
        <v>-1551.77</v>
      </c>
      <c r="N715" t="str">
        <f>_xlfn.XLOOKUP(Cleaned[[#This Row],[AccountName]], Account_Mapping!A:A, Account_Mapping!B:B,"Unmapped")</f>
        <v>Operating Expense</v>
      </c>
      <c r="O715" cm="1">
        <f t="array" ref="O715">_xlfn.XLOOKUP(
  1,
  (FX_Rates[Currency]=Cleaned[[#This Row],[Currency]])*
  (FX_Rates[RateDate]&lt;=Cleaned[[#This Row],[TxnDate]]),
  FX_Rates[Rate_To_INR],
  ,
  -1
)</f>
        <v>56</v>
      </c>
      <c r="P715" s="2">
        <f>Cleaned[[#This Row],[Net Amount]] *  Cleaned[[#This Row],[FX_rates]]</f>
        <v>-86899.12</v>
      </c>
    </row>
    <row r="716" spans="1:16" x14ac:dyDescent="0.45">
      <c r="A716" t="s">
        <v>724</v>
      </c>
      <c r="B716" s="1">
        <v>45368</v>
      </c>
      <c r="C716" s="2" t="s">
        <v>2012</v>
      </c>
      <c r="D716" t="s">
        <v>2017</v>
      </c>
      <c r="E716">
        <v>176.54</v>
      </c>
      <c r="F716">
        <f>Cleaned[[#This Row],[Debit]] * Cleaned[[#This Row],[FX_rates]]</f>
        <v>15535.519999999999</v>
      </c>
      <c r="G716">
        <v>0</v>
      </c>
      <c r="H716">
        <f>Cleaned[[#This Row],[Credit]] *  Cleaned[[#This Row],[FX_rates]]</f>
        <v>0</v>
      </c>
      <c r="I716" t="s">
        <v>2025</v>
      </c>
      <c r="J716" t="s">
        <v>2029</v>
      </c>
      <c r="K716" t="s">
        <v>2745</v>
      </c>
      <c r="L716" t="s">
        <v>4032</v>
      </c>
      <c r="M716">
        <f>Cleaned[[#This Row],[Credit]]-Cleaned[[#This Row],[Debit]]</f>
        <v>-176.54</v>
      </c>
      <c r="N716" t="str">
        <f>_xlfn.XLOOKUP(Cleaned[[#This Row],[AccountName]], Account_Mapping!A:A, Account_Mapping!B:B,"Unmapped")</f>
        <v>Operating Expense</v>
      </c>
      <c r="O716" cm="1">
        <f t="array" ref="O716">_xlfn.XLOOKUP(
  1,
  (FX_Rates[Currency]=Cleaned[[#This Row],[Currency]])*
  (FX_Rates[RateDate]&lt;=Cleaned[[#This Row],[TxnDate]]),
  FX_Rates[Rate_To_INR],
  ,
  -1
)</f>
        <v>88</v>
      </c>
      <c r="P716" s="2">
        <f>Cleaned[[#This Row],[Net Amount]] *  Cleaned[[#This Row],[FX_rates]]</f>
        <v>-15535.519999999999</v>
      </c>
    </row>
    <row r="717" spans="1:16" x14ac:dyDescent="0.45">
      <c r="A717" t="s">
        <v>725</v>
      </c>
      <c r="B717" s="1">
        <v>45222</v>
      </c>
      <c r="C717" s="2" t="s">
        <v>2014</v>
      </c>
      <c r="D717" t="s">
        <v>2019</v>
      </c>
      <c r="E717">
        <v>0</v>
      </c>
      <c r="F717">
        <f>Cleaned[[#This Row],[Debit]] * Cleaned[[#This Row],[FX_rates]]</f>
        <v>0</v>
      </c>
      <c r="G717">
        <v>1019.92</v>
      </c>
      <c r="H717">
        <f>Cleaned[[#This Row],[Credit]] *  Cleaned[[#This Row],[FX_rates]]</f>
        <v>57115.519999999997</v>
      </c>
      <c r="I717" t="s">
        <v>2022</v>
      </c>
      <c r="J717" t="s">
        <v>2027</v>
      </c>
      <c r="K717" t="s">
        <v>2746</v>
      </c>
      <c r="L717" t="s">
        <v>4033</v>
      </c>
      <c r="M717">
        <f>Cleaned[[#This Row],[Credit]]-Cleaned[[#This Row],[Debit]]</f>
        <v>1019.92</v>
      </c>
      <c r="N717" t="str">
        <f>_xlfn.XLOOKUP(Cleaned[[#This Row],[AccountName]], Account_Mapping!A:A, Account_Mapping!B:B,"Unmapped")</f>
        <v>Revenue</v>
      </c>
      <c r="O717" cm="1">
        <f t="array" ref="O717">_xlfn.XLOOKUP(
  1,
  (FX_Rates[Currency]=Cleaned[[#This Row],[Currency]])*
  (FX_Rates[RateDate]&lt;=Cleaned[[#This Row],[TxnDate]]),
  FX_Rates[Rate_To_INR],
  ,
  -1
)</f>
        <v>56</v>
      </c>
      <c r="P717" s="2">
        <f>Cleaned[[#This Row],[Net Amount]] *  Cleaned[[#This Row],[FX_rates]]</f>
        <v>57115.519999999997</v>
      </c>
    </row>
    <row r="718" spans="1:16" x14ac:dyDescent="0.45">
      <c r="A718" t="s">
        <v>726</v>
      </c>
      <c r="B718" s="1">
        <v>45476</v>
      </c>
      <c r="C718" s="2" t="s">
        <v>2012</v>
      </c>
      <c r="D718" t="s">
        <v>2017</v>
      </c>
      <c r="E718">
        <v>1858.28</v>
      </c>
      <c r="F718">
        <f>Cleaned[[#This Row],[Debit]] * Cleaned[[#This Row],[FX_rates]]</f>
        <v>152378.96</v>
      </c>
      <c r="G718">
        <v>0</v>
      </c>
      <c r="H718">
        <f>Cleaned[[#This Row],[Credit]] *  Cleaned[[#This Row],[FX_rates]]</f>
        <v>0</v>
      </c>
      <c r="I718" t="s">
        <v>2025</v>
      </c>
      <c r="J718" t="s">
        <v>2028</v>
      </c>
      <c r="K718" t="s">
        <v>2747</v>
      </c>
      <c r="L718" t="s">
        <v>4034</v>
      </c>
      <c r="M718">
        <f>Cleaned[[#This Row],[Credit]]-Cleaned[[#This Row],[Debit]]</f>
        <v>-1858.28</v>
      </c>
      <c r="N718" t="str">
        <f>_xlfn.XLOOKUP(Cleaned[[#This Row],[AccountName]], Account_Mapping!A:A, Account_Mapping!B:B,"Unmapped")</f>
        <v>Operating Expense</v>
      </c>
      <c r="O718" cm="1">
        <f t="array" ref="O718">_xlfn.XLOOKUP(
  1,
  (FX_Rates[Currency]=Cleaned[[#This Row],[Currency]])*
  (FX_Rates[RateDate]&lt;=Cleaned[[#This Row],[TxnDate]]),
  FX_Rates[Rate_To_INR],
  ,
  -1
)</f>
        <v>82</v>
      </c>
      <c r="P718" s="2">
        <f>Cleaned[[#This Row],[Net Amount]] *  Cleaned[[#This Row],[FX_rates]]</f>
        <v>-152378.96</v>
      </c>
    </row>
    <row r="719" spans="1:16" x14ac:dyDescent="0.45">
      <c r="A719" t="s">
        <v>727</v>
      </c>
      <c r="B719" s="1">
        <v>45718</v>
      </c>
      <c r="C719" s="2" t="s">
        <v>2012</v>
      </c>
      <c r="D719" t="s">
        <v>2017</v>
      </c>
      <c r="E719">
        <v>682.74</v>
      </c>
      <c r="F719">
        <f>Cleaned[[#This Row],[Debit]] * Cleaned[[#This Row],[FX_rates]]</f>
        <v>55984.68</v>
      </c>
      <c r="G719">
        <v>0</v>
      </c>
      <c r="H719">
        <f>Cleaned[[#This Row],[Credit]] *  Cleaned[[#This Row],[FX_rates]]</f>
        <v>0</v>
      </c>
      <c r="I719" t="s">
        <v>2020</v>
      </c>
      <c r="J719" t="s">
        <v>2029</v>
      </c>
      <c r="K719" t="s">
        <v>2748</v>
      </c>
      <c r="L719" t="s">
        <v>4034</v>
      </c>
      <c r="M719">
        <f>Cleaned[[#This Row],[Credit]]-Cleaned[[#This Row],[Debit]]</f>
        <v>-682.74</v>
      </c>
      <c r="N719" t="str">
        <f>_xlfn.XLOOKUP(Cleaned[[#This Row],[AccountName]], Account_Mapping!A:A, Account_Mapping!B:B,"Unmapped")</f>
        <v>Operating Expense</v>
      </c>
      <c r="O719" cm="1">
        <f t="array" ref="O719">_xlfn.XLOOKUP(
  1,
  (FX_Rates[Currency]=Cleaned[[#This Row],[Currency]])*
  (FX_Rates[RateDate]&lt;=Cleaned[[#This Row],[TxnDate]]),
  FX_Rates[Rate_To_INR],
  ,
  -1
)</f>
        <v>82</v>
      </c>
      <c r="P719" s="2">
        <f>Cleaned[[#This Row],[Net Amount]] *  Cleaned[[#This Row],[FX_rates]]</f>
        <v>-55984.68</v>
      </c>
    </row>
    <row r="720" spans="1:16" x14ac:dyDescent="0.45">
      <c r="A720" t="s">
        <v>728</v>
      </c>
      <c r="B720" s="1">
        <v>45689</v>
      </c>
      <c r="C720" s="2" t="s">
        <v>2012</v>
      </c>
      <c r="D720" t="s">
        <v>2017</v>
      </c>
      <c r="E720">
        <v>958.28</v>
      </c>
      <c r="F720">
        <f>Cleaned[[#This Row],[Debit]] * Cleaned[[#This Row],[FX_rates]]</f>
        <v>78578.959999999992</v>
      </c>
      <c r="G720">
        <v>0</v>
      </c>
      <c r="H720">
        <f>Cleaned[[#This Row],[Credit]] *  Cleaned[[#This Row],[FX_rates]]</f>
        <v>0</v>
      </c>
      <c r="I720" t="s">
        <v>2023</v>
      </c>
      <c r="J720" t="s">
        <v>2026</v>
      </c>
      <c r="K720" t="s">
        <v>2749</v>
      </c>
      <c r="L720" t="s">
        <v>4034</v>
      </c>
      <c r="M720">
        <f>Cleaned[[#This Row],[Credit]]-Cleaned[[#This Row],[Debit]]</f>
        <v>-958.28</v>
      </c>
      <c r="N720" t="str">
        <f>_xlfn.XLOOKUP(Cleaned[[#This Row],[AccountName]], Account_Mapping!A:A, Account_Mapping!B:B,"Unmapped")</f>
        <v>Operating Expense</v>
      </c>
      <c r="O720" cm="1">
        <f t="array" ref="O720">_xlfn.XLOOKUP(
  1,
  (FX_Rates[Currency]=Cleaned[[#This Row],[Currency]])*
  (FX_Rates[RateDate]&lt;=Cleaned[[#This Row],[TxnDate]]),
  FX_Rates[Rate_To_INR],
  ,
  -1
)</f>
        <v>82</v>
      </c>
      <c r="P720" s="2">
        <f>Cleaned[[#This Row],[Net Amount]] *  Cleaned[[#This Row],[FX_rates]]</f>
        <v>-78578.959999999992</v>
      </c>
    </row>
    <row r="721" spans="1:16" x14ac:dyDescent="0.45">
      <c r="A721" t="s">
        <v>729</v>
      </c>
      <c r="B721" s="1">
        <v>45641</v>
      </c>
      <c r="C721" s="2" t="s">
        <v>2014</v>
      </c>
      <c r="D721" t="s">
        <v>2019</v>
      </c>
      <c r="E721">
        <v>0</v>
      </c>
      <c r="F721">
        <f>Cleaned[[#This Row],[Debit]] * Cleaned[[#This Row],[FX_rates]]</f>
        <v>0</v>
      </c>
      <c r="G721">
        <v>3448.25</v>
      </c>
      <c r="H721">
        <f>Cleaned[[#This Row],[Credit]] *  Cleaned[[#This Row],[FX_rates]]</f>
        <v>282756.5</v>
      </c>
      <c r="I721" t="s">
        <v>2024</v>
      </c>
      <c r="J721" t="s">
        <v>2030</v>
      </c>
      <c r="K721" t="s">
        <v>2750</v>
      </c>
      <c r="L721" t="s">
        <v>4034</v>
      </c>
      <c r="M721">
        <f>Cleaned[[#This Row],[Credit]]-Cleaned[[#This Row],[Debit]]</f>
        <v>3448.25</v>
      </c>
      <c r="N721" t="str">
        <f>_xlfn.XLOOKUP(Cleaned[[#This Row],[AccountName]], Account_Mapping!A:A, Account_Mapping!B:B,"Unmapped")</f>
        <v>Revenue</v>
      </c>
      <c r="O721" cm="1">
        <f t="array" ref="O721">_xlfn.XLOOKUP(
  1,
  (FX_Rates[Currency]=Cleaned[[#This Row],[Currency]])*
  (FX_Rates[RateDate]&lt;=Cleaned[[#This Row],[TxnDate]]),
  FX_Rates[Rate_To_INR],
  ,
  -1
)</f>
        <v>82</v>
      </c>
      <c r="P721" s="2">
        <f>Cleaned[[#This Row],[Net Amount]] *  Cleaned[[#This Row],[FX_rates]]</f>
        <v>282756.5</v>
      </c>
    </row>
    <row r="722" spans="1:16" x14ac:dyDescent="0.45">
      <c r="A722" t="s">
        <v>730</v>
      </c>
      <c r="B722" s="1">
        <v>45700</v>
      </c>
      <c r="C722" s="2" t="s">
        <v>2011</v>
      </c>
      <c r="D722" t="s">
        <v>2016</v>
      </c>
      <c r="E722">
        <v>863.44</v>
      </c>
      <c r="F722">
        <f>Cleaned[[#This Row],[Debit]] * Cleaned[[#This Row],[FX_rates]]</f>
        <v>70802.080000000002</v>
      </c>
      <c r="G722">
        <v>0</v>
      </c>
      <c r="H722">
        <f>Cleaned[[#This Row],[Credit]] *  Cleaned[[#This Row],[FX_rates]]</f>
        <v>0</v>
      </c>
      <c r="I722" t="s">
        <v>2023</v>
      </c>
      <c r="J722" t="s">
        <v>2029</v>
      </c>
      <c r="K722" t="s">
        <v>2751</v>
      </c>
      <c r="L722" t="s">
        <v>4034</v>
      </c>
      <c r="M722">
        <f>Cleaned[[#This Row],[Credit]]-Cleaned[[#This Row],[Debit]]</f>
        <v>-863.44</v>
      </c>
      <c r="N722" t="str">
        <f>_xlfn.XLOOKUP(Cleaned[[#This Row],[AccountName]], Account_Mapping!A:A, Account_Mapping!B:B,"Unmapped")</f>
        <v>COGS</v>
      </c>
      <c r="O722" cm="1">
        <f t="array" ref="O722">_xlfn.XLOOKUP(
  1,
  (FX_Rates[Currency]=Cleaned[[#This Row],[Currency]])*
  (FX_Rates[RateDate]&lt;=Cleaned[[#This Row],[TxnDate]]),
  FX_Rates[Rate_To_INR],
  ,
  -1
)</f>
        <v>82</v>
      </c>
      <c r="P722" s="2">
        <f>Cleaned[[#This Row],[Net Amount]] *  Cleaned[[#This Row],[FX_rates]]</f>
        <v>-70802.080000000002</v>
      </c>
    </row>
    <row r="723" spans="1:16" x14ac:dyDescent="0.45">
      <c r="A723" t="s">
        <v>731</v>
      </c>
      <c r="B723" s="1">
        <v>44987</v>
      </c>
      <c r="C723" s="2" t="s">
        <v>2012</v>
      </c>
      <c r="D723" t="s">
        <v>2017</v>
      </c>
      <c r="E723">
        <v>1764.03</v>
      </c>
      <c r="F723">
        <f>Cleaned[[#This Row],[Debit]] * Cleaned[[#This Row],[FX_rates]]</f>
        <v>98785.68</v>
      </c>
      <c r="G723">
        <v>0</v>
      </c>
      <c r="H723">
        <f>Cleaned[[#This Row],[Credit]] *  Cleaned[[#This Row],[FX_rates]]</f>
        <v>0</v>
      </c>
      <c r="I723" t="s">
        <v>2021</v>
      </c>
      <c r="J723" t="s">
        <v>2026</v>
      </c>
      <c r="K723" t="s">
        <v>2752</v>
      </c>
      <c r="L723" t="s">
        <v>4033</v>
      </c>
      <c r="M723">
        <f>Cleaned[[#This Row],[Credit]]-Cleaned[[#This Row],[Debit]]</f>
        <v>-1764.03</v>
      </c>
      <c r="N723" t="str">
        <f>_xlfn.XLOOKUP(Cleaned[[#This Row],[AccountName]], Account_Mapping!A:A, Account_Mapping!B:B,"Unmapped")</f>
        <v>Operating Expense</v>
      </c>
      <c r="O723" cm="1">
        <f t="array" ref="O723">_xlfn.XLOOKUP(
  1,
  (FX_Rates[Currency]=Cleaned[[#This Row],[Currency]])*
  (FX_Rates[RateDate]&lt;=Cleaned[[#This Row],[TxnDate]]),
  FX_Rates[Rate_To_INR],
  ,
  -1
)</f>
        <v>56</v>
      </c>
      <c r="P723" s="2">
        <f>Cleaned[[#This Row],[Net Amount]] *  Cleaned[[#This Row],[FX_rates]]</f>
        <v>-98785.68</v>
      </c>
    </row>
    <row r="724" spans="1:16" x14ac:dyDescent="0.45">
      <c r="A724" t="s">
        <v>732</v>
      </c>
      <c r="B724" s="1">
        <v>45632</v>
      </c>
      <c r="C724" s="2" t="s">
        <v>2013</v>
      </c>
      <c r="D724" t="s">
        <v>2018</v>
      </c>
      <c r="E724">
        <v>1182.72</v>
      </c>
      <c r="F724">
        <f>Cleaned[[#This Row],[Debit]] * Cleaned[[#This Row],[FX_rates]]</f>
        <v>104079.36</v>
      </c>
      <c r="G724">
        <v>0</v>
      </c>
      <c r="H724">
        <f>Cleaned[[#This Row],[Credit]] *  Cleaned[[#This Row],[FX_rates]]</f>
        <v>0</v>
      </c>
      <c r="I724" t="s">
        <v>2024</v>
      </c>
      <c r="J724" t="s">
        <v>2030</v>
      </c>
      <c r="K724" t="s">
        <v>2753</v>
      </c>
      <c r="L724" t="s">
        <v>4032</v>
      </c>
      <c r="M724">
        <f>Cleaned[[#This Row],[Credit]]-Cleaned[[#This Row],[Debit]]</f>
        <v>-1182.72</v>
      </c>
      <c r="N724" t="str">
        <f>_xlfn.XLOOKUP(Cleaned[[#This Row],[AccountName]], Account_Mapping!A:A, Account_Mapping!B:B,"Unmapped")</f>
        <v>Operating Expense</v>
      </c>
      <c r="O724" cm="1">
        <f t="array" ref="O724">_xlfn.XLOOKUP(
  1,
  (FX_Rates[Currency]=Cleaned[[#This Row],[Currency]])*
  (FX_Rates[RateDate]&lt;=Cleaned[[#This Row],[TxnDate]]),
  FX_Rates[Rate_To_INR],
  ,
  -1
)</f>
        <v>88</v>
      </c>
      <c r="P724" s="2">
        <f>Cleaned[[#This Row],[Net Amount]] *  Cleaned[[#This Row],[FX_rates]]</f>
        <v>-104079.36</v>
      </c>
    </row>
    <row r="725" spans="1:16" x14ac:dyDescent="0.45">
      <c r="A725" t="s">
        <v>733</v>
      </c>
      <c r="B725" s="1">
        <v>45756</v>
      </c>
      <c r="C725" s="2" t="s">
        <v>2012</v>
      </c>
      <c r="D725" t="s">
        <v>2017</v>
      </c>
      <c r="E725">
        <v>1094.9100000000001</v>
      </c>
      <c r="F725">
        <f>Cleaned[[#This Row],[Debit]] * Cleaned[[#This Row],[FX_rates]]</f>
        <v>112775.73000000001</v>
      </c>
      <c r="G725">
        <v>0</v>
      </c>
      <c r="H725">
        <f>Cleaned[[#This Row],[Credit]] *  Cleaned[[#This Row],[FX_rates]]</f>
        <v>0</v>
      </c>
      <c r="I725" t="s">
        <v>2021</v>
      </c>
      <c r="J725" t="s">
        <v>2028</v>
      </c>
      <c r="K725" t="s">
        <v>2754</v>
      </c>
      <c r="L725" t="s">
        <v>4031</v>
      </c>
      <c r="M725">
        <f>Cleaned[[#This Row],[Credit]]-Cleaned[[#This Row],[Debit]]</f>
        <v>-1094.9100000000001</v>
      </c>
      <c r="N725" t="str">
        <f>_xlfn.XLOOKUP(Cleaned[[#This Row],[AccountName]], Account_Mapping!A:A, Account_Mapping!B:B,"Unmapped")</f>
        <v>Operating Expense</v>
      </c>
      <c r="O725" cm="1">
        <f t="array" ref="O725">_xlfn.XLOOKUP(
  1,
  (FX_Rates[Currency]=Cleaned[[#This Row],[Currency]])*
  (FX_Rates[RateDate]&lt;=Cleaned[[#This Row],[TxnDate]]),
  FX_Rates[Rate_To_INR],
  ,
  -1
)</f>
        <v>103</v>
      </c>
      <c r="P725" s="2">
        <f>Cleaned[[#This Row],[Net Amount]] *  Cleaned[[#This Row],[FX_rates]]</f>
        <v>-112775.73000000001</v>
      </c>
    </row>
    <row r="726" spans="1:16" x14ac:dyDescent="0.45">
      <c r="A726" t="s">
        <v>734</v>
      </c>
      <c r="B726" s="1">
        <v>45821</v>
      </c>
      <c r="C726" s="2" t="s">
        <v>2013</v>
      </c>
      <c r="D726" t="s">
        <v>2018</v>
      </c>
      <c r="E726">
        <v>889.16</v>
      </c>
      <c r="F726">
        <f>Cleaned[[#This Row],[Debit]] * Cleaned[[#This Row],[FX_rates]]</f>
        <v>91583.48</v>
      </c>
      <c r="G726">
        <v>0</v>
      </c>
      <c r="H726">
        <f>Cleaned[[#This Row],[Credit]] *  Cleaned[[#This Row],[FX_rates]]</f>
        <v>0</v>
      </c>
      <c r="I726" t="s">
        <v>2021</v>
      </c>
      <c r="J726" t="s">
        <v>2030</v>
      </c>
      <c r="K726" t="s">
        <v>2755</v>
      </c>
      <c r="L726" t="s">
        <v>4031</v>
      </c>
      <c r="M726">
        <f>Cleaned[[#This Row],[Credit]]-Cleaned[[#This Row],[Debit]]</f>
        <v>-889.16</v>
      </c>
      <c r="N726" t="str">
        <f>_xlfn.XLOOKUP(Cleaned[[#This Row],[AccountName]], Account_Mapping!A:A, Account_Mapping!B:B,"Unmapped")</f>
        <v>Operating Expense</v>
      </c>
      <c r="O726" cm="1">
        <f t="array" ref="O726">_xlfn.XLOOKUP(
  1,
  (FX_Rates[Currency]=Cleaned[[#This Row],[Currency]])*
  (FX_Rates[RateDate]&lt;=Cleaned[[#This Row],[TxnDate]]),
  FX_Rates[Rate_To_INR],
  ,
  -1
)</f>
        <v>103</v>
      </c>
      <c r="P726" s="2">
        <f>Cleaned[[#This Row],[Net Amount]] *  Cleaned[[#This Row],[FX_rates]]</f>
        <v>-91583.48</v>
      </c>
    </row>
    <row r="727" spans="1:16" x14ac:dyDescent="0.45">
      <c r="A727" t="s">
        <v>735</v>
      </c>
      <c r="B727" s="1">
        <v>45442</v>
      </c>
      <c r="C727" s="2" t="s">
        <v>2011</v>
      </c>
      <c r="D727" t="s">
        <v>2016</v>
      </c>
      <c r="E727">
        <v>1474.83</v>
      </c>
      <c r="F727">
        <f>Cleaned[[#This Row],[Debit]] * Cleaned[[#This Row],[FX_rates]]</f>
        <v>120936.06</v>
      </c>
      <c r="G727">
        <v>0</v>
      </c>
      <c r="H727">
        <f>Cleaned[[#This Row],[Credit]] *  Cleaned[[#This Row],[FX_rates]]</f>
        <v>0</v>
      </c>
      <c r="I727" t="s">
        <v>2021</v>
      </c>
      <c r="J727" t="s">
        <v>2029</v>
      </c>
      <c r="K727" t="s">
        <v>2756</v>
      </c>
      <c r="L727" t="s">
        <v>4034</v>
      </c>
      <c r="M727">
        <f>Cleaned[[#This Row],[Credit]]-Cleaned[[#This Row],[Debit]]</f>
        <v>-1474.83</v>
      </c>
      <c r="N727" t="str">
        <f>_xlfn.XLOOKUP(Cleaned[[#This Row],[AccountName]], Account_Mapping!A:A, Account_Mapping!B:B,"Unmapped")</f>
        <v>COGS</v>
      </c>
      <c r="O727" cm="1">
        <f t="array" ref="O727">_xlfn.XLOOKUP(
  1,
  (FX_Rates[Currency]=Cleaned[[#This Row],[Currency]])*
  (FX_Rates[RateDate]&lt;=Cleaned[[#This Row],[TxnDate]]),
  FX_Rates[Rate_To_INR],
  ,
  -1
)</f>
        <v>82</v>
      </c>
      <c r="P727" s="2">
        <f>Cleaned[[#This Row],[Net Amount]] *  Cleaned[[#This Row],[FX_rates]]</f>
        <v>-120936.06</v>
      </c>
    </row>
    <row r="728" spans="1:16" x14ac:dyDescent="0.45">
      <c r="A728" t="s">
        <v>736</v>
      </c>
      <c r="B728" s="1">
        <v>45326</v>
      </c>
      <c r="C728" s="2" t="s">
        <v>2011</v>
      </c>
      <c r="D728" t="s">
        <v>2016</v>
      </c>
      <c r="E728">
        <v>1846.14</v>
      </c>
      <c r="F728">
        <f>Cleaned[[#This Row],[Debit]] * Cleaned[[#This Row],[FX_rates]]</f>
        <v>112614.54000000001</v>
      </c>
      <c r="G728">
        <v>0</v>
      </c>
      <c r="H728">
        <f>Cleaned[[#This Row],[Credit]] *  Cleaned[[#This Row],[FX_rates]]</f>
        <v>0</v>
      </c>
      <c r="I728" t="s">
        <v>2021</v>
      </c>
      <c r="J728" t="s">
        <v>2027</v>
      </c>
      <c r="K728" t="s">
        <v>2757</v>
      </c>
      <c r="L728" t="s">
        <v>4035</v>
      </c>
      <c r="M728">
        <f>Cleaned[[#This Row],[Credit]]-Cleaned[[#This Row],[Debit]]</f>
        <v>-1846.14</v>
      </c>
      <c r="N728" t="str">
        <f>_xlfn.XLOOKUP(Cleaned[[#This Row],[AccountName]], Account_Mapping!A:A, Account_Mapping!B:B,"Unmapped")</f>
        <v>COGS</v>
      </c>
      <c r="O728" cm="1">
        <f t="array" ref="O728">_xlfn.XLOOKUP(
  1,
  (FX_Rates[Currency]=Cleaned[[#This Row],[Currency]])*
  (FX_Rates[RateDate]&lt;=Cleaned[[#This Row],[TxnDate]]),
  FX_Rates[Rate_To_INR],
  ,
  -1
)</f>
        <v>61</v>
      </c>
      <c r="P728" s="2">
        <f>Cleaned[[#This Row],[Net Amount]] *  Cleaned[[#This Row],[FX_rates]]</f>
        <v>-112614.54000000001</v>
      </c>
    </row>
    <row r="729" spans="1:16" x14ac:dyDescent="0.45">
      <c r="A729" t="s">
        <v>737</v>
      </c>
      <c r="B729" s="1">
        <v>45704</v>
      </c>
      <c r="C729" s="2" t="s">
        <v>2010</v>
      </c>
      <c r="D729" t="s">
        <v>2015</v>
      </c>
      <c r="E729">
        <v>0</v>
      </c>
      <c r="F729">
        <f>Cleaned[[#This Row],[Debit]] * Cleaned[[#This Row],[FX_rates]]</f>
        <v>0</v>
      </c>
      <c r="G729">
        <v>4903.1499999999996</v>
      </c>
      <c r="H729">
        <f>Cleaned[[#This Row],[Credit]] *  Cleaned[[#This Row],[FX_rates]]</f>
        <v>274576.39999999997</v>
      </c>
      <c r="I729" t="s">
        <v>2022</v>
      </c>
      <c r="J729" t="s">
        <v>2028</v>
      </c>
      <c r="K729" t="s">
        <v>2758</v>
      </c>
      <c r="L729" t="s">
        <v>4033</v>
      </c>
      <c r="M729">
        <f>Cleaned[[#This Row],[Credit]]-Cleaned[[#This Row],[Debit]]</f>
        <v>4903.1499999999996</v>
      </c>
      <c r="N729" t="str">
        <f>_xlfn.XLOOKUP(Cleaned[[#This Row],[AccountName]], Account_Mapping!A:A, Account_Mapping!B:B,"Unmapped")</f>
        <v>Revenue</v>
      </c>
      <c r="O729" cm="1">
        <f t="array" ref="O729">_xlfn.XLOOKUP(
  1,
  (FX_Rates[Currency]=Cleaned[[#This Row],[Currency]])*
  (FX_Rates[RateDate]&lt;=Cleaned[[#This Row],[TxnDate]]),
  FX_Rates[Rate_To_INR],
  ,
  -1
)</f>
        <v>56</v>
      </c>
      <c r="P729" s="2">
        <f>Cleaned[[#This Row],[Net Amount]] *  Cleaned[[#This Row],[FX_rates]]</f>
        <v>274576.39999999997</v>
      </c>
    </row>
    <row r="730" spans="1:16" x14ac:dyDescent="0.45">
      <c r="A730" t="s">
        <v>738</v>
      </c>
      <c r="B730" s="1">
        <v>45615</v>
      </c>
      <c r="C730" s="2" t="s">
        <v>2010</v>
      </c>
      <c r="D730" t="s">
        <v>2015</v>
      </c>
      <c r="E730">
        <v>0</v>
      </c>
      <c r="F730">
        <f>Cleaned[[#This Row],[Debit]] * Cleaned[[#This Row],[FX_rates]]</f>
        <v>0</v>
      </c>
      <c r="G730">
        <v>2093.2399999999998</v>
      </c>
      <c r="H730">
        <f>Cleaned[[#This Row],[Credit]] *  Cleaned[[#This Row],[FX_rates]]</f>
        <v>117221.43999999999</v>
      </c>
      <c r="I730" t="s">
        <v>2025</v>
      </c>
      <c r="J730" t="s">
        <v>2030</v>
      </c>
      <c r="K730" t="s">
        <v>2759</v>
      </c>
      <c r="L730" t="s">
        <v>4033</v>
      </c>
      <c r="M730">
        <f>Cleaned[[#This Row],[Credit]]-Cleaned[[#This Row],[Debit]]</f>
        <v>2093.2399999999998</v>
      </c>
      <c r="N730" t="str">
        <f>_xlfn.XLOOKUP(Cleaned[[#This Row],[AccountName]], Account_Mapping!A:A, Account_Mapping!B:B,"Unmapped")</f>
        <v>Revenue</v>
      </c>
      <c r="O730" cm="1">
        <f t="array" ref="O730">_xlfn.XLOOKUP(
  1,
  (FX_Rates[Currency]=Cleaned[[#This Row],[Currency]])*
  (FX_Rates[RateDate]&lt;=Cleaned[[#This Row],[TxnDate]]),
  FX_Rates[Rate_To_INR],
  ,
  -1
)</f>
        <v>56</v>
      </c>
      <c r="P730" s="2">
        <f>Cleaned[[#This Row],[Net Amount]] *  Cleaned[[#This Row],[FX_rates]]</f>
        <v>117221.43999999999</v>
      </c>
    </row>
    <row r="731" spans="1:16" x14ac:dyDescent="0.45">
      <c r="A731" t="s">
        <v>739</v>
      </c>
      <c r="B731" s="1">
        <v>45450</v>
      </c>
      <c r="C731" s="2" t="s">
        <v>2012</v>
      </c>
      <c r="D731" t="s">
        <v>2017</v>
      </c>
      <c r="E731">
        <v>1171.3</v>
      </c>
      <c r="F731">
        <f>Cleaned[[#This Row],[Debit]] * Cleaned[[#This Row],[FX_rates]]</f>
        <v>71449.3</v>
      </c>
      <c r="G731">
        <v>0</v>
      </c>
      <c r="H731">
        <f>Cleaned[[#This Row],[Credit]] *  Cleaned[[#This Row],[FX_rates]]</f>
        <v>0</v>
      </c>
      <c r="I731" t="s">
        <v>2020</v>
      </c>
      <c r="J731" t="s">
        <v>2026</v>
      </c>
      <c r="K731" t="s">
        <v>2760</v>
      </c>
      <c r="L731" t="s">
        <v>4035</v>
      </c>
      <c r="M731">
        <f>Cleaned[[#This Row],[Credit]]-Cleaned[[#This Row],[Debit]]</f>
        <v>-1171.3</v>
      </c>
      <c r="N731" t="str">
        <f>_xlfn.XLOOKUP(Cleaned[[#This Row],[AccountName]], Account_Mapping!A:A, Account_Mapping!B:B,"Unmapped")</f>
        <v>Operating Expense</v>
      </c>
      <c r="O731" cm="1">
        <f t="array" ref="O731">_xlfn.XLOOKUP(
  1,
  (FX_Rates[Currency]=Cleaned[[#This Row],[Currency]])*
  (FX_Rates[RateDate]&lt;=Cleaned[[#This Row],[TxnDate]]),
  FX_Rates[Rate_To_INR],
  ,
  -1
)</f>
        <v>61</v>
      </c>
      <c r="P731" s="2">
        <f>Cleaned[[#This Row],[Net Amount]] *  Cleaned[[#This Row],[FX_rates]]</f>
        <v>-71449.3</v>
      </c>
    </row>
    <row r="732" spans="1:16" x14ac:dyDescent="0.45">
      <c r="A732" t="s">
        <v>740</v>
      </c>
      <c r="B732" s="1">
        <v>45540</v>
      </c>
      <c r="C732" s="2" t="s">
        <v>2013</v>
      </c>
      <c r="D732" t="s">
        <v>2018</v>
      </c>
      <c r="E732">
        <v>930.25</v>
      </c>
      <c r="F732">
        <f>Cleaned[[#This Row],[Debit]] * Cleaned[[#This Row],[FX_rates]]</f>
        <v>95815.75</v>
      </c>
      <c r="G732">
        <v>0</v>
      </c>
      <c r="H732">
        <f>Cleaned[[#This Row],[Credit]] *  Cleaned[[#This Row],[FX_rates]]</f>
        <v>0</v>
      </c>
      <c r="I732" t="s">
        <v>2022</v>
      </c>
      <c r="J732" t="s">
        <v>2026</v>
      </c>
      <c r="K732" t="s">
        <v>2761</v>
      </c>
      <c r="L732" t="s">
        <v>4031</v>
      </c>
      <c r="M732">
        <f>Cleaned[[#This Row],[Credit]]-Cleaned[[#This Row],[Debit]]</f>
        <v>-930.25</v>
      </c>
      <c r="N732" t="str">
        <f>_xlfn.XLOOKUP(Cleaned[[#This Row],[AccountName]], Account_Mapping!A:A, Account_Mapping!B:B,"Unmapped")</f>
        <v>Operating Expense</v>
      </c>
      <c r="O732" cm="1">
        <f t="array" ref="O732">_xlfn.XLOOKUP(
  1,
  (FX_Rates[Currency]=Cleaned[[#This Row],[Currency]])*
  (FX_Rates[RateDate]&lt;=Cleaned[[#This Row],[TxnDate]]),
  FX_Rates[Rate_To_INR],
  ,
  -1
)</f>
        <v>103</v>
      </c>
      <c r="P732" s="2">
        <f>Cleaned[[#This Row],[Net Amount]] *  Cleaned[[#This Row],[FX_rates]]</f>
        <v>-95815.75</v>
      </c>
    </row>
    <row r="733" spans="1:16" x14ac:dyDescent="0.45">
      <c r="A733" t="s">
        <v>741</v>
      </c>
      <c r="B733" s="1">
        <v>45543</v>
      </c>
      <c r="C733" s="2" t="s">
        <v>2010</v>
      </c>
      <c r="D733" t="s">
        <v>2015</v>
      </c>
      <c r="E733">
        <v>0</v>
      </c>
      <c r="F733">
        <f>Cleaned[[#This Row],[Debit]] * Cleaned[[#This Row],[FX_rates]]</f>
        <v>0</v>
      </c>
      <c r="G733">
        <v>4977.82</v>
      </c>
      <c r="H733">
        <f>Cleaned[[#This Row],[Credit]] *  Cleaned[[#This Row],[FX_rates]]</f>
        <v>303647.01999999996</v>
      </c>
      <c r="I733" t="s">
        <v>2022</v>
      </c>
      <c r="J733" t="s">
        <v>2028</v>
      </c>
      <c r="K733" t="s">
        <v>2762</v>
      </c>
      <c r="L733" t="s">
        <v>4035</v>
      </c>
      <c r="M733">
        <f>Cleaned[[#This Row],[Credit]]-Cleaned[[#This Row],[Debit]]</f>
        <v>4977.82</v>
      </c>
      <c r="N733" t="str">
        <f>_xlfn.XLOOKUP(Cleaned[[#This Row],[AccountName]], Account_Mapping!A:A, Account_Mapping!B:B,"Unmapped")</f>
        <v>Revenue</v>
      </c>
      <c r="O733" cm="1">
        <f t="array" ref="O733">_xlfn.XLOOKUP(
  1,
  (FX_Rates[Currency]=Cleaned[[#This Row],[Currency]])*
  (FX_Rates[RateDate]&lt;=Cleaned[[#This Row],[TxnDate]]),
  FX_Rates[Rate_To_INR],
  ,
  -1
)</f>
        <v>61</v>
      </c>
      <c r="P733" s="2">
        <f>Cleaned[[#This Row],[Net Amount]] *  Cleaned[[#This Row],[FX_rates]]</f>
        <v>303647.01999999996</v>
      </c>
    </row>
    <row r="734" spans="1:16" x14ac:dyDescent="0.45">
      <c r="A734" t="s">
        <v>742</v>
      </c>
      <c r="B734" s="1">
        <v>45080</v>
      </c>
      <c r="C734" s="2" t="s">
        <v>2013</v>
      </c>
      <c r="D734" t="s">
        <v>2018</v>
      </c>
      <c r="E734">
        <v>1937.34</v>
      </c>
      <c r="F734">
        <f>Cleaned[[#This Row],[Debit]] * Cleaned[[#This Row],[FX_rates]]</f>
        <v>108491.04</v>
      </c>
      <c r="G734">
        <v>0</v>
      </c>
      <c r="H734">
        <f>Cleaned[[#This Row],[Credit]] *  Cleaned[[#This Row],[FX_rates]]</f>
        <v>0</v>
      </c>
      <c r="I734" t="s">
        <v>2023</v>
      </c>
      <c r="J734" t="s">
        <v>2030</v>
      </c>
      <c r="K734" t="s">
        <v>2763</v>
      </c>
      <c r="L734" t="s">
        <v>4033</v>
      </c>
      <c r="M734">
        <f>Cleaned[[#This Row],[Credit]]-Cleaned[[#This Row],[Debit]]</f>
        <v>-1937.34</v>
      </c>
      <c r="N734" t="str">
        <f>_xlfn.XLOOKUP(Cleaned[[#This Row],[AccountName]], Account_Mapping!A:A, Account_Mapping!B:B,"Unmapped")</f>
        <v>Operating Expense</v>
      </c>
      <c r="O734" cm="1">
        <f t="array" ref="O734">_xlfn.XLOOKUP(
  1,
  (FX_Rates[Currency]=Cleaned[[#This Row],[Currency]])*
  (FX_Rates[RateDate]&lt;=Cleaned[[#This Row],[TxnDate]]),
  FX_Rates[Rate_To_INR],
  ,
  -1
)</f>
        <v>56</v>
      </c>
      <c r="P734" s="2">
        <f>Cleaned[[#This Row],[Net Amount]] *  Cleaned[[#This Row],[FX_rates]]</f>
        <v>-108491.04</v>
      </c>
    </row>
    <row r="735" spans="1:16" x14ac:dyDescent="0.45">
      <c r="A735" t="s">
        <v>743</v>
      </c>
      <c r="B735" s="1">
        <v>45794</v>
      </c>
      <c r="C735" s="2" t="s">
        <v>2010</v>
      </c>
      <c r="D735" t="s">
        <v>2015</v>
      </c>
      <c r="E735">
        <v>0</v>
      </c>
      <c r="F735">
        <f>Cleaned[[#This Row],[Debit]] * Cleaned[[#This Row],[FX_rates]]</f>
        <v>0</v>
      </c>
      <c r="G735">
        <v>1978.42</v>
      </c>
      <c r="H735">
        <f>Cleaned[[#This Row],[Credit]] *  Cleaned[[#This Row],[FX_rates]]</f>
        <v>174100.96000000002</v>
      </c>
      <c r="I735" t="s">
        <v>2023</v>
      </c>
      <c r="J735" t="s">
        <v>2030</v>
      </c>
      <c r="K735" t="s">
        <v>2764</v>
      </c>
      <c r="L735" t="s">
        <v>4032</v>
      </c>
      <c r="M735">
        <f>Cleaned[[#This Row],[Credit]]-Cleaned[[#This Row],[Debit]]</f>
        <v>1978.42</v>
      </c>
      <c r="N735" t="str">
        <f>_xlfn.XLOOKUP(Cleaned[[#This Row],[AccountName]], Account_Mapping!A:A, Account_Mapping!B:B,"Unmapped")</f>
        <v>Revenue</v>
      </c>
      <c r="O735" cm="1">
        <f t="array" ref="O735">_xlfn.XLOOKUP(
  1,
  (FX_Rates[Currency]=Cleaned[[#This Row],[Currency]])*
  (FX_Rates[RateDate]&lt;=Cleaned[[#This Row],[TxnDate]]),
  FX_Rates[Rate_To_INR],
  ,
  -1
)</f>
        <v>88</v>
      </c>
      <c r="P735" s="2">
        <f>Cleaned[[#This Row],[Net Amount]] *  Cleaned[[#This Row],[FX_rates]]</f>
        <v>174100.96000000002</v>
      </c>
    </row>
    <row r="736" spans="1:16" x14ac:dyDescent="0.45">
      <c r="A736" t="s">
        <v>744</v>
      </c>
      <c r="B736" s="1">
        <v>45445</v>
      </c>
      <c r="C736" s="2" t="s">
        <v>2012</v>
      </c>
      <c r="D736" t="s">
        <v>2017</v>
      </c>
      <c r="E736">
        <v>678.83</v>
      </c>
      <c r="F736">
        <f>Cleaned[[#This Row],[Debit]] * Cleaned[[#This Row],[FX_rates]]</f>
        <v>38014.480000000003</v>
      </c>
      <c r="G736">
        <v>0</v>
      </c>
      <c r="H736">
        <f>Cleaned[[#This Row],[Credit]] *  Cleaned[[#This Row],[FX_rates]]</f>
        <v>0</v>
      </c>
      <c r="I736" t="s">
        <v>2024</v>
      </c>
      <c r="J736" t="s">
        <v>2029</v>
      </c>
      <c r="K736" t="s">
        <v>2765</v>
      </c>
      <c r="L736" t="s">
        <v>4033</v>
      </c>
      <c r="M736">
        <f>Cleaned[[#This Row],[Credit]]-Cleaned[[#This Row],[Debit]]</f>
        <v>-678.83</v>
      </c>
      <c r="N736" t="str">
        <f>_xlfn.XLOOKUP(Cleaned[[#This Row],[AccountName]], Account_Mapping!A:A, Account_Mapping!B:B,"Unmapped")</f>
        <v>Operating Expense</v>
      </c>
      <c r="O736" cm="1">
        <f t="array" ref="O736">_xlfn.XLOOKUP(
  1,
  (FX_Rates[Currency]=Cleaned[[#This Row],[Currency]])*
  (FX_Rates[RateDate]&lt;=Cleaned[[#This Row],[TxnDate]]),
  FX_Rates[Rate_To_INR],
  ,
  -1
)</f>
        <v>56</v>
      </c>
      <c r="P736" s="2">
        <f>Cleaned[[#This Row],[Net Amount]] *  Cleaned[[#This Row],[FX_rates]]</f>
        <v>-38014.480000000003</v>
      </c>
    </row>
    <row r="737" spans="1:16" x14ac:dyDescent="0.45">
      <c r="A737" t="s">
        <v>745</v>
      </c>
      <c r="B737" s="1">
        <v>45344</v>
      </c>
      <c r="C737" s="2" t="s">
        <v>2014</v>
      </c>
      <c r="D737" t="s">
        <v>2019</v>
      </c>
      <c r="E737">
        <v>0</v>
      </c>
      <c r="F737">
        <f>Cleaned[[#This Row],[Debit]] * Cleaned[[#This Row],[FX_rates]]</f>
        <v>0</v>
      </c>
      <c r="G737">
        <v>463.02</v>
      </c>
      <c r="H737">
        <f>Cleaned[[#This Row],[Credit]] *  Cleaned[[#This Row],[FX_rates]]</f>
        <v>47691.06</v>
      </c>
      <c r="I737" t="s">
        <v>2025</v>
      </c>
      <c r="J737" t="s">
        <v>2026</v>
      </c>
      <c r="K737" t="s">
        <v>2766</v>
      </c>
      <c r="L737" t="s">
        <v>4031</v>
      </c>
      <c r="M737">
        <f>Cleaned[[#This Row],[Credit]]-Cleaned[[#This Row],[Debit]]</f>
        <v>463.02</v>
      </c>
      <c r="N737" t="str">
        <f>_xlfn.XLOOKUP(Cleaned[[#This Row],[AccountName]], Account_Mapping!A:A, Account_Mapping!B:B,"Unmapped")</f>
        <v>Revenue</v>
      </c>
      <c r="O737" cm="1">
        <f t="array" ref="O737">_xlfn.XLOOKUP(
  1,
  (FX_Rates[Currency]=Cleaned[[#This Row],[Currency]])*
  (FX_Rates[RateDate]&lt;=Cleaned[[#This Row],[TxnDate]]),
  FX_Rates[Rate_To_INR],
  ,
  -1
)</f>
        <v>103</v>
      </c>
      <c r="P737" s="2">
        <f>Cleaned[[#This Row],[Net Amount]] *  Cleaned[[#This Row],[FX_rates]]</f>
        <v>47691.06</v>
      </c>
    </row>
    <row r="738" spans="1:16" x14ac:dyDescent="0.45">
      <c r="A738" t="s">
        <v>746</v>
      </c>
      <c r="B738" s="1">
        <v>45403</v>
      </c>
      <c r="C738" s="2" t="s">
        <v>2013</v>
      </c>
      <c r="D738" t="s">
        <v>2018</v>
      </c>
      <c r="E738">
        <v>1296.07</v>
      </c>
      <c r="F738">
        <f>Cleaned[[#This Row],[Debit]] * Cleaned[[#This Row],[FX_rates]]</f>
        <v>72579.92</v>
      </c>
      <c r="G738">
        <v>0</v>
      </c>
      <c r="H738">
        <f>Cleaned[[#This Row],[Credit]] *  Cleaned[[#This Row],[FX_rates]]</f>
        <v>0</v>
      </c>
      <c r="I738" t="s">
        <v>2021</v>
      </c>
      <c r="J738" t="s">
        <v>2030</v>
      </c>
      <c r="K738" t="s">
        <v>2767</v>
      </c>
      <c r="L738" t="s">
        <v>4033</v>
      </c>
      <c r="M738">
        <f>Cleaned[[#This Row],[Credit]]-Cleaned[[#This Row],[Debit]]</f>
        <v>-1296.07</v>
      </c>
      <c r="N738" t="str">
        <f>_xlfn.XLOOKUP(Cleaned[[#This Row],[AccountName]], Account_Mapping!A:A, Account_Mapping!B:B,"Unmapped")</f>
        <v>Operating Expense</v>
      </c>
      <c r="O738" cm="1">
        <f t="array" ref="O738">_xlfn.XLOOKUP(
  1,
  (FX_Rates[Currency]=Cleaned[[#This Row],[Currency]])*
  (FX_Rates[RateDate]&lt;=Cleaned[[#This Row],[TxnDate]]),
  FX_Rates[Rate_To_INR],
  ,
  -1
)</f>
        <v>56</v>
      </c>
      <c r="P738" s="2">
        <f>Cleaned[[#This Row],[Net Amount]] *  Cleaned[[#This Row],[FX_rates]]</f>
        <v>-72579.92</v>
      </c>
    </row>
    <row r="739" spans="1:16" x14ac:dyDescent="0.45">
      <c r="A739" t="s">
        <v>747</v>
      </c>
      <c r="B739" s="1">
        <v>45271</v>
      </c>
      <c r="C739" s="2" t="s">
        <v>2014</v>
      </c>
      <c r="D739" t="s">
        <v>2019</v>
      </c>
      <c r="E739">
        <v>0</v>
      </c>
      <c r="F739">
        <f>Cleaned[[#This Row],[Debit]] * Cleaned[[#This Row],[FX_rates]]</f>
        <v>0</v>
      </c>
      <c r="G739">
        <v>3270.5</v>
      </c>
      <c r="H739">
        <f>Cleaned[[#This Row],[Credit]] *  Cleaned[[#This Row],[FX_rates]]</f>
        <v>287804</v>
      </c>
      <c r="I739" t="s">
        <v>2020</v>
      </c>
      <c r="J739" t="s">
        <v>2027</v>
      </c>
      <c r="K739" t="s">
        <v>2768</v>
      </c>
      <c r="L739" t="s">
        <v>4032</v>
      </c>
      <c r="M739">
        <f>Cleaned[[#This Row],[Credit]]-Cleaned[[#This Row],[Debit]]</f>
        <v>3270.5</v>
      </c>
      <c r="N739" t="str">
        <f>_xlfn.XLOOKUP(Cleaned[[#This Row],[AccountName]], Account_Mapping!A:A, Account_Mapping!B:B,"Unmapped")</f>
        <v>Revenue</v>
      </c>
      <c r="O739" cm="1">
        <f t="array" ref="O739">_xlfn.XLOOKUP(
  1,
  (FX_Rates[Currency]=Cleaned[[#This Row],[Currency]])*
  (FX_Rates[RateDate]&lt;=Cleaned[[#This Row],[TxnDate]]),
  FX_Rates[Rate_To_INR],
  ,
  -1
)</f>
        <v>88</v>
      </c>
      <c r="P739" s="2">
        <f>Cleaned[[#This Row],[Net Amount]] *  Cleaned[[#This Row],[FX_rates]]</f>
        <v>287804</v>
      </c>
    </row>
    <row r="740" spans="1:16" x14ac:dyDescent="0.45">
      <c r="A740" t="s">
        <v>748</v>
      </c>
      <c r="B740" s="1">
        <v>45380</v>
      </c>
      <c r="C740" s="2" t="s">
        <v>2014</v>
      </c>
      <c r="D740" t="s">
        <v>2019</v>
      </c>
      <c r="E740">
        <v>0</v>
      </c>
      <c r="F740">
        <f>Cleaned[[#This Row],[Debit]] * Cleaned[[#This Row],[FX_rates]]</f>
        <v>0</v>
      </c>
      <c r="G740">
        <v>2188.77</v>
      </c>
      <c r="H740">
        <f>Cleaned[[#This Row],[Credit]] *  Cleaned[[#This Row],[FX_rates]]</f>
        <v>133514.97</v>
      </c>
      <c r="I740" t="s">
        <v>2024</v>
      </c>
      <c r="J740" t="s">
        <v>2029</v>
      </c>
      <c r="K740" t="s">
        <v>2769</v>
      </c>
      <c r="L740" t="s">
        <v>4035</v>
      </c>
      <c r="M740">
        <f>Cleaned[[#This Row],[Credit]]-Cleaned[[#This Row],[Debit]]</f>
        <v>2188.77</v>
      </c>
      <c r="N740" t="str">
        <f>_xlfn.XLOOKUP(Cleaned[[#This Row],[AccountName]], Account_Mapping!A:A, Account_Mapping!B:B,"Unmapped")</f>
        <v>Revenue</v>
      </c>
      <c r="O740" cm="1">
        <f t="array" ref="O740">_xlfn.XLOOKUP(
  1,
  (FX_Rates[Currency]=Cleaned[[#This Row],[Currency]])*
  (FX_Rates[RateDate]&lt;=Cleaned[[#This Row],[TxnDate]]),
  FX_Rates[Rate_To_INR],
  ,
  -1
)</f>
        <v>61</v>
      </c>
      <c r="P740" s="2">
        <f>Cleaned[[#This Row],[Net Amount]] *  Cleaned[[#This Row],[FX_rates]]</f>
        <v>133514.97</v>
      </c>
    </row>
    <row r="741" spans="1:16" x14ac:dyDescent="0.45">
      <c r="A741" t="s">
        <v>749</v>
      </c>
      <c r="B741" s="1">
        <v>45569</v>
      </c>
      <c r="C741" s="2" t="s">
        <v>2011</v>
      </c>
      <c r="D741" t="s">
        <v>2016</v>
      </c>
      <c r="E741">
        <v>655.77</v>
      </c>
      <c r="F741">
        <f>Cleaned[[#This Row],[Debit]] * Cleaned[[#This Row],[FX_rates]]</f>
        <v>36723.119999999995</v>
      </c>
      <c r="G741">
        <v>0</v>
      </c>
      <c r="H741">
        <f>Cleaned[[#This Row],[Credit]] *  Cleaned[[#This Row],[FX_rates]]</f>
        <v>0</v>
      </c>
      <c r="I741" t="s">
        <v>2021</v>
      </c>
      <c r="J741" t="s">
        <v>2030</v>
      </c>
      <c r="K741" t="s">
        <v>2770</v>
      </c>
      <c r="L741" t="s">
        <v>4033</v>
      </c>
      <c r="M741">
        <f>Cleaned[[#This Row],[Credit]]-Cleaned[[#This Row],[Debit]]</f>
        <v>-655.77</v>
      </c>
      <c r="N741" t="str">
        <f>_xlfn.XLOOKUP(Cleaned[[#This Row],[AccountName]], Account_Mapping!A:A, Account_Mapping!B:B,"Unmapped")</f>
        <v>COGS</v>
      </c>
      <c r="O741" cm="1">
        <f t="array" ref="O741">_xlfn.XLOOKUP(
  1,
  (FX_Rates[Currency]=Cleaned[[#This Row],[Currency]])*
  (FX_Rates[RateDate]&lt;=Cleaned[[#This Row],[TxnDate]]),
  FX_Rates[Rate_To_INR],
  ,
  -1
)</f>
        <v>56</v>
      </c>
      <c r="P741" s="2">
        <f>Cleaned[[#This Row],[Net Amount]] *  Cleaned[[#This Row],[FX_rates]]</f>
        <v>-36723.119999999995</v>
      </c>
    </row>
    <row r="742" spans="1:16" x14ac:dyDescent="0.45">
      <c r="A742" t="s">
        <v>750</v>
      </c>
      <c r="B742" s="1">
        <v>45524</v>
      </c>
      <c r="C742" s="2" t="s">
        <v>2012</v>
      </c>
      <c r="D742" t="s">
        <v>2017</v>
      </c>
      <c r="E742">
        <v>407.27</v>
      </c>
      <c r="F742">
        <f>Cleaned[[#This Row],[Debit]] * Cleaned[[#This Row],[FX_rates]]</f>
        <v>41948.81</v>
      </c>
      <c r="G742">
        <v>0</v>
      </c>
      <c r="H742">
        <f>Cleaned[[#This Row],[Credit]] *  Cleaned[[#This Row],[FX_rates]]</f>
        <v>0</v>
      </c>
      <c r="I742" t="s">
        <v>2024</v>
      </c>
      <c r="J742" t="s">
        <v>2029</v>
      </c>
      <c r="K742" t="s">
        <v>2771</v>
      </c>
      <c r="L742" t="s">
        <v>4031</v>
      </c>
      <c r="M742">
        <f>Cleaned[[#This Row],[Credit]]-Cleaned[[#This Row],[Debit]]</f>
        <v>-407.27</v>
      </c>
      <c r="N742" t="str">
        <f>_xlfn.XLOOKUP(Cleaned[[#This Row],[AccountName]], Account_Mapping!A:A, Account_Mapping!B:B,"Unmapped")</f>
        <v>Operating Expense</v>
      </c>
      <c r="O742" cm="1">
        <f t="array" ref="O742">_xlfn.XLOOKUP(
  1,
  (FX_Rates[Currency]=Cleaned[[#This Row],[Currency]])*
  (FX_Rates[RateDate]&lt;=Cleaned[[#This Row],[TxnDate]]),
  FX_Rates[Rate_To_INR],
  ,
  -1
)</f>
        <v>103</v>
      </c>
      <c r="P742" s="2">
        <f>Cleaned[[#This Row],[Net Amount]] *  Cleaned[[#This Row],[FX_rates]]</f>
        <v>-41948.81</v>
      </c>
    </row>
    <row r="743" spans="1:16" x14ac:dyDescent="0.45">
      <c r="A743" t="s">
        <v>751</v>
      </c>
      <c r="B743" s="1">
        <v>45273</v>
      </c>
      <c r="C743" s="2" t="s">
        <v>2013</v>
      </c>
      <c r="D743" t="s">
        <v>2018</v>
      </c>
      <c r="E743">
        <v>744.16</v>
      </c>
      <c r="F743">
        <f>Cleaned[[#This Row],[Debit]] * Cleaned[[#This Row],[FX_rates]]</f>
        <v>76648.479999999996</v>
      </c>
      <c r="G743">
        <v>0</v>
      </c>
      <c r="H743">
        <f>Cleaned[[#This Row],[Credit]] *  Cleaned[[#This Row],[FX_rates]]</f>
        <v>0</v>
      </c>
      <c r="I743" t="s">
        <v>2021</v>
      </c>
      <c r="J743" t="s">
        <v>2026</v>
      </c>
      <c r="K743" t="s">
        <v>2772</v>
      </c>
      <c r="L743" t="s">
        <v>4031</v>
      </c>
      <c r="M743">
        <f>Cleaned[[#This Row],[Credit]]-Cleaned[[#This Row],[Debit]]</f>
        <v>-744.16</v>
      </c>
      <c r="N743" t="str">
        <f>_xlfn.XLOOKUP(Cleaned[[#This Row],[AccountName]], Account_Mapping!A:A, Account_Mapping!B:B,"Unmapped")</f>
        <v>Operating Expense</v>
      </c>
      <c r="O743" cm="1">
        <f t="array" ref="O743">_xlfn.XLOOKUP(
  1,
  (FX_Rates[Currency]=Cleaned[[#This Row],[Currency]])*
  (FX_Rates[RateDate]&lt;=Cleaned[[#This Row],[TxnDate]]),
  FX_Rates[Rate_To_INR],
  ,
  -1
)</f>
        <v>103</v>
      </c>
      <c r="P743" s="2">
        <f>Cleaned[[#This Row],[Net Amount]] *  Cleaned[[#This Row],[FX_rates]]</f>
        <v>-76648.479999999996</v>
      </c>
    </row>
    <row r="744" spans="1:16" x14ac:dyDescent="0.45">
      <c r="A744" t="s">
        <v>752</v>
      </c>
      <c r="B744" s="1">
        <v>45139</v>
      </c>
      <c r="C744" s="2" t="s">
        <v>2014</v>
      </c>
      <c r="D744" t="s">
        <v>2019</v>
      </c>
      <c r="E744">
        <v>0</v>
      </c>
      <c r="F744">
        <f>Cleaned[[#This Row],[Debit]] * Cleaned[[#This Row],[FX_rates]]</f>
        <v>0</v>
      </c>
      <c r="G744">
        <v>4474.66</v>
      </c>
      <c r="H744">
        <f>Cleaned[[#This Row],[Credit]] *  Cleaned[[#This Row],[FX_rates]]</f>
        <v>460889.98</v>
      </c>
      <c r="I744" t="s">
        <v>2021</v>
      </c>
      <c r="J744" t="s">
        <v>2027</v>
      </c>
      <c r="K744" t="s">
        <v>2773</v>
      </c>
      <c r="L744" t="s">
        <v>4031</v>
      </c>
      <c r="M744">
        <f>Cleaned[[#This Row],[Credit]]-Cleaned[[#This Row],[Debit]]</f>
        <v>4474.66</v>
      </c>
      <c r="N744" t="str">
        <f>_xlfn.XLOOKUP(Cleaned[[#This Row],[AccountName]], Account_Mapping!A:A, Account_Mapping!B:B,"Unmapped")</f>
        <v>Revenue</v>
      </c>
      <c r="O744" cm="1">
        <f t="array" ref="O744">_xlfn.XLOOKUP(
  1,
  (FX_Rates[Currency]=Cleaned[[#This Row],[Currency]])*
  (FX_Rates[RateDate]&lt;=Cleaned[[#This Row],[TxnDate]]),
  FX_Rates[Rate_To_INR],
  ,
  -1
)</f>
        <v>103</v>
      </c>
      <c r="P744" s="2">
        <f>Cleaned[[#This Row],[Net Amount]] *  Cleaned[[#This Row],[FX_rates]]</f>
        <v>460889.98</v>
      </c>
    </row>
    <row r="745" spans="1:16" x14ac:dyDescent="0.45">
      <c r="A745" t="s">
        <v>753</v>
      </c>
      <c r="B745" s="1">
        <v>45754</v>
      </c>
      <c r="C745" s="2" t="s">
        <v>2011</v>
      </c>
      <c r="D745" t="s">
        <v>2016</v>
      </c>
      <c r="E745">
        <v>75.27</v>
      </c>
      <c r="F745">
        <f>Cleaned[[#This Row],[Debit]] * Cleaned[[#This Row],[FX_rates]]</f>
        <v>6623.7599999999993</v>
      </c>
      <c r="G745">
        <v>0</v>
      </c>
      <c r="H745">
        <f>Cleaned[[#This Row],[Credit]] *  Cleaned[[#This Row],[FX_rates]]</f>
        <v>0</v>
      </c>
      <c r="I745" t="s">
        <v>2025</v>
      </c>
      <c r="J745" t="s">
        <v>2028</v>
      </c>
      <c r="K745" t="s">
        <v>2774</v>
      </c>
      <c r="L745" t="s">
        <v>4032</v>
      </c>
      <c r="M745">
        <f>Cleaned[[#This Row],[Credit]]-Cleaned[[#This Row],[Debit]]</f>
        <v>-75.27</v>
      </c>
      <c r="N745" t="str">
        <f>_xlfn.XLOOKUP(Cleaned[[#This Row],[AccountName]], Account_Mapping!A:A, Account_Mapping!B:B,"Unmapped")</f>
        <v>COGS</v>
      </c>
      <c r="O745" cm="1">
        <f t="array" ref="O745">_xlfn.XLOOKUP(
  1,
  (FX_Rates[Currency]=Cleaned[[#This Row],[Currency]])*
  (FX_Rates[RateDate]&lt;=Cleaned[[#This Row],[TxnDate]]),
  FX_Rates[Rate_To_INR],
  ,
  -1
)</f>
        <v>88</v>
      </c>
      <c r="P745" s="2">
        <f>Cleaned[[#This Row],[Net Amount]] *  Cleaned[[#This Row],[FX_rates]]</f>
        <v>-6623.7599999999993</v>
      </c>
    </row>
    <row r="746" spans="1:16" x14ac:dyDescent="0.45">
      <c r="A746" t="s">
        <v>754</v>
      </c>
      <c r="B746" s="1">
        <v>45663</v>
      </c>
      <c r="C746" s="2" t="s">
        <v>2011</v>
      </c>
      <c r="D746" t="s">
        <v>2016</v>
      </c>
      <c r="E746">
        <v>1164.26</v>
      </c>
      <c r="F746">
        <f>Cleaned[[#This Row],[Debit]] * Cleaned[[#This Row],[FX_rates]]</f>
        <v>102454.88</v>
      </c>
      <c r="G746">
        <v>0</v>
      </c>
      <c r="H746">
        <f>Cleaned[[#This Row],[Credit]] *  Cleaned[[#This Row],[FX_rates]]</f>
        <v>0</v>
      </c>
      <c r="I746" t="s">
        <v>2021</v>
      </c>
      <c r="J746" t="s">
        <v>2028</v>
      </c>
      <c r="K746" t="s">
        <v>2775</v>
      </c>
      <c r="L746" t="s">
        <v>4032</v>
      </c>
      <c r="M746">
        <f>Cleaned[[#This Row],[Credit]]-Cleaned[[#This Row],[Debit]]</f>
        <v>-1164.26</v>
      </c>
      <c r="N746" t="str">
        <f>_xlfn.XLOOKUP(Cleaned[[#This Row],[AccountName]], Account_Mapping!A:A, Account_Mapping!B:B,"Unmapped")</f>
        <v>COGS</v>
      </c>
      <c r="O746" cm="1">
        <f t="array" ref="O746">_xlfn.XLOOKUP(
  1,
  (FX_Rates[Currency]=Cleaned[[#This Row],[Currency]])*
  (FX_Rates[RateDate]&lt;=Cleaned[[#This Row],[TxnDate]]),
  FX_Rates[Rate_To_INR],
  ,
  -1
)</f>
        <v>88</v>
      </c>
      <c r="P746" s="2">
        <f>Cleaned[[#This Row],[Net Amount]] *  Cleaned[[#This Row],[FX_rates]]</f>
        <v>-102454.88</v>
      </c>
    </row>
    <row r="747" spans="1:16" x14ac:dyDescent="0.45">
      <c r="A747" t="s">
        <v>755</v>
      </c>
      <c r="B747" s="1">
        <v>44988</v>
      </c>
      <c r="C747" s="2" t="s">
        <v>2011</v>
      </c>
      <c r="D747" t="s">
        <v>2016</v>
      </c>
      <c r="E747">
        <v>937.56</v>
      </c>
      <c r="F747">
        <f>Cleaned[[#This Row],[Debit]] * Cleaned[[#This Row],[FX_rates]]</f>
        <v>52503.360000000001</v>
      </c>
      <c r="G747">
        <v>0</v>
      </c>
      <c r="H747">
        <f>Cleaned[[#This Row],[Credit]] *  Cleaned[[#This Row],[FX_rates]]</f>
        <v>0</v>
      </c>
      <c r="I747" t="s">
        <v>2020</v>
      </c>
      <c r="J747" t="s">
        <v>2030</v>
      </c>
      <c r="K747" t="s">
        <v>2776</v>
      </c>
      <c r="L747" t="s">
        <v>4033</v>
      </c>
      <c r="M747">
        <f>Cleaned[[#This Row],[Credit]]-Cleaned[[#This Row],[Debit]]</f>
        <v>-937.56</v>
      </c>
      <c r="N747" t="str">
        <f>_xlfn.XLOOKUP(Cleaned[[#This Row],[AccountName]], Account_Mapping!A:A, Account_Mapping!B:B,"Unmapped")</f>
        <v>COGS</v>
      </c>
      <c r="O747" cm="1">
        <f t="array" ref="O747">_xlfn.XLOOKUP(
  1,
  (FX_Rates[Currency]=Cleaned[[#This Row],[Currency]])*
  (FX_Rates[RateDate]&lt;=Cleaned[[#This Row],[TxnDate]]),
  FX_Rates[Rate_To_INR],
  ,
  -1
)</f>
        <v>56</v>
      </c>
      <c r="P747" s="2">
        <f>Cleaned[[#This Row],[Net Amount]] *  Cleaned[[#This Row],[FX_rates]]</f>
        <v>-52503.360000000001</v>
      </c>
    </row>
    <row r="748" spans="1:16" x14ac:dyDescent="0.45">
      <c r="A748" t="s">
        <v>756</v>
      </c>
      <c r="B748" s="1">
        <v>45578</v>
      </c>
      <c r="C748" s="2" t="s">
        <v>2014</v>
      </c>
      <c r="D748" t="s">
        <v>2019</v>
      </c>
      <c r="E748">
        <v>0</v>
      </c>
      <c r="F748">
        <f>Cleaned[[#This Row],[Debit]] * Cleaned[[#This Row],[FX_rates]]</f>
        <v>0</v>
      </c>
      <c r="G748">
        <v>4164.95</v>
      </c>
      <c r="H748">
        <f>Cleaned[[#This Row],[Credit]] *  Cleaned[[#This Row],[FX_rates]]</f>
        <v>428989.85</v>
      </c>
      <c r="I748" t="s">
        <v>2020</v>
      </c>
      <c r="J748" t="s">
        <v>2027</v>
      </c>
      <c r="K748" t="s">
        <v>2777</v>
      </c>
      <c r="L748" t="s">
        <v>4031</v>
      </c>
      <c r="M748">
        <f>Cleaned[[#This Row],[Credit]]-Cleaned[[#This Row],[Debit]]</f>
        <v>4164.95</v>
      </c>
      <c r="N748" t="str">
        <f>_xlfn.XLOOKUP(Cleaned[[#This Row],[AccountName]], Account_Mapping!A:A, Account_Mapping!B:B,"Unmapped")</f>
        <v>Revenue</v>
      </c>
      <c r="O748" cm="1">
        <f t="array" ref="O748">_xlfn.XLOOKUP(
  1,
  (FX_Rates[Currency]=Cleaned[[#This Row],[Currency]])*
  (FX_Rates[RateDate]&lt;=Cleaned[[#This Row],[TxnDate]]),
  FX_Rates[Rate_To_INR],
  ,
  -1
)</f>
        <v>103</v>
      </c>
      <c r="P748" s="2">
        <f>Cleaned[[#This Row],[Net Amount]] *  Cleaned[[#This Row],[FX_rates]]</f>
        <v>428989.85</v>
      </c>
    </row>
    <row r="749" spans="1:16" x14ac:dyDescent="0.45">
      <c r="A749" t="s">
        <v>757</v>
      </c>
      <c r="B749" s="1">
        <v>44949</v>
      </c>
      <c r="C749" s="2" t="s">
        <v>2010</v>
      </c>
      <c r="D749" t="s">
        <v>2015</v>
      </c>
      <c r="E749">
        <v>0</v>
      </c>
      <c r="F749">
        <f>Cleaned[[#This Row],[Debit]] * Cleaned[[#This Row],[FX_rates]]</f>
        <v>0</v>
      </c>
      <c r="G749">
        <v>2820.1</v>
      </c>
      <c r="H749">
        <f>Cleaned[[#This Row],[Credit]] *  Cleaned[[#This Row],[FX_rates]]</f>
        <v>290470.3</v>
      </c>
      <c r="I749" t="s">
        <v>2024</v>
      </c>
      <c r="J749" t="s">
        <v>2029</v>
      </c>
      <c r="K749" t="s">
        <v>2778</v>
      </c>
      <c r="L749" t="s">
        <v>4031</v>
      </c>
      <c r="M749">
        <f>Cleaned[[#This Row],[Credit]]-Cleaned[[#This Row],[Debit]]</f>
        <v>2820.1</v>
      </c>
      <c r="N749" t="str">
        <f>_xlfn.XLOOKUP(Cleaned[[#This Row],[AccountName]], Account_Mapping!A:A, Account_Mapping!B:B,"Unmapped")</f>
        <v>Revenue</v>
      </c>
      <c r="O749" cm="1">
        <f t="array" ref="O749">_xlfn.XLOOKUP(
  1,
  (FX_Rates[Currency]=Cleaned[[#This Row],[Currency]])*
  (FX_Rates[RateDate]&lt;=Cleaned[[#This Row],[TxnDate]]),
  FX_Rates[Rate_To_INR],
  ,
  -1
)</f>
        <v>103</v>
      </c>
      <c r="P749" s="2">
        <f>Cleaned[[#This Row],[Net Amount]] *  Cleaned[[#This Row],[FX_rates]]</f>
        <v>290470.3</v>
      </c>
    </row>
    <row r="750" spans="1:16" x14ac:dyDescent="0.45">
      <c r="A750" t="s">
        <v>758</v>
      </c>
      <c r="B750" s="1">
        <v>45019</v>
      </c>
      <c r="C750" s="2" t="s">
        <v>2010</v>
      </c>
      <c r="D750" t="s">
        <v>2015</v>
      </c>
      <c r="E750">
        <v>0</v>
      </c>
      <c r="F750">
        <f>Cleaned[[#This Row],[Debit]] * Cleaned[[#This Row],[FX_rates]]</f>
        <v>0</v>
      </c>
      <c r="G750">
        <v>2983.93</v>
      </c>
      <c r="H750">
        <f>Cleaned[[#This Row],[Credit]] *  Cleaned[[#This Row],[FX_rates]]</f>
        <v>167100.07999999999</v>
      </c>
      <c r="I750" t="s">
        <v>2022</v>
      </c>
      <c r="J750" t="s">
        <v>2026</v>
      </c>
      <c r="K750" t="s">
        <v>2779</v>
      </c>
      <c r="L750" t="s">
        <v>4033</v>
      </c>
      <c r="M750">
        <f>Cleaned[[#This Row],[Credit]]-Cleaned[[#This Row],[Debit]]</f>
        <v>2983.93</v>
      </c>
      <c r="N750" t="str">
        <f>_xlfn.XLOOKUP(Cleaned[[#This Row],[AccountName]], Account_Mapping!A:A, Account_Mapping!B:B,"Unmapped")</f>
        <v>Revenue</v>
      </c>
      <c r="O750" cm="1">
        <f t="array" ref="O750">_xlfn.XLOOKUP(
  1,
  (FX_Rates[Currency]=Cleaned[[#This Row],[Currency]])*
  (FX_Rates[RateDate]&lt;=Cleaned[[#This Row],[TxnDate]]),
  FX_Rates[Rate_To_INR],
  ,
  -1
)</f>
        <v>56</v>
      </c>
      <c r="P750" s="2">
        <f>Cleaned[[#This Row],[Net Amount]] *  Cleaned[[#This Row],[FX_rates]]</f>
        <v>167100.07999999999</v>
      </c>
    </row>
    <row r="751" spans="1:16" x14ac:dyDescent="0.45">
      <c r="A751" t="s">
        <v>759</v>
      </c>
      <c r="B751" s="1">
        <v>45350</v>
      </c>
      <c r="C751" s="2" t="s">
        <v>2011</v>
      </c>
      <c r="D751" t="s">
        <v>2016</v>
      </c>
      <c r="E751">
        <v>319.47000000000003</v>
      </c>
      <c r="F751">
        <f>Cleaned[[#This Row],[Debit]] * Cleaned[[#This Row],[FX_rates]]</f>
        <v>32905.410000000003</v>
      </c>
      <c r="G751">
        <v>0</v>
      </c>
      <c r="H751">
        <f>Cleaned[[#This Row],[Credit]] *  Cleaned[[#This Row],[FX_rates]]</f>
        <v>0</v>
      </c>
      <c r="I751" t="s">
        <v>2022</v>
      </c>
      <c r="J751" t="s">
        <v>2030</v>
      </c>
      <c r="K751" t="s">
        <v>2780</v>
      </c>
      <c r="L751" t="s">
        <v>4031</v>
      </c>
      <c r="M751">
        <f>Cleaned[[#This Row],[Credit]]-Cleaned[[#This Row],[Debit]]</f>
        <v>-319.47000000000003</v>
      </c>
      <c r="N751" t="str">
        <f>_xlfn.XLOOKUP(Cleaned[[#This Row],[AccountName]], Account_Mapping!A:A, Account_Mapping!B:B,"Unmapped")</f>
        <v>COGS</v>
      </c>
      <c r="O751" cm="1">
        <f t="array" ref="O751">_xlfn.XLOOKUP(
  1,
  (FX_Rates[Currency]=Cleaned[[#This Row],[Currency]])*
  (FX_Rates[RateDate]&lt;=Cleaned[[#This Row],[TxnDate]]),
  FX_Rates[Rate_To_INR],
  ,
  -1
)</f>
        <v>103</v>
      </c>
      <c r="P751" s="2">
        <f>Cleaned[[#This Row],[Net Amount]] *  Cleaned[[#This Row],[FX_rates]]</f>
        <v>-32905.410000000003</v>
      </c>
    </row>
    <row r="752" spans="1:16" x14ac:dyDescent="0.45">
      <c r="A752" t="s">
        <v>760</v>
      </c>
      <c r="B752" s="1">
        <v>45268</v>
      </c>
      <c r="C752" s="2" t="s">
        <v>2010</v>
      </c>
      <c r="D752" t="s">
        <v>2015</v>
      </c>
      <c r="E752">
        <v>0</v>
      </c>
      <c r="F752">
        <f>Cleaned[[#This Row],[Debit]] * Cleaned[[#This Row],[FX_rates]]</f>
        <v>0</v>
      </c>
      <c r="G752">
        <v>1222.08</v>
      </c>
      <c r="H752">
        <f>Cleaned[[#This Row],[Credit]] *  Cleaned[[#This Row],[FX_rates]]</f>
        <v>100210.56</v>
      </c>
      <c r="I752" t="s">
        <v>2021</v>
      </c>
      <c r="J752" t="s">
        <v>2026</v>
      </c>
      <c r="K752" t="s">
        <v>2781</v>
      </c>
      <c r="L752" t="s">
        <v>4034</v>
      </c>
      <c r="M752">
        <f>Cleaned[[#This Row],[Credit]]-Cleaned[[#This Row],[Debit]]</f>
        <v>1222.08</v>
      </c>
      <c r="N752" t="str">
        <f>_xlfn.XLOOKUP(Cleaned[[#This Row],[AccountName]], Account_Mapping!A:A, Account_Mapping!B:B,"Unmapped")</f>
        <v>Revenue</v>
      </c>
      <c r="O752" cm="1">
        <f t="array" ref="O752">_xlfn.XLOOKUP(
  1,
  (FX_Rates[Currency]=Cleaned[[#This Row],[Currency]])*
  (FX_Rates[RateDate]&lt;=Cleaned[[#This Row],[TxnDate]]),
  FX_Rates[Rate_To_INR],
  ,
  -1
)</f>
        <v>82</v>
      </c>
      <c r="P752" s="2">
        <f>Cleaned[[#This Row],[Net Amount]] *  Cleaned[[#This Row],[FX_rates]]</f>
        <v>100210.56</v>
      </c>
    </row>
    <row r="753" spans="1:16" x14ac:dyDescent="0.45">
      <c r="A753" t="s">
        <v>761</v>
      </c>
      <c r="B753" s="1">
        <v>45161</v>
      </c>
      <c r="C753" s="2" t="s">
        <v>2013</v>
      </c>
      <c r="D753" t="s">
        <v>2018</v>
      </c>
      <c r="E753">
        <v>199.77</v>
      </c>
      <c r="F753">
        <f>Cleaned[[#This Row],[Debit]] * Cleaned[[#This Row],[FX_rates]]</f>
        <v>11187.12</v>
      </c>
      <c r="G753">
        <v>0</v>
      </c>
      <c r="H753">
        <f>Cleaned[[#This Row],[Credit]] *  Cleaned[[#This Row],[FX_rates]]</f>
        <v>0</v>
      </c>
      <c r="I753" t="s">
        <v>2025</v>
      </c>
      <c r="J753" t="s">
        <v>2027</v>
      </c>
      <c r="K753" t="s">
        <v>2782</v>
      </c>
      <c r="L753" t="s">
        <v>4033</v>
      </c>
      <c r="M753">
        <f>Cleaned[[#This Row],[Credit]]-Cleaned[[#This Row],[Debit]]</f>
        <v>-199.77</v>
      </c>
      <c r="N753" t="str">
        <f>_xlfn.XLOOKUP(Cleaned[[#This Row],[AccountName]], Account_Mapping!A:A, Account_Mapping!B:B,"Unmapped")</f>
        <v>Operating Expense</v>
      </c>
      <c r="O753" cm="1">
        <f t="array" ref="O753">_xlfn.XLOOKUP(
  1,
  (FX_Rates[Currency]=Cleaned[[#This Row],[Currency]])*
  (FX_Rates[RateDate]&lt;=Cleaned[[#This Row],[TxnDate]]),
  FX_Rates[Rate_To_INR],
  ,
  -1
)</f>
        <v>56</v>
      </c>
      <c r="P753" s="2">
        <f>Cleaned[[#This Row],[Net Amount]] *  Cleaned[[#This Row],[FX_rates]]</f>
        <v>-11187.12</v>
      </c>
    </row>
    <row r="754" spans="1:16" x14ac:dyDescent="0.45">
      <c r="A754" t="s">
        <v>762</v>
      </c>
      <c r="B754" s="1">
        <v>44957</v>
      </c>
      <c r="C754" s="2" t="s">
        <v>2010</v>
      </c>
      <c r="D754" t="s">
        <v>2015</v>
      </c>
      <c r="E754">
        <v>0</v>
      </c>
      <c r="F754">
        <f>Cleaned[[#This Row],[Debit]] * Cleaned[[#This Row],[FX_rates]]</f>
        <v>0</v>
      </c>
      <c r="G754">
        <v>4349.28</v>
      </c>
      <c r="H754">
        <f>Cleaned[[#This Row],[Credit]] *  Cleaned[[#This Row],[FX_rates]]</f>
        <v>243559.67999999999</v>
      </c>
      <c r="I754" t="s">
        <v>2021</v>
      </c>
      <c r="J754" t="s">
        <v>2027</v>
      </c>
      <c r="K754" t="s">
        <v>2783</v>
      </c>
      <c r="L754" t="s">
        <v>4033</v>
      </c>
      <c r="M754">
        <f>Cleaned[[#This Row],[Credit]]-Cleaned[[#This Row],[Debit]]</f>
        <v>4349.28</v>
      </c>
      <c r="N754" t="str">
        <f>_xlfn.XLOOKUP(Cleaned[[#This Row],[AccountName]], Account_Mapping!A:A, Account_Mapping!B:B,"Unmapped")</f>
        <v>Revenue</v>
      </c>
      <c r="O754" cm="1">
        <f t="array" ref="O754">_xlfn.XLOOKUP(
  1,
  (FX_Rates[Currency]=Cleaned[[#This Row],[Currency]])*
  (FX_Rates[RateDate]&lt;=Cleaned[[#This Row],[TxnDate]]),
  FX_Rates[Rate_To_INR],
  ,
  -1
)</f>
        <v>56</v>
      </c>
      <c r="P754" s="2">
        <f>Cleaned[[#This Row],[Net Amount]] *  Cleaned[[#This Row],[FX_rates]]</f>
        <v>243559.67999999999</v>
      </c>
    </row>
    <row r="755" spans="1:16" x14ac:dyDescent="0.45">
      <c r="A755" t="s">
        <v>763</v>
      </c>
      <c r="B755" s="1">
        <v>45702</v>
      </c>
      <c r="C755" s="2" t="s">
        <v>2013</v>
      </c>
      <c r="D755" t="s">
        <v>2018</v>
      </c>
      <c r="E755">
        <v>1496.23</v>
      </c>
      <c r="F755">
        <f>Cleaned[[#This Row],[Debit]] * Cleaned[[#This Row],[FX_rates]]</f>
        <v>131668.24</v>
      </c>
      <c r="G755">
        <v>0</v>
      </c>
      <c r="H755">
        <f>Cleaned[[#This Row],[Credit]] *  Cleaned[[#This Row],[FX_rates]]</f>
        <v>0</v>
      </c>
      <c r="I755" t="s">
        <v>2022</v>
      </c>
      <c r="J755" t="s">
        <v>2030</v>
      </c>
      <c r="K755" t="s">
        <v>2784</v>
      </c>
      <c r="L755" t="s">
        <v>4032</v>
      </c>
      <c r="M755">
        <f>Cleaned[[#This Row],[Credit]]-Cleaned[[#This Row],[Debit]]</f>
        <v>-1496.23</v>
      </c>
      <c r="N755" t="str">
        <f>_xlfn.XLOOKUP(Cleaned[[#This Row],[AccountName]], Account_Mapping!A:A, Account_Mapping!B:B,"Unmapped")</f>
        <v>Operating Expense</v>
      </c>
      <c r="O755" cm="1">
        <f t="array" ref="O755">_xlfn.XLOOKUP(
  1,
  (FX_Rates[Currency]=Cleaned[[#This Row],[Currency]])*
  (FX_Rates[RateDate]&lt;=Cleaned[[#This Row],[TxnDate]]),
  FX_Rates[Rate_To_INR],
  ,
  -1
)</f>
        <v>88</v>
      </c>
      <c r="P755" s="2">
        <f>Cleaned[[#This Row],[Net Amount]] *  Cleaned[[#This Row],[FX_rates]]</f>
        <v>-131668.24</v>
      </c>
    </row>
    <row r="756" spans="1:16" x14ac:dyDescent="0.45">
      <c r="A756" t="s">
        <v>764</v>
      </c>
      <c r="B756" s="1">
        <v>45710</v>
      </c>
      <c r="C756" s="2" t="s">
        <v>2014</v>
      </c>
      <c r="D756" t="s">
        <v>2019</v>
      </c>
      <c r="E756">
        <v>0</v>
      </c>
      <c r="F756">
        <f>Cleaned[[#This Row],[Debit]] * Cleaned[[#This Row],[FX_rates]]</f>
        <v>0</v>
      </c>
      <c r="G756">
        <v>324.7</v>
      </c>
      <c r="H756">
        <f>Cleaned[[#This Row],[Credit]] *  Cleaned[[#This Row],[FX_rates]]</f>
        <v>28573.599999999999</v>
      </c>
      <c r="I756" t="s">
        <v>2020</v>
      </c>
      <c r="J756" t="s">
        <v>2027</v>
      </c>
      <c r="K756" t="s">
        <v>2785</v>
      </c>
      <c r="L756" t="s">
        <v>4032</v>
      </c>
      <c r="M756">
        <f>Cleaned[[#This Row],[Credit]]-Cleaned[[#This Row],[Debit]]</f>
        <v>324.7</v>
      </c>
      <c r="N756" t="str">
        <f>_xlfn.XLOOKUP(Cleaned[[#This Row],[AccountName]], Account_Mapping!A:A, Account_Mapping!B:B,"Unmapped")</f>
        <v>Revenue</v>
      </c>
      <c r="O756" cm="1">
        <f t="array" ref="O756">_xlfn.XLOOKUP(
  1,
  (FX_Rates[Currency]=Cleaned[[#This Row],[Currency]])*
  (FX_Rates[RateDate]&lt;=Cleaned[[#This Row],[TxnDate]]),
  FX_Rates[Rate_To_INR],
  ,
  -1
)</f>
        <v>88</v>
      </c>
      <c r="P756" s="2">
        <f>Cleaned[[#This Row],[Net Amount]] *  Cleaned[[#This Row],[FX_rates]]</f>
        <v>28573.599999999999</v>
      </c>
    </row>
    <row r="757" spans="1:16" x14ac:dyDescent="0.45">
      <c r="A757" t="s">
        <v>765</v>
      </c>
      <c r="B757" s="1">
        <v>44947</v>
      </c>
      <c r="C757" s="2" t="s">
        <v>2011</v>
      </c>
      <c r="D757" t="s">
        <v>2016</v>
      </c>
      <c r="E757">
        <v>1504.62</v>
      </c>
      <c r="F757">
        <f>Cleaned[[#This Row],[Debit]] * Cleaned[[#This Row],[FX_rates]]</f>
        <v>123378.84</v>
      </c>
      <c r="G757">
        <v>0</v>
      </c>
      <c r="H757">
        <f>Cleaned[[#This Row],[Credit]] *  Cleaned[[#This Row],[FX_rates]]</f>
        <v>0</v>
      </c>
      <c r="I757" t="s">
        <v>2020</v>
      </c>
      <c r="J757" t="s">
        <v>2029</v>
      </c>
      <c r="K757" t="s">
        <v>2786</v>
      </c>
      <c r="L757" t="s">
        <v>4034</v>
      </c>
      <c r="M757">
        <f>Cleaned[[#This Row],[Credit]]-Cleaned[[#This Row],[Debit]]</f>
        <v>-1504.62</v>
      </c>
      <c r="N757" t="str">
        <f>_xlfn.XLOOKUP(Cleaned[[#This Row],[AccountName]], Account_Mapping!A:A, Account_Mapping!B:B,"Unmapped")</f>
        <v>COGS</v>
      </c>
      <c r="O757" cm="1">
        <f t="array" ref="O757">_xlfn.XLOOKUP(
  1,
  (FX_Rates[Currency]=Cleaned[[#This Row],[Currency]])*
  (FX_Rates[RateDate]&lt;=Cleaned[[#This Row],[TxnDate]]),
  FX_Rates[Rate_To_INR],
  ,
  -1
)</f>
        <v>82</v>
      </c>
      <c r="P757" s="2">
        <f>Cleaned[[#This Row],[Net Amount]] *  Cleaned[[#This Row],[FX_rates]]</f>
        <v>-123378.84</v>
      </c>
    </row>
    <row r="758" spans="1:16" x14ac:dyDescent="0.45">
      <c r="A758" t="s">
        <v>766</v>
      </c>
      <c r="B758" s="1">
        <v>45740</v>
      </c>
      <c r="C758" s="2" t="s">
        <v>2014</v>
      </c>
      <c r="D758" t="s">
        <v>2019</v>
      </c>
      <c r="E758">
        <v>0</v>
      </c>
      <c r="F758">
        <f>Cleaned[[#This Row],[Debit]] * Cleaned[[#This Row],[FX_rates]]</f>
        <v>0</v>
      </c>
      <c r="G758">
        <v>2507.58</v>
      </c>
      <c r="H758">
        <f>Cleaned[[#This Row],[Credit]] *  Cleaned[[#This Row],[FX_rates]]</f>
        <v>140424.47999999998</v>
      </c>
      <c r="I758" t="s">
        <v>2025</v>
      </c>
      <c r="J758" t="s">
        <v>2027</v>
      </c>
      <c r="K758" t="s">
        <v>2787</v>
      </c>
      <c r="L758" t="s">
        <v>4033</v>
      </c>
      <c r="M758">
        <f>Cleaned[[#This Row],[Credit]]-Cleaned[[#This Row],[Debit]]</f>
        <v>2507.58</v>
      </c>
      <c r="N758" t="str">
        <f>_xlfn.XLOOKUP(Cleaned[[#This Row],[AccountName]], Account_Mapping!A:A, Account_Mapping!B:B,"Unmapped")</f>
        <v>Revenue</v>
      </c>
      <c r="O758" cm="1">
        <f t="array" ref="O758">_xlfn.XLOOKUP(
  1,
  (FX_Rates[Currency]=Cleaned[[#This Row],[Currency]])*
  (FX_Rates[RateDate]&lt;=Cleaned[[#This Row],[TxnDate]]),
  FX_Rates[Rate_To_INR],
  ,
  -1
)</f>
        <v>56</v>
      </c>
      <c r="P758" s="2">
        <f>Cleaned[[#This Row],[Net Amount]] *  Cleaned[[#This Row],[FX_rates]]</f>
        <v>140424.47999999998</v>
      </c>
    </row>
    <row r="759" spans="1:16" x14ac:dyDescent="0.45">
      <c r="A759" t="s">
        <v>767</v>
      </c>
      <c r="B759" s="1">
        <v>45202</v>
      </c>
      <c r="C759" s="2" t="s">
        <v>2013</v>
      </c>
      <c r="D759" t="s">
        <v>2018</v>
      </c>
      <c r="E759">
        <v>837.65</v>
      </c>
      <c r="F759">
        <f>Cleaned[[#This Row],[Debit]] * Cleaned[[#This Row],[FX_rates]]</f>
        <v>73713.2</v>
      </c>
      <c r="G759">
        <v>0</v>
      </c>
      <c r="H759">
        <f>Cleaned[[#This Row],[Credit]] *  Cleaned[[#This Row],[FX_rates]]</f>
        <v>0</v>
      </c>
      <c r="I759" t="s">
        <v>2021</v>
      </c>
      <c r="J759" t="s">
        <v>2029</v>
      </c>
      <c r="K759" t="s">
        <v>2788</v>
      </c>
      <c r="L759" t="s">
        <v>4032</v>
      </c>
      <c r="M759">
        <f>Cleaned[[#This Row],[Credit]]-Cleaned[[#This Row],[Debit]]</f>
        <v>-837.65</v>
      </c>
      <c r="N759" t="str">
        <f>_xlfn.XLOOKUP(Cleaned[[#This Row],[AccountName]], Account_Mapping!A:A, Account_Mapping!B:B,"Unmapped")</f>
        <v>Operating Expense</v>
      </c>
      <c r="O759" cm="1">
        <f t="array" ref="O759">_xlfn.XLOOKUP(
  1,
  (FX_Rates[Currency]=Cleaned[[#This Row],[Currency]])*
  (FX_Rates[RateDate]&lt;=Cleaned[[#This Row],[TxnDate]]),
  FX_Rates[Rate_To_INR],
  ,
  -1
)</f>
        <v>88</v>
      </c>
      <c r="P759" s="2">
        <f>Cleaned[[#This Row],[Net Amount]] *  Cleaned[[#This Row],[FX_rates]]</f>
        <v>-73713.2</v>
      </c>
    </row>
    <row r="760" spans="1:16" x14ac:dyDescent="0.45">
      <c r="A760" t="s">
        <v>768</v>
      </c>
      <c r="B760" s="1">
        <v>45533</v>
      </c>
      <c r="C760" s="2" t="s">
        <v>2012</v>
      </c>
      <c r="D760" t="s">
        <v>2017</v>
      </c>
      <c r="E760">
        <v>787.73</v>
      </c>
      <c r="F760">
        <f>Cleaned[[#This Row],[Debit]] * Cleaned[[#This Row],[FX_rates]]</f>
        <v>64593.86</v>
      </c>
      <c r="G760">
        <v>0</v>
      </c>
      <c r="H760">
        <f>Cleaned[[#This Row],[Credit]] *  Cleaned[[#This Row],[FX_rates]]</f>
        <v>0</v>
      </c>
      <c r="I760" t="s">
        <v>2020</v>
      </c>
      <c r="J760" t="s">
        <v>2027</v>
      </c>
      <c r="K760" t="s">
        <v>2789</v>
      </c>
      <c r="L760" t="s">
        <v>4034</v>
      </c>
      <c r="M760">
        <f>Cleaned[[#This Row],[Credit]]-Cleaned[[#This Row],[Debit]]</f>
        <v>-787.73</v>
      </c>
      <c r="N760" t="str">
        <f>_xlfn.XLOOKUP(Cleaned[[#This Row],[AccountName]], Account_Mapping!A:A, Account_Mapping!B:B,"Unmapped")</f>
        <v>Operating Expense</v>
      </c>
      <c r="O760" cm="1">
        <f t="array" ref="O760">_xlfn.XLOOKUP(
  1,
  (FX_Rates[Currency]=Cleaned[[#This Row],[Currency]])*
  (FX_Rates[RateDate]&lt;=Cleaned[[#This Row],[TxnDate]]),
  FX_Rates[Rate_To_INR],
  ,
  -1
)</f>
        <v>82</v>
      </c>
      <c r="P760" s="2">
        <f>Cleaned[[#This Row],[Net Amount]] *  Cleaned[[#This Row],[FX_rates]]</f>
        <v>-64593.86</v>
      </c>
    </row>
    <row r="761" spans="1:16" x14ac:dyDescent="0.45">
      <c r="A761" t="s">
        <v>769</v>
      </c>
      <c r="B761" s="1">
        <v>45609</v>
      </c>
      <c r="C761" s="2" t="s">
        <v>2012</v>
      </c>
      <c r="D761" t="s">
        <v>2017</v>
      </c>
      <c r="E761">
        <v>910.72</v>
      </c>
      <c r="F761">
        <f>Cleaned[[#This Row],[Debit]] * Cleaned[[#This Row],[FX_rates]]</f>
        <v>51000.32</v>
      </c>
      <c r="G761">
        <v>0</v>
      </c>
      <c r="H761">
        <f>Cleaned[[#This Row],[Credit]] *  Cleaned[[#This Row],[FX_rates]]</f>
        <v>0</v>
      </c>
      <c r="I761" t="s">
        <v>2023</v>
      </c>
      <c r="J761" t="s">
        <v>2026</v>
      </c>
      <c r="K761" t="s">
        <v>2790</v>
      </c>
      <c r="L761" t="s">
        <v>4033</v>
      </c>
      <c r="M761">
        <f>Cleaned[[#This Row],[Credit]]-Cleaned[[#This Row],[Debit]]</f>
        <v>-910.72</v>
      </c>
      <c r="N761" t="str">
        <f>_xlfn.XLOOKUP(Cleaned[[#This Row],[AccountName]], Account_Mapping!A:A, Account_Mapping!B:B,"Unmapped")</f>
        <v>Operating Expense</v>
      </c>
      <c r="O761" cm="1">
        <f t="array" ref="O761">_xlfn.XLOOKUP(
  1,
  (FX_Rates[Currency]=Cleaned[[#This Row],[Currency]])*
  (FX_Rates[RateDate]&lt;=Cleaned[[#This Row],[TxnDate]]),
  FX_Rates[Rate_To_INR],
  ,
  -1
)</f>
        <v>56</v>
      </c>
      <c r="P761" s="2">
        <f>Cleaned[[#This Row],[Net Amount]] *  Cleaned[[#This Row],[FX_rates]]</f>
        <v>-51000.32</v>
      </c>
    </row>
    <row r="762" spans="1:16" x14ac:dyDescent="0.45">
      <c r="A762" t="s">
        <v>770</v>
      </c>
      <c r="B762" s="1">
        <v>44929</v>
      </c>
      <c r="C762" s="2" t="s">
        <v>2013</v>
      </c>
      <c r="D762" t="s">
        <v>2018</v>
      </c>
      <c r="E762">
        <v>1362.52</v>
      </c>
      <c r="F762">
        <f>Cleaned[[#This Row],[Debit]] * Cleaned[[#This Row],[FX_rates]]</f>
        <v>111726.64</v>
      </c>
      <c r="G762">
        <v>0</v>
      </c>
      <c r="H762">
        <f>Cleaned[[#This Row],[Credit]] *  Cleaned[[#This Row],[FX_rates]]</f>
        <v>0</v>
      </c>
      <c r="I762" t="s">
        <v>2023</v>
      </c>
      <c r="J762" t="s">
        <v>2026</v>
      </c>
      <c r="K762" t="s">
        <v>2791</v>
      </c>
      <c r="L762" t="s">
        <v>4034</v>
      </c>
      <c r="M762">
        <f>Cleaned[[#This Row],[Credit]]-Cleaned[[#This Row],[Debit]]</f>
        <v>-1362.52</v>
      </c>
      <c r="N762" t="str">
        <f>_xlfn.XLOOKUP(Cleaned[[#This Row],[AccountName]], Account_Mapping!A:A, Account_Mapping!B:B,"Unmapped")</f>
        <v>Operating Expense</v>
      </c>
      <c r="O762" cm="1">
        <f t="array" ref="O762">_xlfn.XLOOKUP(
  1,
  (FX_Rates[Currency]=Cleaned[[#This Row],[Currency]])*
  (FX_Rates[RateDate]&lt;=Cleaned[[#This Row],[TxnDate]]),
  FX_Rates[Rate_To_INR],
  ,
  -1
)</f>
        <v>82</v>
      </c>
      <c r="P762" s="2">
        <f>Cleaned[[#This Row],[Net Amount]] *  Cleaned[[#This Row],[FX_rates]]</f>
        <v>-111726.64</v>
      </c>
    </row>
    <row r="763" spans="1:16" x14ac:dyDescent="0.45">
      <c r="A763" t="s">
        <v>771</v>
      </c>
      <c r="B763" s="1">
        <v>45661</v>
      </c>
      <c r="C763" s="2" t="s">
        <v>2011</v>
      </c>
      <c r="D763" t="s">
        <v>2016</v>
      </c>
      <c r="E763">
        <v>1261.48</v>
      </c>
      <c r="F763">
        <f>Cleaned[[#This Row],[Debit]] * Cleaned[[#This Row],[FX_rates]]</f>
        <v>103441.36</v>
      </c>
      <c r="G763">
        <v>0</v>
      </c>
      <c r="H763">
        <f>Cleaned[[#This Row],[Credit]] *  Cleaned[[#This Row],[FX_rates]]</f>
        <v>0</v>
      </c>
      <c r="I763" t="s">
        <v>2023</v>
      </c>
      <c r="J763" t="s">
        <v>2027</v>
      </c>
      <c r="K763" t="s">
        <v>2792</v>
      </c>
      <c r="L763" t="s">
        <v>4034</v>
      </c>
      <c r="M763">
        <f>Cleaned[[#This Row],[Credit]]-Cleaned[[#This Row],[Debit]]</f>
        <v>-1261.48</v>
      </c>
      <c r="N763" t="str">
        <f>_xlfn.XLOOKUP(Cleaned[[#This Row],[AccountName]], Account_Mapping!A:A, Account_Mapping!B:B,"Unmapped")</f>
        <v>COGS</v>
      </c>
      <c r="O763" cm="1">
        <f t="array" ref="O763">_xlfn.XLOOKUP(
  1,
  (FX_Rates[Currency]=Cleaned[[#This Row],[Currency]])*
  (FX_Rates[RateDate]&lt;=Cleaned[[#This Row],[TxnDate]]),
  FX_Rates[Rate_To_INR],
  ,
  -1
)</f>
        <v>82</v>
      </c>
      <c r="P763" s="2">
        <f>Cleaned[[#This Row],[Net Amount]] *  Cleaned[[#This Row],[FX_rates]]</f>
        <v>-103441.36</v>
      </c>
    </row>
    <row r="764" spans="1:16" x14ac:dyDescent="0.45">
      <c r="A764" t="s">
        <v>772</v>
      </c>
      <c r="B764" s="1">
        <v>45823</v>
      </c>
      <c r="C764" s="2" t="s">
        <v>2014</v>
      </c>
      <c r="D764" t="s">
        <v>2019</v>
      </c>
      <c r="E764">
        <v>0</v>
      </c>
      <c r="F764">
        <f>Cleaned[[#This Row],[Debit]] * Cleaned[[#This Row],[FX_rates]]</f>
        <v>0</v>
      </c>
      <c r="G764">
        <v>3519.33</v>
      </c>
      <c r="H764">
        <f>Cleaned[[#This Row],[Credit]] *  Cleaned[[#This Row],[FX_rates]]</f>
        <v>362490.99</v>
      </c>
      <c r="I764" t="s">
        <v>2024</v>
      </c>
      <c r="J764" t="s">
        <v>2028</v>
      </c>
      <c r="K764" t="s">
        <v>2793</v>
      </c>
      <c r="L764" t="s">
        <v>4031</v>
      </c>
      <c r="M764">
        <f>Cleaned[[#This Row],[Credit]]-Cleaned[[#This Row],[Debit]]</f>
        <v>3519.33</v>
      </c>
      <c r="N764" t="str">
        <f>_xlfn.XLOOKUP(Cleaned[[#This Row],[AccountName]], Account_Mapping!A:A, Account_Mapping!B:B,"Unmapped")</f>
        <v>Revenue</v>
      </c>
      <c r="O764" cm="1">
        <f t="array" ref="O764">_xlfn.XLOOKUP(
  1,
  (FX_Rates[Currency]=Cleaned[[#This Row],[Currency]])*
  (FX_Rates[RateDate]&lt;=Cleaned[[#This Row],[TxnDate]]),
  FX_Rates[Rate_To_INR],
  ,
  -1
)</f>
        <v>103</v>
      </c>
      <c r="P764" s="2">
        <f>Cleaned[[#This Row],[Net Amount]] *  Cleaned[[#This Row],[FX_rates]]</f>
        <v>362490.99</v>
      </c>
    </row>
    <row r="765" spans="1:16" x14ac:dyDescent="0.45">
      <c r="A765" t="s">
        <v>773</v>
      </c>
      <c r="B765" s="1">
        <v>45706</v>
      </c>
      <c r="C765" s="2" t="s">
        <v>2011</v>
      </c>
      <c r="D765" t="s">
        <v>2016</v>
      </c>
      <c r="E765">
        <v>1425.68</v>
      </c>
      <c r="F765">
        <f>Cleaned[[#This Row],[Debit]] * Cleaned[[#This Row],[FX_rates]]</f>
        <v>116905.76000000001</v>
      </c>
      <c r="G765">
        <v>0</v>
      </c>
      <c r="H765">
        <f>Cleaned[[#This Row],[Credit]] *  Cleaned[[#This Row],[FX_rates]]</f>
        <v>0</v>
      </c>
      <c r="I765" t="s">
        <v>2022</v>
      </c>
      <c r="J765" t="s">
        <v>2027</v>
      </c>
      <c r="K765" t="s">
        <v>2794</v>
      </c>
      <c r="L765" t="s">
        <v>4034</v>
      </c>
      <c r="M765">
        <f>Cleaned[[#This Row],[Credit]]-Cleaned[[#This Row],[Debit]]</f>
        <v>-1425.68</v>
      </c>
      <c r="N765" t="str">
        <f>_xlfn.XLOOKUP(Cleaned[[#This Row],[AccountName]], Account_Mapping!A:A, Account_Mapping!B:B,"Unmapped")</f>
        <v>COGS</v>
      </c>
      <c r="O765" cm="1">
        <f t="array" ref="O765">_xlfn.XLOOKUP(
  1,
  (FX_Rates[Currency]=Cleaned[[#This Row],[Currency]])*
  (FX_Rates[RateDate]&lt;=Cleaned[[#This Row],[TxnDate]]),
  FX_Rates[Rate_To_INR],
  ,
  -1
)</f>
        <v>82</v>
      </c>
      <c r="P765" s="2">
        <f>Cleaned[[#This Row],[Net Amount]] *  Cleaned[[#This Row],[FX_rates]]</f>
        <v>-116905.76000000001</v>
      </c>
    </row>
    <row r="766" spans="1:16" x14ac:dyDescent="0.45">
      <c r="A766" t="s">
        <v>774</v>
      </c>
      <c r="B766" s="1">
        <v>45492</v>
      </c>
      <c r="C766" s="2" t="s">
        <v>2014</v>
      </c>
      <c r="D766" t="s">
        <v>2019</v>
      </c>
      <c r="E766">
        <v>0</v>
      </c>
      <c r="F766">
        <f>Cleaned[[#This Row],[Debit]] * Cleaned[[#This Row],[FX_rates]]</f>
        <v>0</v>
      </c>
      <c r="G766">
        <v>4831.59</v>
      </c>
      <c r="H766">
        <f>Cleaned[[#This Row],[Credit]] *  Cleaned[[#This Row],[FX_rates]]</f>
        <v>294726.99</v>
      </c>
      <c r="I766" t="s">
        <v>2025</v>
      </c>
      <c r="J766" t="s">
        <v>2030</v>
      </c>
      <c r="K766" t="s">
        <v>2795</v>
      </c>
      <c r="L766" t="s">
        <v>4035</v>
      </c>
      <c r="M766">
        <f>Cleaned[[#This Row],[Credit]]-Cleaned[[#This Row],[Debit]]</f>
        <v>4831.59</v>
      </c>
      <c r="N766" t="str">
        <f>_xlfn.XLOOKUP(Cleaned[[#This Row],[AccountName]], Account_Mapping!A:A, Account_Mapping!B:B,"Unmapped")</f>
        <v>Revenue</v>
      </c>
      <c r="O766" cm="1">
        <f t="array" ref="O766">_xlfn.XLOOKUP(
  1,
  (FX_Rates[Currency]=Cleaned[[#This Row],[Currency]])*
  (FX_Rates[RateDate]&lt;=Cleaned[[#This Row],[TxnDate]]),
  FX_Rates[Rate_To_INR],
  ,
  -1
)</f>
        <v>61</v>
      </c>
      <c r="P766" s="2">
        <f>Cleaned[[#This Row],[Net Amount]] *  Cleaned[[#This Row],[FX_rates]]</f>
        <v>294726.99</v>
      </c>
    </row>
    <row r="767" spans="1:16" x14ac:dyDescent="0.45">
      <c r="A767" t="s">
        <v>775</v>
      </c>
      <c r="B767" s="1">
        <v>45444</v>
      </c>
      <c r="C767" s="2" t="s">
        <v>2014</v>
      </c>
      <c r="D767" t="s">
        <v>2019</v>
      </c>
      <c r="E767">
        <v>0</v>
      </c>
      <c r="F767">
        <f>Cleaned[[#This Row],[Debit]] * Cleaned[[#This Row],[FX_rates]]</f>
        <v>0</v>
      </c>
      <c r="G767">
        <v>3282.7</v>
      </c>
      <c r="H767">
        <f>Cleaned[[#This Row],[Credit]] *  Cleaned[[#This Row],[FX_rates]]</f>
        <v>183831.19999999998</v>
      </c>
      <c r="I767" t="s">
        <v>2024</v>
      </c>
      <c r="J767" t="s">
        <v>2026</v>
      </c>
      <c r="K767" t="s">
        <v>2796</v>
      </c>
      <c r="L767" t="s">
        <v>4033</v>
      </c>
      <c r="M767">
        <f>Cleaned[[#This Row],[Credit]]-Cleaned[[#This Row],[Debit]]</f>
        <v>3282.7</v>
      </c>
      <c r="N767" t="str">
        <f>_xlfn.XLOOKUP(Cleaned[[#This Row],[AccountName]], Account_Mapping!A:A, Account_Mapping!B:B,"Unmapped")</f>
        <v>Revenue</v>
      </c>
      <c r="O767" cm="1">
        <f t="array" ref="O767">_xlfn.XLOOKUP(
  1,
  (FX_Rates[Currency]=Cleaned[[#This Row],[Currency]])*
  (FX_Rates[RateDate]&lt;=Cleaned[[#This Row],[TxnDate]]),
  FX_Rates[Rate_To_INR],
  ,
  -1
)</f>
        <v>56</v>
      </c>
      <c r="P767" s="2">
        <f>Cleaned[[#This Row],[Net Amount]] *  Cleaned[[#This Row],[FX_rates]]</f>
        <v>183831.19999999998</v>
      </c>
    </row>
    <row r="768" spans="1:16" x14ac:dyDescent="0.45">
      <c r="A768" t="s">
        <v>776</v>
      </c>
      <c r="B768" s="1">
        <v>45800</v>
      </c>
      <c r="C768" s="2" t="s">
        <v>2011</v>
      </c>
      <c r="D768" t="s">
        <v>2016</v>
      </c>
      <c r="E768">
        <v>1789.76</v>
      </c>
      <c r="F768">
        <f>Cleaned[[#This Row],[Debit]] * Cleaned[[#This Row],[FX_rates]]</f>
        <v>100226.56</v>
      </c>
      <c r="G768">
        <v>0</v>
      </c>
      <c r="H768">
        <f>Cleaned[[#This Row],[Credit]] *  Cleaned[[#This Row],[FX_rates]]</f>
        <v>0</v>
      </c>
      <c r="I768" t="s">
        <v>2022</v>
      </c>
      <c r="J768" t="s">
        <v>2028</v>
      </c>
      <c r="K768" t="s">
        <v>2797</v>
      </c>
      <c r="L768" t="s">
        <v>4033</v>
      </c>
      <c r="M768">
        <f>Cleaned[[#This Row],[Credit]]-Cleaned[[#This Row],[Debit]]</f>
        <v>-1789.76</v>
      </c>
      <c r="N768" t="str">
        <f>_xlfn.XLOOKUP(Cleaned[[#This Row],[AccountName]], Account_Mapping!A:A, Account_Mapping!B:B,"Unmapped")</f>
        <v>COGS</v>
      </c>
      <c r="O768" cm="1">
        <f t="array" ref="O768">_xlfn.XLOOKUP(
  1,
  (FX_Rates[Currency]=Cleaned[[#This Row],[Currency]])*
  (FX_Rates[RateDate]&lt;=Cleaned[[#This Row],[TxnDate]]),
  FX_Rates[Rate_To_INR],
  ,
  -1
)</f>
        <v>56</v>
      </c>
      <c r="P768" s="2">
        <f>Cleaned[[#This Row],[Net Amount]] *  Cleaned[[#This Row],[FX_rates]]</f>
        <v>-100226.56</v>
      </c>
    </row>
    <row r="769" spans="1:16" x14ac:dyDescent="0.45">
      <c r="A769" t="s">
        <v>777</v>
      </c>
      <c r="B769" s="1">
        <v>44992</v>
      </c>
      <c r="C769" s="2" t="s">
        <v>2011</v>
      </c>
      <c r="D769" t="s">
        <v>2016</v>
      </c>
      <c r="E769">
        <v>1557.62</v>
      </c>
      <c r="F769">
        <f>Cleaned[[#This Row],[Debit]] * Cleaned[[#This Row],[FX_rates]]</f>
        <v>137070.56</v>
      </c>
      <c r="G769">
        <v>0</v>
      </c>
      <c r="H769">
        <f>Cleaned[[#This Row],[Credit]] *  Cleaned[[#This Row],[FX_rates]]</f>
        <v>0</v>
      </c>
      <c r="I769" t="s">
        <v>2024</v>
      </c>
      <c r="J769" t="s">
        <v>2029</v>
      </c>
      <c r="K769" t="s">
        <v>2798</v>
      </c>
      <c r="L769" t="s">
        <v>4032</v>
      </c>
      <c r="M769">
        <f>Cleaned[[#This Row],[Credit]]-Cleaned[[#This Row],[Debit]]</f>
        <v>-1557.62</v>
      </c>
      <c r="N769" t="str">
        <f>_xlfn.XLOOKUP(Cleaned[[#This Row],[AccountName]], Account_Mapping!A:A, Account_Mapping!B:B,"Unmapped")</f>
        <v>COGS</v>
      </c>
      <c r="O769" cm="1">
        <f t="array" ref="O769">_xlfn.XLOOKUP(
  1,
  (FX_Rates[Currency]=Cleaned[[#This Row],[Currency]])*
  (FX_Rates[RateDate]&lt;=Cleaned[[#This Row],[TxnDate]]),
  FX_Rates[Rate_To_INR],
  ,
  -1
)</f>
        <v>88</v>
      </c>
      <c r="P769" s="2">
        <f>Cleaned[[#This Row],[Net Amount]] *  Cleaned[[#This Row],[FX_rates]]</f>
        <v>-137070.56</v>
      </c>
    </row>
    <row r="770" spans="1:16" x14ac:dyDescent="0.45">
      <c r="A770" t="s">
        <v>778</v>
      </c>
      <c r="B770" s="1">
        <v>45720</v>
      </c>
      <c r="C770" s="2" t="s">
        <v>2010</v>
      </c>
      <c r="D770" t="s">
        <v>2015</v>
      </c>
      <c r="E770">
        <v>0</v>
      </c>
      <c r="F770">
        <f>Cleaned[[#This Row],[Debit]] * Cleaned[[#This Row],[FX_rates]]</f>
        <v>0</v>
      </c>
      <c r="G770">
        <v>4262.2299999999996</v>
      </c>
      <c r="H770">
        <f>Cleaned[[#This Row],[Credit]] *  Cleaned[[#This Row],[FX_rates]]</f>
        <v>375076.24</v>
      </c>
      <c r="I770" t="s">
        <v>2025</v>
      </c>
      <c r="J770" t="s">
        <v>2027</v>
      </c>
      <c r="K770" t="s">
        <v>2799</v>
      </c>
      <c r="L770" t="s">
        <v>4032</v>
      </c>
      <c r="M770">
        <f>Cleaned[[#This Row],[Credit]]-Cleaned[[#This Row],[Debit]]</f>
        <v>4262.2299999999996</v>
      </c>
      <c r="N770" t="str">
        <f>_xlfn.XLOOKUP(Cleaned[[#This Row],[AccountName]], Account_Mapping!A:A, Account_Mapping!B:B,"Unmapped")</f>
        <v>Revenue</v>
      </c>
      <c r="O770" cm="1">
        <f t="array" ref="O770">_xlfn.XLOOKUP(
  1,
  (FX_Rates[Currency]=Cleaned[[#This Row],[Currency]])*
  (FX_Rates[RateDate]&lt;=Cleaned[[#This Row],[TxnDate]]),
  FX_Rates[Rate_To_INR],
  ,
  -1
)</f>
        <v>88</v>
      </c>
      <c r="P770" s="2">
        <f>Cleaned[[#This Row],[Net Amount]] *  Cleaned[[#This Row],[FX_rates]]</f>
        <v>375076.24</v>
      </c>
    </row>
    <row r="771" spans="1:16" x14ac:dyDescent="0.45">
      <c r="A771" t="s">
        <v>779</v>
      </c>
      <c r="B771" s="1">
        <v>45445</v>
      </c>
      <c r="C771" s="2" t="s">
        <v>2011</v>
      </c>
      <c r="D771" t="s">
        <v>2016</v>
      </c>
      <c r="E771">
        <v>1754.04</v>
      </c>
      <c r="F771">
        <f>Cleaned[[#This Row],[Debit]] * Cleaned[[#This Row],[FX_rates]]</f>
        <v>154355.51999999999</v>
      </c>
      <c r="G771">
        <v>0</v>
      </c>
      <c r="H771">
        <f>Cleaned[[#This Row],[Credit]] *  Cleaned[[#This Row],[FX_rates]]</f>
        <v>0</v>
      </c>
      <c r="I771" t="s">
        <v>2023</v>
      </c>
      <c r="J771" t="s">
        <v>2029</v>
      </c>
      <c r="K771" t="s">
        <v>2800</v>
      </c>
      <c r="L771" t="s">
        <v>4032</v>
      </c>
      <c r="M771">
        <f>Cleaned[[#This Row],[Credit]]-Cleaned[[#This Row],[Debit]]</f>
        <v>-1754.04</v>
      </c>
      <c r="N771" t="str">
        <f>_xlfn.XLOOKUP(Cleaned[[#This Row],[AccountName]], Account_Mapping!A:A, Account_Mapping!B:B,"Unmapped")</f>
        <v>COGS</v>
      </c>
      <c r="O771" cm="1">
        <f t="array" ref="O771">_xlfn.XLOOKUP(
  1,
  (FX_Rates[Currency]=Cleaned[[#This Row],[Currency]])*
  (FX_Rates[RateDate]&lt;=Cleaned[[#This Row],[TxnDate]]),
  FX_Rates[Rate_To_INR],
  ,
  -1
)</f>
        <v>88</v>
      </c>
      <c r="P771" s="2">
        <f>Cleaned[[#This Row],[Net Amount]] *  Cleaned[[#This Row],[FX_rates]]</f>
        <v>-154355.51999999999</v>
      </c>
    </row>
    <row r="772" spans="1:16" x14ac:dyDescent="0.45">
      <c r="A772" t="s">
        <v>780</v>
      </c>
      <c r="B772" s="1">
        <v>45624</v>
      </c>
      <c r="C772" s="2" t="s">
        <v>2013</v>
      </c>
      <c r="D772" t="s">
        <v>2018</v>
      </c>
      <c r="E772">
        <v>604.27</v>
      </c>
      <c r="F772">
        <f>Cleaned[[#This Row],[Debit]] * Cleaned[[#This Row],[FX_rates]]</f>
        <v>53175.759999999995</v>
      </c>
      <c r="G772">
        <v>0</v>
      </c>
      <c r="H772">
        <f>Cleaned[[#This Row],[Credit]] *  Cleaned[[#This Row],[FX_rates]]</f>
        <v>0</v>
      </c>
      <c r="I772" t="s">
        <v>2025</v>
      </c>
      <c r="J772" t="s">
        <v>2029</v>
      </c>
      <c r="K772" t="s">
        <v>2801</v>
      </c>
      <c r="L772" t="s">
        <v>4032</v>
      </c>
      <c r="M772">
        <f>Cleaned[[#This Row],[Credit]]-Cleaned[[#This Row],[Debit]]</f>
        <v>-604.27</v>
      </c>
      <c r="N772" t="str">
        <f>_xlfn.XLOOKUP(Cleaned[[#This Row],[AccountName]], Account_Mapping!A:A, Account_Mapping!B:B,"Unmapped")</f>
        <v>Operating Expense</v>
      </c>
      <c r="O772" cm="1">
        <f t="array" ref="O772">_xlfn.XLOOKUP(
  1,
  (FX_Rates[Currency]=Cleaned[[#This Row],[Currency]])*
  (FX_Rates[RateDate]&lt;=Cleaned[[#This Row],[TxnDate]]),
  FX_Rates[Rate_To_INR],
  ,
  -1
)</f>
        <v>88</v>
      </c>
      <c r="P772" s="2">
        <f>Cleaned[[#This Row],[Net Amount]] *  Cleaned[[#This Row],[FX_rates]]</f>
        <v>-53175.759999999995</v>
      </c>
    </row>
    <row r="773" spans="1:16" x14ac:dyDescent="0.45">
      <c r="A773" t="s">
        <v>781</v>
      </c>
      <c r="B773" s="1">
        <v>45571</v>
      </c>
      <c r="C773" s="2" t="s">
        <v>2013</v>
      </c>
      <c r="D773" t="s">
        <v>2018</v>
      </c>
      <c r="E773">
        <v>788.46</v>
      </c>
      <c r="F773">
        <f>Cleaned[[#This Row],[Debit]] * Cleaned[[#This Row],[FX_rates]]</f>
        <v>48096.060000000005</v>
      </c>
      <c r="G773">
        <v>0</v>
      </c>
      <c r="H773">
        <f>Cleaned[[#This Row],[Credit]] *  Cleaned[[#This Row],[FX_rates]]</f>
        <v>0</v>
      </c>
      <c r="I773" t="s">
        <v>2024</v>
      </c>
      <c r="J773" t="s">
        <v>2029</v>
      </c>
      <c r="K773" t="s">
        <v>2802</v>
      </c>
      <c r="L773" t="s">
        <v>4035</v>
      </c>
      <c r="M773">
        <f>Cleaned[[#This Row],[Credit]]-Cleaned[[#This Row],[Debit]]</f>
        <v>-788.46</v>
      </c>
      <c r="N773" t="str">
        <f>_xlfn.XLOOKUP(Cleaned[[#This Row],[AccountName]], Account_Mapping!A:A, Account_Mapping!B:B,"Unmapped")</f>
        <v>Operating Expense</v>
      </c>
      <c r="O773" cm="1">
        <f t="array" ref="O773">_xlfn.XLOOKUP(
  1,
  (FX_Rates[Currency]=Cleaned[[#This Row],[Currency]])*
  (FX_Rates[RateDate]&lt;=Cleaned[[#This Row],[TxnDate]]),
  FX_Rates[Rate_To_INR],
  ,
  -1
)</f>
        <v>61</v>
      </c>
      <c r="P773" s="2">
        <f>Cleaned[[#This Row],[Net Amount]] *  Cleaned[[#This Row],[FX_rates]]</f>
        <v>-48096.060000000005</v>
      </c>
    </row>
    <row r="774" spans="1:16" x14ac:dyDescent="0.45">
      <c r="A774" t="s">
        <v>782</v>
      </c>
      <c r="B774" s="1">
        <v>45166</v>
      </c>
      <c r="C774" s="2" t="s">
        <v>2010</v>
      </c>
      <c r="D774" t="s">
        <v>2015</v>
      </c>
      <c r="E774">
        <v>0</v>
      </c>
      <c r="F774">
        <f>Cleaned[[#This Row],[Debit]] * Cleaned[[#This Row],[FX_rates]]</f>
        <v>0</v>
      </c>
      <c r="G774">
        <v>1493.92</v>
      </c>
      <c r="H774">
        <f>Cleaned[[#This Row],[Credit]] *  Cleaned[[#This Row],[FX_rates]]</f>
        <v>122501.44</v>
      </c>
      <c r="I774" t="s">
        <v>2021</v>
      </c>
      <c r="J774" t="s">
        <v>2027</v>
      </c>
      <c r="K774" t="s">
        <v>2803</v>
      </c>
      <c r="L774" t="s">
        <v>4034</v>
      </c>
      <c r="M774">
        <f>Cleaned[[#This Row],[Credit]]-Cleaned[[#This Row],[Debit]]</f>
        <v>1493.92</v>
      </c>
      <c r="N774" t="str">
        <f>_xlfn.XLOOKUP(Cleaned[[#This Row],[AccountName]], Account_Mapping!A:A, Account_Mapping!B:B,"Unmapped")</f>
        <v>Revenue</v>
      </c>
      <c r="O774" cm="1">
        <f t="array" ref="O774">_xlfn.XLOOKUP(
  1,
  (FX_Rates[Currency]=Cleaned[[#This Row],[Currency]])*
  (FX_Rates[RateDate]&lt;=Cleaned[[#This Row],[TxnDate]]),
  FX_Rates[Rate_To_INR],
  ,
  -1
)</f>
        <v>82</v>
      </c>
      <c r="P774" s="2">
        <f>Cleaned[[#This Row],[Net Amount]] *  Cleaned[[#This Row],[FX_rates]]</f>
        <v>122501.44</v>
      </c>
    </row>
    <row r="775" spans="1:16" x14ac:dyDescent="0.45">
      <c r="A775" t="s">
        <v>783</v>
      </c>
      <c r="B775" s="1">
        <v>45423</v>
      </c>
      <c r="C775" s="2" t="s">
        <v>2011</v>
      </c>
      <c r="D775" t="s">
        <v>2016</v>
      </c>
      <c r="E775">
        <v>588.44000000000005</v>
      </c>
      <c r="F775">
        <f>Cleaned[[#This Row],[Debit]] * Cleaned[[#This Row],[FX_rates]]</f>
        <v>35894.840000000004</v>
      </c>
      <c r="G775">
        <v>0</v>
      </c>
      <c r="H775">
        <f>Cleaned[[#This Row],[Credit]] *  Cleaned[[#This Row],[FX_rates]]</f>
        <v>0</v>
      </c>
      <c r="I775" t="s">
        <v>2023</v>
      </c>
      <c r="J775" t="s">
        <v>2027</v>
      </c>
      <c r="K775" t="s">
        <v>2804</v>
      </c>
      <c r="L775" t="s">
        <v>4035</v>
      </c>
      <c r="M775">
        <f>Cleaned[[#This Row],[Credit]]-Cleaned[[#This Row],[Debit]]</f>
        <v>-588.44000000000005</v>
      </c>
      <c r="N775" t="str">
        <f>_xlfn.XLOOKUP(Cleaned[[#This Row],[AccountName]], Account_Mapping!A:A, Account_Mapping!B:B,"Unmapped")</f>
        <v>COGS</v>
      </c>
      <c r="O775" cm="1">
        <f t="array" ref="O775">_xlfn.XLOOKUP(
  1,
  (FX_Rates[Currency]=Cleaned[[#This Row],[Currency]])*
  (FX_Rates[RateDate]&lt;=Cleaned[[#This Row],[TxnDate]]),
  FX_Rates[Rate_To_INR],
  ,
  -1
)</f>
        <v>61</v>
      </c>
      <c r="P775" s="2">
        <f>Cleaned[[#This Row],[Net Amount]] *  Cleaned[[#This Row],[FX_rates]]</f>
        <v>-35894.840000000004</v>
      </c>
    </row>
    <row r="776" spans="1:16" x14ac:dyDescent="0.45">
      <c r="A776" t="s">
        <v>784</v>
      </c>
      <c r="B776" s="1">
        <v>45538</v>
      </c>
      <c r="C776" s="2" t="s">
        <v>2011</v>
      </c>
      <c r="D776" t="s">
        <v>2016</v>
      </c>
      <c r="E776">
        <v>1078.52</v>
      </c>
      <c r="F776">
        <f>Cleaned[[#This Row],[Debit]] * Cleaned[[#This Row],[FX_rates]]</f>
        <v>60397.119999999995</v>
      </c>
      <c r="G776">
        <v>0</v>
      </c>
      <c r="H776">
        <f>Cleaned[[#This Row],[Credit]] *  Cleaned[[#This Row],[FX_rates]]</f>
        <v>0</v>
      </c>
      <c r="I776" t="s">
        <v>2023</v>
      </c>
      <c r="J776" t="s">
        <v>2027</v>
      </c>
      <c r="K776" t="s">
        <v>2805</v>
      </c>
      <c r="L776" t="s">
        <v>4033</v>
      </c>
      <c r="M776">
        <f>Cleaned[[#This Row],[Credit]]-Cleaned[[#This Row],[Debit]]</f>
        <v>-1078.52</v>
      </c>
      <c r="N776" t="str">
        <f>_xlfn.XLOOKUP(Cleaned[[#This Row],[AccountName]], Account_Mapping!A:A, Account_Mapping!B:B,"Unmapped")</f>
        <v>COGS</v>
      </c>
      <c r="O776" cm="1">
        <f t="array" ref="O776">_xlfn.XLOOKUP(
  1,
  (FX_Rates[Currency]=Cleaned[[#This Row],[Currency]])*
  (FX_Rates[RateDate]&lt;=Cleaned[[#This Row],[TxnDate]]),
  FX_Rates[Rate_To_INR],
  ,
  -1
)</f>
        <v>56</v>
      </c>
      <c r="P776" s="2">
        <f>Cleaned[[#This Row],[Net Amount]] *  Cleaned[[#This Row],[FX_rates]]</f>
        <v>-60397.119999999995</v>
      </c>
    </row>
    <row r="777" spans="1:16" x14ac:dyDescent="0.45">
      <c r="A777" t="s">
        <v>785</v>
      </c>
      <c r="B777" s="1">
        <v>45400</v>
      </c>
      <c r="C777" s="2" t="s">
        <v>2014</v>
      </c>
      <c r="D777" t="s">
        <v>2019</v>
      </c>
      <c r="E777">
        <v>0</v>
      </c>
      <c r="F777">
        <f>Cleaned[[#This Row],[Debit]] * Cleaned[[#This Row],[FX_rates]]</f>
        <v>0</v>
      </c>
      <c r="G777">
        <v>4324.54</v>
      </c>
      <c r="H777">
        <f>Cleaned[[#This Row],[Credit]] *  Cleaned[[#This Row],[FX_rates]]</f>
        <v>380559.52</v>
      </c>
      <c r="I777" t="s">
        <v>2022</v>
      </c>
      <c r="J777" t="s">
        <v>2026</v>
      </c>
      <c r="K777" t="s">
        <v>2806</v>
      </c>
      <c r="L777" t="s">
        <v>4032</v>
      </c>
      <c r="M777">
        <f>Cleaned[[#This Row],[Credit]]-Cleaned[[#This Row],[Debit]]</f>
        <v>4324.54</v>
      </c>
      <c r="N777" t="str">
        <f>_xlfn.XLOOKUP(Cleaned[[#This Row],[AccountName]], Account_Mapping!A:A, Account_Mapping!B:B,"Unmapped")</f>
        <v>Revenue</v>
      </c>
      <c r="O777" cm="1">
        <f t="array" ref="O777">_xlfn.XLOOKUP(
  1,
  (FX_Rates[Currency]=Cleaned[[#This Row],[Currency]])*
  (FX_Rates[RateDate]&lt;=Cleaned[[#This Row],[TxnDate]]),
  FX_Rates[Rate_To_INR],
  ,
  -1
)</f>
        <v>88</v>
      </c>
      <c r="P777" s="2">
        <f>Cleaned[[#This Row],[Net Amount]] *  Cleaned[[#This Row],[FX_rates]]</f>
        <v>380559.52</v>
      </c>
    </row>
    <row r="778" spans="1:16" x14ac:dyDescent="0.45">
      <c r="A778" t="s">
        <v>786</v>
      </c>
      <c r="B778" s="1">
        <v>45472</v>
      </c>
      <c r="C778" s="2" t="s">
        <v>2014</v>
      </c>
      <c r="D778" t="s">
        <v>2019</v>
      </c>
      <c r="E778">
        <v>0</v>
      </c>
      <c r="F778">
        <f>Cleaned[[#This Row],[Debit]] * Cleaned[[#This Row],[FX_rates]]</f>
        <v>0</v>
      </c>
      <c r="G778">
        <v>2300.21</v>
      </c>
      <c r="H778">
        <f>Cleaned[[#This Row],[Credit]] *  Cleaned[[#This Row],[FX_rates]]</f>
        <v>236921.63</v>
      </c>
      <c r="I778" t="s">
        <v>2024</v>
      </c>
      <c r="J778" t="s">
        <v>2027</v>
      </c>
      <c r="K778" t="s">
        <v>2807</v>
      </c>
      <c r="L778" t="s">
        <v>4031</v>
      </c>
      <c r="M778">
        <f>Cleaned[[#This Row],[Credit]]-Cleaned[[#This Row],[Debit]]</f>
        <v>2300.21</v>
      </c>
      <c r="N778" t="str">
        <f>_xlfn.XLOOKUP(Cleaned[[#This Row],[AccountName]], Account_Mapping!A:A, Account_Mapping!B:B,"Unmapped")</f>
        <v>Revenue</v>
      </c>
      <c r="O778" cm="1">
        <f t="array" ref="O778">_xlfn.XLOOKUP(
  1,
  (FX_Rates[Currency]=Cleaned[[#This Row],[Currency]])*
  (FX_Rates[RateDate]&lt;=Cleaned[[#This Row],[TxnDate]]),
  FX_Rates[Rate_To_INR],
  ,
  -1
)</f>
        <v>103</v>
      </c>
      <c r="P778" s="2">
        <f>Cleaned[[#This Row],[Net Amount]] *  Cleaned[[#This Row],[FX_rates]]</f>
        <v>236921.63</v>
      </c>
    </row>
    <row r="779" spans="1:16" x14ac:dyDescent="0.45">
      <c r="A779" t="s">
        <v>787</v>
      </c>
      <c r="B779" s="1">
        <v>45170</v>
      </c>
      <c r="C779" s="2" t="s">
        <v>2012</v>
      </c>
      <c r="D779" t="s">
        <v>2017</v>
      </c>
      <c r="E779">
        <v>446.19</v>
      </c>
      <c r="F779">
        <f>Cleaned[[#This Row],[Debit]] * Cleaned[[#This Row],[FX_rates]]</f>
        <v>45957.57</v>
      </c>
      <c r="G779">
        <v>0</v>
      </c>
      <c r="H779">
        <f>Cleaned[[#This Row],[Credit]] *  Cleaned[[#This Row],[FX_rates]]</f>
        <v>0</v>
      </c>
      <c r="I779" t="s">
        <v>2025</v>
      </c>
      <c r="J779" t="s">
        <v>2029</v>
      </c>
      <c r="K779" t="s">
        <v>2808</v>
      </c>
      <c r="L779" t="s">
        <v>4031</v>
      </c>
      <c r="M779">
        <f>Cleaned[[#This Row],[Credit]]-Cleaned[[#This Row],[Debit]]</f>
        <v>-446.19</v>
      </c>
      <c r="N779" t="str">
        <f>_xlfn.XLOOKUP(Cleaned[[#This Row],[AccountName]], Account_Mapping!A:A, Account_Mapping!B:B,"Unmapped")</f>
        <v>Operating Expense</v>
      </c>
      <c r="O779" cm="1">
        <f t="array" ref="O779">_xlfn.XLOOKUP(
  1,
  (FX_Rates[Currency]=Cleaned[[#This Row],[Currency]])*
  (FX_Rates[RateDate]&lt;=Cleaned[[#This Row],[TxnDate]]),
  FX_Rates[Rate_To_INR],
  ,
  -1
)</f>
        <v>103</v>
      </c>
      <c r="P779" s="2">
        <f>Cleaned[[#This Row],[Net Amount]] *  Cleaned[[#This Row],[FX_rates]]</f>
        <v>-45957.57</v>
      </c>
    </row>
    <row r="780" spans="1:16" x14ac:dyDescent="0.45">
      <c r="A780" t="s">
        <v>788</v>
      </c>
      <c r="B780" s="1">
        <v>45367</v>
      </c>
      <c r="C780" s="2" t="s">
        <v>2010</v>
      </c>
      <c r="D780" t="s">
        <v>2015</v>
      </c>
      <c r="E780">
        <v>0</v>
      </c>
      <c r="F780">
        <f>Cleaned[[#This Row],[Debit]] * Cleaned[[#This Row],[FX_rates]]</f>
        <v>0</v>
      </c>
      <c r="G780">
        <v>1518.24</v>
      </c>
      <c r="H780">
        <f>Cleaned[[#This Row],[Credit]] *  Cleaned[[#This Row],[FX_rates]]</f>
        <v>85021.440000000002</v>
      </c>
      <c r="I780" t="s">
        <v>2023</v>
      </c>
      <c r="J780" t="s">
        <v>2029</v>
      </c>
      <c r="K780" t="s">
        <v>2809</v>
      </c>
      <c r="L780" t="s">
        <v>4033</v>
      </c>
      <c r="M780">
        <f>Cleaned[[#This Row],[Credit]]-Cleaned[[#This Row],[Debit]]</f>
        <v>1518.24</v>
      </c>
      <c r="N780" t="str">
        <f>_xlfn.XLOOKUP(Cleaned[[#This Row],[AccountName]], Account_Mapping!A:A, Account_Mapping!B:B,"Unmapped")</f>
        <v>Revenue</v>
      </c>
      <c r="O780" cm="1">
        <f t="array" ref="O780">_xlfn.XLOOKUP(
  1,
  (FX_Rates[Currency]=Cleaned[[#This Row],[Currency]])*
  (FX_Rates[RateDate]&lt;=Cleaned[[#This Row],[TxnDate]]),
  FX_Rates[Rate_To_INR],
  ,
  -1
)</f>
        <v>56</v>
      </c>
      <c r="P780" s="2">
        <f>Cleaned[[#This Row],[Net Amount]] *  Cleaned[[#This Row],[FX_rates]]</f>
        <v>85021.440000000002</v>
      </c>
    </row>
    <row r="781" spans="1:16" x14ac:dyDescent="0.45">
      <c r="A781" t="s">
        <v>789</v>
      </c>
      <c r="B781" s="1">
        <v>45386</v>
      </c>
      <c r="C781" s="2" t="s">
        <v>2012</v>
      </c>
      <c r="D781" t="s">
        <v>2017</v>
      </c>
      <c r="E781">
        <v>1385.02</v>
      </c>
      <c r="F781">
        <f>Cleaned[[#This Row],[Debit]] * Cleaned[[#This Row],[FX_rates]]</f>
        <v>77561.119999999995</v>
      </c>
      <c r="G781">
        <v>0</v>
      </c>
      <c r="H781">
        <f>Cleaned[[#This Row],[Credit]] *  Cleaned[[#This Row],[FX_rates]]</f>
        <v>0</v>
      </c>
      <c r="I781" t="s">
        <v>2023</v>
      </c>
      <c r="J781" t="s">
        <v>2029</v>
      </c>
      <c r="K781" t="s">
        <v>2810</v>
      </c>
      <c r="L781" t="s">
        <v>4033</v>
      </c>
      <c r="M781">
        <f>Cleaned[[#This Row],[Credit]]-Cleaned[[#This Row],[Debit]]</f>
        <v>-1385.02</v>
      </c>
      <c r="N781" t="str">
        <f>_xlfn.XLOOKUP(Cleaned[[#This Row],[AccountName]], Account_Mapping!A:A, Account_Mapping!B:B,"Unmapped")</f>
        <v>Operating Expense</v>
      </c>
      <c r="O781" cm="1">
        <f t="array" ref="O781">_xlfn.XLOOKUP(
  1,
  (FX_Rates[Currency]=Cleaned[[#This Row],[Currency]])*
  (FX_Rates[RateDate]&lt;=Cleaned[[#This Row],[TxnDate]]),
  FX_Rates[Rate_To_INR],
  ,
  -1
)</f>
        <v>56</v>
      </c>
      <c r="P781" s="2">
        <f>Cleaned[[#This Row],[Net Amount]] *  Cleaned[[#This Row],[FX_rates]]</f>
        <v>-77561.119999999995</v>
      </c>
    </row>
    <row r="782" spans="1:16" x14ac:dyDescent="0.45">
      <c r="A782" t="s">
        <v>790</v>
      </c>
      <c r="B782" s="1">
        <v>45446</v>
      </c>
      <c r="C782" s="2" t="s">
        <v>2012</v>
      </c>
      <c r="D782" t="s">
        <v>2017</v>
      </c>
      <c r="E782">
        <v>1887.31</v>
      </c>
      <c r="F782">
        <f>Cleaned[[#This Row],[Debit]] * Cleaned[[#This Row],[FX_rates]]</f>
        <v>194392.93</v>
      </c>
      <c r="G782">
        <v>0</v>
      </c>
      <c r="H782">
        <f>Cleaned[[#This Row],[Credit]] *  Cleaned[[#This Row],[FX_rates]]</f>
        <v>0</v>
      </c>
      <c r="I782" t="s">
        <v>2023</v>
      </c>
      <c r="J782" t="s">
        <v>2026</v>
      </c>
      <c r="K782" t="s">
        <v>2811</v>
      </c>
      <c r="L782" t="s">
        <v>4031</v>
      </c>
      <c r="M782">
        <f>Cleaned[[#This Row],[Credit]]-Cleaned[[#This Row],[Debit]]</f>
        <v>-1887.31</v>
      </c>
      <c r="N782" t="str">
        <f>_xlfn.XLOOKUP(Cleaned[[#This Row],[AccountName]], Account_Mapping!A:A, Account_Mapping!B:B,"Unmapped")</f>
        <v>Operating Expense</v>
      </c>
      <c r="O782" cm="1">
        <f t="array" ref="O782">_xlfn.XLOOKUP(
  1,
  (FX_Rates[Currency]=Cleaned[[#This Row],[Currency]])*
  (FX_Rates[RateDate]&lt;=Cleaned[[#This Row],[TxnDate]]),
  FX_Rates[Rate_To_INR],
  ,
  -1
)</f>
        <v>103</v>
      </c>
      <c r="P782" s="2">
        <f>Cleaned[[#This Row],[Net Amount]] *  Cleaned[[#This Row],[FX_rates]]</f>
        <v>-194392.93</v>
      </c>
    </row>
    <row r="783" spans="1:16" x14ac:dyDescent="0.45">
      <c r="A783" t="s">
        <v>791</v>
      </c>
      <c r="B783" s="1">
        <v>45528</v>
      </c>
      <c r="C783" s="2" t="s">
        <v>2010</v>
      </c>
      <c r="D783" t="s">
        <v>2015</v>
      </c>
      <c r="E783">
        <v>0</v>
      </c>
      <c r="F783">
        <f>Cleaned[[#This Row],[Debit]] * Cleaned[[#This Row],[FX_rates]]</f>
        <v>0</v>
      </c>
      <c r="G783">
        <v>4476.07</v>
      </c>
      <c r="H783">
        <f>Cleaned[[#This Row],[Credit]] *  Cleaned[[#This Row],[FX_rates]]</f>
        <v>250659.91999999998</v>
      </c>
      <c r="I783" t="s">
        <v>2025</v>
      </c>
      <c r="J783" t="s">
        <v>2029</v>
      </c>
      <c r="K783" t="s">
        <v>2812</v>
      </c>
      <c r="L783" t="s">
        <v>4033</v>
      </c>
      <c r="M783">
        <f>Cleaned[[#This Row],[Credit]]-Cleaned[[#This Row],[Debit]]</f>
        <v>4476.07</v>
      </c>
      <c r="N783" t="str">
        <f>_xlfn.XLOOKUP(Cleaned[[#This Row],[AccountName]], Account_Mapping!A:A, Account_Mapping!B:B,"Unmapped")</f>
        <v>Revenue</v>
      </c>
      <c r="O783" cm="1">
        <f t="array" ref="O783">_xlfn.XLOOKUP(
  1,
  (FX_Rates[Currency]=Cleaned[[#This Row],[Currency]])*
  (FX_Rates[RateDate]&lt;=Cleaned[[#This Row],[TxnDate]]),
  FX_Rates[Rate_To_INR],
  ,
  -1
)</f>
        <v>56</v>
      </c>
      <c r="P783" s="2">
        <f>Cleaned[[#This Row],[Net Amount]] *  Cleaned[[#This Row],[FX_rates]]</f>
        <v>250659.91999999998</v>
      </c>
    </row>
    <row r="784" spans="1:16" x14ac:dyDescent="0.45">
      <c r="A784" t="s">
        <v>792</v>
      </c>
      <c r="B784" s="1">
        <v>45421</v>
      </c>
      <c r="C784" s="2" t="s">
        <v>2012</v>
      </c>
      <c r="D784" t="s">
        <v>2017</v>
      </c>
      <c r="E784">
        <v>170.41</v>
      </c>
      <c r="F784">
        <f>Cleaned[[#This Row],[Debit]] * Cleaned[[#This Row],[FX_rates]]</f>
        <v>13973.619999999999</v>
      </c>
      <c r="G784">
        <v>0</v>
      </c>
      <c r="H784">
        <f>Cleaned[[#This Row],[Credit]] *  Cleaned[[#This Row],[FX_rates]]</f>
        <v>0</v>
      </c>
      <c r="I784" t="s">
        <v>2025</v>
      </c>
      <c r="J784" t="s">
        <v>2029</v>
      </c>
      <c r="K784" t="s">
        <v>2813</v>
      </c>
      <c r="L784" t="s">
        <v>4034</v>
      </c>
      <c r="M784">
        <f>Cleaned[[#This Row],[Credit]]-Cleaned[[#This Row],[Debit]]</f>
        <v>-170.41</v>
      </c>
      <c r="N784" t="str">
        <f>_xlfn.XLOOKUP(Cleaned[[#This Row],[AccountName]], Account_Mapping!A:A, Account_Mapping!B:B,"Unmapped")</f>
        <v>Operating Expense</v>
      </c>
      <c r="O784" cm="1">
        <f t="array" ref="O784">_xlfn.XLOOKUP(
  1,
  (FX_Rates[Currency]=Cleaned[[#This Row],[Currency]])*
  (FX_Rates[RateDate]&lt;=Cleaned[[#This Row],[TxnDate]]),
  FX_Rates[Rate_To_INR],
  ,
  -1
)</f>
        <v>82</v>
      </c>
      <c r="P784" s="2">
        <f>Cleaned[[#This Row],[Net Amount]] *  Cleaned[[#This Row],[FX_rates]]</f>
        <v>-13973.619999999999</v>
      </c>
    </row>
    <row r="785" spans="1:16" x14ac:dyDescent="0.45">
      <c r="A785" t="s">
        <v>793</v>
      </c>
      <c r="B785" s="1">
        <v>45016</v>
      </c>
      <c r="C785" s="2" t="s">
        <v>2013</v>
      </c>
      <c r="D785" t="s">
        <v>2018</v>
      </c>
      <c r="E785">
        <v>1650.02</v>
      </c>
      <c r="F785">
        <f>Cleaned[[#This Row],[Debit]] * Cleaned[[#This Row],[FX_rates]]</f>
        <v>169952.06</v>
      </c>
      <c r="G785">
        <v>0</v>
      </c>
      <c r="H785">
        <f>Cleaned[[#This Row],[Credit]] *  Cleaned[[#This Row],[FX_rates]]</f>
        <v>0</v>
      </c>
      <c r="I785" t="s">
        <v>2025</v>
      </c>
      <c r="J785" t="s">
        <v>2028</v>
      </c>
      <c r="K785" t="s">
        <v>2814</v>
      </c>
      <c r="L785" t="s">
        <v>4031</v>
      </c>
      <c r="M785">
        <f>Cleaned[[#This Row],[Credit]]-Cleaned[[#This Row],[Debit]]</f>
        <v>-1650.02</v>
      </c>
      <c r="N785" t="str">
        <f>_xlfn.XLOOKUP(Cleaned[[#This Row],[AccountName]], Account_Mapping!A:A, Account_Mapping!B:B,"Unmapped")</f>
        <v>Operating Expense</v>
      </c>
      <c r="O785" cm="1">
        <f t="array" ref="O785">_xlfn.XLOOKUP(
  1,
  (FX_Rates[Currency]=Cleaned[[#This Row],[Currency]])*
  (FX_Rates[RateDate]&lt;=Cleaned[[#This Row],[TxnDate]]),
  FX_Rates[Rate_To_INR],
  ,
  -1
)</f>
        <v>103</v>
      </c>
      <c r="P785" s="2">
        <f>Cleaned[[#This Row],[Net Amount]] *  Cleaned[[#This Row],[FX_rates]]</f>
        <v>-169952.06</v>
      </c>
    </row>
    <row r="786" spans="1:16" x14ac:dyDescent="0.45">
      <c r="A786" t="s">
        <v>794</v>
      </c>
      <c r="B786" s="1">
        <v>45826</v>
      </c>
      <c r="C786" s="2" t="s">
        <v>2014</v>
      </c>
      <c r="D786" t="s">
        <v>2019</v>
      </c>
      <c r="E786">
        <v>0</v>
      </c>
      <c r="F786">
        <f>Cleaned[[#This Row],[Debit]] * Cleaned[[#This Row],[FX_rates]]</f>
        <v>0</v>
      </c>
      <c r="G786">
        <v>3235.44</v>
      </c>
      <c r="H786">
        <f>Cleaned[[#This Row],[Credit]] *  Cleaned[[#This Row],[FX_rates]]</f>
        <v>181184.64000000001</v>
      </c>
      <c r="I786" t="s">
        <v>2020</v>
      </c>
      <c r="J786" t="s">
        <v>2026</v>
      </c>
      <c r="K786" t="s">
        <v>2815</v>
      </c>
      <c r="L786" t="s">
        <v>4033</v>
      </c>
      <c r="M786">
        <f>Cleaned[[#This Row],[Credit]]-Cleaned[[#This Row],[Debit]]</f>
        <v>3235.44</v>
      </c>
      <c r="N786" t="str">
        <f>_xlfn.XLOOKUP(Cleaned[[#This Row],[AccountName]], Account_Mapping!A:A, Account_Mapping!B:B,"Unmapped")</f>
        <v>Revenue</v>
      </c>
      <c r="O786" cm="1">
        <f t="array" ref="O786">_xlfn.XLOOKUP(
  1,
  (FX_Rates[Currency]=Cleaned[[#This Row],[Currency]])*
  (FX_Rates[RateDate]&lt;=Cleaned[[#This Row],[TxnDate]]),
  FX_Rates[Rate_To_INR],
  ,
  -1
)</f>
        <v>56</v>
      </c>
      <c r="P786" s="2">
        <f>Cleaned[[#This Row],[Net Amount]] *  Cleaned[[#This Row],[FX_rates]]</f>
        <v>181184.64000000001</v>
      </c>
    </row>
    <row r="787" spans="1:16" x14ac:dyDescent="0.45">
      <c r="A787" t="s">
        <v>795</v>
      </c>
      <c r="B787" s="1">
        <v>45312</v>
      </c>
      <c r="C787" s="2" t="s">
        <v>2011</v>
      </c>
      <c r="D787" t="s">
        <v>2016</v>
      </c>
      <c r="E787">
        <v>459.65</v>
      </c>
      <c r="F787">
        <f>Cleaned[[#This Row],[Debit]] * Cleaned[[#This Row],[FX_rates]]</f>
        <v>28038.649999999998</v>
      </c>
      <c r="G787">
        <v>0</v>
      </c>
      <c r="H787">
        <f>Cleaned[[#This Row],[Credit]] *  Cleaned[[#This Row],[FX_rates]]</f>
        <v>0</v>
      </c>
      <c r="I787" t="s">
        <v>2020</v>
      </c>
      <c r="J787" t="s">
        <v>2026</v>
      </c>
      <c r="K787" t="s">
        <v>2816</v>
      </c>
      <c r="L787" t="s">
        <v>4035</v>
      </c>
      <c r="M787">
        <f>Cleaned[[#This Row],[Credit]]-Cleaned[[#This Row],[Debit]]</f>
        <v>-459.65</v>
      </c>
      <c r="N787" t="str">
        <f>_xlfn.XLOOKUP(Cleaned[[#This Row],[AccountName]], Account_Mapping!A:A, Account_Mapping!B:B,"Unmapped")</f>
        <v>COGS</v>
      </c>
      <c r="O787" cm="1">
        <f t="array" ref="O787">_xlfn.XLOOKUP(
  1,
  (FX_Rates[Currency]=Cleaned[[#This Row],[Currency]])*
  (FX_Rates[RateDate]&lt;=Cleaned[[#This Row],[TxnDate]]),
  FX_Rates[Rate_To_INR],
  ,
  -1
)</f>
        <v>61</v>
      </c>
      <c r="P787" s="2">
        <f>Cleaned[[#This Row],[Net Amount]] *  Cleaned[[#This Row],[FX_rates]]</f>
        <v>-28038.649999999998</v>
      </c>
    </row>
    <row r="788" spans="1:16" x14ac:dyDescent="0.45">
      <c r="A788" t="s">
        <v>796</v>
      </c>
      <c r="B788" s="1">
        <v>45226</v>
      </c>
      <c r="C788" s="2" t="s">
        <v>2013</v>
      </c>
      <c r="D788" t="s">
        <v>2018</v>
      </c>
      <c r="E788">
        <v>882.11</v>
      </c>
      <c r="F788">
        <f>Cleaned[[#This Row],[Debit]] * Cleaned[[#This Row],[FX_rates]]</f>
        <v>53808.71</v>
      </c>
      <c r="G788">
        <v>0</v>
      </c>
      <c r="H788">
        <f>Cleaned[[#This Row],[Credit]] *  Cleaned[[#This Row],[FX_rates]]</f>
        <v>0</v>
      </c>
      <c r="I788" t="s">
        <v>2025</v>
      </c>
      <c r="J788" t="s">
        <v>2029</v>
      </c>
      <c r="K788" t="s">
        <v>2817</v>
      </c>
      <c r="L788" t="s">
        <v>4035</v>
      </c>
      <c r="M788">
        <f>Cleaned[[#This Row],[Credit]]-Cleaned[[#This Row],[Debit]]</f>
        <v>-882.11</v>
      </c>
      <c r="N788" t="str">
        <f>_xlfn.XLOOKUP(Cleaned[[#This Row],[AccountName]], Account_Mapping!A:A, Account_Mapping!B:B,"Unmapped")</f>
        <v>Operating Expense</v>
      </c>
      <c r="O788" cm="1">
        <f t="array" ref="O788">_xlfn.XLOOKUP(
  1,
  (FX_Rates[Currency]=Cleaned[[#This Row],[Currency]])*
  (FX_Rates[RateDate]&lt;=Cleaned[[#This Row],[TxnDate]]),
  FX_Rates[Rate_To_INR],
  ,
  -1
)</f>
        <v>61</v>
      </c>
      <c r="P788" s="2">
        <f>Cleaned[[#This Row],[Net Amount]] *  Cleaned[[#This Row],[FX_rates]]</f>
        <v>-53808.71</v>
      </c>
    </row>
    <row r="789" spans="1:16" x14ac:dyDescent="0.45">
      <c r="A789" t="s">
        <v>797</v>
      </c>
      <c r="B789" s="1">
        <v>45597</v>
      </c>
      <c r="C789" s="2" t="s">
        <v>2012</v>
      </c>
      <c r="D789" t="s">
        <v>2017</v>
      </c>
      <c r="E789">
        <v>1023.17</v>
      </c>
      <c r="F789">
        <f>Cleaned[[#This Row],[Debit]] * Cleaned[[#This Row],[FX_rates]]</f>
        <v>105386.51</v>
      </c>
      <c r="G789">
        <v>0</v>
      </c>
      <c r="H789">
        <f>Cleaned[[#This Row],[Credit]] *  Cleaned[[#This Row],[FX_rates]]</f>
        <v>0</v>
      </c>
      <c r="I789" t="s">
        <v>2025</v>
      </c>
      <c r="J789" t="s">
        <v>2029</v>
      </c>
      <c r="K789" t="s">
        <v>2818</v>
      </c>
      <c r="L789" t="s">
        <v>4031</v>
      </c>
      <c r="M789">
        <f>Cleaned[[#This Row],[Credit]]-Cleaned[[#This Row],[Debit]]</f>
        <v>-1023.17</v>
      </c>
      <c r="N789" t="str">
        <f>_xlfn.XLOOKUP(Cleaned[[#This Row],[AccountName]], Account_Mapping!A:A, Account_Mapping!B:B,"Unmapped")</f>
        <v>Operating Expense</v>
      </c>
      <c r="O789" cm="1">
        <f t="array" ref="O789">_xlfn.XLOOKUP(
  1,
  (FX_Rates[Currency]=Cleaned[[#This Row],[Currency]])*
  (FX_Rates[RateDate]&lt;=Cleaned[[#This Row],[TxnDate]]),
  FX_Rates[Rate_To_INR],
  ,
  -1
)</f>
        <v>103</v>
      </c>
      <c r="P789" s="2">
        <f>Cleaned[[#This Row],[Net Amount]] *  Cleaned[[#This Row],[FX_rates]]</f>
        <v>-105386.51</v>
      </c>
    </row>
    <row r="790" spans="1:16" x14ac:dyDescent="0.45">
      <c r="A790" t="s">
        <v>798</v>
      </c>
      <c r="B790" s="1">
        <v>45378</v>
      </c>
      <c r="C790" s="2" t="s">
        <v>2013</v>
      </c>
      <c r="D790" t="s">
        <v>2018</v>
      </c>
      <c r="E790">
        <v>510.05</v>
      </c>
      <c r="F790">
        <f>Cleaned[[#This Row],[Debit]] * Cleaned[[#This Row],[FX_rates]]</f>
        <v>31113.05</v>
      </c>
      <c r="G790">
        <v>0</v>
      </c>
      <c r="H790">
        <f>Cleaned[[#This Row],[Credit]] *  Cleaned[[#This Row],[FX_rates]]</f>
        <v>0</v>
      </c>
      <c r="I790" t="s">
        <v>2023</v>
      </c>
      <c r="J790" t="s">
        <v>2026</v>
      </c>
      <c r="K790" t="s">
        <v>2819</v>
      </c>
      <c r="L790" t="s">
        <v>4035</v>
      </c>
      <c r="M790">
        <f>Cleaned[[#This Row],[Credit]]-Cleaned[[#This Row],[Debit]]</f>
        <v>-510.05</v>
      </c>
      <c r="N790" t="str">
        <f>_xlfn.XLOOKUP(Cleaned[[#This Row],[AccountName]], Account_Mapping!A:A, Account_Mapping!B:B,"Unmapped")</f>
        <v>Operating Expense</v>
      </c>
      <c r="O790" cm="1">
        <f t="array" ref="O790">_xlfn.XLOOKUP(
  1,
  (FX_Rates[Currency]=Cleaned[[#This Row],[Currency]])*
  (FX_Rates[RateDate]&lt;=Cleaned[[#This Row],[TxnDate]]),
  FX_Rates[Rate_To_INR],
  ,
  -1
)</f>
        <v>61</v>
      </c>
      <c r="P790" s="2">
        <f>Cleaned[[#This Row],[Net Amount]] *  Cleaned[[#This Row],[FX_rates]]</f>
        <v>-31113.05</v>
      </c>
    </row>
    <row r="791" spans="1:16" x14ac:dyDescent="0.45">
      <c r="A791" t="s">
        <v>799</v>
      </c>
      <c r="B791" s="1">
        <v>45008</v>
      </c>
      <c r="C791" s="2" t="s">
        <v>2014</v>
      </c>
      <c r="D791" t="s">
        <v>2019</v>
      </c>
      <c r="E791">
        <v>0</v>
      </c>
      <c r="F791">
        <f>Cleaned[[#This Row],[Debit]] * Cleaned[[#This Row],[FX_rates]]</f>
        <v>0</v>
      </c>
      <c r="G791">
        <v>3848.25</v>
      </c>
      <c r="H791">
        <f>Cleaned[[#This Row],[Credit]] *  Cleaned[[#This Row],[FX_rates]]</f>
        <v>215502</v>
      </c>
      <c r="I791" t="s">
        <v>2020</v>
      </c>
      <c r="J791" t="s">
        <v>2027</v>
      </c>
      <c r="K791" t="s">
        <v>2820</v>
      </c>
      <c r="L791" t="s">
        <v>4033</v>
      </c>
      <c r="M791">
        <f>Cleaned[[#This Row],[Credit]]-Cleaned[[#This Row],[Debit]]</f>
        <v>3848.25</v>
      </c>
      <c r="N791" t="str">
        <f>_xlfn.XLOOKUP(Cleaned[[#This Row],[AccountName]], Account_Mapping!A:A, Account_Mapping!B:B,"Unmapped")</f>
        <v>Revenue</v>
      </c>
      <c r="O791" cm="1">
        <f t="array" ref="O791">_xlfn.XLOOKUP(
  1,
  (FX_Rates[Currency]=Cleaned[[#This Row],[Currency]])*
  (FX_Rates[RateDate]&lt;=Cleaned[[#This Row],[TxnDate]]),
  FX_Rates[Rate_To_INR],
  ,
  -1
)</f>
        <v>56</v>
      </c>
      <c r="P791" s="2">
        <f>Cleaned[[#This Row],[Net Amount]] *  Cleaned[[#This Row],[FX_rates]]</f>
        <v>215502</v>
      </c>
    </row>
    <row r="792" spans="1:16" x14ac:dyDescent="0.45">
      <c r="A792" t="s">
        <v>800</v>
      </c>
      <c r="B792" s="1">
        <v>45389</v>
      </c>
      <c r="C792" s="2" t="s">
        <v>2011</v>
      </c>
      <c r="D792" t="s">
        <v>2016</v>
      </c>
      <c r="E792">
        <v>315.25</v>
      </c>
      <c r="F792">
        <f>Cleaned[[#This Row],[Debit]] * Cleaned[[#This Row],[FX_rates]]</f>
        <v>17654</v>
      </c>
      <c r="G792">
        <v>0</v>
      </c>
      <c r="H792">
        <f>Cleaned[[#This Row],[Credit]] *  Cleaned[[#This Row],[FX_rates]]</f>
        <v>0</v>
      </c>
      <c r="I792" t="s">
        <v>2023</v>
      </c>
      <c r="J792" t="s">
        <v>2029</v>
      </c>
      <c r="K792" t="s">
        <v>2821</v>
      </c>
      <c r="L792" t="s">
        <v>4033</v>
      </c>
      <c r="M792">
        <f>Cleaned[[#This Row],[Credit]]-Cleaned[[#This Row],[Debit]]</f>
        <v>-315.25</v>
      </c>
      <c r="N792" t="str">
        <f>_xlfn.XLOOKUP(Cleaned[[#This Row],[AccountName]], Account_Mapping!A:A, Account_Mapping!B:B,"Unmapped")</f>
        <v>COGS</v>
      </c>
      <c r="O792" cm="1">
        <f t="array" ref="O792">_xlfn.XLOOKUP(
  1,
  (FX_Rates[Currency]=Cleaned[[#This Row],[Currency]])*
  (FX_Rates[RateDate]&lt;=Cleaned[[#This Row],[TxnDate]]),
  FX_Rates[Rate_To_INR],
  ,
  -1
)</f>
        <v>56</v>
      </c>
      <c r="P792" s="2">
        <f>Cleaned[[#This Row],[Net Amount]] *  Cleaned[[#This Row],[FX_rates]]</f>
        <v>-17654</v>
      </c>
    </row>
    <row r="793" spans="1:16" x14ac:dyDescent="0.45">
      <c r="A793" t="s">
        <v>801</v>
      </c>
      <c r="B793" s="1">
        <v>45385</v>
      </c>
      <c r="C793" s="2" t="s">
        <v>2014</v>
      </c>
      <c r="D793" t="s">
        <v>2019</v>
      </c>
      <c r="E793">
        <v>0</v>
      </c>
      <c r="F793">
        <f>Cleaned[[#This Row],[Debit]] * Cleaned[[#This Row],[FX_rates]]</f>
        <v>0</v>
      </c>
      <c r="G793">
        <v>4030.96</v>
      </c>
      <c r="H793">
        <f>Cleaned[[#This Row],[Credit]] *  Cleaned[[#This Row],[FX_rates]]</f>
        <v>330538.72000000003</v>
      </c>
      <c r="I793" t="s">
        <v>2025</v>
      </c>
      <c r="J793" t="s">
        <v>2027</v>
      </c>
      <c r="K793" t="s">
        <v>2822</v>
      </c>
      <c r="L793" t="s">
        <v>4034</v>
      </c>
      <c r="M793">
        <f>Cleaned[[#This Row],[Credit]]-Cleaned[[#This Row],[Debit]]</f>
        <v>4030.96</v>
      </c>
      <c r="N793" t="str">
        <f>_xlfn.XLOOKUP(Cleaned[[#This Row],[AccountName]], Account_Mapping!A:A, Account_Mapping!B:B,"Unmapped")</f>
        <v>Revenue</v>
      </c>
      <c r="O793" cm="1">
        <f t="array" ref="O793">_xlfn.XLOOKUP(
  1,
  (FX_Rates[Currency]=Cleaned[[#This Row],[Currency]])*
  (FX_Rates[RateDate]&lt;=Cleaned[[#This Row],[TxnDate]]),
  FX_Rates[Rate_To_INR],
  ,
  -1
)</f>
        <v>82</v>
      </c>
      <c r="P793" s="2">
        <f>Cleaned[[#This Row],[Net Amount]] *  Cleaned[[#This Row],[FX_rates]]</f>
        <v>330538.72000000003</v>
      </c>
    </row>
    <row r="794" spans="1:16" x14ac:dyDescent="0.45">
      <c r="A794" t="s">
        <v>802</v>
      </c>
      <c r="B794" s="1">
        <v>44965</v>
      </c>
      <c r="C794" s="2" t="s">
        <v>2010</v>
      </c>
      <c r="D794" t="s">
        <v>2015</v>
      </c>
      <c r="E794">
        <v>0</v>
      </c>
      <c r="F794">
        <f>Cleaned[[#This Row],[Debit]] * Cleaned[[#This Row],[FX_rates]]</f>
        <v>0</v>
      </c>
      <c r="G794">
        <v>1965.39</v>
      </c>
      <c r="H794">
        <f>Cleaned[[#This Row],[Credit]] *  Cleaned[[#This Row],[FX_rates]]</f>
        <v>119888.79000000001</v>
      </c>
      <c r="I794" t="s">
        <v>2023</v>
      </c>
      <c r="J794" t="s">
        <v>2027</v>
      </c>
      <c r="K794" t="s">
        <v>2823</v>
      </c>
      <c r="L794" t="s">
        <v>4035</v>
      </c>
      <c r="M794">
        <f>Cleaned[[#This Row],[Credit]]-Cleaned[[#This Row],[Debit]]</f>
        <v>1965.39</v>
      </c>
      <c r="N794" t="str">
        <f>_xlfn.XLOOKUP(Cleaned[[#This Row],[AccountName]], Account_Mapping!A:A, Account_Mapping!B:B,"Unmapped")</f>
        <v>Revenue</v>
      </c>
      <c r="O794" cm="1">
        <f t="array" ref="O794">_xlfn.XLOOKUP(
  1,
  (FX_Rates[Currency]=Cleaned[[#This Row],[Currency]])*
  (FX_Rates[RateDate]&lt;=Cleaned[[#This Row],[TxnDate]]),
  FX_Rates[Rate_To_INR],
  ,
  -1
)</f>
        <v>61</v>
      </c>
      <c r="P794" s="2">
        <f>Cleaned[[#This Row],[Net Amount]] *  Cleaned[[#This Row],[FX_rates]]</f>
        <v>119888.79000000001</v>
      </c>
    </row>
    <row r="795" spans="1:16" x14ac:dyDescent="0.45">
      <c r="A795" t="s">
        <v>803</v>
      </c>
      <c r="B795" s="1">
        <v>45516</v>
      </c>
      <c r="C795" s="2" t="s">
        <v>2014</v>
      </c>
      <c r="D795" t="s">
        <v>2019</v>
      </c>
      <c r="E795">
        <v>0</v>
      </c>
      <c r="F795">
        <f>Cleaned[[#This Row],[Debit]] * Cleaned[[#This Row],[FX_rates]]</f>
        <v>0</v>
      </c>
      <c r="G795">
        <v>3170.84</v>
      </c>
      <c r="H795">
        <f>Cleaned[[#This Row],[Credit]] *  Cleaned[[#This Row],[FX_rates]]</f>
        <v>260008.88</v>
      </c>
      <c r="I795" t="s">
        <v>2024</v>
      </c>
      <c r="J795" t="s">
        <v>2030</v>
      </c>
      <c r="K795" t="s">
        <v>2824</v>
      </c>
      <c r="L795" t="s">
        <v>4034</v>
      </c>
      <c r="M795">
        <f>Cleaned[[#This Row],[Credit]]-Cleaned[[#This Row],[Debit]]</f>
        <v>3170.84</v>
      </c>
      <c r="N795" t="str">
        <f>_xlfn.XLOOKUP(Cleaned[[#This Row],[AccountName]], Account_Mapping!A:A, Account_Mapping!B:B,"Unmapped")</f>
        <v>Revenue</v>
      </c>
      <c r="O795" cm="1">
        <f t="array" ref="O795">_xlfn.XLOOKUP(
  1,
  (FX_Rates[Currency]=Cleaned[[#This Row],[Currency]])*
  (FX_Rates[RateDate]&lt;=Cleaned[[#This Row],[TxnDate]]),
  FX_Rates[Rate_To_INR],
  ,
  -1
)</f>
        <v>82</v>
      </c>
      <c r="P795" s="2">
        <f>Cleaned[[#This Row],[Net Amount]] *  Cleaned[[#This Row],[FX_rates]]</f>
        <v>260008.88</v>
      </c>
    </row>
    <row r="796" spans="1:16" x14ac:dyDescent="0.45">
      <c r="A796" t="s">
        <v>804</v>
      </c>
      <c r="B796" s="1">
        <v>45397</v>
      </c>
      <c r="C796" s="2" t="s">
        <v>2014</v>
      </c>
      <c r="D796" t="s">
        <v>2019</v>
      </c>
      <c r="E796">
        <v>0</v>
      </c>
      <c r="F796">
        <f>Cleaned[[#This Row],[Debit]] * Cleaned[[#This Row],[FX_rates]]</f>
        <v>0</v>
      </c>
      <c r="G796">
        <v>3010.78</v>
      </c>
      <c r="H796">
        <f>Cleaned[[#This Row],[Credit]] *  Cleaned[[#This Row],[FX_rates]]</f>
        <v>246883.96000000002</v>
      </c>
      <c r="I796" t="s">
        <v>2023</v>
      </c>
      <c r="J796" t="s">
        <v>2027</v>
      </c>
      <c r="K796" t="s">
        <v>2825</v>
      </c>
      <c r="L796" t="s">
        <v>4034</v>
      </c>
      <c r="M796">
        <f>Cleaned[[#This Row],[Credit]]-Cleaned[[#This Row],[Debit]]</f>
        <v>3010.78</v>
      </c>
      <c r="N796" t="str">
        <f>_xlfn.XLOOKUP(Cleaned[[#This Row],[AccountName]], Account_Mapping!A:A, Account_Mapping!B:B,"Unmapped")</f>
        <v>Revenue</v>
      </c>
      <c r="O796" cm="1">
        <f t="array" ref="O796">_xlfn.XLOOKUP(
  1,
  (FX_Rates[Currency]=Cleaned[[#This Row],[Currency]])*
  (FX_Rates[RateDate]&lt;=Cleaned[[#This Row],[TxnDate]]),
  FX_Rates[Rate_To_INR],
  ,
  -1
)</f>
        <v>82</v>
      </c>
      <c r="P796" s="2">
        <f>Cleaned[[#This Row],[Net Amount]] *  Cleaned[[#This Row],[FX_rates]]</f>
        <v>246883.96000000002</v>
      </c>
    </row>
    <row r="797" spans="1:16" x14ac:dyDescent="0.45">
      <c r="A797" t="s">
        <v>805</v>
      </c>
      <c r="B797" s="1">
        <v>45747</v>
      </c>
      <c r="C797" s="2" t="s">
        <v>2012</v>
      </c>
      <c r="D797" t="s">
        <v>2017</v>
      </c>
      <c r="E797">
        <v>1953.3</v>
      </c>
      <c r="F797">
        <f>Cleaned[[#This Row],[Debit]] * Cleaned[[#This Row],[FX_rates]]</f>
        <v>119151.3</v>
      </c>
      <c r="G797">
        <v>0</v>
      </c>
      <c r="H797">
        <f>Cleaned[[#This Row],[Credit]] *  Cleaned[[#This Row],[FX_rates]]</f>
        <v>0</v>
      </c>
      <c r="I797" t="s">
        <v>2024</v>
      </c>
      <c r="J797" t="s">
        <v>2027</v>
      </c>
      <c r="K797" t="s">
        <v>2826</v>
      </c>
      <c r="L797" t="s">
        <v>4035</v>
      </c>
      <c r="M797">
        <f>Cleaned[[#This Row],[Credit]]-Cleaned[[#This Row],[Debit]]</f>
        <v>-1953.3</v>
      </c>
      <c r="N797" t="str">
        <f>_xlfn.XLOOKUP(Cleaned[[#This Row],[AccountName]], Account_Mapping!A:A, Account_Mapping!B:B,"Unmapped")</f>
        <v>Operating Expense</v>
      </c>
      <c r="O797" cm="1">
        <f t="array" ref="O797">_xlfn.XLOOKUP(
  1,
  (FX_Rates[Currency]=Cleaned[[#This Row],[Currency]])*
  (FX_Rates[RateDate]&lt;=Cleaned[[#This Row],[TxnDate]]),
  FX_Rates[Rate_To_INR],
  ,
  -1
)</f>
        <v>61</v>
      </c>
      <c r="P797" s="2">
        <f>Cleaned[[#This Row],[Net Amount]] *  Cleaned[[#This Row],[FX_rates]]</f>
        <v>-119151.3</v>
      </c>
    </row>
    <row r="798" spans="1:16" x14ac:dyDescent="0.45">
      <c r="A798" t="s">
        <v>806</v>
      </c>
      <c r="B798" s="1">
        <v>45494</v>
      </c>
      <c r="C798" s="2" t="s">
        <v>2013</v>
      </c>
      <c r="D798" t="s">
        <v>2018</v>
      </c>
      <c r="E798">
        <v>1420.92</v>
      </c>
      <c r="F798">
        <f>Cleaned[[#This Row],[Debit]] * Cleaned[[#This Row],[FX_rates]]</f>
        <v>79571.520000000004</v>
      </c>
      <c r="G798">
        <v>0</v>
      </c>
      <c r="H798">
        <f>Cleaned[[#This Row],[Credit]] *  Cleaned[[#This Row],[FX_rates]]</f>
        <v>0</v>
      </c>
      <c r="I798" t="s">
        <v>2024</v>
      </c>
      <c r="J798" t="s">
        <v>2026</v>
      </c>
      <c r="K798" t="s">
        <v>2827</v>
      </c>
      <c r="L798" t="s">
        <v>4033</v>
      </c>
      <c r="M798">
        <f>Cleaned[[#This Row],[Credit]]-Cleaned[[#This Row],[Debit]]</f>
        <v>-1420.92</v>
      </c>
      <c r="N798" t="str">
        <f>_xlfn.XLOOKUP(Cleaned[[#This Row],[AccountName]], Account_Mapping!A:A, Account_Mapping!B:B,"Unmapped")</f>
        <v>Operating Expense</v>
      </c>
      <c r="O798" cm="1">
        <f t="array" ref="O798">_xlfn.XLOOKUP(
  1,
  (FX_Rates[Currency]=Cleaned[[#This Row],[Currency]])*
  (FX_Rates[RateDate]&lt;=Cleaned[[#This Row],[TxnDate]]),
  FX_Rates[Rate_To_INR],
  ,
  -1
)</f>
        <v>56</v>
      </c>
      <c r="P798" s="2">
        <f>Cleaned[[#This Row],[Net Amount]] *  Cleaned[[#This Row],[FX_rates]]</f>
        <v>-79571.520000000004</v>
      </c>
    </row>
    <row r="799" spans="1:16" x14ac:dyDescent="0.45">
      <c r="A799" t="s">
        <v>807</v>
      </c>
      <c r="B799" s="1">
        <v>45294</v>
      </c>
      <c r="C799" s="2" t="s">
        <v>2012</v>
      </c>
      <c r="D799" t="s">
        <v>2017</v>
      </c>
      <c r="E799">
        <v>203.96</v>
      </c>
      <c r="F799">
        <f>Cleaned[[#This Row],[Debit]] * Cleaned[[#This Row],[FX_rates]]</f>
        <v>16724.72</v>
      </c>
      <c r="G799">
        <v>0</v>
      </c>
      <c r="H799">
        <f>Cleaned[[#This Row],[Credit]] *  Cleaned[[#This Row],[FX_rates]]</f>
        <v>0</v>
      </c>
      <c r="I799" t="s">
        <v>2025</v>
      </c>
      <c r="J799" t="s">
        <v>2028</v>
      </c>
      <c r="K799" t="s">
        <v>2828</v>
      </c>
      <c r="L799" t="s">
        <v>4034</v>
      </c>
      <c r="M799">
        <f>Cleaned[[#This Row],[Credit]]-Cleaned[[#This Row],[Debit]]</f>
        <v>-203.96</v>
      </c>
      <c r="N799" t="str">
        <f>_xlfn.XLOOKUP(Cleaned[[#This Row],[AccountName]], Account_Mapping!A:A, Account_Mapping!B:B,"Unmapped")</f>
        <v>Operating Expense</v>
      </c>
      <c r="O799" cm="1">
        <f t="array" ref="O799">_xlfn.XLOOKUP(
  1,
  (FX_Rates[Currency]=Cleaned[[#This Row],[Currency]])*
  (FX_Rates[RateDate]&lt;=Cleaned[[#This Row],[TxnDate]]),
  FX_Rates[Rate_To_INR],
  ,
  -1
)</f>
        <v>82</v>
      </c>
      <c r="P799" s="2">
        <f>Cleaned[[#This Row],[Net Amount]] *  Cleaned[[#This Row],[FX_rates]]</f>
        <v>-16724.72</v>
      </c>
    </row>
    <row r="800" spans="1:16" x14ac:dyDescent="0.45">
      <c r="A800" t="s">
        <v>808</v>
      </c>
      <c r="B800" s="1">
        <v>45082</v>
      </c>
      <c r="C800" s="2" t="s">
        <v>2014</v>
      </c>
      <c r="D800" t="s">
        <v>2019</v>
      </c>
      <c r="E800">
        <v>0</v>
      </c>
      <c r="F800">
        <f>Cleaned[[#This Row],[Debit]] * Cleaned[[#This Row],[FX_rates]]</f>
        <v>0</v>
      </c>
      <c r="G800">
        <v>2860.2</v>
      </c>
      <c r="H800">
        <f>Cleaned[[#This Row],[Credit]] *  Cleaned[[#This Row],[FX_rates]]</f>
        <v>174472.19999999998</v>
      </c>
      <c r="I800" t="s">
        <v>2023</v>
      </c>
      <c r="J800" t="s">
        <v>2027</v>
      </c>
      <c r="K800" t="s">
        <v>2829</v>
      </c>
      <c r="L800" t="s">
        <v>4035</v>
      </c>
      <c r="M800">
        <f>Cleaned[[#This Row],[Credit]]-Cleaned[[#This Row],[Debit]]</f>
        <v>2860.2</v>
      </c>
      <c r="N800" t="str">
        <f>_xlfn.XLOOKUP(Cleaned[[#This Row],[AccountName]], Account_Mapping!A:A, Account_Mapping!B:B,"Unmapped")</f>
        <v>Revenue</v>
      </c>
      <c r="O800" cm="1">
        <f t="array" ref="O800">_xlfn.XLOOKUP(
  1,
  (FX_Rates[Currency]=Cleaned[[#This Row],[Currency]])*
  (FX_Rates[RateDate]&lt;=Cleaned[[#This Row],[TxnDate]]),
  FX_Rates[Rate_To_INR],
  ,
  -1
)</f>
        <v>61</v>
      </c>
      <c r="P800" s="2">
        <f>Cleaned[[#This Row],[Net Amount]] *  Cleaned[[#This Row],[FX_rates]]</f>
        <v>174472.19999999998</v>
      </c>
    </row>
    <row r="801" spans="1:16" x14ac:dyDescent="0.45">
      <c r="A801" t="s">
        <v>809</v>
      </c>
      <c r="B801" s="1">
        <v>45159</v>
      </c>
      <c r="C801" s="2" t="s">
        <v>2013</v>
      </c>
      <c r="D801" t="s">
        <v>2018</v>
      </c>
      <c r="E801">
        <v>1363.92</v>
      </c>
      <c r="F801">
        <f>Cleaned[[#This Row],[Debit]] * Cleaned[[#This Row],[FX_rates]]</f>
        <v>83199.12000000001</v>
      </c>
      <c r="G801">
        <v>0</v>
      </c>
      <c r="H801">
        <f>Cleaned[[#This Row],[Credit]] *  Cleaned[[#This Row],[FX_rates]]</f>
        <v>0</v>
      </c>
      <c r="I801" t="s">
        <v>2025</v>
      </c>
      <c r="J801" t="s">
        <v>2027</v>
      </c>
      <c r="K801" t="s">
        <v>2830</v>
      </c>
      <c r="L801" t="s">
        <v>4035</v>
      </c>
      <c r="M801">
        <f>Cleaned[[#This Row],[Credit]]-Cleaned[[#This Row],[Debit]]</f>
        <v>-1363.92</v>
      </c>
      <c r="N801" t="str">
        <f>_xlfn.XLOOKUP(Cleaned[[#This Row],[AccountName]], Account_Mapping!A:A, Account_Mapping!B:B,"Unmapped")</f>
        <v>Operating Expense</v>
      </c>
      <c r="O801" cm="1">
        <f t="array" ref="O801">_xlfn.XLOOKUP(
  1,
  (FX_Rates[Currency]=Cleaned[[#This Row],[Currency]])*
  (FX_Rates[RateDate]&lt;=Cleaned[[#This Row],[TxnDate]]),
  FX_Rates[Rate_To_INR],
  ,
  -1
)</f>
        <v>61</v>
      </c>
      <c r="P801" s="2">
        <f>Cleaned[[#This Row],[Net Amount]] *  Cleaned[[#This Row],[FX_rates]]</f>
        <v>-83199.12000000001</v>
      </c>
    </row>
    <row r="802" spans="1:16" x14ac:dyDescent="0.45">
      <c r="A802" t="s">
        <v>810</v>
      </c>
      <c r="B802" s="1">
        <v>45303</v>
      </c>
      <c r="C802" s="2" t="s">
        <v>2010</v>
      </c>
      <c r="D802" t="s">
        <v>2015</v>
      </c>
      <c r="E802">
        <v>0</v>
      </c>
      <c r="F802">
        <f>Cleaned[[#This Row],[Debit]] * Cleaned[[#This Row],[FX_rates]]</f>
        <v>0</v>
      </c>
      <c r="G802">
        <v>4449.82</v>
      </c>
      <c r="H802">
        <f>Cleaned[[#This Row],[Credit]] *  Cleaned[[#This Row],[FX_rates]]</f>
        <v>271439.01999999996</v>
      </c>
      <c r="I802" t="s">
        <v>2023</v>
      </c>
      <c r="J802" t="s">
        <v>2027</v>
      </c>
      <c r="K802" t="s">
        <v>2831</v>
      </c>
      <c r="L802" t="s">
        <v>4035</v>
      </c>
      <c r="M802">
        <f>Cleaned[[#This Row],[Credit]]-Cleaned[[#This Row],[Debit]]</f>
        <v>4449.82</v>
      </c>
      <c r="N802" t="str">
        <f>_xlfn.XLOOKUP(Cleaned[[#This Row],[AccountName]], Account_Mapping!A:A, Account_Mapping!B:B,"Unmapped")</f>
        <v>Revenue</v>
      </c>
      <c r="O802" cm="1">
        <f t="array" ref="O802">_xlfn.XLOOKUP(
  1,
  (FX_Rates[Currency]=Cleaned[[#This Row],[Currency]])*
  (FX_Rates[RateDate]&lt;=Cleaned[[#This Row],[TxnDate]]),
  FX_Rates[Rate_To_INR],
  ,
  -1
)</f>
        <v>61</v>
      </c>
      <c r="P802" s="2">
        <f>Cleaned[[#This Row],[Net Amount]] *  Cleaned[[#This Row],[FX_rates]]</f>
        <v>271439.01999999996</v>
      </c>
    </row>
    <row r="803" spans="1:16" x14ac:dyDescent="0.45">
      <c r="A803" t="s">
        <v>811</v>
      </c>
      <c r="B803" s="1">
        <v>45056</v>
      </c>
      <c r="C803" s="2" t="s">
        <v>2013</v>
      </c>
      <c r="D803" t="s">
        <v>2018</v>
      </c>
      <c r="E803">
        <v>256.63</v>
      </c>
      <c r="F803">
        <f>Cleaned[[#This Row],[Debit]] * Cleaned[[#This Row],[FX_rates]]</f>
        <v>14371.279999999999</v>
      </c>
      <c r="G803">
        <v>0</v>
      </c>
      <c r="H803">
        <f>Cleaned[[#This Row],[Credit]] *  Cleaned[[#This Row],[FX_rates]]</f>
        <v>0</v>
      </c>
      <c r="I803" t="s">
        <v>2023</v>
      </c>
      <c r="J803" t="s">
        <v>2029</v>
      </c>
      <c r="K803" t="s">
        <v>2832</v>
      </c>
      <c r="L803" t="s">
        <v>4033</v>
      </c>
      <c r="M803">
        <f>Cleaned[[#This Row],[Credit]]-Cleaned[[#This Row],[Debit]]</f>
        <v>-256.63</v>
      </c>
      <c r="N803" t="str">
        <f>_xlfn.XLOOKUP(Cleaned[[#This Row],[AccountName]], Account_Mapping!A:A, Account_Mapping!B:B,"Unmapped")</f>
        <v>Operating Expense</v>
      </c>
      <c r="O803" cm="1">
        <f t="array" ref="O803">_xlfn.XLOOKUP(
  1,
  (FX_Rates[Currency]=Cleaned[[#This Row],[Currency]])*
  (FX_Rates[RateDate]&lt;=Cleaned[[#This Row],[TxnDate]]),
  FX_Rates[Rate_To_INR],
  ,
  -1
)</f>
        <v>56</v>
      </c>
      <c r="P803" s="2">
        <f>Cleaned[[#This Row],[Net Amount]] *  Cleaned[[#This Row],[FX_rates]]</f>
        <v>-14371.279999999999</v>
      </c>
    </row>
    <row r="804" spans="1:16" x14ac:dyDescent="0.45">
      <c r="A804" t="s">
        <v>812</v>
      </c>
      <c r="B804" s="1">
        <v>45504</v>
      </c>
      <c r="C804" s="2" t="s">
        <v>2010</v>
      </c>
      <c r="D804" t="s">
        <v>2015</v>
      </c>
      <c r="E804">
        <v>0</v>
      </c>
      <c r="F804">
        <f>Cleaned[[#This Row],[Debit]] * Cleaned[[#This Row],[FX_rates]]</f>
        <v>0</v>
      </c>
      <c r="G804">
        <v>303.74</v>
      </c>
      <c r="H804">
        <f>Cleaned[[#This Row],[Credit]] *  Cleaned[[#This Row],[FX_rates]]</f>
        <v>26729.120000000003</v>
      </c>
      <c r="I804" t="s">
        <v>2020</v>
      </c>
      <c r="J804" t="s">
        <v>2029</v>
      </c>
      <c r="K804" t="s">
        <v>2833</v>
      </c>
      <c r="L804" t="s">
        <v>4032</v>
      </c>
      <c r="M804">
        <f>Cleaned[[#This Row],[Credit]]-Cleaned[[#This Row],[Debit]]</f>
        <v>303.74</v>
      </c>
      <c r="N804" t="str">
        <f>_xlfn.XLOOKUP(Cleaned[[#This Row],[AccountName]], Account_Mapping!A:A, Account_Mapping!B:B,"Unmapped")</f>
        <v>Revenue</v>
      </c>
      <c r="O804" cm="1">
        <f t="array" ref="O804">_xlfn.XLOOKUP(
  1,
  (FX_Rates[Currency]=Cleaned[[#This Row],[Currency]])*
  (FX_Rates[RateDate]&lt;=Cleaned[[#This Row],[TxnDate]]),
  FX_Rates[Rate_To_INR],
  ,
  -1
)</f>
        <v>88</v>
      </c>
      <c r="P804" s="2">
        <f>Cleaned[[#This Row],[Net Amount]] *  Cleaned[[#This Row],[FX_rates]]</f>
        <v>26729.120000000003</v>
      </c>
    </row>
    <row r="805" spans="1:16" x14ac:dyDescent="0.45">
      <c r="A805" t="s">
        <v>813</v>
      </c>
      <c r="B805" s="1">
        <v>45600</v>
      </c>
      <c r="C805" s="2" t="s">
        <v>2011</v>
      </c>
      <c r="D805" t="s">
        <v>2016</v>
      </c>
      <c r="E805">
        <v>1181.69</v>
      </c>
      <c r="F805">
        <f>Cleaned[[#This Row],[Debit]] * Cleaned[[#This Row],[FX_rates]]</f>
        <v>121714.07</v>
      </c>
      <c r="G805">
        <v>0</v>
      </c>
      <c r="H805">
        <f>Cleaned[[#This Row],[Credit]] *  Cleaned[[#This Row],[FX_rates]]</f>
        <v>0</v>
      </c>
      <c r="I805" t="s">
        <v>2020</v>
      </c>
      <c r="J805" t="s">
        <v>2030</v>
      </c>
      <c r="K805" t="s">
        <v>2834</v>
      </c>
      <c r="L805" t="s">
        <v>4031</v>
      </c>
      <c r="M805">
        <f>Cleaned[[#This Row],[Credit]]-Cleaned[[#This Row],[Debit]]</f>
        <v>-1181.69</v>
      </c>
      <c r="N805" t="str">
        <f>_xlfn.XLOOKUP(Cleaned[[#This Row],[AccountName]], Account_Mapping!A:A, Account_Mapping!B:B,"Unmapped")</f>
        <v>COGS</v>
      </c>
      <c r="O805" cm="1">
        <f t="array" ref="O805">_xlfn.XLOOKUP(
  1,
  (FX_Rates[Currency]=Cleaned[[#This Row],[Currency]])*
  (FX_Rates[RateDate]&lt;=Cleaned[[#This Row],[TxnDate]]),
  FX_Rates[Rate_To_INR],
  ,
  -1
)</f>
        <v>103</v>
      </c>
      <c r="P805" s="2">
        <f>Cleaned[[#This Row],[Net Amount]] *  Cleaned[[#This Row],[FX_rates]]</f>
        <v>-121714.07</v>
      </c>
    </row>
    <row r="806" spans="1:16" x14ac:dyDescent="0.45">
      <c r="A806" t="s">
        <v>814</v>
      </c>
      <c r="B806" s="1">
        <v>45200</v>
      </c>
      <c r="C806" s="2" t="s">
        <v>2014</v>
      </c>
      <c r="D806" t="s">
        <v>2019</v>
      </c>
      <c r="E806">
        <v>0</v>
      </c>
      <c r="F806">
        <f>Cleaned[[#This Row],[Debit]] * Cleaned[[#This Row],[FX_rates]]</f>
        <v>0</v>
      </c>
      <c r="G806">
        <v>2568.02</v>
      </c>
      <c r="H806">
        <f>Cleaned[[#This Row],[Credit]] *  Cleaned[[#This Row],[FX_rates]]</f>
        <v>143809.12</v>
      </c>
      <c r="I806" t="s">
        <v>2025</v>
      </c>
      <c r="J806" t="s">
        <v>2026</v>
      </c>
      <c r="K806" t="s">
        <v>2835</v>
      </c>
      <c r="L806" t="s">
        <v>4033</v>
      </c>
      <c r="M806">
        <f>Cleaned[[#This Row],[Credit]]-Cleaned[[#This Row],[Debit]]</f>
        <v>2568.02</v>
      </c>
      <c r="N806" t="str">
        <f>_xlfn.XLOOKUP(Cleaned[[#This Row],[AccountName]], Account_Mapping!A:A, Account_Mapping!B:B,"Unmapped")</f>
        <v>Revenue</v>
      </c>
      <c r="O806" cm="1">
        <f t="array" ref="O806">_xlfn.XLOOKUP(
  1,
  (FX_Rates[Currency]=Cleaned[[#This Row],[Currency]])*
  (FX_Rates[RateDate]&lt;=Cleaned[[#This Row],[TxnDate]]),
  FX_Rates[Rate_To_INR],
  ,
  -1
)</f>
        <v>56</v>
      </c>
      <c r="P806" s="2">
        <f>Cleaned[[#This Row],[Net Amount]] *  Cleaned[[#This Row],[FX_rates]]</f>
        <v>143809.12</v>
      </c>
    </row>
    <row r="807" spans="1:16" x14ac:dyDescent="0.45">
      <c r="A807" t="s">
        <v>815</v>
      </c>
      <c r="B807" s="1">
        <v>45209</v>
      </c>
      <c r="C807" s="2" t="s">
        <v>2011</v>
      </c>
      <c r="D807" t="s">
        <v>2016</v>
      </c>
      <c r="E807">
        <v>1567.28</v>
      </c>
      <c r="F807">
        <f>Cleaned[[#This Row],[Debit]] * Cleaned[[#This Row],[FX_rates]]</f>
        <v>87767.679999999993</v>
      </c>
      <c r="G807">
        <v>0</v>
      </c>
      <c r="H807">
        <f>Cleaned[[#This Row],[Credit]] *  Cleaned[[#This Row],[FX_rates]]</f>
        <v>0</v>
      </c>
      <c r="I807" t="s">
        <v>2023</v>
      </c>
      <c r="J807" t="s">
        <v>2030</v>
      </c>
      <c r="K807" t="s">
        <v>2836</v>
      </c>
      <c r="L807" t="s">
        <v>4033</v>
      </c>
      <c r="M807">
        <f>Cleaned[[#This Row],[Credit]]-Cleaned[[#This Row],[Debit]]</f>
        <v>-1567.28</v>
      </c>
      <c r="N807" t="str">
        <f>_xlfn.XLOOKUP(Cleaned[[#This Row],[AccountName]], Account_Mapping!A:A, Account_Mapping!B:B,"Unmapped")</f>
        <v>COGS</v>
      </c>
      <c r="O807" cm="1">
        <f t="array" ref="O807">_xlfn.XLOOKUP(
  1,
  (FX_Rates[Currency]=Cleaned[[#This Row],[Currency]])*
  (FX_Rates[RateDate]&lt;=Cleaned[[#This Row],[TxnDate]]),
  FX_Rates[Rate_To_INR],
  ,
  -1
)</f>
        <v>56</v>
      </c>
      <c r="P807" s="2">
        <f>Cleaned[[#This Row],[Net Amount]] *  Cleaned[[#This Row],[FX_rates]]</f>
        <v>-87767.679999999993</v>
      </c>
    </row>
    <row r="808" spans="1:16" x14ac:dyDescent="0.45">
      <c r="A808" t="s">
        <v>816</v>
      </c>
      <c r="B808" s="1">
        <v>45772</v>
      </c>
      <c r="C808" s="2" t="s">
        <v>2014</v>
      </c>
      <c r="D808" t="s">
        <v>2019</v>
      </c>
      <c r="E808">
        <v>0</v>
      </c>
      <c r="F808">
        <f>Cleaned[[#This Row],[Debit]] * Cleaned[[#This Row],[FX_rates]]</f>
        <v>0</v>
      </c>
      <c r="G808">
        <v>1614.33</v>
      </c>
      <c r="H808">
        <f>Cleaned[[#This Row],[Credit]] *  Cleaned[[#This Row],[FX_rates]]</f>
        <v>166275.99</v>
      </c>
      <c r="I808" t="s">
        <v>2020</v>
      </c>
      <c r="J808" t="s">
        <v>2029</v>
      </c>
      <c r="K808" t="s">
        <v>2837</v>
      </c>
      <c r="L808" t="s">
        <v>4031</v>
      </c>
      <c r="M808">
        <f>Cleaned[[#This Row],[Credit]]-Cleaned[[#This Row],[Debit]]</f>
        <v>1614.33</v>
      </c>
      <c r="N808" t="str">
        <f>_xlfn.XLOOKUP(Cleaned[[#This Row],[AccountName]], Account_Mapping!A:A, Account_Mapping!B:B,"Unmapped")</f>
        <v>Revenue</v>
      </c>
      <c r="O808" cm="1">
        <f t="array" ref="O808">_xlfn.XLOOKUP(
  1,
  (FX_Rates[Currency]=Cleaned[[#This Row],[Currency]])*
  (FX_Rates[RateDate]&lt;=Cleaned[[#This Row],[TxnDate]]),
  FX_Rates[Rate_To_INR],
  ,
  -1
)</f>
        <v>103</v>
      </c>
      <c r="P808" s="2">
        <f>Cleaned[[#This Row],[Net Amount]] *  Cleaned[[#This Row],[FX_rates]]</f>
        <v>166275.99</v>
      </c>
    </row>
    <row r="809" spans="1:16" x14ac:dyDescent="0.45">
      <c r="A809" t="s">
        <v>817</v>
      </c>
      <c r="B809" s="1">
        <v>45485</v>
      </c>
      <c r="C809" s="2" t="s">
        <v>2012</v>
      </c>
      <c r="D809" t="s">
        <v>2017</v>
      </c>
      <c r="E809">
        <v>335.31</v>
      </c>
      <c r="F809">
        <f>Cleaned[[#This Row],[Debit]] * Cleaned[[#This Row],[FX_rates]]</f>
        <v>34536.93</v>
      </c>
      <c r="G809">
        <v>0</v>
      </c>
      <c r="H809">
        <f>Cleaned[[#This Row],[Credit]] *  Cleaned[[#This Row],[FX_rates]]</f>
        <v>0</v>
      </c>
      <c r="I809" t="s">
        <v>2020</v>
      </c>
      <c r="J809" t="s">
        <v>2026</v>
      </c>
      <c r="K809" t="s">
        <v>2838</v>
      </c>
      <c r="L809" t="s">
        <v>4031</v>
      </c>
      <c r="M809">
        <f>Cleaned[[#This Row],[Credit]]-Cleaned[[#This Row],[Debit]]</f>
        <v>-335.31</v>
      </c>
      <c r="N809" t="str">
        <f>_xlfn.XLOOKUP(Cleaned[[#This Row],[AccountName]], Account_Mapping!A:A, Account_Mapping!B:B,"Unmapped")</f>
        <v>Operating Expense</v>
      </c>
      <c r="O809" cm="1">
        <f t="array" ref="O809">_xlfn.XLOOKUP(
  1,
  (FX_Rates[Currency]=Cleaned[[#This Row],[Currency]])*
  (FX_Rates[RateDate]&lt;=Cleaned[[#This Row],[TxnDate]]),
  FX_Rates[Rate_To_INR],
  ,
  -1
)</f>
        <v>103</v>
      </c>
      <c r="P809" s="2">
        <f>Cleaned[[#This Row],[Net Amount]] *  Cleaned[[#This Row],[FX_rates]]</f>
        <v>-34536.93</v>
      </c>
    </row>
    <row r="810" spans="1:16" x14ac:dyDescent="0.45">
      <c r="A810" t="s">
        <v>818</v>
      </c>
      <c r="B810" s="1">
        <v>45832</v>
      </c>
      <c r="C810" s="2" t="s">
        <v>2013</v>
      </c>
      <c r="D810" t="s">
        <v>2018</v>
      </c>
      <c r="E810">
        <v>1491.54</v>
      </c>
      <c r="F810">
        <f>Cleaned[[#This Row],[Debit]] * Cleaned[[#This Row],[FX_rates]]</f>
        <v>122306.28</v>
      </c>
      <c r="G810">
        <v>0</v>
      </c>
      <c r="H810">
        <f>Cleaned[[#This Row],[Credit]] *  Cleaned[[#This Row],[FX_rates]]</f>
        <v>0</v>
      </c>
      <c r="I810" t="s">
        <v>2023</v>
      </c>
      <c r="J810" t="s">
        <v>2030</v>
      </c>
      <c r="K810" t="s">
        <v>2839</v>
      </c>
      <c r="L810" t="s">
        <v>4034</v>
      </c>
      <c r="M810">
        <f>Cleaned[[#This Row],[Credit]]-Cleaned[[#This Row],[Debit]]</f>
        <v>-1491.54</v>
      </c>
      <c r="N810" t="str">
        <f>_xlfn.XLOOKUP(Cleaned[[#This Row],[AccountName]], Account_Mapping!A:A, Account_Mapping!B:B,"Unmapped")</f>
        <v>Operating Expense</v>
      </c>
      <c r="O810" cm="1">
        <f t="array" ref="O810">_xlfn.XLOOKUP(
  1,
  (FX_Rates[Currency]=Cleaned[[#This Row],[Currency]])*
  (FX_Rates[RateDate]&lt;=Cleaned[[#This Row],[TxnDate]]),
  FX_Rates[Rate_To_INR],
  ,
  -1
)</f>
        <v>82</v>
      </c>
      <c r="P810" s="2">
        <f>Cleaned[[#This Row],[Net Amount]] *  Cleaned[[#This Row],[FX_rates]]</f>
        <v>-122306.28</v>
      </c>
    </row>
    <row r="811" spans="1:16" x14ac:dyDescent="0.45">
      <c r="A811" t="s">
        <v>819</v>
      </c>
      <c r="B811" s="1">
        <v>45699</v>
      </c>
      <c r="C811" s="2" t="s">
        <v>2014</v>
      </c>
      <c r="D811" t="s">
        <v>2019</v>
      </c>
      <c r="E811">
        <v>0</v>
      </c>
      <c r="F811">
        <f>Cleaned[[#This Row],[Debit]] * Cleaned[[#This Row],[FX_rates]]</f>
        <v>0</v>
      </c>
      <c r="G811">
        <v>2809.76</v>
      </c>
      <c r="H811">
        <f>Cleaned[[#This Row],[Credit]] *  Cleaned[[#This Row],[FX_rates]]</f>
        <v>230400.32</v>
      </c>
      <c r="I811" t="s">
        <v>2024</v>
      </c>
      <c r="J811" t="s">
        <v>2027</v>
      </c>
      <c r="K811" t="s">
        <v>2840</v>
      </c>
      <c r="L811" t="s">
        <v>4034</v>
      </c>
      <c r="M811">
        <f>Cleaned[[#This Row],[Credit]]-Cleaned[[#This Row],[Debit]]</f>
        <v>2809.76</v>
      </c>
      <c r="N811" t="str">
        <f>_xlfn.XLOOKUP(Cleaned[[#This Row],[AccountName]], Account_Mapping!A:A, Account_Mapping!B:B,"Unmapped")</f>
        <v>Revenue</v>
      </c>
      <c r="O811" cm="1">
        <f t="array" ref="O811">_xlfn.XLOOKUP(
  1,
  (FX_Rates[Currency]=Cleaned[[#This Row],[Currency]])*
  (FX_Rates[RateDate]&lt;=Cleaned[[#This Row],[TxnDate]]),
  FX_Rates[Rate_To_INR],
  ,
  -1
)</f>
        <v>82</v>
      </c>
      <c r="P811" s="2">
        <f>Cleaned[[#This Row],[Net Amount]] *  Cleaned[[#This Row],[FX_rates]]</f>
        <v>230400.32</v>
      </c>
    </row>
    <row r="812" spans="1:16" x14ac:dyDescent="0.45">
      <c r="A812" t="s">
        <v>820</v>
      </c>
      <c r="B812" s="1">
        <v>45229</v>
      </c>
      <c r="C812" s="2" t="s">
        <v>2010</v>
      </c>
      <c r="D812" t="s">
        <v>2015</v>
      </c>
      <c r="E812">
        <v>0</v>
      </c>
      <c r="F812">
        <f>Cleaned[[#This Row],[Debit]] * Cleaned[[#This Row],[FX_rates]]</f>
        <v>0</v>
      </c>
      <c r="G812">
        <v>460.23</v>
      </c>
      <c r="H812">
        <f>Cleaned[[#This Row],[Credit]] *  Cleaned[[#This Row],[FX_rates]]</f>
        <v>37738.86</v>
      </c>
      <c r="I812" t="s">
        <v>2022</v>
      </c>
      <c r="J812" t="s">
        <v>2029</v>
      </c>
      <c r="K812" t="s">
        <v>2841</v>
      </c>
      <c r="L812" t="s">
        <v>4034</v>
      </c>
      <c r="M812">
        <f>Cleaned[[#This Row],[Credit]]-Cleaned[[#This Row],[Debit]]</f>
        <v>460.23</v>
      </c>
      <c r="N812" t="str">
        <f>_xlfn.XLOOKUP(Cleaned[[#This Row],[AccountName]], Account_Mapping!A:A, Account_Mapping!B:B,"Unmapped")</f>
        <v>Revenue</v>
      </c>
      <c r="O812" cm="1">
        <f t="array" ref="O812">_xlfn.XLOOKUP(
  1,
  (FX_Rates[Currency]=Cleaned[[#This Row],[Currency]])*
  (FX_Rates[RateDate]&lt;=Cleaned[[#This Row],[TxnDate]]),
  FX_Rates[Rate_To_INR],
  ,
  -1
)</f>
        <v>82</v>
      </c>
      <c r="P812" s="2">
        <f>Cleaned[[#This Row],[Net Amount]] *  Cleaned[[#This Row],[FX_rates]]</f>
        <v>37738.86</v>
      </c>
    </row>
    <row r="813" spans="1:16" x14ac:dyDescent="0.45">
      <c r="A813" t="s">
        <v>821</v>
      </c>
      <c r="B813" s="1">
        <v>45181</v>
      </c>
      <c r="C813" s="2" t="s">
        <v>2014</v>
      </c>
      <c r="D813" t="s">
        <v>2019</v>
      </c>
      <c r="E813">
        <v>0</v>
      </c>
      <c r="F813">
        <f>Cleaned[[#This Row],[Debit]] * Cleaned[[#This Row],[FX_rates]]</f>
        <v>0</v>
      </c>
      <c r="G813">
        <v>2788.91</v>
      </c>
      <c r="H813">
        <f>Cleaned[[#This Row],[Credit]] *  Cleaned[[#This Row],[FX_rates]]</f>
        <v>287257.73</v>
      </c>
      <c r="I813" t="s">
        <v>2025</v>
      </c>
      <c r="J813" t="s">
        <v>2029</v>
      </c>
      <c r="K813" t="s">
        <v>2842</v>
      </c>
      <c r="L813" t="s">
        <v>4031</v>
      </c>
      <c r="M813">
        <f>Cleaned[[#This Row],[Credit]]-Cleaned[[#This Row],[Debit]]</f>
        <v>2788.91</v>
      </c>
      <c r="N813" t="str">
        <f>_xlfn.XLOOKUP(Cleaned[[#This Row],[AccountName]], Account_Mapping!A:A, Account_Mapping!B:B,"Unmapped")</f>
        <v>Revenue</v>
      </c>
      <c r="O813" cm="1">
        <f t="array" ref="O813">_xlfn.XLOOKUP(
  1,
  (FX_Rates[Currency]=Cleaned[[#This Row],[Currency]])*
  (FX_Rates[RateDate]&lt;=Cleaned[[#This Row],[TxnDate]]),
  FX_Rates[Rate_To_INR],
  ,
  -1
)</f>
        <v>103</v>
      </c>
      <c r="P813" s="2">
        <f>Cleaned[[#This Row],[Net Amount]] *  Cleaned[[#This Row],[FX_rates]]</f>
        <v>287257.73</v>
      </c>
    </row>
    <row r="814" spans="1:16" x14ac:dyDescent="0.45">
      <c r="A814" t="s">
        <v>822</v>
      </c>
      <c r="B814" s="1">
        <v>45775</v>
      </c>
      <c r="C814" s="2" t="s">
        <v>2012</v>
      </c>
      <c r="D814" t="s">
        <v>2017</v>
      </c>
      <c r="E814">
        <v>695.92</v>
      </c>
      <c r="F814">
        <f>Cleaned[[#This Row],[Debit]] * Cleaned[[#This Row],[FX_rates]]</f>
        <v>71679.759999999995</v>
      </c>
      <c r="G814">
        <v>0</v>
      </c>
      <c r="H814">
        <f>Cleaned[[#This Row],[Credit]] *  Cleaned[[#This Row],[FX_rates]]</f>
        <v>0</v>
      </c>
      <c r="I814" t="s">
        <v>2021</v>
      </c>
      <c r="J814" t="s">
        <v>2028</v>
      </c>
      <c r="K814" t="s">
        <v>2843</v>
      </c>
      <c r="L814" t="s">
        <v>4031</v>
      </c>
      <c r="M814">
        <f>Cleaned[[#This Row],[Credit]]-Cleaned[[#This Row],[Debit]]</f>
        <v>-695.92</v>
      </c>
      <c r="N814" t="str">
        <f>_xlfn.XLOOKUP(Cleaned[[#This Row],[AccountName]], Account_Mapping!A:A, Account_Mapping!B:B,"Unmapped")</f>
        <v>Operating Expense</v>
      </c>
      <c r="O814" cm="1">
        <f t="array" ref="O814">_xlfn.XLOOKUP(
  1,
  (FX_Rates[Currency]=Cleaned[[#This Row],[Currency]])*
  (FX_Rates[RateDate]&lt;=Cleaned[[#This Row],[TxnDate]]),
  FX_Rates[Rate_To_INR],
  ,
  -1
)</f>
        <v>103</v>
      </c>
      <c r="P814" s="2">
        <f>Cleaned[[#This Row],[Net Amount]] *  Cleaned[[#This Row],[FX_rates]]</f>
        <v>-71679.759999999995</v>
      </c>
    </row>
    <row r="815" spans="1:16" x14ac:dyDescent="0.45">
      <c r="A815" t="s">
        <v>823</v>
      </c>
      <c r="B815" s="1">
        <v>45764</v>
      </c>
      <c r="C815" s="2" t="s">
        <v>2013</v>
      </c>
      <c r="D815" t="s">
        <v>2018</v>
      </c>
      <c r="E815">
        <v>1845.75</v>
      </c>
      <c r="F815">
        <f>Cleaned[[#This Row],[Debit]] * Cleaned[[#This Row],[FX_rates]]</f>
        <v>190112.25</v>
      </c>
      <c r="G815">
        <v>0</v>
      </c>
      <c r="H815">
        <f>Cleaned[[#This Row],[Credit]] *  Cleaned[[#This Row],[FX_rates]]</f>
        <v>0</v>
      </c>
      <c r="I815" t="s">
        <v>2020</v>
      </c>
      <c r="J815" t="s">
        <v>2029</v>
      </c>
      <c r="K815" t="s">
        <v>2844</v>
      </c>
      <c r="L815" t="s">
        <v>4031</v>
      </c>
      <c r="M815">
        <f>Cleaned[[#This Row],[Credit]]-Cleaned[[#This Row],[Debit]]</f>
        <v>-1845.75</v>
      </c>
      <c r="N815" t="str">
        <f>_xlfn.XLOOKUP(Cleaned[[#This Row],[AccountName]], Account_Mapping!A:A, Account_Mapping!B:B,"Unmapped")</f>
        <v>Operating Expense</v>
      </c>
      <c r="O815" cm="1">
        <f t="array" ref="O815">_xlfn.XLOOKUP(
  1,
  (FX_Rates[Currency]=Cleaned[[#This Row],[Currency]])*
  (FX_Rates[RateDate]&lt;=Cleaned[[#This Row],[TxnDate]]),
  FX_Rates[Rate_To_INR],
  ,
  -1
)</f>
        <v>103</v>
      </c>
      <c r="P815" s="2">
        <f>Cleaned[[#This Row],[Net Amount]] *  Cleaned[[#This Row],[FX_rates]]</f>
        <v>-190112.25</v>
      </c>
    </row>
    <row r="816" spans="1:16" x14ac:dyDescent="0.45">
      <c r="A816" t="s">
        <v>824</v>
      </c>
      <c r="B816" s="1">
        <v>45687</v>
      </c>
      <c r="C816" s="2" t="s">
        <v>2011</v>
      </c>
      <c r="D816" t="s">
        <v>2016</v>
      </c>
      <c r="E816">
        <v>892.42</v>
      </c>
      <c r="F816">
        <f>Cleaned[[#This Row],[Debit]] * Cleaned[[#This Row],[FX_rates]]</f>
        <v>54437.619999999995</v>
      </c>
      <c r="G816">
        <v>0</v>
      </c>
      <c r="H816">
        <f>Cleaned[[#This Row],[Credit]] *  Cleaned[[#This Row],[FX_rates]]</f>
        <v>0</v>
      </c>
      <c r="I816" t="s">
        <v>2024</v>
      </c>
      <c r="J816" t="s">
        <v>2026</v>
      </c>
      <c r="K816" t="s">
        <v>2845</v>
      </c>
      <c r="L816" t="s">
        <v>4035</v>
      </c>
      <c r="M816">
        <f>Cleaned[[#This Row],[Credit]]-Cleaned[[#This Row],[Debit]]</f>
        <v>-892.42</v>
      </c>
      <c r="N816" t="str">
        <f>_xlfn.XLOOKUP(Cleaned[[#This Row],[AccountName]], Account_Mapping!A:A, Account_Mapping!B:B,"Unmapped")</f>
        <v>COGS</v>
      </c>
      <c r="O816" cm="1">
        <f t="array" ref="O816">_xlfn.XLOOKUP(
  1,
  (FX_Rates[Currency]=Cleaned[[#This Row],[Currency]])*
  (FX_Rates[RateDate]&lt;=Cleaned[[#This Row],[TxnDate]]),
  FX_Rates[Rate_To_INR],
  ,
  -1
)</f>
        <v>61</v>
      </c>
      <c r="P816" s="2">
        <f>Cleaned[[#This Row],[Net Amount]] *  Cleaned[[#This Row],[FX_rates]]</f>
        <v>-54437.619999999995</v>
      </c>
    </row>
    <row r="817" spans="1:16" x14ac:dyDescent="0.45">
      <c r="A817" t="s">
        <v>825</v>
      </c>
      <c r="B817" s="1">
        <v>45170</v>
      </c>
      <c r="C817" s="2" t="s">
        <v>2013</v>
      </c>
      <c r="D817" t="s">
        <v>2018</v>
      </c>
      <c r="E817">
        <v>1024.68</v>
      </c>
      <c r="F817">
        <f>Cleaned[[#This Row],[Debit]] * Cleaned[[#This Row],[FX_rates]]</f>
        <v>105542.04000000001</v>
      </c>
      <c r="G817">
        <v>0</v>
      </c>
      <c r="H817">
        <f>Cleaned[[#This Row],[Credit]] *  Cleaned[[#This Row],[FX_rates]]</f>
        <v>0</v>
      </c>
      <c r="I817" t="s">
        <v>2021</v>
      </c>
      <c r="J817" t="s">
        <v>2026</v>
      </c>
      <c r="K817" t="s">
        <v>2846</v>
      </c>
      <c r="L817" t="s">
        <v>4031</v>
      </c>
      <c r="M817">
        <f>Cleaned[[#This Row],[Credit]]-Cleaned[[#This Row],[Debit]]</f>
        <v>-1024.68</v>
      </c>
      <c r="N817" t="str">
        <f>_xlfn.XLOOKUP(Cleaned[[#This Row],[AccountName]], Account_Mapping!A:A, Account_Mapping!B:B,"Unmapped")</f>
        <v>Operating Expense</v>
      </c>
      <c r="O817" cm="1">
        <f t="array" ref="O817">_xlfn.XLOOKUP(
  1,
  (FX_Rates[Currency]=Cleaned[[#This Row],[Currency]])*
  (FX_Rates[RateDate]&lt;=Cleaned[[#This Row],[TxnDate]]),
  FX_Rates[Rate_To_INR],
  ,
  -1
)</f>
        <v>103</v>
      </c>
      <c r="P817" s="2">
        <f>Cleaned[[#This Row],[Net Amount]] *  Cleaned[[#This Row],[FX_rates]]</f>
        <v>-105542.04000000001</v>
      </c>
    </row>
    <row r="818" spans="1:16" x14ac:dyDescent="0.45">
      <c r="A818" t="s">
        <v>826</v>
      </c>
      <c r="B818" s="1">
        <v>45231</v>
      </c>
      <c r="C818" s="2" t="s">
        <v>2012</v>
      </c>
      <c r="D818" t="s">
        <v>2017</v>
      </c>
      <c r="E818">
        <v>927.04</v>
      </c>
      <c r="F818">
        <f>Cleaned[[#This Row],[Debit]] * Cleaned[[#This Row],[FX_rates]]</f>
        <v>56549.439999999995</v>
      </c>
      <c r="G818">
        <v>0</v>
      </c>
      <c r="H818">
        <f>Cleaned[[#This Row],[Credit]] *  Cleaned[[#This Row],[FX_rates]]</f>
        <v>0</v>
      </c>
      <c r="I818" t="s">
        <v>2023</v>
      </c>
      <c r="J818" t="s">
        <v>2029</v>
      </c>
      <c r="K818" t="s">
        <v>2847</v>
      </c>
      <c r="L818" t="s">
        <v>4035</v>
      </c>
      <c r="M818">
        <f>Cleaned[[#This Row],[Credit]]-Cleaned[[#This Row],[Debit]]</f>
        <v>-927.04</v>
      </c>
      <c r="N818" t="str">
        <f>_xlfn.XLOOKUP(Cleaned[[#This Row],[AccountName]], Account_Mapping!A:A, Account_Mapping!B:B,"Unmapped")</f>
        <v>Operating Expense</v>
      </c>
      <c r="O818" cm="1">
        <f t="array" ref="O818">_xlfn.XLOOKUP(
  1,
  (FX_Rates[Currency]=Cleaned[[#This Row],[Currency]])*
  (FX_Rates[RateDate]&lt;=Cleaned[[#This Row],[TxnDate]]),
  FX_Rates[Rate_To_INR],
  ,
  -1
)</f>
        <v>61</v>
      </c>
      <c r="P818" s="2">
        <f>Cleaned[[#This Row],[Net Amount]] *  Cleaned[[#This Row],[FX_rates]]</f>
        <v>-56549.439999999995</v>
      </c>
    </row>
    <row r="819" spans="1:16" x14ac:dyDescent="0.45">
      <c r="A819" t="s">
        <v>827</v>
      </c>
      <c r="B819" s="1">
        <v>45376</v>
      </c>
      <c r="C819" s="2" t="s">
        <v>2010</v>
      </c>
      <c r="D819" t="s">
        <v>2015</v>
      </c>
      <c r="E819">
        <v>0</v>
      </c>
      <c r="F819">
        <f>Cleaned[[#This Row],[Debit]] * Cleaned[[#This Row],[FX_rates]]</f>
        <v>0</v>
      </c>
      <c r="G819">
        <v>3540.18</v>
      </c>
      <c r="H819">
        <f>Cleaned[[#This Row],[Credit]] *  Cleaned[[#This Row],[FX_rates]]</f>
        <v>215950.97999999998</v>
      </c>
      <c r="I819" t="s">
        <v>2023</v>
      </c>
      <c r="J819" t="s">
        <v>2026</v>
      </c>
      <c r="K819" t="s">
        <v>2848</v>
      </c>
      <c r="L819" t="s">
        <v>4035</v>
      </c>
      <c r="M819">
        <f>Cleaned[[#This Row],[Credit]]-Cleaned[[#This Row],[Debit]]</f>
        <v>3540.18</v>
      </c>
      <c r="N819" t="str">
        <f>_xlfn.XLOOKUP(Cleaned[[#This Row],[AccountName]], Account_Mapping!A:A, Account_Mapping!B:B,"Unmapped")</f>
        <v>Revenue</v>
      </c>
      <c r="O819" cm="1">
        <f t="array" ref="O819">_xlfn.XLOOKUP(
  1,
  (FX_Rates[Currency]=Cleaned[[#This Row],[Currency]])*
  (FX_Rates[RateDate]&lt;=Cleaned[[#This Row],[TxnDate]]),
  FX_Rates[Rate_To_INR],
  ,
  -1
)</f>
        <v>61</v>
      </c>
      <c r="P819" s="2">
        <f>Cleaned[[#This Row],[Net Amount]] *  Cleaned[[#This Row],[FX_rates]]</f>
        <v>215950.97999999998</v>
      </c>
    </row>
    <row r="820" spans="1:16" x14ac:dyDescent="0.45">
      <c r="A820" t="s">
        <v>828</v>
      </c>
      <c r="B820" s="1">
        <v>45635</v>
      </c>
      <c r="C820" s="2" t="s">
        <v>2014</v>
      </c>
      <c r="D820" t="s">
        <v>2019</v>
      </c>
      <c r="E820">
        <v>0</v>
      </c>
      <c r="F820">
        <f>Cleaned[[#This Row],[Debit]] * Cleaned[[#This Row],[FX_rates]]</f>
        <v>0</v>
      </c>
      <c r="G820">
        <v>4254.72</v>
      </c>
      <c r="H820">
        <f>Cleaned[[#This Row],[Credit]] *  Cleaned[[#This Row],[FX_rates]]</f>
        <v>438236.16000000003</v>
      </c>
      <c r="I820" t="s">
        <v>2022</v>
      </c>
      <c r="J820" t="s">
        <v>2026</v>
      </c>
      <c r="K820" t="s">
        <v>2849</v>
      </c>
      <c r="L820" t="s">
        <v>4031</v>
      </c>
      <c r="M820">
        <f>Cleaned[[#This Row],[Credit]]-Cleaned[[#This Row],[Debit]]</f>
        <v>4254.72</v>
      </c>
      <c r="N820" t="str">
        <f>_xlfn.XLOOKUP(Cleaned[[#This Row],[AccountName]], Account_Mapping!A:A, Account_Mapping!B:B,"Unmapped")</f>
        <v>Revenue</v>
      </c>
      <c r="O820" cm="1">
        <f t="array" ref="O820">_xlfn.XLOOKUP(
  1,
  (FX_Rates[Currency]=Cleaned[[#This Row],[Currency]])*
  (FX_Rates[RateDate]&lt;=Cleaned[[#This Row],[TxnDate]]),
  FX_Rates[Rate_To_INR],
  ,
  -1
)</f>
        <v>103</v>
      </c>
      <c r="P820" s="2">
        <f>Cleaned[[#This Row],[Net Amount]] *  Cleaned[[#This Row],[FX_rates]]</f>
        <v>438236.16000000003</v>
      </c>
    </row>
    <row r="821" spans="1:16" x14ac:dyDescent="0.45">
      <c r="A821" t="s">
        <v>829</v>
      </c>
      <c r="B821" s="1">
        <v>45211</v>
      </c>
      <c r="C821" s="2" t="s">
        <v>2013</v>
      </c>
      <c r="D821" t="s">
        <v>2018</v>
      </c>
      <c r="E821">
        <v>1013.65</v>
      </c>
      <c r="F821">
        <f>Cleaned[[#This Row],[Debit]] * Cleaned[[#This Row],[FX_rates]]</f>
        <v>56764.4</v>
      </c>
      <c r="G821">
        <v>0</v>
      </c>
      <c r="H821">
        <f>Cleaned[[#This Row],[Credit]] *  Cleaned[[#This Row],[FX_rates]]</f>
        <v>0</v>
      </c>
      <c r="I821" t="s">
        <v>2020</v>
      </c>
      <c r="J821" t="s">
        <v>2029</v>
      </c>
      <c r="K821" t="s">
        <v>2850</v>
      </c>
      <c r="L821" t="s">
        <v>4033</v>
      </c>
      <c r="M821">
        <f>Cleaned[[#This Row],[Credit]]-Cleaned[[#This Row],[Debit]]</f>
        <v>-1013.65</v>
      </c>
      <c r="N821" t="str">
        <f>_xlfn.XLOOKUP(Cleaned[[#This Row],[AccountName]], Account_Mapping!A:A, Account_Mapping!B:B,"Unmapped")</f>
        <v>Operating Expense</v>
      </c>
      <c r="O821" cm="1">
        <f t="array" ref="O821">_xlfn.XLOOKUP(
  1,
  (FX_Rates[Currency]=Cleaned[[#This Row],[Currency]])*
  (FX_Rates[RateDate]&lt;=Cleaned[[#This Row],[TxnDate]]),
  FX_Rates[Rate_To_INR],
  ,
  -1
)</f>
        <v>56</v>
      </c>
      <c r="P821" s="2">
        <f>Cleaned[[#This Row],[Net Amount]] *  Cleaned[[#This Row],[FX_rates]]</f>
        <v>-56764.4</v>
      </c>
    </row>
    <row r="822" spans="1:16" x14ac:dyDescent="0.45">
      <c r="A822" t="s">
        <v>830</v>
      </c>
      <c r="B822" s="1">
        <v>45067</v>
      </c>
      <c r="C822" s="2" t="s">
        <v>2014</v>
      </c>
      <c r="D822" t="s">
        <v>2019</v>
      </c>
      <c r="E822">
        <v>0</v>
      </c>
      <c r="F822">
        <f>Cleaned[[#This Row],[Debit]] * Cleaned[[#This Row],[FX_rates]]</f>
        <v>0</v>
      </c>
      <c r="G822">
        <v>2994.63</v>
      </c>
      <c r="H822">
        <f>Cleaned[[#This Row],[Credit]] *  Cleaned[[#This Row],[FX_rates]]</f>
        <v>245559.66</v>
      </c>
      <c r="I822" t="s">
        <v>2022</v>
      </c>
      <c r="J822" t="s">
        <v>2029</v>
      </c>
      <c r="K822" t="s">
        <v>2851</v>
      </c>
      <c r="L822" t="s">
        <v>4034</v>
      </c>
      <c r="M822">
        <f>Cleaned[[#This Row],[Credit]]-Cleaned[[#This Row],[Debit]]</f>
        <v>2994.63</v>
      </c>
      <c r="N822" t="str">
        <f>_xlfn.XLOOKUP(Cleaned[[#This Row],[AccountName]], Account_Mapping!A:A, Account_Mapping!B:B,"Unmapped")</f>
        <v>Revenue</v>
      </c>
      <c r="O822" cm="1">
        <f t="array" ref="O822">_xlfn.XLOOKUP(
  1,
  (FX_Rates[Currency]=Cleaned[[#This Row],[Currency]])*
  (FX_Rates[RateDate]&lt;=Cleaned[[#This Row],[TxnDate]]),
  FX_Rates[Rate_To_INR],
  ,
  -1
)</f>
        <v>82</v>
      </c>
      <c r="P822" s="2">
        <f>Cleaned[[#This Row],[Net Amount]] *  Cleaned[[#This Row],[FX_rates]]</f>
        <v>245559.66</v>
      </c>
    </row>
    <row r="823" spans="1:16" x14ac:dyDescent="0.45">
      <c r="A823" t="s">
        <v>831</v>
      </c>
      <c r="B823" s="1">
        <v>45187</v>
      </c>
      <c r="C823" s="2" t="s">
        <v>2010</v>
      </c>
      <c r="D823" t="s">
        <v>2015</v>
      </c>
      <c r="E823">
        <v>0</v>
      </c>
      <c r="F823">
        <f>Cleaned[[#This Row],[Debit]] * Cleaned[[#This Row],[FX_rates]]</f>
        <v>0</v>
      </c>
      <c r="G823">
        <v>4094.14</v>
      </c>
      <c r="H823">
        <f>Cleaned[[#This Row],[Credit]] *  Cleaned[[#This Row],[FX_rates]]</f>
        <v>335719.48</v>
      </c>
      <c r="I823" t="s">
        <v>2024</v>
      </c>
      <c r="J823" t="s">
        <v>2026</v>
      </c>
      <c r="K823" t="s">
        <v>2852</v>
      </c>
      <c r="L823" t="s">
        <v>4034</v>
      </c>
      <c r="M823">
        <f>Cleaned[[#This Row],[Credit]]-Cleaned[[#This Row],[Debit]]</f>
        <v>4094.14</v>
      </c>
      <c r="N823" t="str">
        <f>_xlfn.XLOOKUP(Cleaned[[#This Row],[AccountName]], Account_Mapping!A:A, Account_Mapping!B:B,"Unmapped")</f>
        <v>Revenue</v>
      </c>
      <c r="O823" cm="1">
        <f t="array" ref="O823">_xlfn.XLOOKUP(
  1,
  (FX_Rates[Currency]=Cleaned[[#This Row],[Currency]])*
  (FX_Rates[RateDate]&lt;=Cleaned[[#This Row],[TxnDate]]),
  FX_Rates[Rate_To_INR],
  ,
  -1
)</f>
        <v>82</v>
      </c>
      <c r="P823" s="2">
        <f>Cleaned[[#This Row],[Net Amount]] *  Cleaned[[#This Row],[FX_rates]]</f>
        <v>335719.48</v>
      </c>
    </row>
    <row r="824" spans="1:16" x14ac:dyDescent="0.45">
      <c r="A824" t="s">
        <v>832</v>
      </c>
      <c r="B824" s="1">
        <v>45174</v>
      </c>
      <c r="C824" s="2" t="s">
        <v>2012</v>
      </c>
      <c r="D824" t="s">
        <v>2017</v>
      </c>
      <c r="E824">
        <v>784.89</v>
      </c>
      <c r="F824">
        <f>Cleaned[[#This Row],[Debit]] * Cleaned[[#This Row],[FX_rates]]</f>
        <v>43953.84</v>
      </c>
      <c r="G824">
        <v>0</v>
      </c>
      <c r="H824">
        <f>Cleaned[[#This Row],[Credit]] *  Cleaned[[#This Row],[FX_rates]]</f>
        <v>0</v>
      </c>
      <c r="I824" t="s">
        <v>2021</v>
      </c>
      <c r="J824" t="s">
        <v>2027</v>
      </c>
      <c r="K824" t="s">
        <v>2853</v>
      </c>
      <c r="L824" t="s">
        <v>4033</v>
      </c>
      <c r="M824">
        <f>Cleaned[[#This Row],[Credit]]-Cleaned[[#This Row],[Debit]]</f>
        <v>-784.89</v>
      </c>
      <c r="N824" t="str">
        <f>_xlfn.XLOOKUP(Cleaned[[#This Row],[AccountName]], Account_Mapping!A:A, Account_Mapping!B:B,"Unmapped")</f>
        <v>Operating Expense</v>
      </c>
      <c r="O824" cm="1">
        <f t="array" ref="O824">_xlfn.XLOOKUP(
  1,
  (FX_Rates[Currency]=Cleaned[[#This Row],[Currency]])*
  (FX_Rates[RateDate]&lt;=Cleaned[[#This Row],[TxnDate]]),
  FX_Rates[Rate_To_INR],
  ,
  -1
)</f>
        <v>56</v>
      </c>
      <c r="P824" s="2">
        <f>Cleaned[[#This Row],[Net Amount]] *  Cleaned[[#This Row],[FX_rates]]</f>
        <v>-43953.84</v>
      </c>
    </row>
    <row r="825" spans="1:16" x14ac:dyDescent="0.45">
      <c r="A825" t="s">
        <v>833</v>
      </c>
      <c r="B825" s="1">
        <v>45709</v>
      </c>
      <c r="C825" s="2" t="s">
        <v>2011</v>
      </c>
      <c r="D825" t="s">
        <v>2016</v>
      </c>
      <c r="E825">
        <v>219.41</v>
      </c>
      <c r="F825">
        <f>Cleaned[[#This Row],[Debit]] * Cleaned[[#This Row],[FX_rates]]</f>
        <v>12286.96</v>
      </c>
      <c r="G825">
        <v>0</v>
      </c>
      <c r="H825">
        <f>Cleaned[[#This Row],[Credit]] *  Cleaned[[#This Row],[FX_rates]]</f>
        <v>0</v>
      </c>
      <c r="I825" t="s">
        <v>2022</v>
      </c>
      <c r="J825" t="s">
        <v>2026</v>
      </c>
      <c r="K825" t="s">
        <v>2854</v>
      </c>
      <c r="L825" t="s">
        <v>4033</v>
      </c>
      <c r="M825">
        <f>Cleaned[[#This Row],[Credit]]-Cleaned[[#This Row],[Debit]]</f>
        <v>-219.41</v>
      </c>
      <c r="N825" t="str">
        <f>_xlfn.XLOOKUP(Cleaned[[#This Row],[AccountName]], Account_Mapping!A:A, Account_Mapping!B:B,"Unmapped")</f>
        <v>COGS</v>
      </c>
      <c r="O825" cm="1">
        <f t="array" ref="O825">_xlfn.XLOOKUP(
  1,
  (FX_Rates[Currency]=Cleaned[[#This Row],[Currency]])*
  (FX_Rates[RateDate]&lt;=Cleaned[[#This Row],[TxnDate]]),
  FX_Rates[Rate_To_INR],
  ,
  -1
)</f>
        <v>56</v>
      </c>
      <c r="P825" s="2">
        <f>Cleaned[[#This Row],[Net Amount]] *  Cleaned[[#This Row],[FX_rates]]</f>
        <v>-12286.96</v>
      </c>
    </row>
    <row r="826" spans="1:16" x14ac:dyDescent="0.45">
      <c r="A826" t="s">
        <v>834</v>
      </c>
      <c r="B826" s="1">
        <v>45551</v>
      </c>
      <c r="C826" s="2" t="s">
        <v>2010</v>
      </c>
      <c r="D826" t="s">
        <v>2015</v>
      </c>
      <c r="E826">
        <v>0</v>
      </c>
      <c r="F826">
        <f>Cleaned[[#This Row],[Debit]] * Cleaned[[#This Row],[FX_rates]]</f>
        <v>0</v>
      </c>
      <c r="G826">
        <v>1558.82</v>
      </c>
      <c r="H826">
        <f>Cleaned[[#This Row],[Credit]] *  Cleaned[[#This Row],[FX_rates]]</f>
        <v>137176.16</v>
      </c>
      <c r="I826" t="s">
        <v>2024</v>
      </c>
      <c r="J826" t="s">
        <v>2029</v>
      </c>
      <c r="K826" t="s">
        <v>2855</v>
      </c>
      <c r="L826" t="s">
        <v>4032</v>
      </c>
      <c r="M826">
        <f>Cleaned[[#This Row],[Credit]]-Cleaned[[#This Row],[Debit]]</f>
        <v>1558.82</v>
      </c>
      <c r="N826" t="str">
        <f>_xlfn.XLOOKUP(Cleaned[[#This Row],[AccountName]], Account_Mapping!A:A, Account_Mapping!B:B,"Unmapped")</f>
        <v>Revenue</v>
      </c>
      <c r="O826" cm="1">
        <f t="array" ref="O826">_xlfn.XLOOKUP(
  1,
  (FX_Rates[Currency]=Cleaned[[#This Row],[Currency]])*
  (FX_Rates[RateDate]&lt;=Cleaned[[#This Row],[TxnDate]]),
  FX_Rates[Rate_To_INR],
  ,
  -1
)</f>
        <v>88</v>
      </c>
      <c r="P826" s="2">
        <f>Cleaned[[#This Row],[Net Amount]] *  Cleaned[[#This Row],[FX_rates]]</f>
        <v>137176.16</v>
      </c>
    </row>
    <row r="827" spans="1:16" x14ac:dyDescent="0.45">
      <c r="A827" t="s">
        <v>835</v>
      </c>
      <c r="B827" s="1">
        <v>45699</v>
      </c>
      <c r="C827" s="2" t="s">
        <v>2012</v>
      </c>
      <c r="D827" t="s">
        <v>2017</v>
      </c>
      <c r="E827">
        <v>723.9</v>
      </c>
      <c r="F827">
        <f>Cleaned[[#This Row],[Debit]] * Cleaned[[#This Row],[FX_rates]]</f>
        <v>44157.9</v>
      </c>
      <c r="G827">
        <v>0</v>
      </c>
      <c r="H827">
        <f>Cleaned[[#This Row],[Credit]] *  Cleaned[[#This Row],[FX_rates]]</f>
        <v>0</v>
      </c>
      <c r="I827" t="s">
        <v>2022</v>
      </c>
      <c r="J827" t="s">
        <v>2028</v>
      </c>
      <c r="K827" t="s">
        <v>2856</v>
      </c>
      <c r="L827" t="s">
        <v>4035</v>
      </c>
      <c r="M827">
        <f>Cleaned[[#This Row],[Credit]]-Cleaned[[#This Row],[Debit]]</f>
        <v>-723.9</v>
      </c>
      <c r="N827" t="str">
        <f>_xlfn.XLOOKUP(Cleaned[[#This Row],[AccountName]], Account_Mapping!A:A, Account_Mapping!B:B,"Unmapped")</f>
        <v>Operating Expense</v>
      </c>
      <c r="O827" cm="1">
        <f t="array" ref="O827">_xlfn.XLOOKUP(
  1,
  (FX_Rates[Currency]=Cleaned[[#This Row],[Currency]])*
  (FX_Rates[RateDate]&lt;=Cleaned[[#This Row],[TxnDate]]),
  FX_Rates[Rate_To_INR],
  ,
  -1
)</f>
        <v>61</v>
      </c>
      <c r="P827" s="2">
        <f>Cleaned[[#This Row],[Net Amount]] *  Cleaned[[#This Row],[FX_rates]]</f>
        <v>-44157.9</v>
      </c>
    </row>
    <row r="828" spans="1:16" x14ac:dyDescent="0.45">
      <c r="A828" t="s">
        <v>836</v>
      </c>
      <c r="B828" s="1">
        <v>45613</v>
      </c>
      <c r="C828" s="2" t="s">
        <v>2014</v>
      </c>
      <c r="D828" t="s">
        <v>2019</v>
      </c>
      <c r="E828">
        <v>0</v>
      </c>
      <c r="F828">
        <f>Cleaned[[#This Row],[Debit]] * Cleaned[[#This Row],[FX_rates]]</f>
        <v>0</v>
      </c>
      <c r="G828">
        <v>2447.66</v>
      </c>
      <c r="H828">
        <f>Cleaned[[#This Row],[Credit]] *  Cleaned[[#This Row],[FX_rates]]</f>
        <v>137068.96</v>
      </c>
      <c r="I828" t="s">
        <v>2025</v>
      </c>
      <c r="J828" t="s">
        <v>2027</v>
      </c>
      <c r="K828" t="s">
        <v>2857</v>
      </c>
      <c r="L828" t="s">
        <v>4033</v>
      </c>
      <c r="M828">
        <f>Cleaned[[#This Row],[Credit]]-Cleaned[[#This Row],[Debit]]</f>
        <v>2447.66</v>
      </c>
      <c r="N828" t="str">
        <f>_xlfn.XLOOKUP(Cleaned[[#This Row],[AccountName]], Account_Mapping!A:A, Account_Mapping!B:B,"Unmapped")</f>
        <v>Revenue</v>
      </c>
      <c r="O828" cm="1">
        <f t="array" ref="O828">_xlfn.XLOOKUP(
  1,
  (FX_Rates[Currency]=Cleaned[[#This Row],[Currency]])*
  (FX_Rates[RateDate]&lt;=Cleaned[[#This Row],[TxnDate]]),
  FX_Rates[Rate_To_INR],
  ,
  -1
)</f>
        <v>56</v>
      </c>
      <c r="P828" s="2">
        <f>Cleaned[[#This Row],[Net Amount]] *  Cleaned[[#This Row],[FX_rates]]</f>
        <v>137068.96</v>
      </c>
    </row>
    <row r="829" spans="1:16" x14ac:dyDescent="0.45">
      <c r="A829" t="s">
        <v>837</v>
      </c>
      <c r="B829" s="1">
        <v>45016</v>
      </c>
      <c r="C829" s="2" t="s">
        <v>2010</v>
      </c>
      <c r="D829" t="s">
        <v>2015</v>
      </c>
      <c r="E829">
        <v>0</v>
      </c>
      <c r="F829">
        <f>Cleaned[[#This Row],[Debit]] * Cleaned[[#This Row],[FX_rates]]</f>
        <v>0</v>
      </c>
      <c r="G829">
        <v>1067.43</v>
      </c>
      <c r="H829">
        <f>Cleaned[[#This Row],[Credit]] *  Cleaned[[#This Row],[FX_rates]]</f>
        <v>93933.840000000011</v>
      </c>
      <c r="I829" t="s">
        <v>2025</v>
      </c>
      <c r="J829" t="s">
        <v>2026</v>
      </c>
      <c r="K829" t="s">
        <v>2858</v>
      </c>
      <c r="L829" t="s">
        <v>4032</v>
      </c>
      <c r="M829">
        <f>Cleaned[[#This Row],[Credit]]-Cleaned[[#This Row],[Debit]]</f>
        <v>1067.43</v>
      </c>
      <c r="N829" t="str">
        <f>_xlfn.XLOOKUP(Cleaned[[#This Row],[AccountName]], Account_Mapping!A:A, Account_Mapping!B:B,"Unmapped")</f>
        <v>Revenue</v>
      </c>
      <c r="O829" cm="1">
        <f t="array" ref="O829">_xlfn.XLOOKUP(
  1,
  (FX_Rates[Currency]=Cleaned[[#This Row],[Currency]])*
  (FX_Rates[RateDate]&lt;=Cleaned[[#This Row],[TxnDate]]),
  FX_Rates[Rate_To_INR],
  ,
  -1
)</f>
        <v>88</v>
      </c>
      <c r="P829" s="2">
        <f>Cleaned[[#This Row],[Net Amount]] *  Cleaned[[#This Row],[FX_rates]]</f>
        <v>93933.840000000011</v>
      </c>
    </row>
    <row r="830" spans="1:16" x14ac:dyDescent="0.45">
      <c r="A830" t="s">
        <v>838</v>
      </c>
      <c r="B830" s="1">
        <v>45068</v>
      </c>
      <c r="C830" s="2" t="s">
        <v>2013</v>
      </c>
      <c r="D830" t="s">
        <v>2018</v>
      </c>
      <c r="E830">
        <v>977.48</v>
      </c>
      <c r="F830">
        <f>Cleaned[[#This Row],[Debit]] * Cleaned[[#This Row],[FX_rates]]</f>
        <v>54738.880000000005</v>
      </c>
      <c r="G830">
        <v>0</v>
      </c>
      <c r="H830">
        <f>Cleaned[[#This Row],[Credit]] *  Cleaned[[#This Row],[FX_rates]]</f>
        <v>0</v>
      </c>
      <c r="I830" t="s">
        <v>2021</v>
      </c>
      <c r="J830" t="s">
        <v>2029</v>
      </c>
      <c r="K830" t="s">
        <v>2859</v>
      </c>
      <c r="L830" t="s">
        <v>4033</v>
      </c>
      <c r="M830">
        <f>Cleaned[[#This Row],[Credit]]-Cleaned[[#This Row],[Debit]]</f>
        <v>-977.48</v>
      </c>
      <c r="N830" t="str">
        <f>_xlfn.XLOOKUP(Cleaned[[#This Row],[AccountName]], Account_Mapping!A:A, Account_Mapping!B:B,"Unmapped")</f>
        <v>Operating Expense</v>
      </c>
      <c r="O830" cm="1">
        <f t="array" ref="O830">_xlfn.XLOOKUP(
  1,
  (FX_Rates[Currency]=Cleaned[[#This Row],[Currency]])*
  (FX_Rates[RateDate]&lt;=Cleaned[[#This Row],[TxnDate]]),
  FX_Rates[Rate_To_INR],
  ,
  -1
)</f>
        <v>56</v>
      </c>
      <c r="P830" s="2">
        <f>Cleaned[[#This Row],[Net Amount]] *  Cleaned[[#This Row],[FX_rates]]</f>
        <v>-54738.880000000005</v>
      </c>
    </row>
    <row r="831" spans="1:16" x14ac:dyDescent="0.45">
      <c r="A831" t="s">
        <v>839</v>
      </c>
      <c r="B831" s="1">
        <v>45730</v>
      </c>
      <c r="C831" s="2" t="s">
        <v>2012</v>
      </c>
      <c r="D831" t="s">
        <v>2017</v>
      </c>
      <c r="E831">
        <v>1331.39</v>
      </c>
      <c r="F831">
        <f>Cleaned[[#This Row],[Debit]] * Cleaned[[#This Row],[FX_rates]]</f>
        <v>109173.98000000001</v>
      </c>
      <c r="G831">
        <v>0</v>
      </c>
      <c r="H831">
        <f>Cleaned[[#This Row],[Credit]] *  Cleaned[[#This Row],[FX_rates]]</f>
        <v>0</v>
      </c>
      <c r="I831" t="s">
        <v>2020</v>
      </c>
      <c r="J831" t="s">
        <v>2026</v>
      </c>
      <c r="K831" t="s">
        <v>2860</v>
      </c>
      <c r="L831" t="s">
        <v>4034</v>
      </c>
      <c r="M831">
        <f>Cleaned[[#This Row],[Credit]]-Cleaned[[#This Row],[Debit]]</f>
        <v>-1331.39</v>
      </c>
      <c r="N831" t="str">
        <f>_xlfn.XLOOKUP(Cleaned[[#This Row],[AccountName]], Account_Mapping!A:A, Account_Mapping!B:B,"Unmapped")</f>
        <v>Operating Expense</v>
      </c>
      <c r="O831" cm="1">
        <f t="array" ref="O831">_xlfn.XLOOKUP(
  1,
  (FX_Rates[Currency]=Cleaned[[#This Row],[Currency]])*
  (FX_Rates[RateDate]&lt;=Cleaned[[#This Row],[TxnDate]]),
  FX_Rates[Rate_To_INR],
  ,
  -1
)</f>
        <v>82</v>
      </c>
      <c r="P831" s="2">
        <f>Cleaned[[#This Row],[Net Amount]] *  Cleaned[[#This Row],[FX_rates]]</f>
        <v>-109173.98000000001</v>
      </c>
    </row>
    <row r="832" spans="1:16" x14ac:dyDescent="0.45">
      <c r="A832" t="s">
        <v>840</v>
      </c>
      <c r="B832" s="1">
        <v>45017</v>
      </c>
      <c r="C832" s="2" t="s">
        <v>2014</v>
      </c>
      <c r="D832" t="s">
        <v>2019</v>
      </c>
      <c r="E832">
        <v>0</v>
      </c>
      <c r="F832">
        <f>Cleaned[[#This Row],[Debit]] * Cleaned[[#This Row],[FX_rates]]</f>
        <v>0</v>
      </c>
      <c r="G832">
        <v>4756.54</v>
      </c>
      <c r="H832">
        <f>Cleaned[[#This Row],[Credit]] *  Cleaned[[#This Row],[FX_rates]]</f>
        <v>418575.52</v>
      </c>
      <c r="I832" t="s">
        <v>2021</v>
      </c>
      <c r="J832" t="s">
        <v>2028</v>
      </c>
      <c r="K832" t="s">
        <v>2861</v>
      </c>
      <c r="L832" t="s">
        <v>4032</v>
      </c>
      <c r="M832">
        <f>Cleaned[[#This Row],[Credit]]-Cleaned[[#This Row],[Debit]]</f>
        <v>4756.54</v>
      </c>
      <c r="N832" t="str">
        <f>_xlfn.XLOOKUP(Cleaned[[#This Row],[AccountName]], Account_Mapping!A:A, Account_Mapping!B:B,"Unmapped")</f>
        <v>Revenue</v>
      </c>
      <c r="O832" cm="1">
        <f t="array" ref="O832">_xlfn.XLOOKUP(
  1,
  (FX_Rates[Currency]=Cleaned[[#This Row],[Currency]])*
  (FX_Rates[RateDate]&lt;=Cleaned[[#This Row],[TxnDate]]),
  FX_Rates[Rate_To_INR],
  ,
  -1
)</f>
        <v>88</v>
      </c>
      <c r="P832" s="2">
        <f>Cleaned[[#This Row],[Net Amount]] *  Cleaned[[#This Row],[FX_rates]]</f>
        <v>418575.52</v>
      </c>
    </row>
    <row r="833" spans="1:16" x14ac:dyDescent="0.45">
      <c r="A833" t="s">
        <v>841</v>
      </c>
      <c r="B833" s="1">
        <v>45134</v>
      </c>
      <c r="C833" s="2" t="s">
        <v>2011</v>
      </c>
      <c r="D833" t="s">
        <v>2016</v>
      </c>
      <c r="E833">
        <v>543</v>
      </c>
      <c r="F833">
        <f>Cleaned[[#This Row],[Debit]] * Cleaned[[#This Row],[FX_rates]]</f>
        <v>44526</v>
      </c>
      <c r="G833">
        <v>0</v>
      </c>
      <c r="H833">
        <f>Cleaned[[#This Row],[Credit]] *  Cleaned[[#This Row],[FX_rates]]</f>
        <v>0</v>
      </c>
      <c r="I833" t="s">
        <v>2022</v>
      </c>
      <c r="J833" t="s">
        <v>2027</v>
      </c>
      <c r="K833" t="s">
        <v>2862</v>
      </c>
      <c r="L833" t="s">
        <v>4034</v>
      </c>
      <c r="M833">
        <f>Cleaned[[#This Row],[Credit]]-Cleaned[[#This Row],[Debit]]</f>
        <v>-543</v>
      </c>
      <c r="N833" t="str">
        <f>_xlfn.XLOOKUP(Cleaned[[#This Row],[AccountName]], Account_Mapping!A:A, Account_Mapping!B:B,"Unmapped")</f>
        <v>COGS</v>
      </c>
      <c r="O833" cm="1">
        <f t="array" ref="O833">_xlfn.XLOOKUP(
  1,
  (FX_Rates[Currency]=Cleaned[[#This Row],[Currency]])*
  (FX_Rates[RateDate]&lt;=Cleaned[[#This Row],[TxnDate]]),
  FX_Rates[Rate_To_INR],
  ,
  -1
)</f>
        <v>82</v>
      </c>
      <c r="P833" s="2">
        <f>Cleaned[[#This Row],[Net Amount]] *  Cleaned[[#This Row],[FX_rates]]</f>
        <v>-44526</v>
      </c>
    </row>
    <row r="834" spans="1:16" x14ac:dyDescent="0.45">
      <c r="A834" t="s">
        <v>842</v>
      </c>
      <c r="B834" s="1">
        <v>45684</v>
      </c>
      <c r="C834" s="2" t="s">
        <v>2013</v>
      </c>
      <c r="D834" t="s">
        <v>2018</v>
      </c>
      <c r="E834">
        <v>635.02</v>
      </c>
      <c r="F834">
        <f>Cleaned[[#This Row],[Debit]] * Cleaned[[#This Row],[FX_rates]]</f>
        <v>38736.22</v>
      </c>
      <c r="G834">
        <v>0</v>
      </c>
      <c r="H834">
        <f>Cleaned[[#This Row],[Credit]] *  Cleaned[[#This Row],[FX_rates]]</f>
        <v>0</v>
      </c>
      <c r="I834" t="s">
        <v>2023</v>
      </c>
      <c r="J834" t="s">
        <v>2028</v>
      </c>
      <c r="K834" t="s">
        <v>2863</v>
      </c>
      <c r="L834" t="s">
        <v>4035</v>
      </c>
      <c r="M834">
        <f>Cleaned[[#This Row],[Credit]]-Cleaned[[#This Row],[Debit]]</f>
        <v>-635.02</v>
      </c>
      <c r="N834" t="str">
        <f>_xlfn.XLOOKUP(Cleaned[[#This Row],[AccountName]], Account_Mapping!A:A, Account_Mapping!B:B,"Unmapped")</f>
        <v>Operating Expense</v>
      </c>
      <c r="O834" cm="1">
        <f t="array" ref="O834">_xlfn.XLOOKUP(
  1,
  (FX_Rates[Currency]=Cleaned[[#This Row],[Currency]])*
  (FX_Rates[RateDate]&lt;=Cleaned[[#This Row],[TxnDate]]),
  FX_Rates[Rate_To_INR],
  ,
  -1
)</f>
        <v>61</v>
      </c>
      <c r="P834" s="2">
        <f>Cleaned[[#This Row],[Net Amount]] *  Cleaned[[#This Row],[FX_rates]]</f>
        <v>-38736.22</v>
      </c>
    </row>
    <row r="835" spans="1:16" x14ac:dyDescent="0.45">
      <c r="A835" t="s">
        <v>843</v>
      </c>
      <c r="B835" s="1">
        <v>45342</v>
      </c>
      <c r="C835" s="2" t="s">
        <v>2012</v>
      </c>
      <c r="D835" t="s">
        <v>2017</v>
      </c>
      <c r="E835">
        <v>1114.53</v>
      </c>
      <c r="F835">
        <f>Cleaned[[#This Row],[Debit]] * Cleaned[[#This Row],[FX_rates]]</f>
        <v>62413.68</v>
      </c>
      <c r="G835">
        <v>0</v>
      </c>
      <c r="H835">
        <f>Cleaned[[#This Row],[Credit]] *  Cleaned[[#This Row],[FX_rates]]</f>
        <v>0</v>
      </c>
      <c r="I835" t="s">
        <v>2023</v>
      </c>
      <c r="J835" t="s">
        <v>2027</v>
      </c>
      <c r="K835" t="s">
        <v>2864</v>
      </c>
      <c r="L835" t="s">
        <v>4033</v>
      </c>
      <c r="M835">
        <f>Cleaned[[#This Row],[Credit]]-Cleaned[[#This Row],[Debit]]</f>
        <v>-1114.53</v>
      </c>
      <c r="N835" t="str">
        <f>_xlfn.XLOOKUP(Cleaned[[#This Row],[AccountName]], Account_Mapping!A:A, Account_Mapping!B:B,"Unmapped")</f>
        <v>Operating Expense</v>
      </c>
      <c r="O835" cm="1">
        <f t="array" ref="O835">_xlfn.XLOOKUP(
  1,
  (FX_Rates[Currency]=Cleaned[[#This Row],[Currency]])*
  (FX_Rates[RateDate]&lt;=Cleaned[[#This Row],[TxnDate]]),
  FX_Rates[Rate_To_INR],
  ,
  -1
)</f>
        <v>56</v>
      </c>
      <c r="P835" s="2">
        <f>Cleaned[[#This Row],[Net Amount]] *  Cleaned[[#This Row],[FX_rates]]</f>
        <v>-62413.68</v>
      </c>
    </row>
    <row r="836" spans="1:16" x14ac:dyDescent="0.45">
      <c r="A836" t="s">
        <v>844</v>
      </c>
      <c r="B836" s="1">
        <v>45626</v>
      </c>
      <c r="C836" s="2" t="s">
        <v>2010</v>
      </c>
      <c r="D836" t="s">
        <v>2015</v>
      </c>
      <c r="E836">
        <v>0</v>
      </c>
      <c r="F836">
        <f>Cleaned[[#This Row],[Debit]] * Cleaned[[#This Row],[FX_rates]]</f>
        <v>0</v>
      </c>
      <c r="G836">
        <v>1484.62</v>
      </c>
      <c r="H836">
        <f>Cleaned[[#This Row],[Credit]] *  Cleaned[[#This Row],[FX_rates]]</f>
        <v>152915.85999999999</v>
      </c>
      <c r="I836" t="s">
        <v>2023</v>
      </c>
      <c r="J836" t="s">
        <v>2029</v>
      </c>
      <c r="K836" t="s">
        <v>2865</v>
      </c>
      <c r="L836" t="s">
        <v>4031</v>
      </c>
      <c r="M836">
        <f>Cleaned[[#This Row],[Credit]]-Cleaned[[#This Row],[Debit]]</f>
        <v>1484.62</v>
      </c>
      <c r="N836" t="str">
        <f>_xlfn.XLOOKUP(Cleaned[[#This Row],[AccountName]], Account_Mapping!A:A, Account_Mapping!B:B,"Unmapped")</f>
        <v>Revenue</v>
      </c>
      <c r="O836" cm="1">
        <f t="array" ref="O836">_xlfn.XLOOKUP(
  1,
  (FX_Rates[Currency]=Cleaned[[#This Row],[Currency]])*
  (FX_Rates[RateDate]&lt;=Cleaned[[#This Row],[TxnDate]]),
  FX_Rates[Rate_To_INR],
  ,
  -1
)</f>
        <v>103</v>
      </c>
      <c r="P836" s="2">
        <f>Cleaned[[#This Row],[Net Amount]] *  Cleaned[[#This Row],[FX_rates]]</f>
        <v>152915.85999999999</v>
      </c>
    </row>
    <row r="837" spans="1:16" x14ac:dyDescent="0.45">
      <c r="A837" t="s">
        <v>845</v>
      </c>
      <c r="B837" s="1">
        <v>45505</v>
      </c>
      <c r="C837" s="2" t="s">
        <v>2012</v>
      </c>
      <c r="D837" t="s">
        <v>2017</v>
      </c>
      <c r="E837">
        <v>742.51</v>
      </c>
      <c r="F837">
        <f>Cleaned[[#This Row],[Debit]] * Cleaned[[#This Row],[FX_rates]]</f>
        <v>76478.53</v>
      </c>
      <c r="G837">
        <v>0</v>
      </c>
      <c r="H837">
        <f>Cleaned[[#This Row],[Credit]] *  Cleaned[[#This Row],[FX_rates]]</f>
        <v>0</v>
      </c>
      <c r="I837" t="s">
        <v>2024</v>
      </c>
      <c r="J837" t="s">
        <v>2028</v>
      </c>
      <c r="K837" t="s">
        <v>2866</v>
      </c>
      <c r="L837" t="s">
        <v>4031</v>
      </c>
      <c r="M837">
        <f>Cleaned[[#This Row],[Credit]]-Cleaned[[#This Row],[Debit]]</f>
        <v>-742.51</v>
      </c>
      <c r="N837" t="str">
        <f>_xlfn.XLOOKUP(Cleaned[[#This Row],[AccountName]], Account_Mapping!A:A, Account_Mapping!B:B,"Unmapped")</f>
        <v>Operating Expense</v>
      </c>
      <c r="O837" cm="1">
        <f t="array" ref="O837">_xlfn.XLOOKUP(
  1,
  (FX_Rates[Currency]=Cleaned[[#This Row],[Currency]])*
  (FX_Rates[RateDate]&lt;=Cleaned[[#This Row],[TxnDate]]),
  FX_Rates[Rate_To_INR],
  ,
  -1
)</f>
        <v>103</v>
      </c>
      <c r="P837" s="2">
        <f>Cleaned[[#This Row],[Net Amount]] *  Cleaned[[#This Row],[FX_rates]]</f>
        <v>-76478.53</v>
      </c>
    </row>
    <row r="838" spans="1:16" x14ac:dyDescent="0.45">
      <c r="A838" t="s">
        <v>846</v>
      </c>
      <c r="B838" s="1">
        <v>45465</v>
      </c>
      <c r="C838" s="2" t="s">
        <v>2010</v>
      </c>
      <c r="D838" t="s">
        <v>2015</v>
      </c>
      <c r="E838">
        <v>0</v>
      </c>
      <c r="F838">
        <f>Cleaned[[#This Row],[Debit]] * Cleaned[[#This Row],[FX_rates]]</f>
        <v>0</v>
      </c>
      <c r="G838">
        <v>3933.89</v>
      </c>
      <c r="H838">
        <f>Cleaned[[#This Row],[Credit]] *  Cleaned[[#This Row],[FX_rates]]</f>
        <v>239967.28999999998</v>
      </c>
      <c r="I838" t="s">
        <v>2021</v>
      </c>
      <c r="J838" t="s">
        <v>2029</v>
      </c>
      <c r="K838" t="s">
        <v>2867</v>
      </c>
      <c r="L838" t="s">
        <v>4035</v>
      </c>
      <c r="M838">
        <f>Cleaned[[#This Row],[Credit]]-Cleaned[[#This Row],[Debit]]</f>
        <v>3933.89</v>
      </c>
      <c r="N838" t="str">
        <f>_xlfn.XLOOKUP(Cleaned[[#This Row],[AccountName]], Account_Mapping!A:A, Account_Mapping!B:B,"Unmapped")</f>
        <v>Revenue</v>
      </c>
      <c r="O838" cm="1">
        <f t="array" ref="O838">_xlfn.XLOOKUP(
  1,
  (FX_Rates[Currency]=Cleaned[[#This Row],[Currency]])*
  (FX_Rates[RateDate]&lt;=Cleaned[[#This Row],[TxnDate]]),
  FX_Rates[Rate_To_INR],
  ,
  -1
)</f>
        <v>61</v>
      </c>
      <c r="P838" s="2">
        <f>Cleaned[[#This Row],[Net Amount]] *  Cleaned[[#This Row],[FX_rates]]</f>
        <v>239967.28999999998</v>
      </c>
    </row>
    <row r="839" spans="1:16" x14ac:dyDescent="0.45">
      <c r="A839" t="s">
        <v>847</v>
      </c>
      <c r="B839" s="1">
        <v>45370</v>
      </c>
      <c r="C839" s="2" t="s">
        <v>2014</v>
      </c>
      <c r="D839" t="s">
        <v>2019</v>
      </c>
      <c r="E839">
        <v>0</v>
      </c>
      <c r="F839">
        <f>Cleaned[[#This Row],[Debit]] * Cleaned[[#This Row],[FX_rates]]</f>
        <v>0</v>
      </c>
      <c r="G839">
        <v>4092.61</v>
      </c>
      <c r="H839">
        <f>Cleaned[[#This Row],[Credit]] *  Cleaned[[#This Row],[FX_rates]]</f>
        <v>360149.68</v>
      </c>
      <c r="I839" t="s">
        <v>2025</v>
      </c>
      <c r="J839" t="s">
        <v>2028</v>
      </c>
      <c r="K839" t="s">
        <v>2868</v>
      </c>
      <c r="L839" t="s">
        <v>4032</v>
      </c>
      <c r="M839">
        <f>Cleaned[[#This Row],[Credit]]-Cleaned[[#This Row],[Debit]]</f>
        <v>4092.61</v>
      </c>
      <c r="N839" t="str">
        <f>_xlfn.XLOOKUP(Cleaned[[#This Row],[AccountName]], Account_Mapping!A:A, Account_Mapping!B:B,"Unmapped")</f>
        <v>Revenue</v>
      </c>
      <c r="O839" cm="1">
        <f t="array" ref="O839">_xlfn.XLOOKUP(
  1,
  (FX_Rates[Currency]=Cleaned[[#This Row],[Currency]])*
  (FX_Rates[RateDate]&lt;=Cleaned[[#This Row],[TxnDate]]),
  FX_Rates[Rate_To_INR],
  ,
  -1
)</f>
        <v>88</v>
      </c>
      <c r="P839" s="2">
        <f>Cleaned[[#This Row],[Net Amount]] *  Cleaned[[#This Row],[FX_rates]]</f>
        <v>360149.68</v>
      </c>
    </row>
    <row r="840" spans="1:16" x14ac:dyDescent="0.45">
      <c r="A840" t="s">
        <v>848</v>
      </c>
      <c r="B840" s="1">
        <v>45198</v>
      </c>
      <c r="C840" s="2" t="s">
        <v>2014</v>
      </c>
      <c r="D840" t="s">
        <v>2019</v>
      </c>
      <c r="E840">
        <v>0</v>
      </c>
      <c r="F840">
        <f>Cleaned[[#This Row],[Debit]] * Cleaned[[#This Row],[FX_rates]]</f>
        <v>0</v>
      </c>
      <c r="G840">
        <v>4772.83</v>
      </c>
      <c r="H840">
        <f>Cleaned[[#This Row],[Credit]] *  Cleaned[[#This Row],[FX_rates]]</f>
        <v>391372.06</v>
      </c>
      <c r="I840" t="s">
        <v>2023</v>
      </c>
      <c r="J840" t="s">
        <v>2028</v>
      </c>
      <c r="K840" t="s">
        <v>2869</v>
      </c>
      <c r="L840" t="s">
        <v>4034</v>
      </c>
      <c r="M840">
        <f>Cleaned[[#This Row],[Credit]]-Cleaned[[#This Row],[Debit]]</f>
        <v>4772.83</v>
      </c>
      <c r="N840" t="str">
        <f>_xlfn.XLOOKUP(Cleaned[[#This Row],[AccountName]], Account_Mapping!A:A, Account_Mapping!B:B,"Unmapped")</f>
        <v>Revenue</v>
      </c>
      <c r="O840" cm="1">
        <f t="array" ref="O840">_xlfn.XLOOKUP(
  1,
  (FX_Rates[Currency]=Cleaned[[#This Row],[Currency]])*
  (FX_Rates[RateDate]&lt;=Cleaned[[#This Row],[TxnDate]]),
  FX_Rates[Rate_To_INR],
  ,
  -1
)</f>
        <v>82</v>
      </c>
      <c r="P840" s="2">
        <f>Cleaned[[#This Row],[Net Amount]] *  Cleaned[[#This Row],[FX_rates]]</f>
        <v>391372.06</v>
      </c>
    </row>
    <row r="841" spans="1:16" x14ac:dyDescent="0.45">
      <c r="A841" t="s">
        <v>849</v>
      </c>
      <c r="B841" s="1">
        <v>45836</v>
      </c>
      <c r="C841" s="2" t="s">
        <v>2013</v>
      </c>
      <c r="D841" t="s">
        <v>2018</v>
      </c>
      <c r="E841">
        <v>1965.5</v>
      </c>
      <c r="F841">
        <f>Cleaned[[#This Row],[Debit]] * Cleaned[[#This Row],[FX_rates]]</f>
        <v>161171</v>
      </c>
      <c r="G841">
        <v>0</v>
      </c>
      <c r="H841">
        <f>Cleaned[[#This Row],[Credit]] *  Cleaned[[#This Row],[FX_rates]]</f>
        <v>0</v>
      </c>
      <c r="I841" t="s">
        <v>2023</v>
      </c>
      <c r="J841" t="s">
        <v>2028</v>
      </c>
      <c r="K841" t="s">
        <v>2870</v>
      </c>
      <c r="L841" t="s">
        <v>4034</v>
      </c>
      <c r="M841">
        <f>Cleaned[[#This Row],[Credit]]-Cleaned[[#This Row],[Debit]]</f>
        <v>-1965.5</v>
      </c>
      <c r="N841" t="str">
        <f>_xlfn.XLOOKUP(Cleaned[[#This Row],[AccountName]], Account_Mapping!A:A, Account_Mapping!B:B,"Unmapped")</f>
        <v>Operating Expense</v>
      </c>
      <c r="O841" cm="1">
        <f t="array" ref="O841">_xlfn.XLOOKUP(
  1,
  (FX_Rates[Currency]=Cleaned[[#This Row],[Currency]])*
  (FX_Rates[RateDate]&lt;=Cleaned[[#This Row],[TxnDate]]),
  FX_Rates[Rate_To_INR],
  ,
  -1
)</f>
        <v>82</v>
      </c>
      <c r="P841" s="2">
        <f>Cleaned[[#This Row],[Net Amount]] *  Cleaned[[#This Row],[FX_rates]]</f>
        <v>-161171</v>
      </c>
    </row>
    <row r="842" spans="1:16" x14ac:dyDescent="0.45">
      <c r="A842" t="s">
        <v>850</v>
      </c>
      <c r="B842" s="1">
        <v>45498</v>
      </c>
      <c r="C842" s="2" t="s">
        <v>2012</v>
      </c>
      <c r="D842" t="s">
        <v>2017</v>
      </c>
      <c r="E842">
        <v>1386.65</v>
      </c>
      <c r="F842">
        <f>Cleaned[[#This Row],[Debit]] * Cleaned[[#This Row],[FX_rates]]</f>
        <v>113705.3</v>
      </c>
      <c r="G842">
        <v>0</v>
      </c>
      <c r="H842">
        <f>Cleaned[[#This Row],[Credit]] *  Cleaned[[#This Row],[FX_rates]]</f>
        <v>0</v>
      </c>
      <c r="I842" t="s">
        <v>2024</v>
      </c>
      <c r="J842" t="s">
        <v>2027</v>
      </c>
      <c r="K842" t="s">
        <v>2871</v>
      </c>
      <c r="L842" t="s">
        <v>4034</v>
      </c>
      <c r="M842">
        <f>Cleaned[[#This Row],[Credit]]-Cleaned[[#This Row],[Debit]]</f>
        <v>-1386.65</v>
      </c>
      <c r="N842" t="str">
        <f>_xlfn.XLOOKUP(Cleaned[[#This Row],[AccountName]], Account_Mapping!A:A, Account_Mapping!B:B,"Unmapped")</f>
        <v>Operating Expense</v>
      </c>
      <c r="O842" cm="1">
        <f t="array" ref="O842">_xlfn.XLOOKUP(
  1,
  (FX_Rates[Currency]=Cleaned[[#This Row],[Currency]])*
  (FX_Rates[RateDate]&lt;=Cleaned[[#This Row],[TxnDate]]),
  FX_Rates[Rate_To_INR],
  ,
  -1
)</f>
        <v>82</v>
      </c>
      <c r="P842" s="2">
        <f>Cleaned[[#This Row],[Net Amount]] *  Cleaned[[#This Row],[FX_rates]]</f>
        <v>-113705.3</v>
      </c>
    </row>
    <row r="843" spans="1:16" x14ac:dyDescent="0.45">
      <c r="A843" t="s">
        <v>851</v>
      </c>
      <c r="B843" s="1">
        <v>45052</v>
      </c>
      <c r="C843" s="2" t="s">
        <v>2014</v>
      </c>
      <c r="D843" t="s">
        <v>2019</v>
      </c>
      <c r="E843">
        <v>0</v>
      </c>
      <c r="F843">
        <f>Cleaned[[#This Row],[Debit]] * Cleaned[[#This Row],[FX_rates]]</f>
        <v>0</v>
      </c>
      <c r="G843">
        <v>872.06</v>
      </c>
      <c r="H843">
        <f>Cleaned[[#This Row],[Credit]] *  Cleaned[[#This Row],[FX_rates]]</f>
        <v>89822.18</v>
      </c>
      <c r="I843" t="s">
        <v>2021</v>
      </c>
      <c r="J843" t="s">
        <v>2026</v>
      </c>
      <c r="K843" t="s">
        <v>2872</v>
      </c>
      <c r="L843" t="s">
        <v>4031</v>
      </c>
      <c r="M843">
        <f>Cleaned[[#This Row],[Credit]]-Cleaned[[#This Row],[Debit]]</f>
        <v>872.06</v>
      </c>
      <c r="N843" t="str">
        <f>_xlfn.XLOOKUP(Cleaned[[#This Row],[AccountName]], Account_Mapping!A:A, Account_Mapping!B:B,"Unmapped")</f>
        <v>Revenue</v>
      </c>
      <c r="O843" cm="1">
        <f t="array" ref="O843">_xlfn.XLOOKUP(
  1,
  (FX_Rates[Currency]=Cleaned[[#This Row],[Currency]])*
  (FX_Rates[RateDate]&lt;=Cleaned[[#This Row],[TxnDate]]),
  FX_Rates[Rate_To_INR],
  ,
  -1
)</f>
        <v>103</v>
      </c>
      <c r="P843" s="2">
        <f>Cleaned[[#This Row],[Net Amount]] *  Cleaned[[#This Row],[FX_rates]]</f>
        <v>89822.18</v>
      </c>
    </row>
    <row r="844" spans="1:16" x14ac:dyDescent="0.45">
      <c r="A844" t="s">
        <v>852</v>
      </c>
      <c r="B844" s="1">
        <v>45574</v>
      </c>
      <c r="C844" s="2" t="s">
        <v>2013</v>
      </c>
      <c r="D844" t="s">
        <v>2018</v>
      </c>
      <c r="E844">
        <v>1801.16</v>
      </c>
      <c r="F844">
        <f>Cleaned[[#This Row],[Debit]] * Cleaned[[#This Row],[FX_rates]]</f>
        <v>158502.08000000002</v>
      </c>
      <c r="G844">
        <v>0</v>
      </c>
      <c r="H844">
        <f>Cleaned[[#This Row],[Credit]] *  Cleaned[[#This Row],[FX_rates]]</f>
        <v>0</v>
      </c>
      <c r="I844" t="s">
        <v>2025</v>
      </c>
      <c r="J844" t="s">
        <v>2030</v>
      </c>
      <c r="K844" t="s">
        <v>2873</v>
      </c>
      <c r="L844" t="s">
        <v>4032</v>
      </c>
      <c r="M844">
        <f>Cleaned[[#This Row],[Credit]]-Cleaned[[#This Row],[Debit]]</f>
        <v>-1801.16</v>
      </c>
      <c r="N844" t="str">
        <f>_xlfn.XLOOKUP(Cleaned[[#This Row],[AccountName]], Account_Mapping!A:A, Account_Mapping!B:B,"Unmapped")</f>
        <v>Operating Expense</v>
      </c>
      <c r="O844" cm="1">
        <f t="array" ref="O844">_xlfn.XLOOKUP(
  1,
  (FX_Rates[Currency]=Cleaned[[#This Row],[Currency]])*
  (FX_Rates[RateDate]&lt;=Cleaned[[#This Row],[TxnDate]]),
  FX_Rates[Rate_To_INR],
  ,
  -1
)</f>
        <v>88</v>
      </c>
      <c r="P844" s="2">
        <f>Cleaned[[#This Row],[Net Amount]] *  Cleaned[[#This Row],[FX_rates]]</f>
        <v>-158502.08000000002</v>
      </c>
    </row>
    <row r="845" spans="1:16" x14ac:dyDescent="0.45">
      <c r="A845" t="s">
        <v>853</v>
      </c>
      <c r="B845" s="1">
        <v>45082</v>
      </c>
      <c r="C845" s="2" t="s">
        <v>2013</v>
      </c>
      <c r="D845" t="s">
        <v>2018</v>
      </c>
      <c r="E845">
        <v>1990.94</v>
      </c>
      <c r="F845">
        <f>Cleaned[[#This Row],[Debit]] * Cleaned[[#This Row],[FX_rates]]</f>
        <v>111492.64</v>
      </c>
      <c r="G845">
        <v>0</v>
      </c>
      <c r="H845">
        <f>Cleaned[[#This Row],[Credit]] *  Cleaned[[#This Row],[FX_rates]]</f>
        <v>0</v>
      </c>
      <c r="I845" t="s">
        <v>2023</v>
      </c>
      <c r="J845" t="s">
        <v>2030</v>
      </c>
      <c r="K845" t="s">
        <v>2874</v>
      </c>
      <c r="L845" t="s">
        <v>4033</v>
      </c>
      <c r="M845">
        <f>Cleaned[[#This Row],[Credit]]-Cleaned[[#This Row],[Debit]]</f>
        <v>-1990.94</v>
      </c>
      <c r="N845" t="str">
        <f>_xlfn.XLOOKUP(Cleaned[[#This Row],[AccountName]], Account_Mapping!A:A, Account_Mapping!B:B,"Unmapped")</f>
        <v>Operating Expense</v>
      </c>
      <c r="O845" cm="1">
        <f t="array" ref="O845">_xlfn.XLOOKUP(
  1,
  (FX_Rates[Currency]=Cleaned[[#This Row],[Currency]])*
  (FX_Rates[RateDate]&lt;=Cleaned[[#This Row],[TxnDate]]),
  FX_Rates[Rate_To_INR],
  ,
  -1
)</f>
        <v>56</v>
      </c>
      <c r="P845" s="2">
        <f>Cleaned[[#This Row],[Net Amount]] *  Cleaned[[#This Row],[FX_rates]]</f>
        <v>-111492.64</v>
      </c>
    </row>
    <row r="846" spans="1:16" x14ac:dyDescent="0.45">
      <c r="A846" t="s">
        <v>854</v>
      </c>
      <c r="B846" s="1">
        <v>45538</v>
      </c>
      <c r="C846" s="2" t="s">
        <v>2010</v>
      </c>
      <c r="D846" t="s">
        <v>2015</v>
      </c>
      <c r="E846">
        <v>0</v>
      </c>
      <c r="F846">
        <f>Cleaned[[#This Row],[Debit]] * Cleaned[[#This Row],[FX_rates]]</f>
        <v>0</v>
      </c>
      <c r="G846">
        <v>1372.78</v>
      </c>
      <c r="H846">
        <f>Cleaned[[#This Row],[Credit]] *  Cleaned[[#This Row],[FX_rates]]</f>
        <v>76875.679999999993</v>
      </c>
      <c r="I846" t="s">
        <v>2021</v>
      </c>
      <c r="J846" t="s">
        <v>2028</v>
      </c>
      <c r="K846" t="s">
        <v>2875</v>
      </c>
      <c r="L846" t="s">
        <v>4033</v>
      </c>
      <c r="M846">
        <f>Cleaned[[#This Row],[Credit]]-Cleaned[[#This Row],[Debit]]</f>
        <v>1372.78</v>
      </c>
      <c r="N846" t="str">
        <f>_xlfn.XLOOKUP(Cleaned[[#This Row],[AccountName]], Account_Mapping!A:A, Account_Mapping!B:B,"Unmapped")</f>
        <v>Revenue</v>
      </c>
      <c r="O846" cm="1">
        <f t="array" ref="O846">_xlfn.XLOOKUP(
  1,
  (FX_Rates[Currency]=Cleaned[[#This Row],[Currency]])*
  (FX_Rates[RateDate]&lt;=Cleaned[[#This Row],[TxnDate]]),
  FX_Rates[Rate_To_INR],
  ,
  -1
)</f>
        <v>56</v>
      </c>
      <c r="P846" s="2">
        <f>Cleaned[[#This Row],[Net Amount]] *  Cleaned[[#This Row],[FX_rates]]</f>
        <v>76875.679999999993</v>
      </c>
    </row>
    <row r="847" spans="1:16" x14ac:dyDescent="0.45">
      <c r="A847" t="s">
        <v>855</v>
      </c>
      <c r="B847" s="1">
        <v>45552</v>
      </c>
      <c r="C847" s="2" t="s">
        <v>2011</v>
      </c>
      <c r="D847" t="s">
        <v>2016</v>
      </c>
      <c r="E847">
        <v>1600.28</v>
      </c>
      <c r="F847">
        <f>Cleaned[[#This Row],[Debit]] * Cleaned[[#This Row],[FX_rates]]</f>
        <v>131222.96</v>
      </c>
      <c r="G847">
        <v>0</v>
      </c>
      <c r="H847">
        <f>Cleaned[[#This Row],[Credit]] *  Cleaned[[#This Row],[FX_rates]]</f>
        <v>0</v>
      </c>
      <c r="I847" t="s">
        <v>2021</v>
      </c>
      <c r="J847" t="s">
        <v>2028</v>
      </c>
      <c r="K847" t="s">
        <v>2876</v>
      </c>
      <c r="L847" t="s">
        <v>4034</v>
      </c>
      <c r="M847">
        <f>Cleaned[[#This Row],[Credit]]-Cleaned[[#This Row],[Debit]]</f>
        <v>-1600.28</v>
      </c>
      <c r="N847" t="str">
        <f>_xlfn.XLOOKUP(Cleaned[[#This Row],[AccountName]], Account_Mapping!A:A, Account_Mapping!B:B,"Unmapped")</f>
        <v>COGS</v>
      </c>
      <c r="O847" cm="1">
        <f t="array" ref="O847">_xlfn.XLOOKUP(
  1,
  (FX_Rates[Currency]=Cleaned[[#This Row],[Currency]])*
  (FX_Rates[RateDate]&lt;=Cleaned[[#This Row],[TxnDate]]),
  FX_Rates[Rate_To_INR],
  ,
  -1
)</f>
        <v>82</v>
      </c>
      <c r="P847" s="2">
        <f>Cleaned[[#This Row],[Net Amount]] *  Cleaned[[#This Row],[FX_rates]]</f>
        <v>-131222.96</v>
      </c>
    </row>
    <row r="848" spans="1:16" x14ac:dyDescent="0.45">
      <c r="A848" t="s">
        <v>856</v>
      </c>
      <c r="B848" s="1">
        <v>45419</v>
      </c>
      <c r="C848" s="2" t="s">
        <v>2013</v>
      </c>
      <c r="D848" t="s">
        <v>2018</v>
      </c>
      <c r="E848">
        <v>618.05999999999995</v>
      </c>
      <c r="F848">
        <f>Cleaned[[#This Row],[Debit]] * Cleaned[[#This Row],[FX_rates]]</f>
        <v>37701.659999999996</v>
      </c>
      <c r="G848">
        <v>0</v>
      </c>
      <c r="H848">
        <f>Cleaned[[#This Row],[Credit]] *  Cleaned[[#This Row],[FX_rates]]</f>
        <v>0</v>
      </c>
      <c r="I848" t="s">
        <v>2024</v>
      </c>
      <c r="J848" t="s">
        <v>2026</v>
      </c>
      <c r="K848" t="s">
        <v>2877</v>
      </c>
      <c r="L848" t="s">
        <v>4035</v>
      </c>
      <c r="M848">
        <f>Cleaned[[#This Row],[Credit]]-Cleaned[[#This Row],[Debit]]</f>
        <v>-618.05999999999995</v>
      </c>
      <c r="N848" t="str">
        <f>_xlfn.XLOOKUP(Cleaned[[#This Row],[AccountName]], Account_Mapping!A:A, Account_Mapping!B:B,"Unmapped")</f>
        <v>Operating Expense</v>
      </c>
      <c r="O848" cm="1">
        <f t="array" ref="O848">_xlfn.XLOOKUP(
  1,
  (FX_Rates[Currency]=Cleaned[[#This Row],[Currency]])*
  (FX_Rates[RateDate]&lt;=Cleaned[[#This Row],[TxnDate]]),
  FX_Rates[Rate_To_INR],
  ,
  -1
)</f>
        <v>61</v>
      </c>
      <c r="P848" s="2">
        <f>Cleaned[[#This Row],[Net Amount]] *  Cleaned[[#This Row],[FX_rates]]</f>
        <v>-37701.659999999996</v>
      </c>
    </row>
    <row r="849" spans="1:16" x14ac:dyDescent="0.45">
      <c r="A849" t="s">
        <v>857</v>
      </c>
      <c r="B849" s="1">
        <v>45416</v>
      </c>
      <c r="C849" s="2" t="s">
        <v>2010</v>
      </c>
      <c r="D849" t="s">
        <v>2015</v>
      </c>
      <c r="E849">
        <v>0</v>
      </c>
      <c r="F849">
        <f>Cleaned[[#This Row],[Debit]] * Cleaned[[#This Row],[FX_rates]]</f>
        <v>0</v>
      </c>
      <c r="G849">
        <v>3150.6</v>
      </c>
      <c r="H849">
        <f>Cleaned[[#This Row],[Credit]] *  Cleaned[[#This Row],[FX_rates]]</f>
        <v>258349.19999999998</v>
      </c>
      <c r="I849" t="s">
        <v>2023</v>
      </c>
      <c r="J849" t="s">
        <v>2029</v>
      </c>
      <c r="K849" t="s">
        <v>2878</v>
      </c>
      <c r="L849" t="s">
        <v>4034</v>
      </c>
      <c r="M849">
        <f>Cleaned[[#This Row],[Credit]]-Cleaned[[#This Row],[Debit]]</f>
        <v>3150.6</v>
      </c>
      <c r="N849" t="str">
        <f>_xlfn.XLOOKUP(Cleaned[[#This Row],[AccountName]], Account_Mapping!A:A, Account_Mapping!B:B,"Unmapped")</f>
        <v>Revenue</v>
      </c>
      <c r="O849" cm="1">
        <f t="array" ref="O849">_xlfn.XLOOKUP(
  1,
  (FX_Rates[Currency]=Cleaned[[#This Row],[Currency]])*
  (FX_Rates[RateDate]&lt;=Cleaned[[#This Row],[TxnDate]]),
  FX_Rates[Rate_To_INR],
  ,
  -1
)</f>
        <v>82</v>
      </c>
      <c r="P849" s="2">
        <f>Cleaned[[#This Row],[Net Amount]] *  Cleaned[[#This Row],[FX_rates]]</f>
        <v>258349.19999999998</v>
      </c>
    </row>
    <row r="850" spans="1:16" x14ac:dyDescent="0.45">
      <c r="A850" t="s">
        <v>858</v>
      </c>
      <c r="B850" s="1">
        <v>45754</v>
      </c>
      <c r="C850" s="2" t="s">
        <v>2012</v>
      </c>
      <c r="D850" t="s">
        <v>2017</v>
      </c>
      <c r="E850">
        <v>1288.25</v>
      </c>
      <c r="F850">
        <f>Cleaned[[#This Row],[Debit]] * Cleaned[[#This Row],[FX_rates]]</f>
        <v>113366</v>
      </c>
      <c r="G850">
        <v>0</v>
      </c>
      <c r="H850">
        <f>Cleaned[[#This Row],[Credit]] *  Cleaned[[#This Row],[FX_rates]]</f>
        <v>0</v>
      </c>
      <c r="I850" t="s">
        <v>2022</v>
      </c>
      <c r="J850" t="s">
        <v>2027</v>
      </c>
      <c r="K850" t="s">
        <v>2879</v>
      </c>
      <c r="L850" t="s">
        <v>4032</v>
      </c>
      <c r="M850">
        <f>Cleaned[[#This Row],[Credit]]-Cleaned[[#This Row],[Debit]]</f>
        <v>-1288.25</v>
      </c>
      <c r="N850" t="str">
        <f>_xlfn.XLOOKUP(Cleaned[[#This Row],[AccountName]], Account_Mapping!A:A, Account_Mapping!B:B,"Unmapped")</f>
        <v>Operating Expense</v>
      </c>
      <c r="O850" cm="1">
        <f t="array" ref="O850">_xlfn.XLOOKUP(
  1,
  (FX_Rates[Currency]=Cleaned[[#This Row],[Currency]])*
  (FX_Rates[RateDate]&lt;=Cleaned[[#This Row],[TxnDate]]),
  FX_Rates[Rate_To_INR],
  ,
  -1
)</f>
        <v>88</v>
      </c>
      <c r="P850" s="2">
        <f>Cleaned[[#This Row],[Net Amount]] *  Cleaned[[#This Row],[FX_rates]]</f>
        <v>-113366</v>
      </c>
    </row>
    <row r="851" spans="1:16" x14ac:dyDescent="0.45">
      <c r="A851" t="s">
        <v>859</v>
      </c>
      <c r="B851" s="1">
        <v>45495</v>
      </c>
      <c r="C851" s="2" t="s">
        <v>2013</v>
      </c>
      <c r="D851" t="s">
        <v>2018</v>
      </c>
      <c r="E851">
        <v>1629.27</v>
      </c>
      <c r="F851">
        <f>Cleaned[[#This Row],[Debit]] * Cleaned[[#This Row],[FX_rates]]</f>
        <v>99385.47</v>
      </c>
      <c r="G851">
        <v>0</v>
      </c>
      <c r="H851">
        <f>Cleaned[[#This Row],[Credit]] *  Cleaned[[#This Row],[FX_rates]]</f>
        <v>0</v>
      </c>
      <c r="I851" t="s">
        <v>2025</v>
      </c>
      <c r="J851" t="s">
        <v>2029</v>
      </c>
      <c r="K851" t="s">
        <v>2880</v>
      </c>
      <c r="L851" t="s">
        <v>4035</v>
      </c>
      <c r="M851">
        <f>Cleaned[[#This Row],[Credit]]-Cleaned[[#This Row],[Debit]]</f>
        <v>-1629.27</v>
      </c>
      <c r="N851" t="str">
        <f>_xlfn.XLOOKUP(Cleaned[[#This Row],[AccountName]], Account_Mapping!A:A, Account_Mapping!B:B,"Unmapped")</f>
        <v>Operating Expense</v>
      </c>
      <c r="O851" cm="1">
        <f t="array" ref="O851">_xlfn.XLOOKUP(
  1,
  (FX_Rates[Currency]=Cleaned[[#This Row],[Currency]])*
  (FX_Rates[RateDate]&lt;=Cleaned[[#This Row],[TxnDate]]),
  FX_Rates[Rate_To_INR],
  ,
  -1
)</f>
        <v>61</v>
      </c>
      <c r="P851" s="2">
        <f>Cleaned[[#This Row],[Net Amount]] *  Cleaned[[#This Row],[FX_rates]]</f>
        <v>-99385.47</v>
      </c>
    </row>
    <row r="852" spans="1:16" x14ac:dyDescent="0.45">
      <c r="A852" t="s">
        <v>860</v>
      </c>
      <c r="B852" s="1">
        <v>45687</v>
      </c>
      <c r="C852" s="2" t="s">
        <v>2011</v>
      </c>
      <c r="D852" t="s">
        <v>2016</v>
      </c>
      <c r="E852">
        <v>436.4</v>
      </c>
      <c r="F852">
        <f>Cleaned[[#This Row],[Debit]] * Cleaned[[#This Row],[FX_rates]]</f>
        <v>35784.799999999996</v>
      </c>
      <c r="G852">
        <v>0</v>
      </c>
      <c r="H852">
        <f>Cleaned[[#This Row],[Credit]] *  Cleaned[[#This Row],[FX_rates]]</f>
        <v>0</v>
      </c>
      <c r="I852" t="s">
        <v>2020</v>
      </c>
      <c r="J852" t="s">
        <v>2030</v>
      </c>
      <c r="K852" t="s">
        <v>2881</v>
      </c>
      <c r="L852" t="s">
        <v>4034</v>
      </c>
      <c r="M852">
        <f>Cleaned[[#This Row],[Credit]]-Cleaned[[#This Row],[Debit]]</f>
        <v>-436.4</v>
      </c>
      <c r="N852" t="str">
        <f>_xlfn.XLOOKUP(Cleaned[[#This Row],[AccountName]], Account_Mapping!A:A, Account_Mapping!B:B,"Unmapped")</f>
        <v>COGS</v>
      </c>
      <c r="O852" cm="1">
        <f t="array" ref="O852">_xlfn.XLOOKUP(
  1,
  (FX_Rates[Currency]=Cleaned[[#This Row],[Currency]])*
  (FX_Rates[RateDate]&lt;=Cleaned[[#This Row],[TxnDate]]),
  FX_Rates[Rate_To_INR],
  ,
  -1
)</f>
        <v>82</v>
      </c>
      <c r="P852" s="2">
        <f>Cleaned[[#This Row],[Net Amount]] *  Cleaned[[#This Row],[FX_rates]]</f>
        <v>-35784.799999999996</v>
      </c>
    </row>
    <row r="853" spans="1:16" x14ac:dyDescent="0.45">
      <c r="A853" t="s">
        <v>861</v>
      </c>
      <c r="B853" s="1">
        <v>45241</v>
      </c>
      <c r="C853" s="2" t="s">
        <v>2013</v>
      </c>
      <c r="D853" t="s">
        <v>2018</v>
      </c>
      <c r="E853">
        <v>186.27</v>
      </c>
      <c r="F853">
        <f>Cleaned[[#This Row],[Debit]] * Cleaned[[#This Row],[FX_rates]]</f>
        <v>10431.120000000001</v>
      </c>
      <c r="G853">
        <v>0</v>
      </c>
      <c r="H853">
        <f>Cleaned[[#This Row],[Credit]] *  Cleaned[[#This Row],[FX_rates]]</f>
        <v>0</v>
      </c>
      <c r="I853" t="s">
        <v>2021</v>
      </c>
      <c r="J853" t="s">
        <v>2028</v>
      </c>
      <c r="K853" t="s">
        <v>2882</v>
      </c>
      <c r="L853" t="s">
        <v>4033</v>
      </c>
      <c r="M853">
        <f>Cleaned[[#This Row],[Credit]]-Cleaned[[#This Row],[Debit]]</f>
        <v>-186.27</v>
      </c>
      <c r="N853" t="str">
        <f>_xlfn.XLOOKUP(Cleaned[[#This Row],[AccountName]], Account_Mapping!A:A, Account_Mapping!B:B,"Unmapped")</f>
        <v>Operating Expense</v>
      </c>
      <c r="O853" cm="1">
        <f t="array" ref="O853">_xlfn.XLOOKUP(
  1,
  (FX_Rates[Currency]=Cleaned[[#This Row],[Currency]])*
  (FX_Rates[RateDate]&lt;=Cleaned[[#This Row],[TxnDate]]),
  FX_Rates[Rate_To_INR],
  ,
  -1
)</f>
        <v>56</v>
      </c>
      <c r="P853" s="2">
        <f>Cleaned[[#This Row],[Net Amount]] *  Cleaned[[#This Row],[FX_rates]]</f>
        <v>-10431.120000000001</v>
      </c>
    </row>
    <row r="854" spans="1:16" x14ac:dyDescent="0.45">
      <c r="A854" t="s">
        <v>862</v>
      </c>
      <c r="B854" s="1">
        <v>45218</v>
      </c>
      <c r="C854" s="2" t="s">
        <v>2010</v>
      </c>
      <c r="D854" t="s">
        <v>2015</v>
      </c>
      <c r="E854">
        <v>0</v>
      </c>
      <c r="F854">
        <f>Cleaned[[#This Row],[Debit]] * Cleaned[[#This Row],[FX_rates]]</f>
        <v>0</v>
      </c>
      <c r="G854">
        <v>3025.08</v>
      </c>
      <c r="H854">
        <f>Cleaned[[#This Row],[Credit]] *  Cleaned[[#This Row],[FX_rates]]</f>
        <v>169404.47999999998</v>
      </c>
      <c r="I854" t="s">
        <v>2023</v>
      </c>
      <c r="J854" t="s">
        <v>2030</v>
      </c>
      <c r="K854" t="s">
        <v>2883</v>
      </c>
      <c r="L854" t="s">
        <v>4033</v>
      </c>
      <c r="M854">
        <f>Cleaned[[#This Row],[Credit]]-Cleaned[[#This Row],[Debit]]</f>
        <v>3025.08</v>
      </c>
      <c r="N854" t="str">
        <f>_xlfn.XLOOKUP(Cleaned[[#This Row],[AccountName]], Account_Mapping!A:A, Account_Mapping!B:B,"Unmapped")</f>
        <v>Revenue</v>
      </c>
      <c r="O854" cm="1">
        <f t="array" ref="O854">_xlfn.XLOOKUP(
  1,
  (FX_Rates[Currency]=Cleaned[[#This Row],[Currency]])*
  (FX_Rates[RateDate]&lt;=Cleaned[[#This Row],[TxnDate]]),
  FX_Rates[Rate_To_INR],
  ,
  -1
)</f>
        <v>56</v>
      </c>
      <c r="P854" s="2">
        <f>Cleaned[[#This Row],[Net Amount]] *  Cleaned[[#This Row],[FX_rates]]</f>
        <v>169404.47999999998</v>
      </c>
    </row>
    <row r="855" spans="1:16" x14ac:dyDescent="0.45">
      <c r="A855" t="s">
        <v>863</v>
      </c>
      <c r="B855" s="1">
        <v>44943</v>
      </c>
      <c r="C855" s="2" t="s">
        <v>2011</v>
      </c>
      <c r="D855" t="s">
        <v>2016</v>
      </c>
      <c r="E855">
        <v>793.16</v>
      </c>
      <c r="F855">
        <f>Cleaned[[#This Row],[Debit]] * Cleaned[[#This Row],[FX_rates]]</f>
        <v>65039.119999999995</v>
      </c>
      <c r="G855">
        <v>0</v>
      </c>
      <c r="H855">
        <f>Cleaned[[#This Row],[Credit]] *  Cleaned[[#This Row],[FX_rates]]</f>
        <v>0</v>
      </c>
      <c r="I855" t="s">
        <v>2024</v>
      </c>
      <c r="J855" t="s">
        <v>2029</v>
      </c>
      <c r="K855" t="s">
        <v>2884</v>
      </c>
      <c r="L855" t="s">
        <v>4034</v>
      </c>
      <c r="M855">
        <f>Cleaned[[#This Row],[Credit]]-Cleaned[[#This Row],[Debit]]</f>
        <v>-793.16</v>
      </c>
      <c r="N855" t="str">
        <f>_xlfn.XLOOKUP(Cleaned[[#This Row],[AccountName]], Account_Mapping!A:A, Account_Mapping!B:B,"Unmapped")</f>
        <v>COGS</v>
      </c>
      <c r="O855" cm="1">
        <f t="array" ref="O855">_xlfn.XLOOKUP(
  1,
  (FX_Rates[Currency]=Cleaned[[#This Row],[Currency]])*
  (FX_Rates[RateDate]&lt;=Cleaned[[#This Row],[TxnDate]]),
  FX_Rates[Rate_To_INR],
  ,
  -1
)</f>
        <v>82</v>
      </c>
      <c r="P855" s="2">
        <f>Cleaned[[#This Row],[Net Amount]] *  Cleaned[[#This Row],[FX_rates]]</f>
        <v>-65039.119999999995</v>
      </c>
    </row>
    <row r="856" spans="1:16" x14ac:dyDescent="0.45">
      <c r="A856" t="s">
        <v>864</v>
      </c>
      <c r="B856" s="1">
        <v>45033</v>
      </c>
      <c r="C856" s="2" t="s">
        <v>2013</v>
      </c>
      <c r="D856" t="s">
        <v>2018</v>
      </c>
      <c r="E856">
        <v>1753.87</v>
      </c>
      <c r="F856">
        <f>Cleaned[[#This Row],[Debit]] * Cleaned[[#This Row],[FX_rates]]</f>
        <v>98216.72</v>
      </c>
      <c r="G856">
        <v>0</v>
      </c>
      <c r="H856">
        <f>Cleaned[[#This Row],[Credit]] *  Cleaned[[#This Row],[FX_rates]]</f>
        <v>0</v>
      </c>
      <c r="I856" t="s">
        <v>2025</v>
      </c>
      <c r="J856" t="s">
        <v>2028</v>
      </c>
      <c r="K856" t="s">
        <v>2885</v>
      </c>
      <c r="L856" t="s">
        <v>4033</v>
      </c>
      <c r="M856">
        <f>Cleaned[[#This Row],[Credit]]-Cleaned[[#This Row],[Debit]]</f>
        <v>-1753.87</v>
      </c>
      <c r="N856" t="str">
        <f>_xlfn.XLOOKUP(Cleaned[[#This Row],[AccountName]], Account_Mapping!A:A, Account_Mapping!B:B,"Unmapped")</f>
        <v>Operating Expense</v>
      </c>
      <c r="O856" cm="1">
        <f t="array" ref="O856">_xlfn.XLOOKUP(
  1,
  (FX_Rates[Currency]=Cleaned[[#This Row],[Currency]])*
  (FX_Rates[RateDate]&lt;=Cleaned[[#This Row],[TxnDate]]),
  FX_Rates[Rate_To_INR],
  ,
  -1
)</f>
        <v>56</v>
      </c>
      <c r="P856" s="2">
        <f>Cleaned[[#This Row],[Net Amount]] *  Cleaned[[#This Row],[FX_rates]]</f>
        <v>-98216.72</v>
      </c>
    </row>
    <row r="857" spans="1:16" x14ac:dyDescent="0.45">
      <c r="A857" t="s">
        <v>865</v>
      </c>
      <c r="B857" s="1">
        <v>45448</v>
      </c>
      <c r="C857" s="2" t="s">
        <v>2010</v>
      </c>
      <c r="D857" t="s">
        <v>2015</v>
      </c>
      <c r="E857">
        <v>0</v>
      </c>
      <c r="F857">
        <f>Cleaned[[#This Row],[Debit]] * Cleaned[[#This Row],[FX_rates]]</f>
        <v>0</v>
      </c>
      <c r="G857">
        <v>915.77</v>
      </c>
      <c r="H857">
        <f>Cleaned[[#This Row],[Credit]] *  Cleaned[[#This Row],[FX_rates]]</f>
        <v>51283.119999999995</v>
      </c>
      <c r="I857" t="s">
        <v>2020</v>
      </c>
      <c r="J857" t="s">
        <v>2027</v>
      </c>
      <c r="K857" t="s">
        <v>2886</v>
      </c>
      <c r="L857" t="s">
        <v>4033</v>
      </c>
      <c r="M857">
        <f>Cleaned[[#This Row],[Credit]]-Cleaned[[#This Row],[Debit]]</f>
        <v>915.77</v>
      </c>
      <c r="N857" t="str">
        <f>_xlfn.XLOOKUP(Cleaned[[#This Row],[AccountName]], Account_Mapping!A:A, Account_Mapping!B:B,"Unmapped")</f>
        <v>Revenue</v>
      </c>
      <c r="O857" cm="1">
        <f t="array" ref="O857">_xlfn.XLOOKUP(
  1,
  (FX_Rates[Currency]=Cleaned[[#This Row],[Currency]])*
  (FX_Rates[RateDate]&lt;=Cleaned[[#This Row],[TxnDate]]),
  FX_Rates[Rate_To_INR],
  ,
  -1
)</f>
        <v>56</v>
      </c>
      <c r="P857" s="2">
        <f>Cleaned[[#This Row],[Net Amount]] *  Cleaned[[#This Row],[FX_rates]]</f>
        <v>51283.119999999995</v>
      </c>
    </row>
    <row r="858" spans="1:16" x14ac:dyDescent="0.45">
      <c r="A858" t="s">
        <v>866</v>
      </c>
      <c r="B858" s="1">
        <v>45038</v>
      </c>
      <c r="C858" s="2" t="s">
        <v>2011</v>
      </c>
      <c r="D858" t="s">
        <v>2016</v>
      </c>
      <c r="E858">
        <v>1083.5899999999999</v>
      </c>
      <c r="F858">
        <f>Cleaned[[#This Row],[Debit]] * Cleaned[[#This Row],[FX_rates]]</f>
        <v>88854.37999999999</v>
      </c>
      <c r="G858">
        <v>0</v>
      </c>
      <c r="H858">
        <f>Cleaned[[#This Row],[Credit]] *  Cleaned[[#This Row],[FX_rates]]</f>
        <v>0</v>
      </c>
      <c r="I858" t="s">
        <v>2020</v>
      </c>
      <c r="J858" t="s">
        <v>2027</v>
      </c>
      <c r="K858" t="s">
        <v>2887</v>
      </c>
      <c r="L858" t="s">
        <v>4034</v>
      </c>
      <c r="M858">
        <f>Cleaned[[#This Row],[Credit]]-Cleaned[[#This Row],[Debit]]</f>
        <v>-1083.5899999999999</v>
      </c>
      <c r="N858" t="str">
        <f>_xlfn.XLOOKUP(Cleaned[[#This Row],[AccountName]], Account_Mapping!A:A, Account_Mapping!B:B,"Unmapped")</f>
        <v>COGS</v>
      </c>
      <c r="O858" cm="1">
        <f t="array" ref="O858">_xlfn.XLOOKUP(
  1,
  (FX_Rates[Currency]=Cleaned[[#This Row],[Currency]])*
  (FX_Rates[RateDate]&lt;=Cleaned[[#This Row],[TxnDate]]),
  FX_Rates[Rate_To_INR],
  ,
  -1
)</f>
        <v>82</v>
      </c>
      <c r="P858" s="2">
        <f>Cleaned[[#This Row],[Net Amount]] *  Cleaned[[#This Row],[FX_rates]]</f>
        <v>-88854.37999999999</v>
      </c>
    </row>
    <row r="859" spans="1:16" x14ac:dyDescent="0.45">
      <c r="A859" t="s">
        <v>867</v>
      </c>
      <c r="B859" s="1">
        <v>45779</v>
      </c>
      <c r="C859" s="2" t="s">
        <v>2014</v>
      </c>
      <c r="D859" t="s">
        <v>2019</v>
      </c>
      <c r="E859">
        <v>0</v>
      </c>
      <c r="F859">
        <f>Cleaned[[#This Row],[Debit]] * Cleaned[[#This Row],[FX_rates]]</f>
        <v>0</v>
      </c>
      <c r="G859">
        <v>889.07</v>
      </c>
      <c r="H859">
        <f>Cleaned[[#This Row],[Credit]] *  Cleaned[[#This Row],[FX_rates]]</f>
        <v>78238.16</v>
      </c>
      <c r="I859" t="s">
        <v>2020</v>
      </c>
      <c r="J859" t="s">
        <v>2029</v>
      </c>
      <c r="K859" t="s">
        <v>2888</v>
      </c>
      <c r="L859" t="s">
        <v>4032</v>
      </c>
      <c r="M859">
        <f>Cleaned[[#This Row],[Credit]]-Cleaned[[#This Row],[Debit]]</f>
        <v>889.07</v>
      </c>
      <c r="N859" t="str">
        <f>_xlfn.XLOOKUP(Cleaned[[#This Row],[AccountName]], Account_Mapping!A:A, Account_Mapping!B:B,"Unmapped")</f>
        <v>Revenue</v>
      </c>
      <c r="O859" cm="1">
        <f t="array" ref="O859">_xlfn.XLOOKUP(
  1,
  (FX_Rates[Currency]=Cleaned[[#This Row],[Currency]])*
  (FX_Rates[RateDate]&lt;=Cleaned[[#This Row],[TxnDate]]),
  FX_Rates[Rate_To_INR],
  ,
  -1
)</f>
        <v>88</v>
      </c>
      <c r="P859" s="2">
        <f>Cleaned[[#This Row],[Net Amount]] *  Cleaned[[#This Row],[FX_rates]]</f>
        <v>78238.16</v>
      </c>
    </row>
    <row r="860" spans="1:16" x14ac:dyDescent="0.45">
      <c r="A860" t="s">
        <v>868</v>
      </c>
      <c r="B860" s="1">
        <v>45407</v>
      </c>
      <c r="C860" s="2" t="s">
        <v>2012</v>
      </c>
      <c r="D860" t="s">
        <v>2017</v>
      </c>
      <c r="E860">
        <v>1620.36</v>
      </c>
      <c r="F860">
        <f>Cleaned[[#This Row],[Debit]] * Cleaned[[#This Row],[FX_rates]]</f>
        <v>142591.67999999999</v>
      </c>
      <c r="G860">
        <v>0</v>
      </c>
      <c r="H860">
        <f>Cleaned[[#This Row],[Credit]] *  Cleaned[[#This Row],[FX_rates]]</f>
        <v>0</v>
      </c>
      <c r="I860" t="s">
        <v>2020</v>
      </c>
      <c r="J860" t="s">
        <v>2028</v>
      </c>
      <c r="K860" t="s">
        <v>2889</v>
      </c>
      <c r="L860" t="s">
        <v>4032</v>
      </c>
      <c r="M860">
        <f>Cleaned[[#This Row],[Credit]]-Cleaned[[#This Row],[Debit]]</f>
        <v>-1620.36</v>
      </c>
      <c r="N860" t="str">
        <f>_xlfn.XLOOKUP(Cleaned[[#This Row],[AccountName]], Account_Mapping!A:A, Account_Mapping!B:B,"Unmapped")</f>
        <v>Operating Expense</v>
      </c>
      <c r="O860" cm="1">
        <f t="array" ref="O860">_xlfn.XLOOKUP(
  1,
  (FX_Rates[Currency]=Cleaned[[#This Row],[Currency]])*
  (FX_Rates[RateDate]&lt;=Cleaned[[#This Row],[TxnDate]]),
  FX_Rates[Rate_To_INR],
  ,
  -1
)</f>
        <v>88</v>
      </c>
      <c r="P860" s="2">
        <f>Cleaned[[#This Row],[Net Amount]] *  Cleaned[[#This Row],[FX_rates]]</f>
        <v>-142591.67999999999</v>
      </c>
    </row>
    <row r="861" spans="1:16" x14ac:dyDescent="0.45">
      <c r="A861" t="s">
        <v>869</v>
      </c>
      <c r="B861" s="1">
        <v>45807</v>
      </c>
      <c r="C861" s="2" t="s">
        <v>2010</v>
      </c>
      <c r="D861" t="s">
        <v>2015</v>
      </c>
      <c r="E861">
        <v>0</v>
      </c>
      <c r="F861">
        <f>Cleaned[[#This Row],[Debit]] * Cleaned[[#This Row],[FX_rates]]</f>
        <v>0</v>
      </c>
      <c r="G861">
        <v>549.91999999999996</v>
      </c>
      <c r="H861">
        <f>Cleaned[[#This Row],[Credit]] *  Cleaned[[#This Row],[FX_rates]]</f>
        <v>56641.759999999995</v>
      </c>
      <c r="I861" t="s">
        <v>2024</v>
      </c>
      <c r="J861" t="s">
        <v>2027</v>
      </c>
      <c r="K861" t="s">
        <v>2890</v>
      </c>
      <c r="L861" t="s">
        <v>4031</v>
      </c>
      <c r="M861">
        <f>Cleaned[[#This Row],[Credit]]-Cleaned[[#This Row],[Debit]]</f>
        <v>549.91999999999996</v>
      </c>
      <c r="N861" t="str">
        <f>_xlfn.XLOOKUP(Cleaned[[#This Row],[AccountName]], Account_Mapping!A:A, Account_Mapping!B:B,"Unmapped")</f>
        <v>Revenue</v>
      </c>
      <c r="O861" cm="1">
        <f t="array" ref="O861">_xlfn.XLOOKUP(
  1,
  (FX_Rates[Currency]=Cleaned[[#This Row],[Currency]])*
  (FX_Rates[RateDate]&lt;=Cleaned[[#This Row],[TxnDate]]),
  FX_Rates[Rate_To_INR],
  ,
  -1
)</f>
        <v>103</v>
      </c>
      <c r="P861" s="2">
        <f>Cleaned[[#This Row],[Net Amount]] *  Cleaned[[#This Row],[FX_rates]]</f>
        <v>56641.759999999995</v>
      </c>
    </row>
    <row r="862" spans="1:16" x14ac:dyDescent="0.45">
      <c r="A862" t="s">
        <v>870</v>
      </c>
      <c r="B862" s="1">
        <v>45769</v>
      </c>
      <c r="C862" s="2" t="s">
        <v>2014</v>
      </c>
      <c r="D862" t="s">
        <v>2019</v>
      </c>
      <c r="E862">
        <v>0</v>
      </c>
      <c r="F862">
        <f>Cleaned[[#This Row],[Debit]] * Cleaned[[#This Row],[FX_rates]]</f>
        <v>0</v>
      </c>
      <c r="G862">
        <v>4103.1000000000004</v>
      </c>
      <c r="H862">
        <f>Cleaned[[#This Row],[Credit]] *  Cleaned[[#This Row],[FX_rates]]</f>
        <v>336454.2</v>
      </c>
      <c r="I862" t="s">
        <v>2022</v>
      </c>
      <c r="J862" t="s">
        <v>2028</v>
      </c>
      <c r="K862" t="s">
        <v>2891</v>
      </c>
      <c r="L862" t="s">
        <v>4034</v>
      </c>
      <c r="M862">
        <f>Cleaned[[#This Row],[Credit]]-Cleaned[[#This Row],[Debit]]</f>
        <v>4103.1000000000004</v>
      </c>
      <c r="N862" t="str">
        <f>_xlfn.XLOOKUP(Cleaned[[#This Row],[AccountName]], Account_Mapping!A:A, Account_Mapping!B:B,"Unmapped")</f>
        <v>Revenue</v>
      </c>
      <c r="O862" cm="1">
        <f t="array" ref="O862">_xlfn.XLOOKUP(
  1,
  (FX_Rates[Currency]=Cleaned[[#This Row],[Currency]])*
  (FX_Rates[RateDate]&lt;=Cleaned[[#This Row],[TxnDate]]),
  FX_Rates[Rate_To_INR],
  ,
  -1
)</f>
        <v>82</v>
      </c>
      <c r="P862" s="2">
        <f>Cleaned[[#This Row],[Net Amount]] *  Cleaned[[#This Row],[FX_rates]]</f>
        <v>336454.2</v>
      </c>
    </row>
    <row r="863" spans="1:16" x14ac:dyDescent="0.45">
      <c r="A863" t="s">
        <v>871</v>
      </c>
      <c r="B863" s="1">
        <v>45443</v>
      </c>
      <c r="C863" s="2" t="s">
        <v>2013</v>
      </c>
      <c r="D863" t="s">
        <v>2018</v>
      </c>
      <c r="E863">
        <v>316.45</v>
      </c>
      <c r="F863">
        <f>Cleaned[[#This Row],[Debit]] * Cleaned[[#This Row],[FX_rates]]</f>
        <v>25948.899999999998</v>
      </c>
      <c r="G863">
        <v>0</v>
      </c>
      <c r="H863">
        <f>Cleaned[[#This Row],[Credit]] *  Cleaned[[#This Row],[FX_rates]]</f>
        <v>0</v>
      </c>
      <c r="I863" t="s">
        <v>2024</v>
      </c>
      <c r="J863" t="s">
        <v>2029</v>
      </c>
      <c r="K863" t="s">
        <v>2892</v>
      </c>
      <c r="L863" t="s">
        <v>4034</v>
      </c>
      <c r="M863">
        <f>Cleaned[[#This Row],[Credit]]-Cleaned[[#This Row],[Debit]]</f>
        <v>-316.45</v>
      </c>
      <c r="N863" t="str">
        <f>_xlfn.XLOOKUP(Cleaned[[#This Row],[AccountName]], Account_Mapping!A:A, Account_Mapping!B:B,"Unmapped")</f>
        <v>Operating Expense</v>
      </c>
      <c r="O863" cm="1">
        <f t="array" ref="O863">_xlfn.XLOOKUP(
  1,
  (FX_Rates[Currency]=Cleaned[[#This Row],[Currency]])*
  (FX_Rates[RateDate]&lt;=Cleaned[[#This Row],[TxnDate]]),
  FX_Rates[Rate_To_INR],
  ,
  -1
)</f>
        <v>82</v>
      </c>
      <c r="P863" s="2">
        <f>Cleaned[[#This Row],[Net Amount]] *  Cleaned[[#This Row],[FX_rates]]</f>
        <v>-25948.899999999998</v>
      </c>
    </row>
    <row r="864" spans="1:16" x14ac:dyDescent="0.45">
      <c r="A864" t="s">
        <v>872</v>
      </c>
      <c r="B864" s="1">
        <v>45387</v>
      </c>
      <c r="C864" s="2" t="s">
        <v>2012</v>
      </c>
      <c r="D864" t="s">
        <v>2017</v>
      </c>
      <c r="E864">
        <v>1384.87</v>
      </c>
      <c r="F864">
        <f>Cleaned[[#This Row],[Debit]] * Cleaned[[#This Row],[FX_rates]]</f>
        <v>77552.72</v>
      </c>
      <c r="G864">
        <v>0</v>
      </c>
      <c r="H864">
        <f>Cleaned[[#This Row],[Credit]] *  Cleaned[[#This Row],[FX_rates]]</f>
        <v>0</v>
      </c>
      <c r="I864" t="s">
        <v>2021</v>
      </c>
      <c r="J864" t="s">
        <v>2029</v>
      </c>
      <c r="K864" t="s">
        <v>2893</v>
      </c>
      <c r="L864" t="s">
        <v>4033</v>
      </c>
      <c r="M864">
        <f>Cleaned[[#This Row],[Credit]]-Cleaned[[#This Row],[Debit]]</f>
        <v>-1384.87</v>
      </c>
      <c r="N864" t="str">
        <f>_xlfn.XLOOKUP(Cleaned[[#This Row],[AccountName]], Account_Mapping!A:A, Account_Mapping!B:B,"Unmapped")</f>
        <v>Operating Expense</v>
      </c>
      <c r="O864" cm="1">
        <f t="array" ref="O864">_xlfn.XLOOKUP(
  1,
  (FX_Rates[Currency]=Cleaned[[#This Row],[Currency]])*
  (FX_Rates[RateDate]&lt;=Cleaned[[#This Row],[TxnDate]]),
  FX_Rates[Rate_To_INR],
  ,
  -1
)</f>
        <v>56</v>
      </c>
      <c r="P864" s="2">
        <f>Cleaned[[#This Row],[Net Amount]] *  Cleaned[[#This Row],[FX_rates]]</f>
        <v>-77552.72</v>
      </c>
    </row>
    <row r="865" spans="1:16" x14ac:dyDescent="0.45">
      <c r="A865" t="s">
        <v>873</v>
      </c>
      <c r="B865" s="1">
        <v>45446</v>
      </c>
      <c r="C865" s="2" t="s">
        <v>2012</v>
      </c>
      <c r="D865" t="s">
        <v>2017</v>
      </c>
      <c r="E865">
        <v>932.11</v>
      </c>
      <c r="F865">
        <f>Cleaned[[#This Row],[Debit]] * Cleaned[[#This Row],[FX_rates]]</f>
        <v>96007.33</v>
      </c>
      <c r="G865">
        <v>0</v>
      </c>
      <c r="H865">
        <f>Cleaned[[#This Row],[Credit]] *  Cleaned[[#This Row],[FX_rates]]</f>
        <v>0</v>
      </c>
      <c r="I865" t="s">
        <v>2022</v>
      </c>
      <c r="J865" t="s">
        <v>2026</v>
      </c>
      <c r="K865" t="s">
        <v>2894</v>
      </c>
      <c r="L865" t="s">
        <v>4031</v>
      </c>
      <c r="M865">
        <f>Cleaned[[#This Row],[Credit]]-Cleaned[[#This Row],[Debit]]</f>
        <v>-932.11</v>
      </c>
      <c r="N865" t="str">
        <f>_xlfn.XLOOKUP(Cleaned[[#This Row],[AccountName]], Account_Mapping!A:A, Account_Mapping!B:B,"Unmapped")</f>
        <v>Operating Expense</v>
      </c>
      <c r="O865" cm="1">
        <f t="array" ref="O865">_xlfn.XLOOKUP(
  1,
  (FX_Rates[Currency]=Cleaned[[#This Row],[Currency]])*
  (FX_Rates[RateDate]&lt;=Cleaned[[#This Row],[TxnDate]]),
  FX_Rates[Rate_To_INR],
  ,
  -1
)</f>
        <v>103</v>
      </c>
      <c r="P865" s="2">
        <f>Cleaned[[#This Row],[Net Amount]] *  Cleaned[[#This Row],[FX_rates]]</f>
        <v>-96007.33</v>
      </c>
    </row>
    <row r="866" spans="1:16" x14ac:dyDescent="0.45">
      <c r="A866" t="s">
        <v>874</v>
      </c>
      <c r="B866" s="1">
        <v>45491</v>
      </c>
      <c r="C866" s="2" t="s">
        <v>2010</v>
      </c>
      <c r="D866" t="s">
        <v>2015</v>
      </c>
      <c r="E866">
        <v>0</v>
      </c>
      <c r="F866">
        <f>Cleaned[[#This Row],[Debit]] * Cleaned[[#This Row],[FX_rates]]</f>
        <v>0</v>
      </c>
      <c r="G866">
        <v>2355.54</v>
      </c>
      <c r="H866">
        <f>Cleaned[[#This Row],[Credit]] *  Cleaned[[#This Row],[FX_rates]]</f>
        <v>143687.94</v>
      </c>
      <c r="I866" t="s">
        <v>2025</v>
      </c>
      <c r="J866" t="s">
        <v>2028</v>
      </c>
      <c r="K866" t="s">
        <v>2895</v>
      </c>
      <c r="L866" t="s">
        <v>4035</v>
      </c>
      <c r="M866">
        <f>Cleaned[[#This Row],[Credit]]-Cleaned[[#This Row],[Debit]]</f>
        <v>2355.54</v>
      </c>
      <c r="N866" t="str">
        <f>_xlfn.XLOOKUP(Cleaned[[#This Row],[AccountName]], Account_Mapping!A:A, Account_Mapping!B:B,"Unmapped")</f>
        <v>Revenue</v>
      </c>
      <c r="O866" cm="1">
        <f t="array" ref="O866">_xlfn.XLOOKUP(
  1,
  (FX_Rates[Currency]=Cleaned[[#This Row],[Currency]])*
  (FX_Rates[RateDate]&lt;=Cleaned[[#This Row],[TxnDate]]),
  FX_Rates[Rate_To_INR],
  ,
  -1
)</f>
        <v>61</v>
      </c>
      <c r="P866" s="2">
        <f>Cleaned[[#This Row],[Net Amount]] *  Cleaned[[#This Row],[FX_rates]]</f>
        <v>143687.94</v>
      </c>
    </row>
    <row r="867" spans="1:16" x14ac:dyDescent="0.45">
      <c r="A867" t="s">
        <v>875</v>
      </c>
      <c r="B867" s="1">
        <v>45530</v>
      </c>
      <c r="C867" s="2" t="s">
        <v>2011</v>
      </c>
      <c r="D867" t="s">
        <v>2016</v>
      </c>
      <c r="E867">
        <v>1327.52</v>
      </c>
      <c r="F867">
        <f>Cleaned[[#This Row],[Debit]] * Cleaned[[#This Row],[FX_rates]]</f>
        <v>108856.64</v>
      </c>
      <c r="G867">
        <v>0</v>
      </c>
      <c r="H867">
        <f>Cleaned[[#This Row],[Credit]] *  Cleaned[[#This Row],[FX_rates]]</f>
        <v>0</v>
      </c>
      <c r="I867" t="s">
        <v>2025</v>
      </c>
      <c r="J867" t="s">
        <v>2028</v>
      </c>
      <c r="K867" t="s">
        <v>2896</v>
      </c>
      <c r="L867" t="s">
        <v>4034</v>
      </c>
      <c r="M867">
        <f>Cleaned[[#This Row],[Credit]]-Cleaned[[#This Row],[Debit]]</f>
        <v>-1327.52</v>
      </c>
      <c r="N867" t="str">
        <f>_xlfn.XLOOKUP(Cleaned[[#This Row],[AccountName]], Account_Mapping!A:A, Account_Mapping!B:B,"Unmapped")</f>
        <v>COGS</v>
      </c>
      <c r="O867" cm="1">
        <f t="array" ref="O867">_xlfn.XLOOKUP(
  1,
  (FX_Rates[Currency]=Cleaned[[#This Row],[Currency]])*
  (FX_Rates[RateDate]&lt;=Cleaned[[#This Row],[TxnDate]]),
  FX_Rates[Rate_To_INR],
  ,
  -1
)</f>
        <v>82</v>
      </c>
      <c r="P867" s="2">
        <f>Cleaned[[#This Row],[Net Amount]] *  Cleaned[[#This Row],[FX_rates]]</f>
        <v>-108856.64</v>
      </c>
    </row>
    <row r="868" spans="1:16" x14ac:dyDescent="0.45">
      <c r="A868" t="s">
        <v>876</v>
      </c>
      <c r="B868" s="1">
        <v>45044</v>
      </c>
      <c r="C868" s="2" t="s">
        <v>2012</v>
      </c>
      <c r="D868" t="s">
        <v>2017</v>
      </c>
      <c r="E868">
        <v>77.790000000000006</v>
      </c>
      <c r="F868">
        <f>Cleaned[[#This Row],[Debit]] * Cleaned[[#This Row],[FX_rates]]</f>
        <v>6378.7800000000007</v>
      </c>
      <c r="G868">
        <v>0</v>
      </c>
      <c r="H868">
        <f>Cleaned[[#This Row],[Credit]] *  Cleaned[[#This Row],[FX_rates]]</f>
        <v>0</v>
      </c>
      <c r="I868" t="s">
        <v>2023</v>
      </c>
      <c r="J868" t="s">
        <v>2029</v>
      </c>
      <c r="K868" t="s">
        <v>2897</v>
      </c>
      <c r="L868" t="s">
        <v>4034</v>
      </c>
      <c r="M868">
        <f>Cleaned[[#This Row],[Credit]]-Cleaned[[#This Row],[Debit]]</f>
        <v>-77.790000000000006</v>
      </c>
      <c r="N868" t="str">
        <f>_xlfn.XLOOKUP(Cleaned[[#This Row],[AccountName]], Account_Mapping!A:A, Account_Mapping!B:B,"Unmapped")</f>
        <v>Operating Expense</v>
      </c>
      <c r="O868" cm="1">
        <f t="array" ref="O868">_xlfn.XLOOKUP(
  1,
  (FX_Rates[Currency]=Cleaned[[#This Row],[Currency]])*
  (FX_Rates[RateDate]&lt;=Cleaned[[#This Row],[TxnDate]]),
  FX_Rates[Rate_To_INR],
  ,
  -1
)</f>
        <v>82</v>
      </c>
      <c r="P868" s="2">
        <f>Cleaned[[#This Row],[Net Amount]] *  Cleaned[[#This Row],[FX_rates]]</f>
        <v>-6378.7800000000007</v>
      </c>
    </row>
    <row r="869" spans="1:16" x14ac:dyDescent="0.45">
      <c r="A869" t="s">
        <v>877</v>
      </c>
      <c r="B869" s="1">
        <v>45756</v>
      </c>
      <c r="C869" s="2" t="s">
        <v>2010</v>
      </c>
      <c r="D869" t="s">
        <v>2015</v>
      </c>
      <c r="E869">
        <v>0</v>
      </c>
      <c r="F869">
        <f>Cleaned[[#This Row],[Debit]] * Cleaned[[#This Row],[FX_rates]]</f>
        <v>0</v>
      </c>
      <c r="G869">
        <v>2100.39</v>
      </c>
      <c r="H869">
        <f>Cleaned[[#This Row],[Credit]] *  Cleaned[[#This Row],[FX_rates]]</f>
        <v>216340.16999999998</v>
      </c>
      <c r="I869" t="s">
        <v>2022</v>
      </c>
      <c r="J869" t="s">
        <v>2028</v>
      </c>
      <c r="K869" t="s">
        <v>2898</v>
      </c>
      <c r="L869" t="s">
        <v>4031</v>
      </c>
      <c r="M869">
        <f>Cleaned[[#This Row],[Credit]]-Cleaned[[#This Row],[Debit]]</f>
        <v>2100.39</v>
      </c>
      <c r="N869" t="str">
        <f>_xlfn.XLOOKUP(Cleaned[[#This Row],[AccountName]], Account_Mapping!A:A, Account_Mapping!B:B,"Unmapped")</f>
        <v>Revenue</v>
      </c>
      <c r="O869" cm="1">
        <f t="array" ref="O869">_xlfn.XLOOKUP(
  1,
  (FX_Rates[Currency]=Cleaned[[#This Row],[Currency]])*
  (FX_Rates[RateDate]&lt;=Cleaned[[#This Row],[TxnDate]]),
  FX_Rates[Rate_To_INR],
  ,
  -1
)</f>
        <v>103</v>
      </c>
      <c r="P869" s="2">
        <f>Cleaned[[#This Row],[Net Amount]] *  Cleaned[[#This Row],[FX_rates]]</f>
        <v>216340.16999999998</v>
      </c>
    </row>
    <row r="870" spans="1:16" x14ac:dyDescent="0.45">
      <c r="A870" t="s">
        <v>878</v>
      </c>
      <c r="B870" s="1">
        <v>45556</v>
      </c>
      <c r="C870" s="2" t="s">
        <v>2013</v>
      </c>
      <c r="D870" t="s">
        <v>2018</v>
      </c>
      <c r="E870">
        <v>882.8</v>
      </c>
      <c r="F870">
        <f>Cleaned[[#This Row],[Debit]] * Cleaned[[#This Row],[FX_rates]]</f>
        <v>49436.799999999996</v>
      </c>
      <c r="G870">
        <v>0</v>
      </c>
      <c r="H870">
        <f>Cleaned[[#This Row],[Credit]] *  Cleaned[[#This Row],[FX_rates]]</f>
        <v>0</v>
      </c>
      <c r="I870" t="s">
        <v>2025</v>
      </c>
      <c r="J870" t="s">
        <v>2028</v>
      </c>
      <c r="K870" t="s">
        <v>2899</v>
      </c>
      <c r="L870" t="s">
        <v>4033</v>
      </c>
      <c r="M870">
        <f>Cleaned[[#This Row],[Credit]]-Cleaned[[#This Row],[Debit]]</f>
        <v>-882.8</v>
      </c>
      <c r="N870" t="str">
        <f>_xlfn.XLOOKUP(Cleaned[[#This Row],[AccountName]], Account_Mapping!A:A, Account_Mapping!B:B,"Unmapped")</f>
        <v>Operating Expense</v>
      </c>
      <c r="O870" cm="1">
        <f t="array" ref="O870">_xlfn.XLOOKUP(
  1,
  (FX_Rates[Currency]=Cleaned[[#This Row],[Currency]])*
  (FX_Rates[RateDate]&lt;=Cleaned[[#This Row],[TxnDate]]),
  FX_Rates[Rate_To_INR],
  ,
  -1
)</f>
        <v>56</v>
      </c>
      <c r="P870" s="2">
        <f>Cleaned[[#This Row],[Net Amount]] *  Cleaned[[#This Row],[FX_rates]]</f>
        <v>-49436.799999999996</v>
      </c>
    </row>
    <row r="871" spans="1:16" x14ac:dyDescent="0.45">
      <c r="A871" t="s">
        <v>879</v>
      </c>
      <c r="B871" s="1">
        <v>45137</v>
      </c>
      <c r="C871" s="2" t="s">
        <v>2014</v>
      </c>
      <c r="D871" t="s">
        <v>2019</v>
      </c>
      <c r="E871">
        <v>0</v>
      </c>
      <c r="F871">
        <f>Cleaned[[#This Row],[Debit]] * Cleaned[[#This Row],[FX_rates]]</f>
        <v>0</v>
      </c>
      <c r="G871">
        <v>3194.96</v>
      </c>
      <c r="H871">
        <f>Cleaned[[#This Row],[Credit]] *  Cleaned[[#This Row],[FX_rates]]</f>
        <v>261986.72</v>
      </c>
      <c r="I871" t="s">
        <v>2024</v>
      </c>
      <c r="J871" t="s">
        <v>2026</v>
      </c>
      <c r="K871" t="s">
        <v>2900</v>
      </c>
      <c r="L871" t="s">
        <v>4034</v>
      </c>
      <c r="M871">
        <f>Cleaned[[#This Row],[Credit]]-Cleaned[[#This Row],[Debit]]</f>
        <v>3194.96</v>
      </c>
      <c r="N871" t="str">
        <f>_xlfn.XLOOKUP(Cleaned[[#This Row],[AccountName]], Account_Mapping!A:A, Account_Mapping!B:B,"Unmapped")</f>
        <v>Revenue</v>
      </c>
      <c r="O871" cm="1">
        <f t="array" ref="O871">_xlfn.XLOOKUP(
  1,
  (FX_Rates[Currency]=Cleaned[[#This Row],[Currency]])*
  (FX_Rates[RateDate]&lt;=Cleaned[[#This Row],[TxnDate]]),
  FX_Rates[Rate_To_INR],
  ,
  -1
)</f>
        <v>82</v>
      </c>
      <c r="P871" s="2">
        <f>Cleaned[[#This Row],[Net Amount]] *  Cleaned[[#This Row],[FX_rates]]</f>
        <v>261986.72</v>
      </c>
    </row>
    <row r="872" spans="1:16" x14ac:dyDescent="0.45">
      <c r="A872" t="s">
        <v>880</v>
      </c>
      <c r="B872" s="1">
        <v>45662</v>
      </c>
      <c r="C872" s="2" t="s">
        <v>2012</v>
      </c>
      <c r="D872" t="s">
        <v>2017</v>
      </c>
      <c r="E872">
        <v>981.76</v>
      </c>
      <c r="F872">
        <f>Cleaned[[#This Row],[Debit]] * Cleaned[[#This Row],[FX_rates]]</f>
        <v>86394.880000000005</v>
      </c>
      <c r="G872">
        <v>0</v>
      </c>
      <c r="H872">
        <f>Cleaned[[#This Row],[Credit]] *  Cleaned[[#This Row],[FX_rates]]</f>
        <v>0</v>
      </c>
      <c r="I872" t="s">
        <v>2024</v>
      </c>
      <c r="J872" t="s">
        <v>2029</v>
      </c>
      <c r="K872" t="s">
        <v>2901</v>
      </c>
      <c r="L872" t="s">
        <v>4032</v>
      </c>
      <c r="M872">
        <f>Cleaned[[#This Row],[Credit]]-Cleaned[[#This Row],[Debit]]</f>
        <v>-981.76</v>
      </c>
      <c r="N872" t="str">
        <f>_xlfn.XLOOKUP(Cleaned[[#This Row],[AccountName]], Account_Mapping!A:A, Account_Mapping!B:B,"Unmapped")</f>
        <v>Operating Expense</v>
      </c>
      <c r="O872" cm="1">
        <f t="array" ref="O872">_xlfn.XLOOKUP(
  1,
  (FX_Rates[Currency]=Cleaned[[#This Row],[Currency]])*
  (FX_Rates[RateDate]&lt;=Cleaned[[#This Row],[TxnDate]]),
  FX_Rates[Rate_To_INR],
  ,
  -1
)</f>
        <v>88</v>
      </c>
      <c r="P872" s="2">
        <f>Cleaned[[#This Row],[Net Amount]] *  Cleaned[[#This Row],[FX_rates]]</f>
        <v>-86394.880000000005</v>
      </c>
    </row>
    <row r="873" spans="1:16" x14ac:dyDescent="0.45">
      <c r="A873" t="s">
        <v>881</v>
      </c>
      <c r="B873" s="1">
        <v>45080</v>
      </c>
      <c r="C873" s="2" t="s">
        <v>2014</v>
      </c>
      <c r="D873" t="s">
        <v>2019</v>
      </c>
      <c r="E873">
        <v>0</v>
      </c>
      <c r="F873">
        <f>Cleaned[[#This Row],[Debit]] * Cleaned[[#This Row],[FX_rates]]</f>
        <v>0</v>
      </c>
      <c r="G873">
        <v>1322.78</v>
      </c>
      <c r="H873">
        <f>Cleaned[[#This Row],[Credit]] *  Cleaned[[#This Row],[FX_rates]]</f>
        <v>108467.95999999999</v>
      </c>
      <c r="I873" t="s">
        <v>2021</v>
      </c>
      <c r="J873" t="s">
        <v>2029</v>
      </c>
      <c r="K873" t="s">
        <v>2902</v>
      </c>
      <c r="L873" t="s">
        <v>4034</v>
      </c>
      <c r="M873">
        <f>Cleaned[[#This Row],[Credit]]-Cleaned[[#This Row],[Debit]]</f>
        <v>1322.78</v>
      </c>
      <c r="N873" t="str">
        <f>_xlfn.XLOOKUP(Cleaned[[#This Row],[AccountName]], Account_Mapping!A:A, Account_Mapping!B:B,"Unmapped")</f>
        <v>Revenue</v>
      </c>
      <c r="O873" cm="1">
        <f t="array" ref="O873">_xlfn.XLOOKUP(
  1,
  (FX_Rates[Currency]=Cleaned[[#This Row],[Currency]])*
  (FX_Rates[RateDate]&lt;=Cleaned[[#This Row],[TxnDate]]),
  FX_Rates[Rate_To_INR],
  ,
  -1
)</f>
        <v>82</v>
      </c>
      <c r="P873" s="2">
        <f>Cleaned[[#This Row],[Net Amount]] *  Cleaned[[#This Row],[FX_rates]]</f>
        <v>108467.95999999999</v>
      </c>
    </row>
    <row r="874" spans="1:16" x14ac:dyDescent="0.45">
      <c r="A874" t="s">
        <v>882</v>
      </c>
      <c r="B874" s="1">
        <v>45300</v>
      </c>
      <c r="C874" s="2" t="s">
        <v>2012</v>
      </c>
      <c r="D874" t="s">
        <v>2017</v>
      </c>
      <c r="E874">
        <v>508.47</v>
      </c>
      <c r="F874">
        <f>Cleaned[[#This Row],[Debit]] * Cleaned[[#This Row],[FX_rates]]</f>
        <v>41694.54</v>
      </c>
      <c r="G874">
        <v>0</v>
      </c>
      <c r="H874">
        <f>Cleaned[[#This Row],[Credit]] *  Cleaned[[#This Row],[FX_rates]]</f>
        <v>0</v>
      </c>
      <c r="I874" t="s">
        <v>2022</v>
      </c>
      <c r="J874" t="s">
        <v>2026</v>
      </c>
      <c r="K874" t="s">
        <v>2903</v>
      </c>
      <c r="L874" t="s">
        <v>4034</v>
      </c>
      <c r="M874">
        <f>Cleaned[[#This Row],[Credit]]-Cleaned[[#This Row],[Debit]]</f>
        <v>-508.47</v>
      </c>
      <c r="N874" t="str">
        <f>_xlfn.XLOOKUP(Cleaned[[#This Row],[AccountName]], Account_Mapping!A:A, Account_Mapping!B:B,"Unmapped")</f>
        <v>Operating Expense</v>
      </c>
      <c r="O874" cm="1">
        <f t="array" ref="O874">_xlfn.XLOOKUP(
  1,
  (FX_Rates[Currency]=Cleaned[[#This Row],[Currency]])*
  (FX_Rates[RateDate]&lt;=Cleaned[[#This Row],[TxnDate]]),
  FX_Rates[Rate_To_INR],
  ,
  -1
)</f>
        <v>82</v>
      </c>
      <c r="P874" s="2">
        <f>Cleaned[[#This Row],[Net Amount]] *  Cleaned[[#This Row],[FX_rates]]</f>
        <v>-41694.54</v>
      </c>
    </row>
    <row r="875" spans="1:16" x14ac:dyDescent="0.45">
      <c r="A875" t="s">
        <v>883</v>
      </c>
      <c r="B875" s="1">
        <v>45771</v>
      </c>
      <c r="C875" s="2" t="s">
        <v>2012</v>
      </c>
      <c r="D875" t="s">
        <v>2017</v>
      </c>
      <c r="E875">
        <v>1587.23</v>
      </c>
      <c r="F875">
        <f>Cleaned[[#This Row],[Debit]] * Cleaned[[#This Row],[FX_rates]]</f>
        <v>88884.88</v>
      </c>
      <c r="G875">
        <v>0</v>
      </c>
      <c r="H875">
        <f>Cleaned[[#This Row],[Credit]] *  Cleaned[[#This Row],[FX_rates]]</f>
        <v>0</v>
      </c>
      <c r="I875" t="s">
        <v>2024</v>
      </c>
      <c r="J875" t="s">
        <v>2029</v>
      </c>
      <c r="K875" t="s">
        <v>2904</v>
      </c>
      <c r="L875" t="s">
        <v>4033</v>
      </c>
      <c r="M875">
        <f>Cleaned[[#This Row],[Credit]]-Cleaned[[#This Row],[Debit]]</f>
        <v>-1587.23</v>
      </c>
      <c r="N875" t="str">
        <f>_xlfn.XLOOKUP(Cleaned[[#This Row],[AccountName]], Account_Mapping!A:A, Account_Mapping!B:B,"Unmapped")</f>
        <v>Operating Expense</v>
      </c>
      <c r="O875" cm="1">
        <f t="array" ref="O875">_xlfn.XLOOKUP(
  1,
  (FX_Rates[Currency]=Cleaned[[#This Row],[Currency]])*
  (FX_Rates[RateDate]&lt;=Cleaned[[#This Row],[TxnDate]]),
  FX_Rates[Rate_To_INR],
  ,
  -1
)</f>
        <v>56</v>
      </c>
      <c r="P875" s="2">
        <f>Cleaned[[#This Row],[Net Amount]] *  Cleaned[[#This Row],[FX_rates]]</f>
        <v>-88884.88</v>
      </c>
    </row>
    <row r="876" spans="1:16" x14ac:dyDescent="0.45">
      <c r="A876" t="s">
        <v>884</v>
      </c>
      <c r="B876" s="1">
        <v>45678</v>
      </c>
      <c r="C876" s="2" t="s">
        <v>2010</v>
      </c>
      <c r="D876" t="s">
        <v>2015</v>
      </c>
      <c r="E876">
        <v>0</v>
      </c>
      <c r="F876">
        <f>Cleaned[[#This Row],[Debit]] * Cleaned[[#This Row],[FX_rates]]</f>
        <v>0</v>
      </c>
      <c r="G876">
        <v>2067.5700000000002</v>
      </c>
      <c r="H876">
        <f>Cleaned[[#This Row],[Credit]] *  Cleaned[[#This Row],[FX_rates]]</f>
        <v>212959.71000000002</v>
      </c>
      <c r="I876" t="s">
        <v>2024</v>
      </c>
      <c r="J876" t="s">
        <v>2030</v>
      </c>
      <c r="K876" t="s">
        <v>2905</v>
      </c>
      <c r="L876" t="s">
        <v>4031</v>
      </c>
      <c r="M876">
        <f>Cleaned[[#This Row],[Credit]]-Cleaned[[#This Row],[Debit]]</f>
        <v>2067.5700000000002</v>
      </c>
      <c r="N876" t="str">
        <f>_xlfn.XLOOKUP(Cleaned[[#This Row],[AccountName]], Account_Mapping!A:A, Account_Mapping!B:B,"Unmapped")</f>
        <v>Revenue</v>
      </c>
      <c r="O876" cm="1">
        <f t="array" ref="O876">_xlfn.XLOOKUP(
  1,
  (FX_Rates[Currency]=Cleaned[[#This Row],[Currency]])*
  (FX_Rates[RateDate]&lt;=Cleaned[[#This Row],[TxnDate]]),
  FX_Rates[Rate_To_INR],
  ,
  -1
)</f>
        <v>103</v>
      </c>
      <c r="P876" s="2">
        <f>Cleaned[[#This Row],[Net Amount]] *  Cleaned[[#This Row],[FX_rates]]</f>
        <v>212959.71000000002</v>
      </c>
    </row>
    <row r="877" spans="1:16" x14ac:dyDescent="0.45">
      <c r="A877" t="s">
        <v>885</v>
      </c>
      <c r="B877" s="1">
        <v>45138</v>
      </c>
      <c r="C877" s="2" t="s">
        <v>2010</v>
      </c>
      <c r="D877" t="s">
        <v>2015</v>
      </c>
      <c r="E877">
        <v>0</v>
      </c>
      <c r="F877">
        <f>Cleaned[[#This Row],[Debit]] * Cleaned[[#This Row],[FX_rates]]</f>
        <v>0</v>
      </c>
      <c r="G877">
        <v>1379.98</v>
      </c>
      <c r="H877">
        <f>Cleaned[[#This Row],[Credit]] *  Cleaned[[#This Row],[FX_rates]]</f>
        <v>84178.78</v>
      </c>
      <c r="I877" t="s">
        <v>2023</v>
      </c>
      <c r="J877" t="s">
        <v>2028</v>
      </c>
      <c r="K877" t="s">
        <v>2906</v>
      </c>
      <c r="L877" t="s">
        <v>4035</v>
      </c>
      <c r="M877">
        <f>Cleaned[[#This Row],[Credit]]-Cleaned[[#This Row],[Debit]]</f>
        <v>1379.98</v>
      </c>
      <c r="N877" t="str">
        <f>_xlfn.XLOOKUP(Cleaned[[#This Row],[AccountName]], Account_Mapping!A:A, Account_Mapping!B:B,"Unmapped")</f>
        <v>Revenue</v>
      </c>
      <c r="O877" cm="1">
        <f t="array" ref="O877">_xlfn.XLOOKUP(
  1,
  (FX_Rates[Currency]=Cleaned[[#This Row],[Currency]])*
  (FX_Rates[RateDate]&lt;=Cleaned[[#This Row],[TxnDate]]),
  FX_Rates[Rate_To_INR],
  ,
  -1
)</f>
        <v>61</v>
      </c>
      <c r="P877" s="2">
        <f>Cleaned[[#This Row],[Net Amount]] *  Cleaned[[#This Row],[FX_rates]]</f>
        <v>84178.78</v>
      </c>
    </row>
    <row r="878" spans="1:16" x14ac:dyDescent="0.45">
      <c r="A878" t="s">
        <v>886</v>
      </c>
      <c r="B878" s="1">
        <v>45626</v>
      </c>
      <c r="C878" s="2" t="s">
        <v>2014</v>
      </c>
      <c r="D878" t="s">
        <v>2019</v>
      </c>
      <c r="E878">
        <v>0</v>
      </c>
      <c r="F878">
        <f>Cleaned[[#This Row],[Debit]] * Cleaned[[#This Row],[FX_rates]]</f>
        <v>0</v>
      </c>
      <c r="G878">
        <v>4346.96</v>
      </c>
      <c r="H878">
        <f>Cleaned[[#This Row],[Credit]] *  Cleaned[[#This Row],[FX_rates]]</f>
        <v>265164.56</v>
      </c>
      <c r="I878" t="s">
        <v>2024</v>
      </c>
      <c r="J878" t="s">
        <v>2028</v>
      </c>
      <c r="K878" t="s">
        <v>2907</v>
      </c>
      <c r="L878" t="s">
        <v>4035</v>
      </c>
      <c r="M878">
        <f>Cleaned[[#This Row],[Credit]]-Cleaned[[#This Row],[Debit]]</f>
        <v>4346.96</v>
      </c>
      <c r="N878" t="str">
        <f>_xlfn.XLOOKUP(Cleaned[[#This Row],[AccountName]], Account_Mapping!A:A, Account_Mapping!B:B,"Unmapped")</f>
        <v>Revenue</v>
      </c>
      <c r="O878" cm="1">
        <f t="array" ref="O878">_xlfn.XLOOKUP(
  1,
  (FX_Rates[Currency]=Cleaned[[#This Row],[Currency]])*
  (FX_Rates[RateDate]&lt;=Cleaned[[#This Row],[TxnDate]]),
  FX_Rates[Rate_To_INR],
  ,
  -1
)</f>
        <v>61</v>
      </c>
      <c r="P878" s="2">
        <f>Cleaned[[#This Row],[Net Amount]] *  Cleaned[[#This Row],[FX_rates]]</f>
        <v>265164.56</v>
      </c>
    </row>
    <row r="879" spans="1:16" x14ac:dyDescent="0.45">
      <c r="A879" t="s">
        <v>887</v>
      </c>
      <c r="B879" s="1">
        <v>45095</v>
      </c>
      <c r="C879" s="2" t="s">
        <v>2010</v>
      </c>
      <c r="D879" t="s">
        <v>2015</v>
      </c>
      <c r="E879">
        <v>0</v>
      </c>
      <c r="F879">
        <f>Cleaned[[#This Row],[Debit]] * Cleaned[[#This Row],[FX_rates]]</f>
        <v>0</v>
      </c>
      <c r="G879">
        <v>525.34</v>
      </c>
      <c r="H879">
        <f>Cleaned[[#This Row],[Credit]] *  Cleaned[[#This Row],[FX_rates]]</f>
        <v>54110.020000000004</v>
      </c>
      <c r="I879" t="s">
        <v>2021</v>
      </c>
      <c r="J879" t="s">
        <v>2029</v>
      </c>
      <c r="K879" t="s">
        <v>2908</v>
      </c>
      <c r="L879" t="s">
        <v>4031</v>
      </c>
      <c r="M879">
        <f>Cleaned[[#This Row],[Credit]]-Cleaned[[#This Row],[Debit]]</f>
        <v>525.34</v>
      </c>
      <c r="N879" t="str">
        <f>_xlfn.XLOOKUP(Cleaned[[#This Row],[AccountName]], Account_Mapping!A:A, Account_Mapping!B:B,"Unmapped")</f>
        <v>Revenue</v>
      </c>
      <c r="O879" cm="1">
        <f t="array" ref="O879">_xlfn.XLOOKUP(
  1,
  (FX_Rates[Currency]=Cleaned[[#This Row],[Currency]])*
  (FX_Rates[RateDate]&lt;=Cleaned[[#This Row],[TxnDate]]),
  FX_Rates[Rate_To_INR],
  ,
  -1
)</f>
        <v>103</v>
      </c>
      <c r="P879" s="2">
        <f>Cleaned[[#This Row],[Net Amount]] *  Cleaned[[#This Row],[FX_rates]]</f>
        <v>54110.020000000004</v>
      </c>
    </row>
    <row r="880" spans="1:16" x14ac:dyDescent="0.45">
      <c r="A880" t="s">
        <v>888</v>
      </c>
      <c r="B880" s="1">
        <v>45270</v>
      </c>
      <c r="C880" s="2" t="s">
        <v>2013</v>
      </c>
      <c r="D880" t="s">
        <v>2018</v>
      </c>
      <c r="E880">
        <v>275.32</v>
      </c>
      <c r="F880">
        <f>Cleaned[[#This Row],[Debit]] * Cleaned[[#This Row],[FX_rates]]</f>
        <v>22576.239999999998</v>
      </c>
      <c r="G880">
        <v>0</v>
      </c>
      <c r="H880">
        <f>Cleaned[[#This Row],[Credit]] *  Cleaned[[#This Row],[FX_rates]]</f>
        <v>0</v>
      </c>
      <c r="I880" t="s">
        <v>2021</v>
      </c>
      <c r="J880" t="s">
        <v>2029</v>
      </c>
      <c r="K880" t="s">
        <v>2909</v>
      </c>
      <c r="L880" t="s">
        <v>4034</v>
      </c>
      <c r="M880">
        <f>Cleaned[[#This Row],[Credit]]-Cleaned[[#This Row],[Debit]]</f>
        <v>-275.32</v>
      </c>
      <c r="N880" t="str">
        <f>_xlfn.XLOOKUP(Cleaned[[#This Row],[AccountName]], Account_Mapping!A:A, Account_Mapping!B:B,"Unmapped")</f>
        <v>Operating Expense</v>
      </c>
      <c r="O880" cm="1">
        <f t="array" ref="O880">_xlfn.XLOOKUP(
  1,
  (FX_Rates[Currency]=Cleaned[[#This Row],[Currency]])*
  (FX_Rates[RateDate]&lt;=Cleaned[[#This Row],[TxnDate]]),
  FX_Rates[Rate_To_INR],
  ,
  -1
)</f>
        <v>82</v>
      </c>
      <c r="P880" s="2">
        <f>Cleaned[[#This Row],[Net Amount]] *  Cleaned[[#This Row],[FX_rates]]</f>
        <v>-22576.239999999998</v>
      </c>
    </row>
    <row r="881" spans="1:16" x14ac:dyDescent="0.45">
      <c r="A881" t="s">
        <v>889</v>
      </c>
      <c r="B881" s="1">
        <v>45475</v>
      </c>
      <c r="C881" s="2" t="s">
        <v>2012</v>
      </c>
      <c r="D881" t="s">
        <v>2017</v>
      </c>
      <c r="E881">
        <v>1408.29</v>
      </c>
      <c r="F881">
        <f>Cleaned[[#This Row],[Debit]] * Cleaned[[#This Row],[FX_rates]]</f>
        <v>85905.69</v>
      </c>
      <c r="G881">
        <v>0</v>
      </c>
      <c r="H881">
        <f>Cleaned[[#This Row],[Credit]] *  Cleaned[[#This Row],[FX_rates]]</f>
        <v>0</v>
      </c>
      <c r="I881" t="s">
        <v>2020</v>
      </c>
      <c r="J881" t="s">
        <v>2027</v>
      </c>
      <c r="K881" t="s">
        <v>2910</v>
      </c>
      <c r="L881" t="s">
        <v>4035</v>
      </c>
      <c r="M881">
        <f>Cleaned[[#This Row],[Credit]]-Cleaned[[#This Row],[Debit]]</f>
        <v>-1408.29</v>
      </c>
      <c r="N881" t="str">
        <f>_xlfn.XLOOKUP(Cleaned[[#This Row],[AccountName]], Account_Mapping!A:A, Account_Mapping!B:B,"Unmapped")</f>
        <v>Operating Expense</v>
      </c>
      <c r="O881" cm="1">
        <f t="array" ref="O881">_xlfn.XLOOKUP(
  1,
  (FX_Rates[Currency]=Cleaned[[#This Row],[Currency]])*
  (FX_Rates[RateDate]&lt;=Cleaned[[#This Row],[TxnDate]]),
  FX_Rates[Rate_To_INR],
  ,
  -1
)</f>
        <v>61</v>
      </c>
      <c r="P881" s="2">
        <f>Cleaned[[#This Row],[Net Amount]] *  Cleaned[[#This Row],[FX_rates]]</f>
        <v>-85905.69</v>
      </c>
    </row>
    <row r="882" spans="1:16" x14ac:dyDescent="0.45">
      <c r="A882" t="s">
        <v>890</v>
      </c>
      <c r="B882" s="1">
        <v>45479</v>
      </c>
      <c r="C882" s="2" t="s">
        <v>2014</v>
      </c>
      <c r="D882" t="s">
        <v>2019</v>
      </c>
      <c r="E882">
        <v>0</v>
      </c>
      <c r="F882">
        <f>Cleaned[[#This Row],[Debit]] * Cleaned[[#This Row],[FX_rates]]</f>
        <v>0</v>
      </c>
      <c r="G882">
        <v>2640.87</v>
      </c>
      <c r="H882">
        <f>Cleaned[[#This Row],[Credit]] *  Cleaned[[#This Row],[FX_rates]]</f>
        <v>216551.34</v>
      </c>
      <c r="I882" t="s">
        <v>2022</v>
      </c>
      <c r="J882" t="s">
        <v>2026</v>
      </c>
      <c r="K882" t="s">
        <v>2911</v>
      </c>
      <c r="L882" t="s">
        <v>4034</v>
      </c>
      <c r="M882">
        <f>Cleaned[[#This Row],[Credit]]-Cleaned[[#This Row],[Debit]]</f>
        <v>2640.87</v>
      </c>
      <c r="N882" t="str">
        <f>_xlfn.XLOOKUP(Cleaned[[#This Row],[AccountName]], Account_Mapping!A:A, Account_Mapping!B:B,"Unmapped")</f>
        <v>Revenue</v>
      </c>
      <c r="O882" cm="1">
        <f t="array" ref="O882">_xlfn.XLOOKUP(
  1,
  (FX_Rates[Currency]=Cleaned[[#This Row],[Currency]])*
  (FX_Rates[RateDate]&lt;=Cleaned[[#This Row],[TxnDate]]),
  FX_Rates[Rate_To_INR],
  ,
  -1
)</f>
        <v>82</v>
      </c>
      <c r="P882" s="2">
        <f>Cleaned[[#This Row],[Net Amount]] *  Cleaned[[#This Row],[FX_rates]]</f>
        <v>216551.34</v>
      </c>
    </row>
    <row r="883" spans="1:16" x14ac:dyDescent="0.45">
      <c r="A883" t="s">
        <v>891</v>
      </c>
      <c r="B883" s="1">
        <v>45754</v>
      </c>
      <c r="C883" s="2" t="s">
        <v>2010</v>
      </c>
      <c r="D883" t="s">
        <v>2015</v>
      </c>
      <c r="E883">
        <v>0</v>
      </c>
      <c r="F883">
        <f>Cleaned[[#This Row],[Debit]] * Cleaned[[#This Row],[FX_rates]]</f>
        <v>0</v>
      </c>
      <c r="G883">
        <v>2978.56</v>
      </c>
      <c r="H883">
        <f>Cleaned[[#This Row],[Credit]] *  Cleaned[[#This Row],[FX_rates]]</f>
        <v>306791.67999999999</v>
      </c>
      <c r="I883" t="s">
        <v>2025</v>
      </c>
      <c r="J883" t="s">
        <v>2029</v>
      </c>
      <c r="K883" t="s">
        <v>2912</v>
      </c>
      <c r="L883" t="s">
        <v>4031</v>
      </c>
      <c r="M883">
        <f>Cleaned[[#This Row],[Credit]]-Cleaned[[#This Row],[Debit]]</f>
        <v>2978.56</v>
      </c>
      <c r="N883" t="str">
        <f>_xlfn.XLOOKUP(Cleaned[[#This Row],[AccountName]], Account_Mapping!A:A, Account_Mapping!B:B,"Unmapped")</f>
        <v>Revenue</v>
      </c>
      <c r="O883" cm="1">
        <f t="array" ref="O883">_xlfn.XLOOKUP(
  1,
  (FX_Rates[Currency]=Cleaned[[#This Row],[Currency]])*
  (FX_Rates[RateDate]&lt;=Cleaned[[#This Row],[TxnDate]]),
  FX_Rates[Rate_To_INR],
  ,
  -1
)</f>
        <v>103</v>
      </c>
      <c r="P883" s="2">
        <f>Cleaned[[#This Row],[Net Amount]] *  Cleaned[[#This Row],[FX_rates]]</f>
        <v>306791.67999999999</v>
      </c>
    </row>
    <row r="884" spans="1:16" x14ac:dyDescent="0.45">
      <c r="A884" t="s">
        <v>892</v>
      </c>
      <c r="B884" s="1">
        <v>45282</v>
      </c>
      <c r="C884" s="2" t="s">
        <v>2013</v>
      </c>
      <c r="D884" t="s">
        <v>2018</v>
      </c>
      <c r="E884">
        <v>100.56</v>
      </c>
      <c r="F884">
        <f>Cleaned[[#This Row],[Debit]] * Cleaned[[#This Row],[FX_rates]]</f>
        <v>6134.16</v>
      </c>
      <c r="G884">
        <v>0</v>
      </c>
      <c r="H884">
        <f>Cleaned[[#This Row],[Credit]] *  Cleaned[[#This Row],[FX_rates]]</f>
        <v>0</v>
      </c>
      <c r="I884" t="s">
        <v>2021</v>
      </c>
      <c r="J884" t="s">
        <v>2026</v>
      </c>
      <c r="K884" t="s">
        <v>2913</v>
      </c>
      <c r="L884" t="s">
        <v>4035</v>
      </c>
      <c r="M884">
        <f>Cleaned[[#This Row],[Credit]]-Cleaned[[#This Row],[Debit]]</f>
        <v>-100.56</v>
      </c>
      <c r="N884" t="str">
        <f>_xlfn.XLOOKUP(Cleaned[[#This Row],[AccountName]], Account_Mapping!A:A, Account_Mapping!B:B,"Unmapped")</f>
        <v>Operating Expense</v>
      </c>
      <c r="O884" cm="1">
        <f t="array" ref="O884">_xlfn.XLOOKUP(
  1,
  (FX_Rates[Currency]=Cleaned[[#This Row],[Currency]])*
  (FX_Rates[RateDate]&lt;=Cleaned[[#This Row],[TxnDate]]),
  FX_Rates[Rate_To_INR],
  ,
  -1
)</f>
        <v>61</v>
      </c>
      <c r="P884" s="2">
        <f>Cleaned[[#This Row],[Net Amount]] *  Cleaned[[#This Row],[FX_rates]]</f>
        <v>-6134.16</v>
      </c>
    </row>
    <row r="885" spans="1:16" x14ac:dyDescent="0.45">
      <c r="A885" t="s">
        <v>893</v>
      </c>
      <c r="B885" s="1">
        <v>45323</v>
      </c>
      <c r="C885" s="2" t="s">
        <v>2013</v>
      </c>
      <c r="D885" t="s">
        <v>2018</v>
      </c>
      <c r="E885">
        <v>581.4</v>
      </c>
      <c r="F885">
        <f>Cleaned[[#This Row],[Debit]] * Cleaned[[#This Row],[FX_rates]]</f>
        <v>32558.399999999998</v>
      </c>
      <c r="G885">
        <v>0</v>
      </c>
      <c r="H885">
        <f>Cleaned[[#This Row],[Credit]] *  Cleaned[[#This Row],[FX_rates]]</f>
        <v>0</v>
      </c>
      <c r="I885" t="s">
        <v>2022</v>
      </c>
      <c r="J885" t="s">
        <v>2028</v>
      </c>
      <c r="K885" t="s">
        <v>2914</v>
      </c>
      <c r="L885" t="s">
        <v>4033</v>
      </c>
      <c r="M885">
        <f>Cleaned[[#This Row],[Credit]]-Cleaned[[#This Row],[Debit]]</f>
        <v>-581.4</v>
      </c>
      <c r="N885" t="str">
        <f>_xlfn.XLOOKUP(Cleaned[[#This Row],[AccountName]], Account_Mapping!A:A, Account_Mapping!B:B,"Unmapped")</f>
        <v>Operating Expense</v>
      </c>
      <c r="O885" cm="1">
        <f t="array" ref="O885">_xlfn.XLOOKUP(
  1,
  (FX_Rates[Currency]=Cleaned[[#This Row],[Currency]])*
  (FX_Rates[RateDate]&lt;=Cleaned[[#This Row],[TxnDate]]),
  FX_Rates[Rate_To_INR],
  ,
  -1
)</f>
        <v>56</v>
      </c>
      <c r="P885" s="2">
        <f>Cleaned[[#This Row],[Net Amount]] *  Cleaned[[#This Row],[FX_rates]]</f>
        <v>-32558.399999999998</v>
      </c>
    </row>
    <row r="886" spans="1:16" x14ac:dyDescent="0.45">
      <c r="A886" t="s">
        <v>894</v>
      </c>
      <c r="B886" s="1">
        <v>44950</v>
      </c>
      <c r="C886" s="2" t="s">
        <v>2012</v>
      </c>
      <c r="D886" t="s">
        <v>2017</v>
      </c>
      <c r="E886">
        <v>176.17</v>
      </c>
      <c r="F886">
        <f>Cleaned[[#This Row],[Debit]] * Cleaned[[#This Row],[FX_rates]]</f>
        <v>14445.939999999999</v>
      </c>
      <c r="G886">
        <v>0</v>
      </c>
      <c r="H886">
        <f>Cleaned[[#This Row],[Credit]] *  Cleaned[[#This Row],[FX_rates]]</f>
        <v>0</v>
      </c>
      <c r="I886" t="s">
        <v>2020</v>
      </c>
      <c r="J886" t="s">
        <v>2030</v>
      </c>
      <c r="K886" t="s">
        <v>2915</v>
      </c>
      <c r="L886" t="s">
        <v>4034</v>
      </c>
      <c r="M886">
        <f>Cleaned[[#This Row],[Credit]]-Cleaned[[#This Row],[Debit]]</f>
        <v>-176.17</v>
      </c>
      <c r="N886" t="str">
        <f>_xlfn.XLOOKUP(Cleaned[[#This Row],[AccountName]], Account_Mapping!A:A, Account_Mapping!B:B,"Unmapped")</f>
        <v>Operating Expense</v>
      </c>
      <c r="O886" cm="1">
        <f t="array" ref="O886">_xlfn.XLOOKUP(
  1,
  (FX_Rates[Currency]=Cleaned[[#This Row],[Currency]])*
  (FX_Rates[RateDate]&lt;=Cleaned[[#This Row],[TxnDate]]),
  FX_Rates[Rate_To_INR],
  ,
  -1
)</f>
        <v>82</v>
      </c>
      <c r="P886" s="2">
        <f>Cleaned[[#This Row],[Net Amount]] *  Cleaned[[#This Row],[FX_rates]]</f>
        <v>-14445.939999999999</v>
      </c>
    </row>
    <row r="887" spans="1:16" x14ac:dyDescent="0.45">
      <c r="A887" t="s">
        <v>895</v>
      </c>
      <c r="B887" s="1">
        <v>44966</v>
      </c>
      <c r="C887" s="2" t="s">
        <v>2013</v>
      </c>
      <c r="D887" t="s">
        <v>2018</v>
      </c>
      <c r="E887">
        <v>482.67</v>
      </c>
      <c r="F887">
        <f>Cleaned[[#This Row],[Debit]] * Cleaned[[#This Row],[FX_rates]]</f>
        <v>39578.94</v>
      </c>
      <c r="G887">
        <v>0</v>
      </c>
      <c r="H887">
        <f>Cleaned[[#This Row],[Credit]] *  Cleaned[[#This Row],[FX_rates]]</f>
        <v>0</v>
      </c>
      <c r="I887" t="s">
        <v>2022</v>
      </c>
      <c r="J887" t="s">
        <v>2030</v>
      </c>
      <c r="K887" t="s">
        <v>2916</v>
      </c>
      <c r="L887" t="s">
        <v>4034</v>
      </c>
      <c r="M887">
        <f>Cleaned[[#This Row],[Credit]]-Cleaned[[#This Row],[Debit]]</f>
        <v>-482.67</v>
      </c>
      <c r="N887" t="str">
        <f>_xlfn.XLOOKUP(Cleaned[[#This Row],[AccountName]], Account_Mapping!A:A, Account_Mapping!B:B,"Unmapped")</f>
        <v>Operating Expense</v>
      </c>
      <c r="O887" cm="1">
        <f t="array" ref="O887">_xlfn.XLOOKUP(
  1,
  (FX_Rates[Currency]=Cleaned[[#This Row],[Currency]])*
  (FX_Rates[RateDate]&lt;=Cleaned[[#This Row],[TxnDate]]),
  FX_Rates[Rate_To_INR],
  ,
  -1
)</f>
        <v>82</v>
      </c>
      <c r="P887" s="2">
        <f>Cleaned[[#This Row],[Net Amount]] *  Cleaned[[#This Row],[FX_rates]]</f>
        <v>-39578.94</v>
      </c>
    </row>
    <row r="888" spans="1:16" x14ac:dyDescent="0.45">
      <c r="A888" t="s">
        <v>896</v>
      </c>
      <c r="B888" s="1">
        <v>45572</v>
      </c>
      <c r="C888" s="2" t="s">
        <v>2012</v>
      </c>
      <c r="D888" t="s">
        <v>2017</v>
      </c>
      <c r="E888">
        <v>1072.33</v>
      </c>
      <c r="F888">
        <f>Cleaned[[#This Row],[Debit]] * Cleaned[[#This Row],[FX_rates]]</f>
        <v>110449.98999999999</v>
      </c>
      <c r="G888">
        <v>0</v>
      </c>
      <c r="H888">
        <f>Cleaned[[#This Row],[Credit]] *  Cleaned[[#This Row],[FX_rates]]</f>
        <v>0</v>
      </c>
      <c r="I888" t="s">
        <v>2025</v>
      </c>
      <c r="J888" t="s">
        <v>2030</v>
      </c>
      <c r="K888" t="s">
        <v>2917</v>
      </c>
      <c r="L888" t="s">
        <v>4031</v>
      </c>
      <c r="M888">
        <f>Cleaned[[#This Row],[Credit]]-Cleaned[[#This Row],[Debit]]</f>
        <v>-1072.33</v>
      </c>
      <c r="N888" t="str">
        <f>_xlfn.XLOOKUP(Cleaned[[#This Row],[AccountName]], Account_Mapping!A:A, Account_Mapping!B:B,"Unmapped")</f>
        <v>Operating Expense</v>
      </c>
      <c r="O888" cm="1">
        <f t="array" ref="O888">_xlfn.XLOOKUP(
  1,
  (FX_Rates[Currency]=Cleaned[[#This Row],[Currency]])*
  (FX_Rates[RateDate]&lt;=Cleaned[[#This Row],[TxnDate]]),
  FX_Rates[Rate_To_INR],
  ,
  -1
)</f>
        <v>103</v>
      </c>
      <c r="P888" s="2">
        <f>Cleaned[[#This Row],[Net Amount]] *  Cleaned[[#This Row],[FX_rates]]</f>
        <v>-110449.98999999999</v>
      </c>
    </row>
    <row r="889" spans="1:16" x14ac:dyDescent="0.45">
      <c r="A889" t="s">
        <v>897</v>
      </c>
      <c r="B889" s="1">
        <v>45468</v>
      </c>
      <c r="C889" s="2" t="s">
        <v>2010</v>
      </c>
      <c r="D889" t="s">
        <v>2015</v>
      </c>
      <c r="E889">
        <v>0</v>
      </c>
      <c r="F889">
        <f>Cleaned[[#This Row],[Debit]] * Cleaned[[#This Row],[FX_rates]]</f>
        <v>0</v>
      </c>
      <c r="G889">
        <v>1700.49</v>
      </c>
      <c r="H889">
        <f>Cleaned[[#This Row],[Credit]] *  Cleaned[[#This Row],[FX_rates]]</f>
        <v>149643.12</v>
      </c>
      <c r="I889" t="s">
        <v>2024</v>
      </c>
      <c r="J889" t="s">
        <v>2030</v>
      </c>
      <c r="K889" t="s">
        <v>2918</v>
      </c>
      <c r="L889" t="s">
        <v>4032</v>
      </c>
      <c r="M889">
        <f>Cleaned[[#This Row],[Credit]]-Cleaned[[#This Row],[Debit]]</f>
        <v>1700.49</v>
      </c>
      <c r="N889" t="str">
        <f>_xlfn.XLOOKUP(Cleaned[[#This Row],[AccountName]], Account_Mapping!A:A, Account_Mapping!B:B,"Unmapped")</f>
        <v>Revenue</v>
      </c>
      <c r="O889" cm="1">
        <f t="array" ref="O889">_xlfn.XLOOKUP(
  1,
  (FX_Rates[Currency]=Cleaned[[#This Row],[Currency]])*
  (FX_Rates[RateDate]&lt;=Cleaned[[#This Row],[TxnDate]]),
  FX_Rates[Rate_To_INR],
  ,
  -1
)</f>
        <v>88</v>
      </c>
      <c r="P889" s="2">
        <f>Cleaned[[#This Row],[Net Amount]] *  Cleaned[[#This Row],[FX_rates]]</f>
        <v>149643.12</v>
      </c>
    </row>
    <row r="890" spans="1:16" x14ac:dyDescent="0.45">
      <c r="A890" t="s">
        <v>898</v>
      </c>
      <c r="B890" s="1">
        <v>45574</v>
      </c>
      <c r="C890" s="2" t="s">
        <v>2013</v>
      </c>
      <c r="D890" t="s">
        <v>2018</v>
      </c>
      <c r="E890">
        <v>1915.1</v>
      </c>
      <c r="F890">
        <f>Cleaned[[#This Row],[Debit]] * Cleaned[[#This Row],[FX_rates]]</f>
        <v>168528.8</v>
      </c>
      <c r="G890">
        <v>0</v>
      </c>
      <c r="H890">
        <f>Cleaned[[#This Row],[Credit]] *  Cleaned[[#This Row],[FX_rates]]</f>
        <v>0</v>
      </c>
      <c r="I890" t="s">
        <v>2022</v>
      </c>
      <c r="J890" t="s">
        <v>2030</v>
      </c>
      <c r="K890" t="s">
        <v>2919</v>
      </c>
      <c r="L890" t="s">
        <v>4032</v>
      </c>
      <c r="M890">
        <f>Cleaned[[#This Row],[Credit]]-Cleaned[[#This Row],[Debit]]</f>
        <v>-1915.1</v>
      </c>
      <c r="N890" t="str">
        <f>_xlfn.XLOOKUP(Cleaned[[#This Row],[AccountName]], Account_Mapping!A:A, Account_Mapping!B:B,"Unmapped")</f>
        <v>Operating Expense</v>
      </c>
      <c r="O890" cm="1">
        <f t="array" ref="O890">_xlfn.XLOOKUP(
  1,
  (FX_Rates[Currency]=Cleaned[[#This Row],[Currency]])*
  (FX_Rates[RateDate]&lt;=Cleaned[[#This Row],[TxnDate]]),
  FX_Rates[Rate_To_INR],
  ,
  -1
)</f>
        <v>88</v>
      </c>
      <c r="P890" s="2">
        <f>Cleaned[[#This Row],[Net Amount]] *  Cleaned[[#This Row],[FX_rates]]</f>
        <v>-168528.8</v>
      </c>
    </row>
    <row r="891" spans="1:16" x14ac:dyDescent="0.45">
      <c r="A891" t="s">
        <v>899</v>
      </c>
      <c r="B891" s="1">
        <v>45821</v>
      </c>
      <c r="C891" s="2" t="s">
        <v>2011</v>
      </c>
      <c r="D891" t="s">
        <v>2016</v>
      </c>
      <c r="E891">
        <v>1632.24</v>
      </c>
      <c r="F891">
        <f>Cleaned[[#This Row],[Debit]] * Cleaned[[#This Row],[FX_rates]]</f>
        <v>99566.64</v>
      </c>
      <c r="G891">
        <v>0</v>
      </c>
      <c r="H891">
        <f>Cleaned[[#This Row],[Credit]] *  Cleaned[[#This Row],[FX_rates]]</f>
        <v>0</v>
      </c>
      <c r="I891" t="s">
        <v>2025</v>
      </c>
      <c r="J891" t="s">
        <v>2028</v>
      </c>
      <c r="K891" t="s">
        <v>2920</v>
      </c>
      <c r="L891" t="s">
        <v>4035</v>
      </c>
      <c r="M891">
        <f>Cleaned[[#This Row],[Credit]]-Cleaned[[#This Row],[Debit]]</f>
        <v>-1632.24</v>
      </c>
      <c r="N891" t="str">
        <f>_xlfn.XLOOKUP(Cleaned[[#This Row],[AccountName]], Account_Mapping!A:A, Account_Mapping!B:B,"Unmapped")</f>
        <v>COGS</v>
      </c>
      <c r="O891" cm="1">
        <f t="array" ref="O891">_xlfn.XLOOKUP(
  1,
  (FX_Rates[Currency]=Cleaned[[#This Row],[Currency]])*
  (FX_Rates[RateDate]&lt;=Cleaned[[#This Row],[TxnDate]]),
  FX_Rates[Rate_To_INR],
  ,
  -1
)</f>
        <v>61</v>
      </c>
      <c r="P891" s="2">
        <f>Cleaned[[#This Row],[Net Amount]] *  Cleaned[[#This Row],[FX_rates]]</f>
        <v>-99566.64</v>
      </c>
    </row>
    <row r="892" spans="1:16" x14ac:dyDescent="0.45">
      <c r="A892" t="s">
        <v>900</v>
      </c>
      <c r="B892" s="1">
        <v>45718</v>
      </c>
      <c r="C892" s="2" t="s">
        <v>2014</v>
      </c>
      <c r="D892" t="s">
        <v>2019</v>
      </c>
      <c r="E892">
        <v>0</v>
      </c>
      <c r="F892">
        <f>Cleaned[[#This Row],[Debit]] * Cleaned[[#This Row],[FX_rates]]</f>
        <v>0</v>
      </c>
      <c r="G892">
        <v>2334.77</v>
      </c>
      <c r="H892">
        <f>Cleaned[[#This Row],[Credit]] *  Cleaned[[#This Row],[FX_rates]]</f>
        <v>240481.31</v>
      </c>
      <c r="I892" t="s">
        <v>2021</v>
      </c>
      <c r="J892" t="s">
        <v>2030</v>
      </c>
      <c r="K892" t="s">
        <v>2921</v>
      </c>
      <c r="L892" t="s">
        <v>4031</v>
      </c>
      <c r="M892">
        <f>Cleaned[[#This Row],[Credit]]-Cleaned[[#This Row],[Debit]]</f>
        <v>2334.77</v>
      </c>
      <c r="N892" t="str">
        <f>_xlfn.XLOOKUP(Cleaned[[#This Row],[AccountName]], Account_Mapping!A:A, Account_Mapping!B:B,"Unmapped")</f>
        <v>Revenue</v>
      </c>
      <c r="O892" cm="1">
        <f t="array" ref="O892">_xlfn.XLOOKUP(
  1,
  (FX_Rates[Currency]=Cleaned[[#This Row],[Currency]])*
  (FX_Rates[RateDate]&lt;=Cleaned[[#This Row],[TxnDate]]),
  FX_Rates[Rate_To_INR],
  ,
  -1
)</f>
        <v>103</v>
      </c>
      <c r="P892" s="2">
        <f>Cleaned[[#This Row],[Net Amount]] *  Cleaned[[#This Row],[FX_rates]]</f>
        <v>240481.31</v>
      </c>
    </row>
    <row r="893" spans="1:16" x14ac:dyDescent="0.45">
      <c r="A893" t="s">
        <v>901</v>
      </c>
      <c r="B893" s="1">
        <v>45068</v>
      </c>
      <c r="C893" s="2" t="s">
        <v>2010</v>
      </c>
      <c r="D893" t="s">
        <v>2015</v>
      </c>
      <c r="E893">
        <v>0</v>
      </c>
      <c r="F893">
        <f>Cleaned[[#This Row],[Debit]] * Cleaned[[#This Row],[FX_rates]]</f>
        <v>0</v>
      </c>
      <c r="G893">
        <v>2655.46</v>
      </c>
      <c r="H893">
        <f>Cleaned[[#This Row],[Credit]] *  Cleaned[[#This Row],[FX_rates]]</f>
        <v>161983.06</v>
      </c>
      <c r="I893" t="s">
        <v>2020</v>
      </c>
      <c r="J893" t="s">
        <v>2026</v>
      </c>
      <c r="K893" t="s">
        <v>2922</v>
      </c>
      <c r="L893" t="s">
        <v>4035</v>
      </c>
      <c r="M893">
        <f>Cleaned[[#This Row],[Credit]]-Cleaned[[#This Row],[Debit]]</f>
        <v>2655.46</v>
      </c>
      <c r="N893" t="str">
        <f>_xlfn.XLOOKUP(Cleaned[[#This Row],[AccountName]], Account_Mapping!A:A, Account_Mapping!B:B,"Unmapped")</f>
        <v>Revenue</v>
      </c>
      <c r="O893" cm="1">
        <f t="array" ref="O893">_xlfn.XLOOKUP(
  1,
  (FX_Rates[Currency]=Cleaned[[#This Row],[Currency]])*
  (FX_Rates[RateDate]&lt;=Cleaned[[#This Row],[TxnDate]]),
  FX_Rates[Rate_To_INR],
  ,
  -1
)</f>
        <v>61</v>
      </c>
      <c r="P893" s="2">
        <f>Cleaned[[#This Row],[Net Amount]] *  Cleaned[[#This Row],[FX_rates]]</f>
        <v>161983.06</v>
      </c>
    </row>
    <row r="894" spans="1:16" x14ac:dyDescent="0.45">
      <c r="A894" t="s">
        <v>902</v>
      </c>
      <c r="B894" s="1">
        <v>45288</v>
      </c>
      <c r="C894" s="2" t="s">
        <v>2010</v>
      </c>
      <c r="D894" t="s">
        <v>2015</v>
      </c>
      <c r="E894">
        <v>0</v>
      </c>
      <c r="F894">
        <f>Cleaned[[#This Row],[Debit]] * Cleaned[[#This Row],[FX_rates]]</f>
        <v>0</v>
      </c>
      <c r="G894">
        <v>4082.31</v>
      </c>
      <c r="H894">
        <f>Cleaned[[#This Row],[Credit]] *  Cleaned[[#This Row],[FX_rates]]</f>
        <v>334749.42</v>
      </c>
      <c r="I894" t="s">
        <v>2022</v>
      </c>
      <c r="J894" t="s">
        <v>2029</v>
      </c>
      <c r="K894" t="s">
        <v>2923</v>
      </c>
      <c r="L894" t="s">
        <v>4034</v>
      </c>
      <c r="M894">
        <f>Cleaned[[#This Row],[Credit]]-Cleaned[[#This Row],[Debit]]</f>
        <v>4082.31</v>
      </c>
      <c r="N894" t="str">
        <f>_xlfn.XLOOKUP(Cleaned[[#This Row],[AccountName]], Account_Mapping!A:A, Account_Mapping!B:B,"Unmapped")</f>
        <v>Revenue</v>
      </c>
      <c r="O894" cm="1">
        <f t="array" ref="O894">_xlfn.XLOOKUP(
  1,
  (FX_Rates[Currency]=Cleaned[[#This Row],[Currency]])*
  (FX_Rates[RateDate]&lt;=Cleaned[[#This Row],[TxnDate]]),
  FX_Rates[Rate_To_INR],
  ,
  -1
)</f>
        <v>82</v>
      </c>
      <c r="P894" s="2">
        <f>Cleaned[[#This Row],[Net Amount]] *  Cleaned[[#This Row],[FX_rates]]</f>
        <v>334749.42</v>
      </c>
    </row>
    <row r="895" spans="1:16" x14ac:dyDescent="0.45">
      <c r="A895" t="s">
        <v>903</v>
      </c>
      <c r="B895" s="1">
        <v>45280</v>
      </c>
      <c r="C895" s="2" t="s">
        <v>2013</v>
      </c>
      <c r="D895" t="s">
        <v>2018</v>
      </c>
      <c r="E895">
        <v>1204.8499999999999</v>
      </c>
      <c r="F895">
        <f>Cleaned[[#This Row],[Debit]] * Cleaned[[#This Row],[FX_rates]]</f>
        <v>73495.849999999991</v>
      </c>
      <c r="G895">
        <v>0</v>
      </c>
      <c r="H895">
        <f>Cleaned[[#This Row],[Credit]] *  Cleaned[[#This Row],[FX_rates]]</f>
        <v>0</v>
      </c>
      <c r="I895" t="s">
        <v>2022</v>
      </c>
      <c r="J895" t="s">
        <v>2027</v>
      </c>
      <c r="K895" t="s">
        <v>2924</v>
      </c>
      <c r="L895" t="s">
        <v>4035</v>
      </c>
      <c r="M895">
        <f>Cleaned[[#This Row],[Credit]]-Cleaned[[#This Row],[Debit]]</f>
        <v>-1204.8499999999999</v>
      </c>
      <c r="N895" t="str">
        <f>_xlfn.XLOOKUP(Cleaned[[#This Row],[AccountName]], Account_Mapping!A:A, Account_Mapping!B:B,"Unmapped")</f>
        <v>Operating Expense</v>
      </c>
      <c r="O895" cm="1">
        <f t="array" ref="O895">_xlfn.XLOOKUP(
  1,
  (FX_Rates[Currency]=Cleaned[[#This Row],[Currency]])*
  (FX_Rates[RateDate]&lt;=Cleaned[[#This Row],[TxnDate]]),
  FX_Rates[Rate_To_INR],
  ,
  -1
)</f>
        <v>61</v>
      </c>
      <c r="P895" s="2">
        <f>Cleaned[[#This Row],[Net Amount]] *  Cleaned[[#This Row],[FX_rates]]</f>
        <v>-73495.849999999991</v>
      </c>
    </row>
    <row r="896" spans="1:16" x14ac:dyDescent="0.45">
      <c r="A896" t="s">
        <v>904</v>
      </c>
      <c r="B896" s="1">
        <v>45648</v>
      </c>
      <c r="C896" s="2" t="s">
        <v>2010</v>
      </c>
      <c r="D896" t="s">
        <v>2015</v>
      </c>
      <c r="E896">
        <v>0</v>
      </c>
      <c r="F896">
        <f>Cleaned[[#This Row],[Debit]] * Cleaned[[#This Row],[FX_rates]]</f>
        <v>0</v>
      </c>
      <c r="G896">
        <v>4496.12</v>
      </c>
      <c r="H896">
        <f>Cleaned[[#This Row],[Credit]] *  Cleaned[[#This Row],[FX_rates]]</f>
        <v>395658.56</v>
      </c>
      <c r="I896" t="s">
        <v>2021</v>
      </c>
      <c r="J896" t="s">
        <v>2027</v>
      </c>
      <c r="K896" t="s">
        <v>2925</v>
      </c>
      <c r="L896" t="s">
        <v>4032</v>
      </c>
      <c r="M896">
        <f>Cleaned[[#This Row],[Credit]]-Cleaned[[#This Row],[Debit]]</f>
        <v>4496.12</v>
      </c>
      <c r="N896" t="str">
        <f>_xlfn.XLOOKUP(Cleaned[[#This Row],[AccountName]], Account_Mapping!A:A, Account_Mapping!B:B,"Unmapped")</f>
        <v>Revenue</v>
      </c>
      <c r="O896" cm="1">
        <f t="array" ref="O896">_xlfn.XLOOKUP(
  1,
  (FX_Rates[Currency]=Cleaned[[#This Row],[Currency]])*
  (FX_Rates[RateDate]&lt;=Cleaned[[#This Row],[TxnDate]]),
  FX_Rates[Rate_To_INR],
  ,
  -1
)</f>
        <v>88</v>
      </c>
      <c r="P896" s="2">
        <f>Cleaned[[#This Row],[Net Amount]] *  Cleaned[[#This Row],[FX_rates]]</f>
        <v>395658.56</v>
      </c>
    </row>
    <row r="897" spans="1:16" x14ac:dyDescent="0.45">
      <c r="A897" t="s">
        <v>905</v>
      </c>
      <c r="B897" s="1">
        <v>45679</v>
      </c>
      <c r="C897" s="2" t="s">
        <v>2014</v>
      </c>
      <c r="D897" t="s">
        <v>2019</v>
      </c>
      <c r="E897">
        <v>0</v>
      </c>
      <c r="F897">
        <f>Cleaned[[#This Row],[Debit]] * Cleaned[[#This Row],[FX_rates]]</f>
        <v>0</v>
      </c>
      <c r="G897">
        <v>2776.15</v>
      </c>
      <c r="H897">
        <f>Cleaned[[#This Row],[Credit]] *  Cleaned[[#This Row],[FX_rates]]</f>
        <v>244301.2</v>
      </c>
      <c r="I897" t="s">
        <v>2022</v>
      </c>
      <c r="J897" t="s">
        <v>2030</v>
      </c>
      <c r="K897" t="s">
        <v>2926</v>
      </c>
      <c r="L897" t="s">
        <v>4032</v>
      </c>
      <c r="M897">
        <f>Cleaned[[#This Row],[Credit]]-Cleaned[[#This Row],[Debit]]</f>
        <v>2776.15</v>
      </c>
      <c r="N897" t="str">
        <f>_xlfn.XLOOKUP(Cleaned[[#This Row],[AccountName]], Account_Mapping!A:A, Account_Mapping!B:B,"Unmapped")</f>
        <v>Revenue</v>
      </c>
      <c r="O897" cm="1">
        <f t="array" ref="O897">_xlfn.XLOOKUP(
  1,
  (FX_Rates[Currency]=Cleaned[[#This Row],[Currency]])*
  (FX_Rates[RateDate]&lt;=Cleaned[[#This Row],[TxnDate]]),
  FX_Rates[Rate_To_INR],
  ,
  -1
)</f>
        <v>88</v>
      </c>
      <c r="P897" s="2">
        <f>Cleaned[[#This Row],[Net Amount]] *  Cleaned[[#This Row],[FX_rates]]</f>
        <v>244301.2</v>
      </c>
    </row>
    <row r="898" spans="1:16" x14ac:dyDescent="0.45">
      <c r="A898" t="s">
        <v>906</v>
      </c>
      <c r="B898" s="1">
        <v>45046</v>
      </c>
      <c r="C898" s="2" t="s">
        <v>2014</v>
      </c>
      <c r="D898" t="s">
        <v>2019</v>
      </c>
      <c r="E898">
        <v>0</v>
      </c>
      <c r="F898">
        <f>Cleaned[[#This Row],[Debit]] * Cleaned[[#This Row],[FX_rates]]</f>
        <v>0</v>
      </c>
      <c r="G898">
        <v>3598.62</v>
      </c>
      <c r="H898">
        <f>Cleaned[[#This Row],[Credit]] *  Cleaned[[#This Row],[FX_rates]]</f>
        <v>316678.56</v>
      </c>
      <c r="I898" t="s">
        <v>2024</v>
      </c>
      <c r="J898" t="s">
        <v>2028</v>
      </c>
      <c r="K898" t="s">
        <v>2927</v>
      </c>
      <c r="L898" t="s">
        <v>4032</v>
      </c>
      <c r="M898">
        <f>Cleaned[[#This Row],[Credit]]-Cleaned[[#This Row],[Debit]]</f>
        <v>3598.62</v>
      </c>
      <c r="N898" t="str">
        <f>_xlfn.XLOOKUP(Cleaned[[#This Row],[AccountName]], Account_Mapping!A:A, Account_Mapping!B:B,"Unmapped")</f>
        <v>Revenue</v>
      </c>
      <c r="O898" cm="1">
        <f t="array" ref="O898">_xlfn.XLOOKUP(
  1,
  (FX_Rates[Currency]=Cleaned[[#This Row],[Currency]])*
  (FX_Rates[RateDate]&lt;=Cleaned[[#This Row],[TxnDate]]),
  FX_Rates[Rate_To_INR],
  ,
  -1
)</f>
        <v>88</v>
      </c>
      <c r="P898" s="2">
        <f>Cleaned[[#This Row],[Net Amount]] *  Cleaned[[#This Row],[FX_rates]]</f>
        <v>316678.56</v>
      </c>
    </row>
    <row r="899" spans="1:16" x14ac:dyDescent="0.45">
      <c r="A899" t="s">
        <v>907</v>
      </c>
      <c r="B899" s="1">
        <v>45490</v>
      </c>
      <c r="C899" s="2" t="s">
        <v>2013</v>
      </c>
      <c r="D899" t="s">
        <v>2018</v>
      </c>
      <c r="E899">
        <v>1433.77</v>
      </c>
      <c r="F899">
        <f>Cleaned[[#This Row],[Debit]] * Cleaned[[#This Row],[FX_rates]]</f>
        <v>126171.76</v>
      </c>
      <c r="G899">
        <v>0</v>
      </c>
      <c r="H899">
        <f>Cleaned[[#This Row],[Credit]] *  Cleaned[[#This Row],[FX_rates]]</f>
        <v>0</v>
      </c>
      <c r="I899" t="s">
        <v>2020</v>
      </c>
      <c r="J899" t="s">
        <v>2026</v>
      </c>
      <c r="K899" t="s">
        <v>2928</v>
      </c>
      <c r="L899" t="s">
        <v>4032</v>
      </c>
      <c r="M899">
        <f>Cleaned[[#This Row],[Credit]]-Cleaned[[#This Row],[Debit]]</f>
        <v>-1433.77</v>
      </c>
      <c r="N899" t="str">
        <f>_xlfn.XLOOKUP(Cleaned[[#This Row],[AccountName]], Account_Mapping!A:A, Account_Mapping!B:B,"Unmapped")</f>
        <v>Operating Expense</v>
      </c>
      <c r="O899" cm="1">
        <f t="array" ref="O899">_xlfn.XLOOKUP(
  1,
  (FX_Rates[Currency]=Cleaned[[#This Row],[Currency]])*
  (FX_Rates[RateDate]&lt;=Cleaned[[#This Row],[TxnDate]]),
  FX_Rates[Rate_To_INR],
  ,
  -1
)</f>
        <v>88</v>
      </c>
      <c r="P899" s="2">
        <f>Cleaned[[#This Row],[Net Amount]] *  Cleaned[[#This Row],[FX_rates]]</f>
        <v>-126171.76</v>
      </c>
    </row>
    <row r="900" spans="1:16" x14ac:dyDescent="0.45">
      <c r="A900" t="s">
        <v>908</v>
      </c>
      <c r="B900" s="1">
        <v>45435</v>
      </c>
      <c r="C900" s="2" t="s">
        <v>2013</v>
      </c>
      <c r="D900" t="s">
        <v>2018</v>
      </c>
      <c r="E900">
        <v>244.58</v>
      </c>
      <c r="F900">
        <f>Cleaned[[#This Row],[Debit]] * Cleaned[[#This Row],[FX_rates]]</f>
        <v>13696.480000000001</v>
      </c>
      <c r="G900">
        <v>0</v>
      </c>
      <c r="H900">
        <f>Cleaned[[#This Row],[Credit]] *  Cleaned[[#This Row],[FX_rates]]</f>
        <v>0</v>
      </c>
      <c r="I900" t="s">
        <v>2020</v>
      </c>
      <c r="J900" t="s">
        <v>2028</v>
      </c>
      <c r="K900" t="s">
        <v>2929</v>
      </c>
      <c r="L900" t="s">
        <v>4033</v>
      </c>
      <c r="M900">
        <f>Cleaned[[#This Row],[Credit]]-Cleaned[[#This Row],[Debit]]</f>
        <v>-244.58</v>
      </c>
      <c r="N900" t="str">
        <f>_xlfn.XLOOKUP(Cleaned[[#This Row],[AccountName]], Account_Mapping!A:A, Account_Mapping!B:B,"Unmapped")</f>
        <v>Operating Expense</v>
      </c>
      <c r="O900" cm="1">
        <f t="array" ref="O900">_xlfn.XLOOKUP(
  1,
  (FX_Rates[Currency]=Cleaned[[#This Row],[Currency]])*
  (FX_Rates[RateDate]&lt;=Cleaned[[#This Row],[TxnDate]]),
  FX_Rates[Rate_To_INR],
  ,
  -1
)</f>
        <v>56</v>
      </c>
      <c r="P900" s="2">
        <f>Cleaned[[#This Row],[Net Amount]] *  Cleaned[[#This Row],[FX_rates]]</f>
        <v>-13696.480000000001</v>
      </c>
    </row>
    <row r="901" spans="1:16" x14ac:dyDescent="0.45">
      <c r="A901" t="s">
        <v>909</v>
      </c>
      <c r="B901" s="1">
        <v>44934</v>
      </c>
      <c r="C901" s="2" t="s">
        <v>2012</v>
      </c>
      <c r="D901" t="s">
        <v>2017</v>
      </c>
      <c r="E901">
        <v>958.53</v>
      </c>
      <c r="F901">
        <f>Cleaned[[#This Row],[Debit]] * Cleaned[[#This Row],[FX_rates]]</f>
        <v>53677.68</v>
      </c>
      <c r="G901">
        <v>0</v>
      </c>
      <c r="H901">
        <f>Cleaned[[#This Row],[Credit]] *  Cleaned[[#This Row],[FX_rates]]</f>
        <v>0</v>
      </c>
      <c r="I901" t="s">
        <v>2025</v>
      </c>
      <c r="J901" t="s">
        <v>2027</v>
      </c>
      <c r="K901" t="s">
        <v>2930</v>
      </c>
      <c r="L901" t="s">
        <v>4033</v>
      </c>
      <c r="M901">
        <f>Cleaned[[#This Row],[Credit]]-Cleaned[[#This Row],[Debit]]</f>
        <v>-958.53</v>
      </c>
      <c r="N901" t="str">
        <f>_xlfn.XLOOKUP(Cleaned[[#This Row],[AccountName]], Account_Mapping!A:A, Account_Mapping!B:B,"Unmapped")</f>
        <v>Operating Expense</v>
      </c>
      <c r="O901" cm="1">
        <f t="array" ref="O901">_xlfn.XLOOKUP(
  1,
  (FX_Rates[Currency]=Cleaned[[#This Row],[Currency]])*
  (FX_Rates[RateDate]&lt;=Cleaned[[#This Row],[TxnDate]]),
  FX_Rates[Rate_To_INR],
  ,
  -1
)</f>
        <v>56</v>
      </c>
      <c r="P901" s="2">
        <f>Cleaned[[#This Row],[Net Amount]] *  Cleaned[[#This Row],[FX_rates]]</f>
        <v>-53677.68</v>
      </c>
    </row>
    <row r="902" spans="1:16" x14ac:dyDescent="0.45">
      <c r="A902" t="s">
        <v>910</v>
      </c>
      <c r="B902" s="1">
        <v>45115</v>
      </c>
      <c r="C902" s="2" t="s">
        <v>2012</v>
      </c>
      <c r="D902" t="s">
        <v>2017</v>
      </c>
      <c r="E902">
        <v>1312.28</v>
      </c>
      <c r="F902">
        <f>Cleaned[[#This Row],[Debit]] * Cleaned[[#This Row],[FX_rates]]</f>
        <v>135164.84</v>
      </c>
      <c r="G902">
        <v>0</v>
      </c>
      <c r="H902">
        <f>Cleaned[[#This Row],[Credit]] *  Cleaned[[#This Row],[FX_rates]]</f>
        <v>0</v>
      </c>
      <c r="I902" t="s">
        <v>2022</v>
      </c>
      <c r="J902" t="s">
        <v>2026</v>
      </c>
      <c r="K902" t="s">
        <v>2931</v>
      </c>
      <c r="L902" t="s">
        <v>4031</v>
      </c>
      <c r="M902">
        <f>Cleaned[[#This Row],[Credit]]-Cleaned[[#This Row],[Debit]]</f>
        <v>-1312.28</v>
      </c>
      <c r="N902" t="str">
        <f>_xlfn.XLOOKUP(Cleaned[[#This Row],[AccountName]], Account_Mapping!A:A, Account_Mapping!B:B,"Unmapped")</f>
        <v>Operating Expense</v>
      </c>
      <c r="O902" cm="1">
        <f t="array" ref="O902">_xlfn.XLOOKUP(
  1,
  (FX_Rates[Currency]=Cleaned[[#This Row],[Currency]])*
  (FX_Rates[RateDate]&lt;=Cleaned[[#This Row],[TxnDate]]),
  FX_Rates[Rate_To_INR],
  ,
  -1
)</f>
        <v>103</v>
      </c>
      <c r="P902" s="2">
        <f>Cleaned[[#This Row],[Net Amount]] *  Cleaned[[#This Row],[FX_rates]]</f>
        <v>-135164.84</v>
      </c>
    </row>
    <row r="903" spans="1:16" x14ac:dyDescent="0.45">
      <c r="A903" t="s">
        <v>911</v>
      </c>
      <c r="B903" s="1">
        <v>44997</v>
      </c>
      <c r="C903" s="2" t="s">
        <v>2010</v>
      </c>
      <c r="D903" t="s">
        <v>2015</v>
      </c>
      <c r="E903">
        <v>0</v>
      </c>
      <c r="F903">
        <f>Cleaned[[#This Row],[Debit]] * Cleaned[[#This Row],[FX_rates]]</f>
        <v>0</v>
      </c>
      <c r="G903">
        <v>4549.33</v>
      </c>
      <c r="H903">
        <f>Cleaned[[#This Row],[Credit]] *  Cleaned[[#This Row],[FX_rates]]</f>
        <v>468580.99</v>
      </c>
      <c r="I903" t="s">
        <v>2025</v>
      </c>
      <c r="J903" t="s">
        <v>2026</v>
      </c>
      <c r="K903" t="s">
        <v>2932</v>
      </c>
      <c r="L903" t="s">
        <v>4031</v>
      </c>
      <c r="M903">
        <f>Cleaned[[#This Row],[Credit]]-Cleaned[[#This Row],[Debit]]</f>
        <v>4549.33</v>
      </c>
      <c r="N903" t="str">
        <f>_xlfn.XLOOKUP(Cleaned[[#This Row],[AccountName]], Account_Mapping!A:A, Account_Mapping!B:B,"Unmapped")</f>
        <v>Revenue</v>
      </c>
      <c r="O903" cm="1">
        <f t="array" ref="O903">_xlfn.XLOOKUP(
  1,
  (FX_Rates[Currency]=Cleaned[[#This Row],[Currency]])*
  (FX_Rates[RateDate]&lt;=Cleaned[[#This Row],[TxnDate]]),
  FX_Rates[Rate_To_INR],
  ,
  -1
)</f>
        <v>103</v>
      </c>
      <c r="P903" s="2">
        <f>Cleaned[[#This Row],[Net Amount]] *  Cleaned[[#This Row],[FX_rates]]</f>
        <v>468580.99</v>
      </c>
    </row>
    <row r="904" spans="1:16" x14ac:dyDescent="0.45">
      <c r="A904" t="s">
        <v>912</v>
      </c>
      <c r="B904" s="1">
        <v>45643</v>
      </c>
      <c r="C904" s="2" t="s">
        <v>2012</v>
      </c>
      <c r="D904" t="s">
        <v>2017</v>
      </c>
      <c r="E904">
        <v>1965.36</v>
      </c>
      <c r="F904">
        <f>Cleaned[[#This Row],[Debit]] * Cleaned[[#This Row],[FX_rates]]</f>
        <v>119886.95999999999</v>
      </c>
      <c r="G904">
        <v>0</v>
      </c>
      <c r="H904">
        <f>Cleaned[[#This Row],[Credit]] *  Cleaned[[#This Row],[FX_rates]]</f>
        <v>0</v>
      </c>
      <c r="I904" t="s">
        <v>2022</v>
      </c>
      <c r="J904" t="s">
        <v>2029</v>
      </c>
      <c r="K904" t="s">
        <v>2933</v>
      </c>
      <c r="L904" t="s">
        <v>4035</v>
      </c>
      <c r="M904">
        <f>Cleaned[[#This Row],[Credit]]-Cleaned[[#This Row],[Debit]]</f>
        <v>-1965.36</v>
      </c>
      <c r="N904" t="str">
        <f>_xlfn.XLOOKUP(Cleaned[[#This Row],[AccountName]], Account_Mapping!A:A, Account_Mapping!B:B,"Unmapped")</f>
        <v>Operating Expense</v>
      </c>
      <c r="O904" cm="1">
        <f t="array" ref="O904">_xlfn.XLOOKUP(
  1,
  (FX_Rates[Currency]=Cleaned[[#This Row],[Currency]])*
  (FX_Rates[RateDate]&lt;=Cleaned[[#This Row],[TxnDate]]),
  FX_Rates[Rate_To_INR],
  ,
  -1
)</f>
        <v>61</v>
      </c>
      <c r="P904" s="2">
        <f>Cleaned[[#This Row],[Net Amount]] *  Cleaned[[#This Row],[FX_rates]]</f>
        <v>-119886.95999999999</v>
      </c>
    </row>
    <row r="905" spans="1:16" x14ac:dyDescent="0.45">
      <c r="A905" t="s">
        <v>913</v>
      </c>
      <c r="B905" s="1">
        <v>45159</v>
      </c>
      <c r="C905" s="2" t="s">
        <v>2013</v>
      </c>
      <c r="D905" t="s">
        <v>2018</v>
      </c>
      <c r="E905">
        <v>769.49</v>
      </c>
      <c r="F905">
        <f>Cleaned[[#This Row],[Debit]] * Cleaned[[#This Row],[FX_rates]]</f>
        <v>79257.47</v>
      </c>
      <c r="G905">
        <v>0</v>
      </c>
      <c r="H905">
        <f>Cleaned[[#This Row],[Credit]] *  Cleaned[[#This Row],[FX_rates]]</f>
        <v>0</v>
      </c>
      <c r="I905" t="s">
        <v>2022</v>
      </c>
      <c r="J905" t="s">
        <v>2030</v>
      </c>
      <c r="K905" t="s">
        <v>2934</v>
      </c>
      <c r="L905" t="s">
        <v>4031</v>
      </c>
      <c r="M905">
        <f>Cleaned[[#This Row],[Credit]]-Cleaned[[#This Row],[Debit]]</f>
        <v>-769.49</v>
      </c>
      <c r="N905" t="str">
        <f>_xlfn.XLOOKUP(Cleaned[[#This Row],[AccountName]], Account_Mapping!A:A, Account_Mapping!B:B,"Unmapped")</f>
        <v>Operating Expense</v>
      </c>
      <c r="O905" cm="1">
        <f t="array" ref="O905">_xlfn.XLOOKUP(
  1,
  (FX_Rates[Currency]=Cleaned[[#This Row],[Currency]])*
  (FX_Rates[RateDate]&lt;=Cleaned[[#This Row],[TxnDate]]),
  FX_Rates[Rate_To_INR],
  ,
  -1
)</f>
        <v>103</v>
      </c>
      <c r="P905" s="2">
        <f>Cleaned[[#This Row],[Net Amount]] *  Cleaned[[#This Row],[FX_rates]]</f>
        <v>-79257.47</v>
      </c>
    </row>
    <row r="906" spans="1:16" x14ac:dyDescent="0.45">
      <c r="A906" t="s">
        <v>914</v>
      </c>
      <c r="B906" s="1">
        <v>45601</v>
      </c>
      <c r="C906" s="2" t="s">
        <v>2011</v>
      </c>
      <c r="D906" t="s">
        <v>2016</v>
      </c>
      <c r="E906">
        <v>743.08</v>
      </c>
      <c r="F906">
        <f>Cleaned[[#This Row],[Debit]] * Cleaned[[#This Row],[FX_rates]]</f>
        <v>76537.240000000005</v>
      </c>
      <c r="G906">
        <v>0</v>
      </c>
      <c r="H906">
        <f>Cleaned[[#This Row],[Credit]] *  Cleaned[[#This Row],[FX_rates]]</f>
        <v>0</v>
      </c>
      <c r="I906" t="s">
        <v>2024</v>
      </c>
      <c r="J906" t="s">
        <v>2028</v>
      </c>
      <c r="K906" t="s">
        <v>2935</v>
      </c>
      <c r="L906" t="s">
        <v>4031</v>
      </c>
      <c r="M906">
        <f>Cleaned[[#This Row],[Credit]]-Cleaned[[#This Row],[Debit]]</f>
        <v>-743.08</v>
      </c>
      <c r="N906" t="str">
        <f>_xlfn.XLOOKUP(Cleaned[[#This Row],[AccountName]], Account_Mapping!A:A, Account_Mapping!B:B,"Unmapped")</f>
        <v>COGS</v>
      </c>
      <c r="O906" cm="1">
        <f t="array" ref="O906">_xlfn.XLOOKUP(
  1,
  (FX_Rates[Currency]=Cleaned[[#This Row],[Currency]])*
  (FX_Rates[RateDate]&lt;=Cleaned[[#This Row],[TxnDate]]),
  FX_Rates[Rate_To_INR],
  ,
  -1
)</f>
        <v>103</v>
      </c>
      <c r="P906" s="2">
        <f>Cleaned[[#This Row],[Net Amount]] *  Cleaned[[#This Row],[FX_rates]]</f>
        <v>-76537.240000000005</v>
      </c>
    </row>
    <row r="907" spans="1:16" x14ac:dyDescent="0.45">
      <c r="A907" t="s">
        <v>915</v>
      </c>
      <c r="B907" s="1">
        <v>45145</v>
      </c>
      <c r="C907" s="2" t="s">
        <v>2012</v>
      </c>
      <c r="D907" t="s">
        <v>2017</v>
      </c>
      <c r="E907">
        <v>586.1</v>
      </c>
      <c r="F907">
        <f>Cleaned[[#This Row],[Debit]] * Cleaned[[#This Row],[FX_rates]]</f>
        <v>35752.1</v>
      </c>
      <c r="G907">
        <v>0</v>
      </c>
      <c r="H907">
        <f>Cleaned[[#This Row],[Credit]] *  Cleaned[[#This Row],[FX_rates]]</f>
        <v>0</v>
      </c>
      <c r="I907" t="s">
        <v>2025</v>
      </c>
      <c r="J907" t="s">
        <v>2030</v>
      </c>
      <c r="K907" t="s">
        <v>2936</v>
      </c>
      <c r="L907" t="s">
        <v>4035</v>
      </c>
      <c r="M907">
        <f>Cleaned[[#This Row],[Credit]]-Cleaned[[#This Row],[Debit]]</f>
        <v>-586.1</v>
      </c>
      <c r="N907" t="str">
        <f>_xlfn.XLOOKUP(Cleaned[[#This Row],[AccountName]], Account_Mapping!A:A, Account_Mapping!B:B,"Unmapped")</f>
        <v>Operating Expense</v>
      </c>
      <c r="O907" cm="1">
        <f t="array" ref="O907">_xlfn.XLOOKUP(
  1,
  (FX_Rates[Currency]=Cleaned[[#This Row],[Currency]])*
  (FX_Rates[RateDate]&lt;=Cleaned[[#This Row],[TxnDate]]),
  FX_Rates[Rate_To_INR],
  ,
  -1
)</f>
        <v>61</v>
      </c>
      <c r="P907" s="2">
        <f>Cleaned[[#This Row],[Net Amount]] *  Cleaned[[#This Row],[FX_rates]]</f>
        <v>-35752.1</v>
      </c>
    </row>
    <row r="908" spans="1:16" x14ac:dyDescent="0.45">
      <c r="A908" t="s">
        <v>916</v>
      </c>
      <c r="B908" s="1">
        <v>45830</v>
      </c>
      <c r="C908" s="2" t="s">
        <v>2012</v>
      </c>
      <c r="D908" t="s">
        <v>2017</v>
      </c>
      <c r="E908">
        <v>1912.35</v>
      </c>
      <c r="F908">
        <f>Cleaned[[#This Row],[Debit]] * Cleaned[[#This Row],[FX_rates]]</f>
        <v>156812.69999999998</v>
      </c>
      <c r="G908">
        <v>0</v>
      </c>
      <c r="H908">
        <f>Cleaned[[#This Row],[Credit]] *  Cleaned[[#This Row],[FX_rates]]</f>
        <v>0</v>
      </c>
      <c r="I908" t="s">
        <v>2020</v>
      </c>
      <c r="J908" t="s">
        <v>2026</v>
      </c>
      <c r="K908" t="s">
        <v>2937</v>
      </c>
      <c r="L908" t="s">
        <v>4034</v>
      </c>
      <c r="M908">
        <f>Cleaned[[#This Row],[Credit]]-Cleaned[[#This Row],[Debit]]</f>
        <v>-1912.35</v>
      </c>
      <c r="N908" t="str">
        <f>_xlfn.XLOOKUP(Cleaned[[#This Row],[AccountName]], Account_Mapping!A:A, Account_Mapping!B:B,"Unmapped")</f>
        <v>Operating Expense</v>
      </c>
      <c r="O908" cm="1">
        <f t="array" ref="O908">_xlfn.XLOOKUP(
  1,
  (FX_Rates[Currency]=Cleaned[[#This Row],[Currency]])*
  (FX_Rates[RateDate]&lt;=Cleaned[[#This Row],[TxnDate]]),
  FX_Rates[Rate_To_INR],
  ,
  -1
)</f>
        <v>82</v>
      </c>
      <c r="P908" s="2">
        <f>Cleaned[[#This Row],[Net Amount]] *  Cleaned[[#This Row],[FX_rates]]</f>
        <v>-156812.69999999998</v>
      </c>
    </row>
    <row r="909" spans="1:16" x14ac:dyDescent="0.45">
      <c r="A909" t="s">
        <v>917</v>
      </c>
      <c r="B909" s="1">
        <v>45054</v>
      </c>
      <c r="C909" s="2" t="s">
        <v>2012</v>
      </c>
      <c r="D909" t="s">
        <v>2017</v>
      </c>
      <c r="E909">
        <v>819.96</v>
      </c>
      <c r="F909">
        <f>Cleaned[[#This Row],[Debit]] * Cleaned[[#This Row],[FX_rates]]</f>
        <v>67236.72</v>
      </c>
      <c r="G909">
        <v>0</v>
      </c>
      <c r="H909">
        <f>Cleaned[[#This Row],[Credit]] *  Cleaned[[#This Row],[FX_rates]]</f>
        <v>0</v>
      </c>
      <c r="I909" t="s">
        <v>2023</v>
      </c>
      <c r="J909" t="s">
        <v>2027</v>
      </c>
      <c r="K909" t="s">
        <v>2938</v>
      </c>
      <c r="L909" t="s">
        <v>4034</v>
      </c>
      <c r="M909">
        <f>Cleaned[[#This Row],[Credit]]-Cleaned[[#This Row],[Debit]]</f>
        <v>-819.96</v>
      </c>
      <c r="N909" t="str">
        <f>_xlfn.XLOOKUP(Cleaned[[#This Row],[AccountName]], Account_Mapping!A:A, Account_Mapping!B:B,"Unmapped")</f>
        <v>Operating Expense</v>
      </c>
      <c r="O909" cm="1">
        <f t="array" ref="O909">_xlfn.XLOOKUP(
  1,
  (FX_Rates[Currency]=Cleaned[[#This Row],[Currency]])*
  (FX_Rates[RateDate]&lt;=Cleaned[[#This Row],[TxnDate]]),
  FX_Rates[Rate_To_INR],
  ,
  -1
)</f>
        <v>82</v>
      </c>
      <c r="P909" s="2">
        <f>Cleaned[[#This Row],[Net Amount]] *  Cleaned[[#This Row],[FX_rates]]</f>
        <v>-67236.72</v>
      </c>
    </row>
    <row r="910" spans="1:16" x14ac:dyDescent="0.45">
      <c r="A910" t="s">
        <v>918</v>
      </c>
      <c r="B910" s="1">
        <v>45718</v>
      </c>
      <c r="C910" s="2" t="s">
        <v>2011</v>
      </c>
      <c r="D910" t="s">
        <v>2016</v>
      </c>
      <c r="E910">
        <v>1880.1</v>
      </c>
      <c r="F910">
        <f>Cleaned[[#This Row],[Debit]] * Cleaned[[#This Row],[FX_rates]]</f>
        <v>105285.59999999999</v>
      </c>
      <c r="G910">
        <v>0</v>
      </c>
      <c r="H910">
        <f>Cleaned[[#This Row],[Credit]] *  Cleaned[[#This Row],[FX_rates]]</f>
        <v>0</v>
      </c>
      <c r="I910" t="s">
        <v>2022</v>
      </c>
      <c r="J910" t="s">
        <v>2027</v>
      </c>
      <c r="K910" t="s">
        <v>2939</v>
      </c>
      <c r="L910" t="s">
        <v>4033</v>
      </c>
      <c r="M910">
        <f>Cleaned[[#This Row],[Credit]]-Cleaned[[#This Row],[Debit]]</f>
        <v>-1880.1</v>
      </c>
      <c r="N910" t="str">
        <f>_xlfn.XLOOKUP(Cleaned[[#This Row],[AccountName]], Account_Mapping!A:A, Account_Mapping!B:B,"Unmapped")</f>
        <v>COGS</v>
      </c>
      <c r="O910" cm="1">
        <f t="array" ref="O910">_xlfn.XLOOKUP(
  1,
  (FX_Rates[Currency]=Cleaned[[#This Row],[Currency]])*
  (FX_Rates[RateDate]&lt;=Cleaned[[#This Row],[TxnDate]]),
  FX_Rates[Rate_To_INR],
  ,
  -1
)</f>
        <v>56</v>
      </c>
      <c r="P910" s="2">
        <f>Cleaned[[#This Row],[Net Amount]] *  Cleaned[[#This Row],[FX_rates]]</f>
        <v>-105285.59999999999</v>
      </c>
    </row>
    <row r="911" spans="1:16" x14ac:dyDescent="0.45">
      <c r="A911" t="s">
        <v>919</v>
      </c>
      <c r="B911" s="1">
        <v>45754</v>
      </c>
      <c r="C911" s="2" t="s">
        <v>2012</v>
      </c>
      <c r="D911" t="s">
        <v>2017</v>
      </c>
      <c r="E911">
        <v>1255.8499999999999</v>
      </c>
      <c r="F911">
        <f>Cleaned[[#This Row],[Debit]] * Cleaned[[#This Row],[FX_rates]]</f>
        <v>110514.79999999999</v>
      </c>
      <c r="G911">
        <v>0</v>
      </c>
      <c r="H911">
        <f>Cleaned[[#This Row],[Credit]] *  Cleaned[[#This Row],[FX_rates]]</f>
        <v>0</v>
      </c>
      <c r="I911" t="s">
        <v>2022</v>
      </c>
      <c r="J911" t="s">
        <v>2030</v>
      </c>
      <c r="K911" t="s">
        <v>2940</v>
      </c>
      <c r="L911" t="s">
        <v>4032</v>
      </c>
      <c r="M911">
        <f>Cleaned[[#This Row],[Credit]]-Cleaned[[#This Row],[Debit]]</f>
        <v>-1255.8499999999999</v>
      </c>
      <c r="N911" t="str">
        <f>_xlfn.XLOOKUP(Cleaned[[#This Row],[AccountName]], Account_Mapping!A:A, Account_Mapping!B:B,"Unmapped")</f>
        <v>Operating Expense</v>
      </c>
      <c r="O911" cm="1">
        <f t="array" ref="O911">_xlfn.XLOOKUP(
  1,
  (FX_Rates[Currency]=Cleaned[[#This Row],[Currency]])*
  (FX_Rates[RateDate]&lt;=Cleaned[[#This Row],[TxnDate]]),
  FX_Rates[Rate_To_INR],
  ,
  -1
)</f>
        <v>88</v>
      </c>
      <c r="P911" s="2">
        <f>Cleaned[[#This Row],[Net Amount]] *  Cleaned[[#This Row],[FX_rates]]</f>
        <v>-110514.79999999999</v>
      </c>
    </row>
    <row r="912" spans="1:16" x14ac:dyDescent="0.45">
      <c r="A912" t="s">
        <v>920</v>
      </c>
      <c r="B912" s="1">
        <v>44954</v>
      </c>
      <c r="C912" s="2" t="s">
        <v>2014</v>
      </c>
      <c r="D912" t="s">
        <v>2019</v>
      </c>
      <c r="E912">
        <v>0</v>
      </c>
      <c r="F912">
        <f>Cleaned[[#This Row],[Debit]] * Cleaned[[#This Row],[FX_rates]]</f>
        <v>0</v>
      </c>
      <c r="G912">
        <v>3738.97</v>
      </c>
      <c r="H912">
        <f>Cleaned[[#This Row],[Credit]] *  Cleaned[[#This Row],[FX_rates]]</f>
        <v>228077.16999999998</v>
      </c>
      <c r="I912" t="s">
        <v>2025</v>
      </c>
      <c r="J912" t="s">
        <v>2029</v>
      </c>
      <c r="K912" t="s">
        <v>2941</v>
      </c>
      <c r="L912" t="s">
        <v>4035</v>
      </c>
      <c r="M912">
        <f>Cleaned[[#This Row],[Credit]]-Cleaned[[#This Row],[Debit]]</f>
        <v>3738.97</v>
      </c>
      <c r="N912" t="str">
        <f>_xlfn.XLOOKUP(Cleaned[[#This Row],[AccountName]], Account_Mapping!A:A, Account_Mapping!B:B,"Unmapped")</f>
        <v>Revenue</v>
      </c>
      <c r="O912" cm="1">
        <f t="array" ref="O912">_xlfn.XLOOKUP(
  1,
  (FX_Rates[Currency]=Cleaned[[#This Row],[Currency]])*
  (FX_Rates[RateDate]&lt;=Cleaned[[#This Row],[TxnDate]]),
  FX_Rates[Rate_To_INR],
  ,
  -1
)</f>
        <v>61</v>
      </c>
      <c r="P912" s="2">
        <f>Cleaned[[#This Row],[Net Amount]] *  Cleaned[[#This Row],[FX_rates]]</f>
        <v>228077.16999999998</v>
      </c>
    </row>
    <row r="913" spans="1:16" x14ac:dyDescent="0.45">
      <c r="A913" t="s">
        <v>921</v>
      </c>
      <c r="B913" s="1">
        <v>45792</v>
      </c>
      <c r="C913" s="2" t="s">
        <v>2011</v>
      </c>
      <c r="D913" t="s">
        <v>2016</v>
      </c>
      <c r="E913">
        <v>50.19</v>
      </c>
      <c r="F913">
        <f>Cleaned[[#This Row],[Debit]] * Cleaned[[#This Row],[FX_rates]]</f>
        <v>4416.7199999999993</v>
      </c>
      <c r="G913">
        <v>0</v>
      </c>
      <c r="H913">
        <f>Cleaned[[#This Row],[Credit]] *  Cleaned[[#This Row],[FX_rates]]</f>
        <v>0</v>
      </c>
      <c r="I913" t="s">
        <v>2024</v>
      </c>
      <c r="J913" t="s">
        <v>2027</v>
      </c>
      <c r="K913" t="s">
        <v>2942</v>
      </c>
      <c r="L913" t="s">
        <v>4032</v>
      </c>
      <c r="M913">
        <f>Cleaned[[#This Row],[Credit]]-Cleaned[[#This Row],[Debit]]</f>
        <v>-50.19</v>
      </c>
      <c r="N913" t="str">
        <f>_xlfn.XLOOKUP(Cleaned[[#This Row],[AccountName]], Account_Mapping!A:A, Account_Mapping!B:B,"Unmapped")</f>
        <v>COGS</v>
      </c>
      <c r="O913" cm="1">
        <f t="array" ref="O913">_xlfn.XLOOKUP(
  1,
  (FX_Rates[Currency]=Cleaned[[#This Row],[Currency]])*
  (FX_Rates[RateDate]&lt;=Cleaned[[#This Row],[TxnDate]]),
  FX_Rates[Rate_To_INR],
  ,
  -1
)</f>
        <v>88</v>
      </c>
      <c r="P913" s="2">
        <f>Cleaned[[#This Row],[Net Amount]] *  Cleaned[[#This Row],[FX_rates]]</f>
        <v>-4416.7199999999993</v>
      </c>
    </row>
    <row r="914" spans="1:16" x14ac:dyDescent="0.45">
      <c r="A914" t="s">
        <v>922</v>
      </c>
      <c r="B914" s="1">
        <v>45549</v>
      </c>
      <c r="C914" s="2" t="s">
        <v>2013</v>
      </c>
      <c r="D914" t="s">
        <v>2018</v>
      </c>
      <c r="E914">
        <v>608.52</v>
      </c>
      <c r="F914">
        <f>Cleaned[[#This Row],[Debit]] * Cleaned[[#This Row],[FX_rates]]</f>
        <v>53549.759999999995</v>
      </c>
      <c r="G914">
        <v>0</v>
      </c>
      <c r="H914">
        <f>Cleaned[[#This Row],[Credit]] *  Cleaned[[#This Row],[FX_rates]]</f>
        <v>0</v>
      </c>
      <c r="I914" t="s">
        <v>2020</v>
      </c>
      <c r="J914" t="s">
        <v>2027</v>
      </c>
      <c r="K914" t="s">
        <v>2943</v>
      </c>
      <c r="L914" t="s">
        <v>4032</v>
      </c>
      <c r="M914">
        <f>Cleaned[[#This Row],[Credit]]-Cleaned[[#This Row],[Debit]]</f>
        <v>-608.52</v>
      </c>
      <c r="N914" t="str">
        <f>_xlfn.XLOOKUP(Cleaned[[#This Row],[AccountName]], Account_Mapping!A:A, Account_Mapping!B:B,"Unmapped")</f>
        <v>Operating Expense</v>
      </c>
      <c r="O914" cm="1">
        <f t="array" ref="O914">_xlfn.XLOOKUP(
  1,
  (FX_Rates[Currency]=Cleaned[[#This Row],[Currency]])*
  (FX_Rates[RateDate]&lt;=Cleaned[[#This Row],[TxnDate]]),
  FX_Rates[Rate_To_INR],
  ,
  -1
)</f>
        <v>88</v>
      </c>
      <c r="P914" s="2">
        <f>Cleaned[[#This Row],[Net Amount]] *  Cleaned[[#This Row],[FX_rates]]</f>
        <v>-53549.759999999995</v>
      </c>
    </row>
    <row r="915" spans="1:16" x14ac:dyDescent="0.45">
      <c r="A915" t="s">
        <v>923</v>
      </c>
      <c r="B915" s="1">
        <v>45560</v>
      </c>
      <c r="C915" s="2" t="s">
        <v>2013</v>
      </c>
      <c r="D915" t="s">
        <v>2018</v>
      </c>
      <c r="E915">
        <v>287.52</v>
      </c>
      <c r="F915">
        <f>Cleaned[[#This Row],[Debit]] * Cleaned[[#This Row],[FX_rates]]</f>
        <v>23576.639999999999</v>
      </c>
      <c r="G915">
        <v>0</v>
      </c>
      <c r="H915">
        <f>Cleaned[[#This Row],[Credit]] *  Cleaned[[#This Row],[FX_rates]]</f>
        <v>0</v>
      </c>
      <c r="I915" t="s">
        <v>2024</v>
      </c>
      <c r="J915" t="s">
        <v>2030</v>
      </c>
      <c r="K915" t="s">
        <v>2944</v>
      </c>
      <c r="L915" t="s">
        <v>4034</v>
      </c>
      <c r="M915">
        <f>Cleaned[[#This Row],[Credit]]-Cleaned[[#This Row],[Debit]]</f>
        <v>-287.52</v>
      </c>
      <c r="N915" t="str">
        <f>_xlfn.XLOOKUP(Cleaned[[#This Row],[AccountName]], Account_Mapping!A:A, Account_Mapping!B:B,"Unmapped")</f>
        <v>Operating Expense</v>
      </c>
      <c r="O915" cm="1">
        <f t="array" ref="O915">_xlfn.XLOOKUP(
  1,
  (FX_Rates[Currency]=Cleaned[[#This Row],[Currency]])*
  (FX_Rates[RateDate]&lt;=Cleaned[[#This Row],[TxnDate]]),
  FX_Rates[Rate_To_INR],
  ,
  -1
)</f>
        <v>82</v>
      </c>
      <c r="P915" s="2">
        <f>Cleaned[[#This Row],[Net Amount]] *  Cleaned[[#This Row],[FX_rates]]</f>
        <v>-23576.639999999999</v>
      </c>
    </row>
    <row r="916" spans="1:16" x14ac:dyDescent="0.45">
      <c r="A916" t="s">
        <v>924</v>
      </c>
      <c r="B916" s="1">
        <v>45288</v>
      </c>
      <c r="C916" s="2" t="s">
        <v>2012</v>
      </c>
      <c r="D916" t="s">
        <v>2017</v>
      </c>
      <c r="E916">
        <v>1749.98</v>
      </c>
      <c r="F916">
        <f>Cleaned[[#This Row],[Debit]] * Cleaned[[#This Row],[FX_rates]]</f>
        <v>106748.78</v>
      </c>
      <c r="G916">
        <v>0</v>
      </c>
      <c r="H916">
        <f>Cleaned[[#This Row],[Credit]] *  Cleaned[[#This Row],[FX_rates]]</f>
        <v>0</v>
      </c>
      <c r="I916" t="s">
        <v>2024</v>
      </c>
      <c r="J916" t="s">
        <v>2028</v>
      </c>
      <c r="K916" t="s">
        <v>2945</v>
      </c>
      <c r="L916" t="s">
        <v>4035</v>
      </c>
      <c r="M916">
        <f>Cleaned[[#This Row],[Credit]]-Cleaned[[#This Row],[Debit]]</f>
        <v>-1749.98</v>
      </c>
      <c r="N916" t="str">
        <f>_xlfn.XLOOKUP(Cleaned[[#This Row],[AccountName]], Account_Mapping!A:A, Account_Mapping!B:B,"Unmapped")</f>
        <v>Operating Expense</v>
      </c>
      <c r="O916" cm="1">
        <f t="array" ref="O916">_xlfn.XLOOKUP(
  1,
  (FX_Rates[Currency]=Cleaned[[#This Row],[Currency]])*
  (FX_Rates[RateDate]&lt;=Cleaned[[#This Row],[TxnDate]]),
  FX_Rates[Rate_To_INR],
  ,
  -1
)</f>
        <v>61</v>
      </c>
      <c r="P916" s="2">
        <f>Cleaned[[#This Row],[Net Amount]] *  Cleaned[[#This Row],[FX_rates]]</f>
        <v>-106748.78</v>
      </c>
    </row>
    <row r="917" spans="1:16" x14ac:dyDescent="0.45">
      <c r="A917" t="s">
        <v>925</v>
      </c>
      <c r="B917" s="1">
        <v>45650</v>
      </c>
      <c r="C917" s="2" t="s">
        <v>2011</v>
      </c>
      <c r="D917" t="s">
        <v>2016</v>
      </c>
      <c r="E917">
        <v>221.12</v>
      </c>
      <c r="F917">
        <f>Cleaned[[#This Row],[Debit]] * Cleaned[[#This Row],[FX_rates]]</f>
        <v>12382.720000000001</v>
      </c>
      <c r="G917">
        <v>0</v>
      </c>
      <c r="H917">
        <f>Cleaned[[#This Row],[Credit]] *  Cleaned[[#This Row],[FX_rates]]</f>
        <v>0</v>
      </c>
      <c r="I917" t="s">
        <v>2023</v>
      </c>
      <c r="J917" t="s">
        <v>2027</v>
      </c>
      <c r="K917" t="s">
        <v>2946</v>
      </c>
      <c r="L917" t="s">
        <v>4033</v>
      </c>
      <c r="M917">
        <f>Cleaned[[#This Row],[Credit]]-Cleaned[[#This Row],[Debit]]</f>
        <v>-221.12</v>
      </c>
      <c r="N917" t="str">
        <f>_xlfn.XLOOKUP(Cleaned[[#This Row],[AccountName]], Account_Mapping!A:A, Account_Mapping!B:B,"Unmapped")</f>
        <v>COGS</v>
      </c>
      <c r="O917" cm="1">
        <f t="array" ref="O917">_xlfn.XLOOKUP(
  1,
  (FX_Rates[Currency]=Cleaned[[#This Row],[Currency]])*
  (FX_Rates[RateDate]&lt;=Cleaned[[#This Row],[TxnDate]]),
  FX_Rates[Rate_To_INR],
  ,
  -1
)</f>
        <v>56</v>
      </c>
      <c r="P917" s="2">
        <f>Cleaned[[#This Row],[Net Amount]] *  Cleaned[[#This Row],[FX_rates]]</f>
        <v>-12382.720000000001</v>
      </c>
    </row>
    <row r="918" spans="1:16" x14ac:dyDescent="0.45">
      <c r="A918" t="s">
        <v>926</v>
      </c>
      <c r="B918" s="1">
        <v>45594</v>
      </c>
      <c r="C918" s="2" t="s">
        <v>2011</v>
      </c>
      <c r="D918" t="s">
        <v>2016</v>
      </c>
      <c r="E918">
        <v>1012.53</v>
      </c>
      <c r="F918">
        <f>Cleaned[[#This Row],[Debit]] * Cleaned[[#This Row],[FX_rates]]</f>
        <v>61764.33</v>
      </c>
      <c r="G918">
        <v>0</v>
      </c>
      <c r="H918">
        <f>Cleaned[[#This Row],[Credit]] *  Cleaned[[#This Row],[FX_rates]]</f>
        <v>0</v>
      </c>
      <c r="I918" t="s">
        <v>2021</v>
      </c>
      <c r="J918" t="s">
        <v>2028</v>
      </c>
      <c r="K918" t="s">
        <v>2947</v>
      </c>
      <c r="L918" t="s">
        <v>4035</v>
      </c>
      <c r="M918">
        <f>Cleaned[[#This Row],[Credit]]-Cleaned[[#This Row],[Debit]]</f>
        <v>-1012.53</v>
      </c>
      <c r="N918" t="str">
        <f>_xlfn.XLOOKUP(Cleaned[[#This Row],[AccountName]], Account_Mapping!A:A, Account_Mapping!B:B,"Unmapped")</f>
        <v>COGS</v>
      </c>
      <c r="O918" cm="1">
        <f t="array" ref="O918">_xlfn.XLOOKUP(
  1,
  (FX_Rates[Currency]=Cleaned[[#This Row],[Currency]])*
  (FX_Rates[RateDate]&lt;=Cleaned[[#This Row],[TxnDate]]),
  FX_Rates[Rate_To_INR],
  ,
  -1
)</f>
        <v>61</v>
      </c>
      <c r="P918" s="2">
        <f>Cleaned[[#This Row],[Net Amount]] *  Cleaned[[#This Row],[FX_rates]]</f>
        <v>-61764.33</v>
      </c>
    </row>
    <row r="919" spans="1:16" x14ac:dyDescent="0.45">
      <c r="A919" t="s">
        <v>927</v>
      </c>
      <c r="B919" s="1">
        <v>45134</v>
      </c>
      <c r="C919" s="2" t="s">
        <v>2014</v>
      </c>
      <c r="D919" t="s">
        <v>2019</v>
      </c>
      <c r="E919">
        <v>0</v>
      </c>
      <c r="F919">
        <f>Cleaned[[#This Row],[Debit]] * Cleaned[[#This Row],[FX_rates]]</f>
        <v>0</v>
      </c>
      <c r="G919">
        <v>542.16999999999996</v>
      </c>
      <c r="H919">
        <f>Cleaned[[#This Row],[Credit]] *  Cleaned[[#This Row],[FX_rates]]</f>
        <v>55843.509999999995</v>
      </c>
      <c r="I919" t="s">
        <v>2025</v>
      </c>
      <c r="J919" t="s">
        <v>2027</v>
      </c>
      <c r="K919" t="s">
        <v>2948</v>
      </c>
      <c r="L919" t="s">
        <v>4031</v>
      </c>
      <c r="M919">
        <f>Cleaned[[#This Row],[Credit]]-Cleaned[[#This Row],[Debit]]</f>
        <v>542.16999999999996</v>
      </c>
      <c r="N919" t="str">
        <f>_xlfn.XLOOKUP(Cleaned[[#This Row],[AccountName]], Account_Mapping!A:A, Account_Mapping!B:B,"Unmapped")</f>
        <v>Revenue</v>
      </c>
      <c r="O919" cm="1">
        <f t="array" ref="O919">_xlfn.XLOOKUP(
  1,
  (FX_Rates[Currency]=Cleaned[[#This Row],[Currency]])*
  (FX_Rates[RateDate]&lt;=Cleaned[[#This Row],[TxnDate]]),
  FX_Rates[Rate_To_INR],
  ,
  -1
)</f>
        <v>103</v>
      </c>
      <c r="P919" s="2">
        <f>Cleaned[[#This Row],[Net Amount]] *  Cleaned[[#This Row],[FX_rates]]</f>
        <v>55843.509999999995</v>
      </c>
    </row>
    <row r="920" spans="1:16" x14ac:dyDescent="0.45">
      <c r="A920" t="s">
        <v>928</v>
      </c>
      <c r="B920" s="1">
        <v>45739</v>
      </c>
      <c r="C920" s="2" t="s">
        <v>2013</v>
      </c>
      <c r="D920" t="s">
        <v>2018</v>
      </c>
      <c r="E920">
        <v>580.21</v>
      </c>
      <c r="F920">
        <f>Cleaned[[#This Row],[Debit]] * Cleaned[[#This Row],[FX_rates]]</f>
        <v>51058.48</v>
      </c>
      <c r="G920">
        <v>0</v>
      </c>
      <c r="H920">
        <f>Cleaned[[#This Row],[Credit]] *  Cleaned[[#This Row],[FX_rates]]</f>
        <v>0</v>
      </c>
      <c r="I920" t="s">
        <v>2020</v>
      </c>
      <c r="J920" t="s">
        <v>2030</v>
      </c>
      <c r="K920" t="s">
        <v>2949</v>
      </c>
      <c r="L920" t="s">
        <v>4032</v>
      </c>
      <c r="M920">
        <f>Cleaned[[#This Row],[Credit]]-Cleaned[[#This Row],[Debit]]</f>
        <v>-580.21</v>
      </c>
      <c r="N920" t="str">
        <f>_xlfn.XLOOKUP(Cleaned[[#This Row],[AccountName]], Account_Mapping!A:A, Account_Mapping!B:B,"Unmapped")</f>
        <v>Operating Expense</v>
      </c>
      <c r="O920" cm="1">
        <f t="array" ref="O920">_xlfn.XLOOKUP(
  1,
  (FX_Rates[Currency]=Cleaned[[#This Row],[Currency]])*
  (FX_Rates[RateDate]&lt;=Cleaned[[#This Row],[TxnDate]]),
  FX_Rates[Rate_To_INR],
  ,
  -1
)</f>
        <v>88</v>
      </c>
      <c r="P920" s="2">
        <f>Cleaned[[#This Row],[Net Amount]] *  Cleaned[[#This Row],[FX_rates]]</f>
        <v>-51058.48</v>
      </c>
    </row>
    <row r="921" spans="1:16" x14ac:dyDescent="0.45">
      <c r="A921" t="s">
        <v>929</v>
      </c>
      <c r="B921" s="1">
        <v>44930</v>
      </c>
      <c r="C921" s="2" t="s">
        <v>2013</v>
      </c>
      <c r="D921" t="s">
        <v>2018</v>
      </c>
      <c r="E921">
        <v>739.56</v>
      </c>
      <c r="F921">
        <f>Cleaned[[#This Row],[Debit]] * Cleaned[[#This Row],[FX_rates]]</f>
        <v>41415.360000000001</v>
      </c>
      <c r="G921">
        <v>0</v>
      </c>
      <c r="H921">
        <f>Cleaned[[#This Row],[Credit]] *  Cleaned[[#This Row],[FX_rates]]</f>
        <v>0</v>
      </c>
      <c r="I921" t="s">
        <v>2024</v>
      </c>
      <c r="J921" t="s">
        <v>2028</v>
      </c>
      <c r="K921" t="s">
        <v>2950</v>
      </c>
      <c r="L921" t="s">
        <v>4033</v>
      </c>
      <c r="M921">
        <f>Cleaned[[#This Row],[Credit]]-Cleaned[[#This Row],[Debit]]</f>
        <v>-739.56</v>
      </c>
      <c r="N921" t="str">
        <f>_xlfn.XLOOKUP(Cleaned[[#This Row],[AccountName]], Account_Mapping!A:A, Account_Mapping!B:B,"Unmapped")</f>
        <v>Operating Expense</v>
      </c>
      <c r="O921" cm="1">
        <f t="array" ref="O921">_xlfn.XLOOKUP(
  1,
  (FX_Rates[Currency]=Cleaned[[#This Row],[Currency]])*
  (FX_Rates[RateDate]&lt;=Cleaned[[#This Row],[TxnDate]]),
  FX_Rates[Rate_To_INR],
  ,
  -1
)</f>
        <v>56</v>
      </c>
      <c r="P921" s="2">
        <f>Cleaned[[#This Row],[Net Amount]] *  Cleaned[[#This Row],[FX_rates]]</f>
        <v>-41415.360000000001</v>
      </c>
    </row>
    <row r="922" spans="1:16" x14ac:dyDescent="0.45">
      <c r="A922" t="s">
        <v>930</v>
      </c>
      <c r="B922" s="1">
        <v>45604</v>
      </c>
      <c r="C922" s="2" t="s">
        <v>2011</v>
      </c>
      <c r="D922" t="s">
        <v>2016</v>
      </c>
      <c r="E922">
        <v>1657.23</v>
      </c>
      <c r="F922">
        <f>Cleaned[[#This Row],[Debit]] * Cleaned[[#This Row],[FX_rates]]</f>
        <v>92804.88</v>
      </c>
      <c r="G922">
        <v>0</v>
      </c>
      <c r="H922">
        <f>Cleaned[[#This Row],[Credit]] *  Cleaned[[#This Row],[FX_rates]]</f>
        <v>0</v>
      </c>
      <c r="I922" t="s">
        <v>2020</v>
      </c>
      <c r="J922" t="s">
        <v>2029</v>
      </c>
      <c r="K922" t="s">
        <v>2951</v>
      </c>
      <c r="L922" t="s">
        <v>4033</v>
      </c>
      <c r="M922">
        <f>Cleaned[[#This Row],[Credit]]-Cleaned[[#This Row],[Debit]]</f>
        <v>-1657.23</v>
      </c>
      <c r="N922" t="str">
        <f>_xlfn.XLOOKUP(Cleaned[[#This Row],[AccountName]], Account_Mapping!A:A, Account_Mapping!B:B,"Unmapped")</f>
        <v>COGS</v>
      </c>
      <c r="O922" cm="1">
        <f t="array" ref="O922">_xlfn.XLOOKUP(
  1,
  (FX_Rates[Currency]=Cleaned[[#This Row],[Currency]])*
  (FX_Rates[RateDate]&lt;=Cleaned[[#This Row],[TxnDate]]),
  FX_Rates[Rate_To_INR],
  ,
  -1
)</f>
        <v>56</v>
      </c>
      <c r="P922" s="2">
        <f>Cleaned[[#This Row],[Net Amount]] *  Cleaned[[#This Row],[FX_rates]]</f>
        <v>-92804.88</v>
      </c>
    </row>
    <row r="923" spans="1:16" x14ac:dyDescent="0.45">
      <c r="A923" t="s">
        <v>931</v>
      </c>
      <c r="B923" s="1">
        <v>45440</v>
      </c>
      <c r="C923" s="2" t="s">
        <v>2012</v>
      </c>
      <c r="D923" t="s">
        <v>2017</v>
      </c>
      <c r="E923">
        <v>1181.06</v>
      </c>
      <c r="F923">
        <f>Cleaned[[#This Row],[Debit]] * Cleaned[[#This Row],[FX_rates]]</f>
        <v>72044.66</v>
      </c>
      <c r="G923">
        <v>0</v>
      </c>
      <c r="H923">
        <f>Cleaned[[#This Row],[Credit]] *  Cleaned[[#This Row],[FX_rates]]</f>
        <v>0</v>
      </c>
      <c r="I923" t="s">
        <v>2020</v>
      </c>
      <c r="J923" t="s">
        <v>2028</v>
      </c>
      <c r="K923" t="s">
        <v>2952</v>
      </c>
      <c r="L923" t="s">
        <v>4035</v>
      </c>
      <c r="M923">
        <f>Cleaned[[#This Row],[Credit]]-Cleaned[[#This Row],[Debit]]</f>
        <v>-1181.06</v>
      </c>
      <c r="N923" t="str">
        <f>_xlfn.XLOOKUP(Cleaned[[#This Row],[AccountName]], Account_Mapping!A:A, Account_Mapping!B:B,"Unmapped")</f>
        <v>Operating Expense</v>
      </c>
      <c r="O923" cm="1">
        <f t="array" ref="O923">_xlfn.XLOOKUP(
  1,
  (FX_Rates[Currency]=Cleaned[[#This Row],[Currency]])*
  (FX_Rates[RateDate]&lt;=Cleaned[[#This Row],[TxnDate]]),
  FX_Rates[Rate_To_INR],
  ,
  -1
)</f>
        <v>61</v>
      </c>
      <c r="P923" s="2">
        <f>Cleaned[[#This Row],[Net Amount]] *  Cleaned[[#This Row],[FX_rates]]</f>
        <v>-72044.66</v>
      </c>
    </row>
    <row r="924" spans="1:16" x14ac:dyDescent="0.45">
      <c r="A924" t="s">
        <v>932</v>
      </c>
      <c r="B924" s="1">
        <v>45332</v>
      </c>
      <c r="C924" s="2" t="s">
        <v>2013</v>
      </c>
      <c r="D924" t="s">
        <v>2018</v>
      </c>
      <c r="E924">
        <v>944.72</v>
      </c>
      <c r="F924">
        <f>Cleaned[[#This Row],[Debit]] * Cleaned[[#This Row],[FX_rates]]</f>
        <v>83135.360000000001</v>
      </c>
      <c r="G924">
        <v>0</v>
      </c>
      <c r="H924">
        <f>Cleaned[[#This Row],[Credit]] *  Cleaned[[#This Row],[FX_rates]]</f>
        <v>0</v>
      </c>
      <c r="I924" t="s">
        <v>2022</v>
      </c>
      <c r="J924" t="s">
        <v>2030</v>
      </c>
      <c r="K924" t="s">
        <v>2953</v>
      </c>
      <c r="L924" t="s">
        <v>4032</v>
      </c>
      <c r="M924">
        <f>Cleaned[[#This Row],[Credit]]-Cleaned[[#This Row],[Debit]]</f>
        <v>-944.72</v>
      </c>
      <c r="N924" t="str">
        <f>_xlfn.XLOOKUP(Cleaned[[#This Row],[AccountName]], Account_Mapping!A:A, Account_Mapping!B:B,"Unmapped")</f>
        <v>Operating Expense</v>
      </c>
      <c r="O924" cm="1">
        <f t="array" ref="O924">_xlfn.XLOOKUP(
  1,
  (FX_Rates[Currency]=Cleaned[[#This Row],[Currency]])*
  (FX_Rates[RateDate]&lt;=Cleaned[[#This Row],[TxnDate]]),
  FX_Rates[Rate_To_INR],
  ,
  -1
)</f>
        <v>88</v>
      </c>
      <c r="P924" s="2">
        <f>Cleaned[[#This Row],[Net Amount]] *  Cleaned[[#This Row],[FX_rates]]</f>
        <v>-83135.360000000001</v>
      </c>
    </row>
    <row r="925" spans="1:16" x14ac:dyDescent="0.45">
      <c r="A925" t="s">
        <v>933</v>
      </c>
      <c r="B925" s="1">
        <v>45345</v>
      </c>
      <c r="C925" s="2" t="s">
        <v>2010</v>
      </c>
      <c r="D925" t="s">
        <v>2015</v>
      </c>
      <c r="E925">
        <v>0</v>
      </c>
      <c r="F925">
        <f>Cleaned[[#This Row],[Debit]] * Cleaned[[#This Row],[FX_rates]]</f>
        <v>0</v>
      </c>
      <c r="G925">
        <v>3496.47</v>
      </c>
      <c r="H925">
        <f>Cleaned[[#This Row],[Credit]] *  Cleaned[[#This Row],[FX_rates]]</f>
        <v>286710.53999999998</v>
      </c>
      <c r="I925" t="s">
        <v>2023</v>
      </c>
      <c r="J925" t="s">
        <v>2029</v>
      </c>
      <c r="K925" t="s">
        <v>2954</v>
      </c>
      <c r="L925" t="s">
        <v>4034</v>
      </c>
      <c r="M925">
        <f>Cleaned[[#This Row],[Credit]]-Cleaned[[#This Row],[Debit]]</f>
        <v>3496.47</v>
      </c>
      <c r="N925" t="str">
        <f>_xlfn.XLOOKUP(Cleaned[[#This Row],[AccountName]], Account_Mapping!A:A, Account_Mapping!B:B,"Unmapped")</f>
        <v>Revenue</v>
      </c>
      <c r="O925" cm="1">
        <f t="array" ref="O925">_xlfn.XLOOKUP(
  1,
  (FX_Rates[Currency]=Cleaned[[#This Row],[Currency]])*
  (FX_Rates[RateDate]&lt;=Cleaned[[#This Row],[TxnDate]]),
  FX_Rates[Rate_To_INR],
  ,
  -1
)</f>
        <v>82</v>
      </c>
      <c r="P925" s="2">
        <f>Cleaned[[#This Row],[Net Amount]] *  Cleaned[[#This Row],[FX_rates]]</f>
        <v>286710.53999999998</v>
      </c>
    </row>
    <row r="926" spans="1:16" x14ac:dyDescent="0.45">
      <c r="A926" t="s">
        <v>934</v>
      </c>
      <c r="B926" s="1">
        <v>45373</v>
      </c>
      <c r="C926" s="2" t="s">
        <v>2010</v>
      </c>
      <c r="D926" t="s">
        <v>2015</v>
      </c>
      <c r="E926">
        <v>0</v>
      </c>
      <c r="F926">
        <f>Cleaned[[#This Row],[Debit]] * Cleaned[[#This Row],[FX_rates]]</f>
        <v>0</v>
      </c>
      <c r="G926">
        <v>389.32</v>
      </c>
      <c r="H926">
        <f>Cleaned[[#This Row],[Credit]] *  Cleaned[[#This Row],[FX_rates]]</f>
        <v>31924.239999999998</v>
      </c>
      <c r="I926" t="s">
        <v>2022</v>
      </c>
      <c r="J926" t="s">
        <v>2026</v>
      </c>
      <c r="K926" t="s">
        <v>2955</v>
      </c>
      <c r="L926" t="s">
        <v>4034</v>
      </c>
      <c r="M926">
        <f>Cleaned[[#This Row],[Credit]]-Cleaned[[#This Row],[Debit]]</f>
        <v>389.32</v>
      </c>
      <c r="N926" t="str">
        <f>_xlfn.XLOOKUP(Cleaned[[#This Row],[AccountName]], Account_Mapping!A:A, Account_Mapping!B:B,"Unmapped")</f>
        <v>Revenue</v>
      </c>
      <c r="O926" cm="1">
        <f t="array" ref="O926">_xlfn.XLOOKUP(
  1,
  (FX_Rates[Currency]=Cleaned[[#This Row],[Currency]])*
  (FX_Rates[RateDate]&lt;=Cleaned[[#This Row],[TxnDate]]),
  FX_Rates[Rate_To_INR],
  ,
  -1
)</f>
        <v>82</v>
      </c>
      <c r="P926" s="2">
        <f>Cleaned[[#This Row],[Net Amount]] *  Cleaned[[#This Row],[FX_rates]]</f>
        <v>31924.239999999998</v>
      </c>
    </row>
    <row r="927" spans="1:16" x14ac:dyDescent="0.45">
      <c r="A927" t="s">
        <v>935</v>
      </c>
      <c r="B927" s="1">
        <v>45326</v>
      </c>
      <c r="C927" s="2" t="s">
        <v>2014</v>
      </c>
      <c r="D927" t="s">
        <v>2019</v>
      </c>
      <c r="E927">
        <v>0</v>
      </c>
      <c r="F927">
        <f>Cleaned[[#This Row],[Debit]] * Cleaned[[#This Row],[FX_rates]]</f>
        <v>0</v>
      </c>
      <c r="G927">
        <v>2071.73</v>
      </c>
      <c r="H927">
        <f>Cleaned[[#This Row],[Credit]] *  Cleaned[[#This Row],[FX_rates]]</f>
        <v>213388.19</v>
      </c>
      <c r="I927" t="s">
        <v>2024</v>
      </c>
      <c r="J927" t="s">
        <v>2026</v>
      </c>
      <c r="K927" t="s">
        <v>2956</v>
      </c>
      <c r="L927" t="s">
        <v>4031</v>
      </c>
      <c r="M927">
        <f>Cleaned[[#This Row],[Credit]]-Cleaned[[#This Row],[Debit]]</f>
        <v>2071.73</v>
      </c>
      <c r="N927" t="str">
        <f>_xlfn.XLOOKUP(Cleaned[[#This Row],[AccountName]], Account_Mapping!A:A, Account_Mapping!B:B,"Unmapped")</f>
        <v>Revenue</v>
      </c>
      <c r="O927" cm="1">
        <f t="array" ref="O927">_xlfn.XLOOKUP(
  1,
  (FX_Rates[Currency]=Cleaned[[#This Row],[Currency]])*
  (FX_Rates[RateDate]&lt;=Cleaned[[#This Row],[TxnDate]]),
  FX_Rates[Rate_To_INR],
  ,
  -1
)</f>
        <v>103</v>
      </c>
      <c r="P927" s="2">
        <f>Cleaned[[#This Row],[Net Amount]] *  Cleaned[[#This Row],[FX_rates]]</f>
        <v>213388.19</v>
      </c>
    </row>
    <row r="928" spans="1:16" x14ac:dyDescent="0.45">
      <c r="A928" t="s">
        <v>936</v>
      </c>
      <c r="B928" s="1">
        <v>45535</v>
      </c>
      <c r="C928" s="2" t="s">
        <v>2011</v>
      </c>
      <c r="D928" t="s">
        <v>2016</v>
      </c>
      <c r="E928">
        <v>1719.48</v>
      </c>
      <c r="F928">
        <f>Cleaned[[#This Row],[Debit]] * Cleaned[[#This Row],[FX_rates]]</f>
        <v>104888.28</v>
      </c>
      <c r="G928">
        <v>0</v>
      </c>
      <c r="H928">
        <f>Cleaned[[#This Row],[Credit]] *  Cleaned[[#This Row],[FX_rates]]</f>
        <v>0</v>
      </c>
      <c r="I928" t="s">
        <v>2021</v>
      </c>
      <c r="J928" t="s">
        <v>2029</v>
      </c>
      <c r="K928" t="s">
        <v>2957</v>
      </c>
      <c r="L928" t="s">
        <v>4035</v>
      </c>
      <c r="M928">
        <f>Cleaned[[#This Row],[Credit]]-Cleaned[[#This Row],[Debit]]</f>
        <v>-1719.48</v>
      </c>
      <c r="N928" t="str">
        <f>_xlfn.XLOOKUP(Cleaned[[#This Row],[AccountName]], Account_Mapping!A:A, Account_Mapping!B:B,"Unmapped")</f>
        <v>COGS</v>
      </c>
      <c r="O928" cm="1">
        <f t="array" ref="O928">_xlfn.XLOOKUP(
  1,
  (FX_Rates[Currency]=Cleaned[[#This Row],[Currency]])*
  (FX_Rates[RateDate]&lt;=Cleaned[[#This Row],[TxnDate]]),
  FX_Rates[Rate_To_INR],
  ,
  -1
)</f>
        <v>61</v>
      </c>
      <c r="P928" s="2">
        <f>Cleaned[[#This Row],[Net Amount]] *  Cleaned[[#This Row],[FX_rates]]</f>
        <v>-104888.28</v>
      </c>
    </row>
    <row r="929" spans="1:16" x14ac:dyDescent="0.45">
      <c r="A929" t="s">
        <v>937</v>
      </c>
      <c r="B929" s="1">
        <v>45703</v>
      </c>
      <c r="C929" s="2" t="s">
        <v>2012</v>
      </c>
      <c r="D929" t="s">
        <v>2017</v>
      </c>
      <c r="E929">
        <v>260.58</v>
      </c>
      <c r="F929">
        <f>Cleaned[[#This Row],[Debit]] * Cleaned[[#This Row],[FX_rates]]</f>
        <v>26839.739999999998</v>
      </c>
      <c r="G929">
        <v>0</v>
      </c>
      <c r="H929">
        <f>Cleaned[[#This Row],[Credit]] *  Cleaned[[#This Row],[FX_rates]]</f>
        <v>0</v>
      </c>
      <c r="I929" t="s">
        <v>2023</v>
      </c>
      <c r="J929" t="s">
        <v>2028</v>
      </c>
      <c r="K929" t="s">
        <v>2958</v>
      </c>
      <c r="L929" t="s">
        <v>4031</v>
      </c>
      <c r="M929">
        <f>Cleaned[[#This Row],[Credit]]-Cleaned[[#This Row],[Debit]]</f>
        <v>-260.58</v>
      </c>
      <c r="N929" t="str">
        <f>_xlfn.XLOOKUP(Cleaned[[#This Row],[AccountName]], Account_Mapping!A:A, Account_Mapping!B:B,"Unmapped")</f>
        <v>Operating Expense</v>
      </c>
      <c r="O929" cm="1">
        <f t="array" ref="O929">_xlfn.XLOOKUP(
  1,
  (FX_Rates[Currency]=Cleaned[[#This Row],[Currency]])*
  (FX_Rates[RateDate]&lt;=Cleaned[[#This Row],[TxnDate]]),
  FX_Rates[Rate_To_INR],
  ,
  -1
)</f>
        <v>103</v>
      </c>
      <c r="P929" s="2">
        <f>Cleaned[[#This Row],[Net Amount]] *  Cleaned[[#This Row],[FX_rates]]</f>
        <v>-26839.739999999998</v>
      </c>
    </row>
    <row r="930" spans="1:16" x14ac:dyDescent="0.45">
      <c r="A930" t="s">
        <v>938</v>
      </c>
      <c r="B930" s="1">
        <v>44951</v>
      </c>
      <c r="C930" s="2" t="s">
        <v>2013</v>
      </c>
      <c r="D930" t="s">
        <v>2018</v>
      </c>
      <c r="E930">
        <v>79.59</v>
      </c>
      <c r="F930">
        <f>Cleaned[[#This Row],[Debit]] * Cleaned[[#This Row],[FX_rates]]</f>
        <v>6526.38</v>
      </c>
      <c r="G930">
        <v>0</v>
      </c>
      <c r="H930">
        <f>Cleaned[[#This Row],[Credit]] *  Cleaned[[#This Row],[FX_rates]]</f>
        <v>0</v>
      </c>
      <c r="I930" t="s">
        <v>2020</v>
      </c>
      <c r="J930" t="s">
        <v>2027</v>
      </c>
      <c r="K930" t="s">
        <v>2959</v>
      </c>
      <c r="L930" t="s">
        <v>4034</v>
      </c>
      <c r="M930">
        <f>Cleaned[[#This Row],[Credit]]-Cleaned[[#This Row],[Debit]]</f>
        <v>-79.59</v>
      </c>
      <c r="N930" t="str">
        <f>_xlfn.XLOOKUP(Cleaned[[#This Row],[AccountName]], Account_Mapping!A:A, Account_Mapping!B:B,"Unmapped")</f>
        <v>Operating Expense</v>
      </c>
      <c r="O930" cm="1">
        <f t="array" ref="O930">_xlfn.XLOOKUP(
  1,
  (FX_Rates[Currency]=Cleaned[[#This Row],[Currency]])*
  (FX_Rates[RateDate]&lt;=Cleaned[[#This Row],[TxnDate]]),
  FX_Rates[Rate_To_INR],
  ,
  -1
)</f>
        <v>82</v>
      </c>
      <c r="P930" s="2">
        <f>Cleaned[[#This Row],[Net Amount]] *  Cleaned[[#This Row],[FX_rates]]</f>
        <v>-6526.38</v>
      </c>
    </row>
    <row r="931" spans="1:16" x14ac:dyDescent="0.45">
      <c r="A931" t="s">
        <v>939</v>
      </c>
      <c r="B931" s="1">
        <v>45445</v>
      </c>
      <c r="C931" s="2" t="s">
        <v>2014</v>
      </c>
      <c r="D931" t="s">
        <v>2019</v>
      </c>
      <c r="E931">
        <v>0</v>
      </c>
      <c r="F931">
        <f>Cleaned[[#This Row],[Debit]] * Cleaned[[#This Row],[FX_rates]]</f>
        <v>0</v>
      </c>
      <c r="G931">
        <v>2860.93</v>
      </c>
      <c r="H931">
        <f>Cleaned[[#This Row],[Credit]] *  Cleaned[[#This Row],[FX_rates]]</f>
        <v>174516.72999999998</v>
      </c>
      <c r="I931" t="s">
        <v>2022</v>
      </c>
      <c r="J931" t="s">
        <v>2030</v>
      </c>
      <c r="K931" t="s">
        <v>2960</v>
      </c>
      <c r="L931" t="s">
        <v>4035</v>
      </c>
      <c r="M931">
        <f>Cleaned[[#This Row],[Credit]]-Cleaned[[#This Row],[Debit]]</f>
        <v>2860.93</v>
      </c>
      <c r="N931" t="str">
        <f>_xlfn.XLOOKUP(Cleaned[[#This Row],[AccountName]], Account_Mapping!A:A, Account_Mapping!B:B,"Unmapped")</f>
        <v>Revenue</v>
      </c>
      <c r="O931" cm="1">
        <f t="array" ref="O931">_xlfn.XLOOKUP(
  1,
  (FX_Rates[Currency]=Cleaned[[#This Row],[Currency]])*
  (FX_Rates[RateDate]&lt;=Cleaned[[#This Row],[TxnDate]]),
  FX_Rates[Rate_To_INR],
  ,
  -1
)</f>
        <v>61</v>
      </c>
      <c r="P931" s="2">
        <f>Cleaned[[#This Row],[Net Amount]] *  Cleaned[[#This Row],[FX_rates]]</f>
        <v>174516.72999999998</v>
      </c>
    </row>
    <row r="932" spans="1:16" x14ac:dyDescent="0.45">
      <c r="A932" t="s">
        <v>940</v>
      </c>
      <c r="B932" s="1">
        <v>45525</v>
      </c>
      <c r="C932" s="2" t="s">
        <v>2014</v>
      </c>
      <c r="D932" t="s">
        <v>2019</v>
      </c>
      <c r="E932">
        <v>0</v>
      </c>
      <c r="F932">
        <f>Cleaned[[#This Row],[Debit]] * Cleaned[[#This Row],[FX_rates]]</f>
        <v>0</v>
      </c>
      <c r="G932">
        <v>4074.77</v>
      </c>
      <c r="H932">
        <f>Cleaned[[#This Row],[Credit]] *  Cleaned[[#This Row],[FX_rates]]</f>
        <v>358579.76</v>
      </c>
      <c r="I932" t="s">
        <v>2023</v>
      </c>
      <c r="J932" t="s">
        <v>2027</v>
      </c>
      <c r="K932" t="s">
        <v>2961</v>
      </c>
      <c r="L932" t="s">
        <v>4032</v>
      </c>
      <c r="M932">
        <f>Cleaned[[#This Row],[Credit]]-Cleaned[[#This Row],[Debit]]</f>
        <v>4074.77</v>
      </c>
      <c r="N932" t="str">
        <f>_xlfn.XLOOKUP(Cleaned[[#This Row],[AccountName]], Account_Mapping!A:A, Account_Mapping!B:B,"Unmapped")</f>
        <v>Revenue</v>
      </c>
      <c r="O932" cm="1">
        <f t="array" ref="O932">_xlfn.XLOOKUP(
  1,
  (FX_Rates[Currency]=Cleaned[[#This Row],[Currency]])*
  (FX_Rates[RateDate]&lt;=Cleaned[[#This Row],[TxnDate]]),
  FX_Rates[Rate_To_INR],
  ,
  -1
)</f>
        <v>88</v>
      </c>
      <c r="P932" s="2">
        <f>Cleaned[[#This Row],[Net Amount]] *  Cleaned[[#This Row],[FX_rates]]</f>
        <v>358579.76</v>
      </c>
    </row>
    <row r="933" spans="1:16" x14ac:dyDescent="0.45">
      <c r="A933" t="s">
        <v>941</v>
      </c>
      <c r="B933" s="1">
        <v>45683</v>
      </c>
      <c r="C933" s="2" t="s">
        <v>2014</v>
      </c>
      <c r="D933" t="s">
        <v>2019</v>
      </c>
      <c r="E933">
        <v>0</v>
      </c>
      <c r="F933">
        <f>Cleaned[[#This Row],[Debit]] * Cleaned[[#This Row],[FX_rates]]</f>
        <v>0</v>
      </c>
      <c r="G933">
        <v>4702.84</v>
      </c>
      <c r="H933">
        <f>Cleaned[[#This Row],[Credit]] *  Cleaned[[#This Row],[FX_rates]]</f>
        <v>484392.52</v>
      </c>
      <c r="I933" t="s">
        <v>2024</v>
      </c>
      <c r="J933" t="s">
        <v>2029</v>
      </c>
      <c r="K933" t="s">
        <v>2962</v>
      </c>
      <c r="L933" t="s">
        <v>4031</v>
      </c>
      <c r="M933">
        <f>Cleaned[[#This Row],[Credit]]-Cleaned[[#This Row],[Debit]]</f>
        <v>4702.84</v>
      </c>
      <c r="N933" t="str">
        <f>_xlfn.XLOOKUP(Cleaned[[#This Row],[AccountName]], Account_Mapping!A:A, Account_Mapping!B:B,"Unmapped")</f>
        <v>Revenue</v>
      </c>
      <c r="O933" cm="1">
        <f t="array" ref="O933">_xlfn.XLOOKUP(
  1,
  (FX_Rates[Currency]=Cleaned[[#This Row],[Currency]])*
  (FX_Rates[RateDate]&lt;=Cleaned[[#This Row],[TxnDate]]),
  FX_Rates[Rate_To_INR],
  ,
  -1
)</f>
        <v>103</v>
      </c>
      <c r="P933" s="2">
        <f>Cleaned[[#This Row],[Net Amount]] *  Cleaned[[#This Row],[FX_rates]]</f>
        <v>484392.52</v>
      </c>
    </row>
    <row r="934" spans="1:16" x14ac:dyDescent="0.45">
      <c r="A934" t="s">
        <v>942</v>
      </c>
      <c r="B934" s="1">
        <v>45242</v>
      </c>
      <c r="C934" s="2" t="s">
        <v>2013</v>
      </c>
      <c r="D934" t="s">
        <v>2018</v>
      </c>
      <c r="E934">
        <v>920.32</v>
      </c>
      <c r="F934">
        <f>Cleaned[[#This Row],[Debit]] * Cleaned[[#This Row],[FX_rates]]</f>
        <v>80988.160000000003</v>
      </c>
      <c r="G934">
        <v>0</v>
      </c>
      <c r="H934">
        <f>Cleaned[[#This Row],[Credit]] *  Cleaned[[#This Row],[FX_rates]]</f>
        <v>0</v>
      </c>
      <c r="I934" t="s">
        <v>2022</v>
      </c>
      <c r="J934" t="s">
        <v>2026</v>
      </c>
      <c r="K934" t="s">
        <v>2963</v>
      </c>
      <c r="L934" t="s">
        <v>4032</v>
      </c>
      <c r="M934">
        <f>Cleaned[[#This Row],[Credit]]-Cleaned[[#This Row],[Debit]]</f>
        <v>-920.32</v>
      </c>
      <c r="N934" t="str">
        <f>_xlfn.XLOOKUP(Cleaned[[#This Row],[AccountName]], Account_Mapping!A:A, Account_Mapping!B:B,"Unmapped")</f>
        <v>Operating Expense</v>
      </c>
      <c r="O934" cm="1">
        <f t="array" ref="O934">_xlfn.XLOOKUP(
  1,
  (FX_Rates[Currency]=Cleaned[[#This Row],[Currency]])*
  (FX_Rates[RateDate]&lt;=Cleaned[[#This Row],[TxnDate]]),
  FX_Rates[Rate_To_INR],
  ,
  -1
)</f>
        <v>88</v>
      </c>
      <c r="P934" s="2">
        <f>Cleaned[[#This Row],[Net Amount]] *  Cleaned[[#This Row],[FX_rates]]</f>
        <v>-80988.160000000003</v>
      </c>
    </row>
    <row r="935" spans="1:16" x14ac:dyDescent="0.45">
      <c r="A935" t="s">
        <v>943</v>
      </c>
      <c r="B935" s="1">
        <v>45164</v>
      </c>
      <c r="C935" s="2" t="s">
        <v>2014</v>
      </c>
      <c r="D935" t="s">
        <v>2019</v>
      </c>
      <c r="E935">
        <v>0</v>
      </c>
      <c r="F935">
        <f>Cleaned[[#This Row],[Debit]] * Cleaned[[#This Row],[FX_rates]]</f>
        <v>0</v>
      </c>
      <c r="G935">
        <v>1564.55</v>
      </c>
      <c r="H935">
        <f>Cleaned[[#This Row],[Credit]] *  Cleaned[[#This Row],[FX_rates]]</f>
        <v>95437.55</v>
      </c>
      <c r="I935" t="s">
        <v>2022</v>
      </c>
      <c r="J935" t="s">
        <v>2030</v>
      </c>
      <c r="K935" t="s">
        <v>2964</v>
      </c>
      <c r="L935" t="s">
        <v>4035</v>
      </c>
      <c r="M935">
        <f>Cleaned[[#This Row],[Credit]]-Cleaned[[#This Row],[Debit]]</f>
        <v>1564.55</v>
      </c>
      <c r="N935" t="str">
        <f>_xlfn.XLOOKUP(Cleaned[[#This Row],[AccountName]], Account_Mapping!A:A, Account_Mapping!B:B,"Unmapped")</f>
        <v>Revenue</v>
      </c>
      <c r="O935" cm="1">
        <f t="array" ref="O935">_xlfn.XLOOKUP(
  1,
  (FX_Rates[Currency]=Cleaned[[#This Row],[Currency]])*
  (FX_Rates[RateDate]&lt;=Cleaned[[#This Row],[TxnDate]]),
  FX_Rates[Rate_To_INR],
  ,
  -1
)</f>
        <v>61</v>
      </c>
      <c r="P935" s="2">
        <f>Cleaned[[#This Row],[Net Amount]] *  Cleaned[[#This Row],[FX_rates]]</f>
        <v>95437.55</v>
      </c>
    </row>
    <row r="936" spans="1:16" x14ac:dyDescent="0.45">
      <c r="A936" t="s">
        <v>944</v>
      </c>
      <c r="B936" s="1">
        <v>45425</v>
      </c>
      <c r="C936" s="2" t="s">
        <v>2014</v>
      </c>
      <c r="D936" t="s">
        <v>2019</v>
      </c>
      <c r="E936">
        <v>0</v>
      </c>
      <c r="F936">
        <f>Cleaned[[#This Row],[Debit]] * Cleaned[[#This Row],[FX_rates]]</f>
        <v>0</v>
      </c>
      <c r="G936">
        <v>2984.56</v>
      </c>
      <c r="H936">
        <f>Cleaned[[#This Row],[Credit]] *  Cleaned[[#This Row],[FX_rates]]</f>
        <v>167135.35999999999</v>
      </c>
      <c r="I936" t="s">
        <v>2025</v>
      </c>
      <c r="J936" t="s">
        <v>2028</v>
      </c>
      <c r="K936" t="s">
        <v>2965</v>
      </c>
      <c r="L936" t="s">
        <v>4033</v>
      </c>
      <c r="M936">
        <f>Cleaned[[#This Row],[Credit]]-Cleaned[[#This Row],[Debit]]</f>
        <v>2984.56</v>
      </c>
      <c r="N936" t="str">
        <f>_xlfn.XLOOKUP(Cleaned[[#This Row],[AccountName]], Account_Mapping!A:A, Account_Mapping!B:B,"Unmapped")</f>
        <v>Revenue</v>
      </c>
      <c r="O936" cm="1">
        <f t="array" ref="O936">_xlfn.XLOOKUP(
  1,
  (FX_Rates[Currency]=Cleaned[[#This Row],[Currency]])*
  (FX_Rates[RateDate]&lt;=Cleaned[[#This Row],[TxnDate]]),
  FX_Rates[Rate_To_INR],
  ,
  -1
)</f>
        <v>56</v>
      </c>
      <c r="P936" s="2">
        <f>Cleaned[[#This Row],[Net Amount]] *  Cleaned[[#This Row],[FX_rates]]</f>
        <v>167135.35999999999</v>
      </c>
    </row>
    <row r="937" spans="1:16" x14ac:dyDescent="0.45">
      <c r="A937" t="s">
        <v>945</v>
      </c>
      <c r="B937" s="1">
        <v>45399</v>
      </c>
      <c r="C937" s="2" t="s">
        <v>2014</v>
      </c>
      <c r="D937" t="s">
        <v>2019</v>
      </c>
      <c r="E937">
        <v>0</v>
      </c>
      <c r="F937">
        <f>Cleaned[[#This Row],[Debit]] * Cleaned[[#This Row],[FX_rates]]</f>
        <v>0</v>
      </c>
      <c r="G937">
        <v>4352.6000000000004</v>
      </c>
      <c r="H937">
        <f>Cleaned[[#This Row],[Credit]] *  Cleaned[[#This Row],[FX_rates]]</f>
        <v>265508.60000000003</v>
      </c>
      <c r="I937" t="s">
        <v>2021</v>
      </c>
      <c r="J937" t="s">
        <v>2030</v>
      </c>
      <c r="K937" t="s">
        <v>2966</v>
      </c>
      <c r="L937" t="s">
        <v>4035</v>
      </c>
      <c r="M937">
        <f>Cleaned[[#This Row],[Credit]]-Cleaned[[#This Row],[Debit]]</f>
        <v>4352.6000000000004</v>
      </c>
      <c r="N937" t="str">
        <f>_xlfn.XLOOKUP(Cleaned[[#This Row],[AccountName]], Account_Mapping!A:A, Account_Mapping!B:B,"Unmapped")</f>
        <v>Revenue</v>
      </c>
      <c r="O937" cm="1">
        <f t="array" ref="O937">_xlfn.XLOOKUP(
  1,
  (FX_Rates[Currency]=Cleaned[[#This Row],[Currency]])*
  (FX_Rates[RateDate]&lt;=Cleaned[[#This Row],[TxnDate]]),
  FX_Rates[Rate_To_INR],
  ,
  -1
)</f>
        <v>61</v>
      </c>
      <c r="P937" s="2">
        <f>Cleaned[[#This Row],[Net Amount]] *  Cleaned[[#This Row],[FX_rates]]</f>
        <v>265508.60000000003</v>
      </c>
    </row>
    <row r="938" spans="1:16" x14ac:dyDescent="0.45">
      <c r="A938" t="s">
        <v>946</v>
      </c>
      <c r="B938" s="1">
        <v>45650</v>
      </c>
      <c r="C938" s="2" t="s">
        <v>2014</v>
      </c>
      <c r="D938" t="s">
        <v>2019</v>
      </c>
      <c r="E938">
        <v>0</v>
      </c>
      <c r="F938">
        <f>Cleaned[[#This Row],[Debit]] * Cleaned[[#This Row],[FX_rates]]</f>
        <v>0</v>
      </c>
      <c r="G938">
        <v>1861.57</v>
      </c>
      <c r="H938">
        <f>Cleaned[[#This Row],[Credit]] *  Cleaned[[#This Row],[FX_rates]]</f>
        <v>152648.74</v>
      </c>
      <c r="I938" t="s">
        <v>2025</v>
      </c>
      <c r="J938" t="s">
        <v>2026</v>
      </c>
      <c r="K938" t="s">
        <v>2967</v>
      </c>
      <c r="L938" t="s">
        <v>4034</v>
      </c>
      <c r="M938">
        <f>Cleaned[[#This Row],[Credit]]-Cleaned[[#This Row],[Debit]]</f>
        <v>1861.57</v>
      </c>
      <c r="N938" t="str">
        <f>_xlfn.XLOOKUP(Cleaned[[#This Row],[AccountName]], Account_Mapping!A:A, Account_Mapping!B:B,"Unmapped")</f>
        <v>Revenue</v>
      </c>
      <c r="O938" cm="1">
        <f t="array" ref="O938">_xlfn.XLOOKUP(
  1,
  (FX_Rates[Currency]=Cleaned[[#This Row],[Currency]])*
  (FX_Rates[RateDate]&lt;=Cleaned[[#This Row],[TxnDate]]),
  FX_Rates[Rate_To_INR],
  ,
  -1
)</f>
        <v>82</v>
      </c>
      <c r="P938" s="2">
        <f>Cleaned[[#This Row],[Net Amount]] *  Cleaned[[#This Row],[FX_rates]]</f>
        <v>152648.74</v>
      </c>
    </row>
    <row r="939" spans="1:16" x14ac:dyDescent="0.45">
      <c r="A939" t="s">
        <v>947</v>
      </c>
      <c r="B939" s="1">
        <v>45007</v>
      </c>
      <c r="C939" s="2" t="s">
        <v>2014</v>
      </c>
      <c r="D939" t="s">
        <v>2019</v>
      </c>
      <c r="E939">
        <v>0</v>
      </c>
      <c r="F939">
        <f>Cleaned[[#This Row],[Debit]] * Cleaned[[#This Row],[FX_rates]]</f>
        <v>0</v>
      </c>
      <c r="G939">
        <v>1431.79</v>
      </c>
      <c r="H939">
        <f>Cleaned[[#This Row],[Credit]] *  Cleaned[[#This Row],[FX_rates]]</f>
        <v>87339.19</v>
      </c>
      <c r="I939" t="s">
        <v>2021</v>
      </c>
      <c r="J939" t="s">
        <v>2027</v>
      </c>
      <c r="K939" t="s">
        <v>2968</v>
      </c>
      <c r="L939" t="s">
        <v>4035</v>
      </c>
      <c r="M939">
        <f>Cleaned[[#This Row],[Credit]]-Cleaned[[#This Row],[Debit]]</f>
        <v>1431.79</v>
      </c>
      <c r="N939" t="str">
        <f>_xlfn.XLOOKUP(Cleaned[[#This Row],[AccountName]], Account_Mapping!A:A, Account_Mapping!B:B,"Unmapped")</f>
        <v>Revenue</v>
      </c>
      <c r="O939" cm="1">
        <f t="array" ref="O939">_xlfn.XLOOKUP(
  1,
  (FX_Rates[Currency]=Cleaned[[#This Row],[Currency]])*
  (FX_Rates[RateDate]&lt;=Cleaned[[#This Row],[TxnDate]]),
  FX_Rates[Rate_To_INR],
  ,
  -1
)</f>
        <v>61</v>
      </c>
      <c r="P939" s="2">
        <f>Cleaned[[#This Row],[Net Amount]] *  Cleaned[[#This Row],[FX_rates]]</f>
        <v>87339.19</v>
      </c>
    </row>
    <row r="940" spans="1:16" x14ac:dyDescent="0.45">
      <c r="A940" t="s">
        <v>948</v>
      </c>
      <c r="B940" s="1">
        <v>45751</v>
      </c>
      <c r="C940" s="2" t="s">
        <v>2014</v>
      </c>
      <c r="D940" t="s">
        <v>2019</v>
      </c>
      <c r="E940">
        <v>0</v>
      </c>
      <c r="F940">
        <f>Cleaned[[#This Row],[Debit]] * Cleaned[[#This Row],[FX_rates]]</f>
        <v>0</v>
      </c>
      <c r="G940">
        <v>3515.1</v>
      </c>
      <c r="H940">
        <f>Cleaned[[#This Row],[Credit]] *  Cleaned[[#This Row],[FX_rates]]</f>
        <v>196845.6</v>
      </c>
      <c r="I940" t="s">
        <v>2021</v>
      </c>
      <c r="J940" t="s">
        <v>2026</v>
      </c>
      <c r="K940" t="s">
        <v>2969</v>
      </c>
      <c r="L940" t="s">
        <v>4033</v>
      </c>
      <c r="M940">
        <f>Cleaned[[#This Row],[Credit]]-Cleaned[[#This Row],[Debit]]</f>
        <v>3515.1</v>
      </c>
      <c r="N940" t="str">
        <f>_xlfn.XLOOKUP(Cleaned[[#This Row],[AccountName]], Account_Mapping!A:A, Account_Mapping!B:B,"Unmapped")</f>
        <v>Revenue</v>
      </c>
      <c r="O940" cm="1">
        <f t="array" ref="O940">_xlfn.XLOOKUP(
  1,
  (FX_Rates[Currency]=Cleaned[[#This Row],[Currency]])*
  (FX_Rates[RateDate]&lt;=Cleaned[[#This Row],[TxnDate]]),
  FX_Rates[Rate_To_INR],
  ,
  -1
)</f>
        <v>56</v>
      </c>
      <c r="P940" s="2">
        <f>Cleaned[[#This Row],[Net Amount]] *  Cleaned[[#This Row],[FX_rates]]</f>
        <v>196845.6</v>
      </c>
    </row>
    <row r="941" spans="1:16" x14ac:dyDescent="0.45">
      <c r="A941" t="s">
        <v>949</v>
      </c>
      <c r="B941" s="1">
        <v>45116</v>
      </c>
      <c r="C941" s="2" t="s">
        <v>2011</v>
      </c>
      <c r="D941" t="s">
        <v>2016</v>
      </c>
      <c r="E941">
        <v>547.15</v>
      </c>
      <c r="F941">
        <f>Cleaned[[#This Row],[Debit]] * Cleaned[[#This Row],[FX_rates]]</f>
        <v>48149.2</v>
      </c>
      <c r="G941">
        <v>0</v>
      </c>
      <c r="H941">
        <f>Cleaned[[#This Row],[Credit]] *  Cleaned[[#This Row],[FX_rates]]</f>
        <v>0</v>
      </c>
      <c r="I941" t="s">
        <v>2020</v>
      </c>
      <c r="J941" t="s">
        <v>2026</v>
      </c>
      <c r="K941" t="s">
        <v>2970</v>
      </c>
      <c r="L941" t="s">
        <v>4032</v>
      </c>
      <c r="M941">
        <f>Cleaned[[#This Row],[Credit]]-Cleaned[[#This Row],[Debit]]</f>
        <v>-547.15</v>
      </c>
      <c r="N941" t="str">
        <f>_xlfn.XLOOKUP(Cleaned[[#This Row],[AccountName]], Account_Mapping!A:A, Account_Mapping!B:B,"Unmapped")</f>
        <v>COGS</v>
      </c>
      <c r="O941" cm="1">
        <f t="array" ref="O941">_xlfn.XLOOKUP(
  1,
  (FX_Rates[Currency]=Cleaned[[#This Row],[Currency]])*
  (FX_Rates[RateDate]&lt;=Cleaned[[#This Row],[TxnDate]]),
  FX_Rates[Rate_To_INR],
  ,
  -1
)</f>
        <v>88</v>
      </c>
      <c r="P941" s="2">
        <f>Cleaned[[#This Row],[Net Amount]] *  Cleaned[[#This Row],[FX_rates]]</f>
        <v>-48149.2</v>
      </c>
    </row>
    <row r="942" spans="1:16" x14ac:dyDescent="0.45">
      <c r="A942" t="s">
        <v>950</v>
      </c>
      <c r="B942" s="1">
        <v>45248</v>
      </c>
      <c r="C942" s="2" t="s">
        <v>2010</v>
      </c>
      <c r="D942" t="s">
        <v>2015</v>
      </c>
      <c r="E942">
        <v>0</v>
      </c>
      <c r="F942">
        <f>Cleaned[[#This Row],[Debit]] * Cleaned[[#This Row],[FX_rates]]</f>
        <v>0</v>
      </c>
      <c r="G942">
        <v>2941.46</v>
      </c>
      <c r="H942">
        <f>Cleaned[[#This Row],[Credit]] *  Cleaned[[#This Row],[FX_rates]]</f>
        <v>164721.76</v>
      </c>
      <c r="I942" t="s">
        <v>2021</v>
      </c>
      <c r="J942" t="s">
        <v>2030</v>
      </c>
      <c r="K942" t="s">
        <v>2971</v>
      </c>
      <c r="L942" t="s">
        <v>4033</v>
      </c>
      <c r="M942">
        <f>Cleaned[[#This Row],[Credit]]-Cleaned[[#This Row],[Debit]]</f>
        <v>2941.46</v>
      </c>
      <c r="N942" t="str">
        <f>_xlfn.XLOOKUP(Cleaned[[#This Row],[AccountName]], Account_Mapping!A:A, Account_Mapping!B:B,"Unmapped")</f>
        <v>Revenue</v>
      </c>
      <c r="O942" cm="1">
        <f t="array" ref="O942">_xlfn.XLOOKUP(
  1,
  (FX_Rates[Currency]=Cleaned[[#This Row],[Currency]])*
  (FX_Rates[RateDate]&lt;=Cleaned[[#This Row],[TxnDate]]),
  FX_Rates[Rate_To_INR],
  ,
  -1
)</f>
        <v>56</v>
      </c>
      <c r="P942" s="2">
        <f>Cleaned[[#This Row],[Net Amount]] *  Cleaned[[#This Row],[FX_rates]]</f>
        <v>164721.76</v>
      </c>
    </row>
    <row r="943" spans="1:16" x14ac:dyDescent="0.45">
      <c r="A943" t="s">
        <v>951</v>
      </c>
      <c r="B943" s="1">
        <v>45408</v>
      </c>
      <c r="C943" s="2" t="s">
        <v>2012</v>
      </c>
      <c r="D943" t="s">
        <v>2017</v>
      </c>
      <c r="E943">
        <v>1900.12</v>
      </c>
      <c r="F943">
        <f>Cleaned[[#This Row],[Debit]] * Cleaned[[#This Row],[FX_rates]]</f>
        <v>155809.84</v>
      </c>
      <c r="G943">
        <v>0</v>
      </c>
      <c r="H943">
        <f>Cleaned[[#This Row],[Credit]] *  Cleaned[[#This Row],[FX_rates]]</f>
        <v>0</v>
      </c>
      <c r="I943" t="s">
        <v>2025</v>
      </c>
      <c r="J943" t="s">
        <v>2027</v>
      </c>
      <c r="K943" t="s">
        <v>2972</v>
      </c>
      <c r="L943" t="s">
        <v>4034</v>
      </c>
      <c r="M943">
        <f>Cleaned[[#This Row],[Credit]]-Cleaned[[#This Row],[Debit]]</f>
        <v>-1900.12</v>
      </c>
      <c r="N943" t="str">
        <f>_xlfn.XLOOKUP(Cleaned[[#This Row],[AccountName]], Account_Mapping!A:A, Account_Mapping!B:B,"Unmapped")</f>
        <v>Operating Expense</v>
      </c>
      <c r="O943" cm="1">
        <f t="array" ref="O943">_xlfn.XLOOKUP(
  1,
  (FX_Rates[Currency]=Cleaned[[#This Row],[Currency]])*
  (FX_Rates[RateDate]&lt;=Cleaned[[#This Row],[TxnDate]]),
  FX_Rates[Rate_To_INR],
  ,
  -1
)</f>
        <v>82</v>
      </c>
      <c r="P943" s="2">
        <f>Cleaned[[#This Row],[Net Amount]] *  Cleaned[[#This Row],[FX_rates]]</f>
        <v>-155809.84</v>
      </c>
    </row>
    <row r="944" spans="1:16" x14ac:dyDescent="0.45">
      <c r="A944" t="s">
        <v>952</v>
      </c>
      <c r="B944" s="1">
        <v>45006</v>
      </c>
      <c r="C944" s="2" t="s">
        <v>2014</v>
      </c>
      <c r="D944" t="s">
        <v>2019</v>
      </c>
      <c r="E944">
        <v>0</v>
      </c>
      <c r="F944">
        <f>Cleaned[[#This Row],[Debit]] * Cleaned[[#This Row],[FX_rates]]</f>
        <v>0</v>
      </c>
      <c r="G944">
        <v>1951.17</v>
      </c>
      <c r="H944">
        <f>Cleaned[[#This Row],[Credit]] *  Cleaned[[#This Row],[FX_rates]]</f>
        <v>109265.52</v>
      </c>
      <c r="I944" t="s">
        <v>2020</v>
      </c>
      <c r="J944" t="s">
        <v>2028</v>
      </c>
      <c r="K944" t="s">
        <v>2973</v>
      </c>
      <c r="L944" t="s">
        <v>4033</v>
      </c>
      <c r="M944">
        <f>Cleaned[[#This Row],[Credit]]-Cleaned[[#This Row],[Debit]]</f>
        <v>1951.17</v>
      </c>
      <c r="N944" t="str">
        <f>_xlfn.XLOOKUP(Cleaned[[#This Row],[AccountName]], Account_Mapping!A:A, Account_Mapping!B:B,"Unmapped")</f>
        <v>Revenue</v>
      </c>
      <c r="O944" cm="1">
        <f t="array" ref="O944">_xlfn.XLOOKUP(
  1,
  (FX_Rates[Currency]=Cleaned[[#This Row],[Currency]])*
  (FX_Rates[RateDate]&lt;=Cleaned[[#This Row],[TxnDate]]),
  FX_Rates[Rate_To_INR],
  ,
  -1
)</f>
        <v>56</v>
      </c>
      <c r="P944" s="2">
        <f>Cleaned[[#This Row],[Net Amount]] *  Cleaned[[#This Row],[FX_rates]]</f>
        <v>109265.52</v>
      </c>
    </row>
    <row r="945" spans="1:16" x14ac:dyDescent="0.45">
      <c r="A945" t="s">
        <v>953</v>
      </c>
      <c r="B945" s="1">
        <v>45761</v>
      </c>
      <c r="C945" s="2" t="s">
        <v>2011</v>
      </c>
      <c r="D945" t="s">
        <v>2016</v>
      </c>
      <c r="E945">
        <v>1649.25</v>
      </c>
      <c r="F945">
        <f>Cleaned[[#This Row],[Debit]] * Cleaned[[#This Row],[FX_rates]]</f>
        <v>100604.25</v>
      </c>
      <c r="G945">
        <v>0</v>
      </c>
      <c r="H945">
        <f>Cleaned[[#This Row],[Credit]] *  Cleaned[[#This Row],[FX_rates]]</f>
        <v>0</v>
      </c>
      <c r="I945" t="s">
        <v>2024</v>
      </c>
      <c r="J945" t="s">
        <v>2029</v>
      </c>
      <c r="K945" t="s">
        <v>2974</v>
      </c>
      <c r="L945" t="s">
        <v>4035</v>
      </c>
      <c r="M945">
        <f>Cleaned[[#This Row],[Credit]]-Cleaned[[#This Row],[Debit]]</f>
        <v>-1649.25</v>
      </c>
      <c r="N945" t="str">
        <f>_xlfn.XLOOKUP(Cleaned[[#This Row],[AccountName]], Account_Mapping!A:A, Account_Mapping!B:B,"Unmapped")</f>
        <v>COGS</v>
      </c>
      <c r="O945" cm="1">
        <f t="array" ref="O945">_xlfn.XLOOKUP(
  1,
  (FX_Rates[Currency]=Cleaned[[#This Row],[Currency]])*
  (FX_Rates[RateDate]&lt;=Cleaned[[#This Row],[TxnDate]]),
  FX_Rates[Rate_To_INR],
  ,
  -1
)</f>
        <v>61</v>
      </c>
      <c r="P945" s="2">
        <f>Cleaned[[#This Row],[Net Amount]] *  Cleaned[[#This Row],[FX_rates]]</f>
        <v>-100604.25</v>
      </c>
    </row>
    <row r="946" spans="1:16" x14ac:dyDescent="0.45">
      <c r="A946" t="s">
        <v>954</v>
      </c>
      <c r="B946" s="1">
        <v>45642</v>
      </c>
      <c r="C946" s="2" t="s">
        <v>2012</v>
      </c>
      <c r="D946" t="s">
        <v>2017</v>
      </c>
      <c r="E946">
        <v>770.2</v>
      </c>
      <c r="F946">
        <f>Cleaned[[#This Row],[Debit]] * Cleaned[[#This Row],[FX_rates]]</f>
        <v>43131.200000000004</v>
      </c>
      <c r="G946">
        <v>0</v>
      </c>
      <c r="H946">
        <f>Cleaned[[#This Row],[Credit]] *  Cleaned[[#This Row],[FX_rates]]</f>
        <v>0</v>
      </c>
      <c r="I946" t="s">
        <v>2022</v>
      </c>
      <c r="J946" t="s">
        <v>2029</v>
      </c>
      <c r="K946" t="s">
        <v>2975</v>
      </c>
      <c r="L946" t="s">
        <v>4033</v>
      </c>
      <c r="M946">
        <f>Cleaned[[#This Row],[Credit]]-Cleaned[[#This Row],[Debit]]</f>
        <v>-770.2</v>
      </c>
      <c r="N946" t="str">
        <f>_xlfn.XLOOKUP(Cleaned[[#This Row],[AccountName]], Account_Mapping!A:A, Account_Mapping!B:B,"Unmapped")</f>
        <v>Operating Expense</v>
      </c>
      <c r="O946" cm="1">
        <f t="array" ref="O946">_xlfn.XLOOKUP(
  1,
  (FX_Rates[Currency]=Cleaned[[#This Row],[Currency]])*
  (FX_Rates[RateDate]&lt;=Cleaned[[#This Row],[TxnDate]]),
  FX_Rates[Rate_To_INR],
  ,
  -1
)</f>
        <v>56</v>
      </c>
      <c r="P946" s="2">
        <f>Cleaned[[#This Row],[Net Amount]] *  Cleaned[[#This Row],[FX_rates]]</f>
        <v>-43131.200000000004</v>
      </c>
    </row>
    <row r="947" spans="1:16" x14ac:dyDescent="0.45">
      <c r="A947" t="s">
        <v>955</v>
      </c>
      <c r="B947" s="1">
        <v>45440</v>
      </c>
      <c r="C947" s="2" t="s">
        <v>2012</v>
      </c>
      <c r="D947" t="s">
        <v>2017</v>
      </c>
      <c r="E947">
        <v>202.11</v>
      </c>
      <c r="F947">
        <f>Cleaned[[#This Row],[Debit]] * Cleaned[[#This Row],[FX_rates]]</f>
        <v>11318.16</v>
      </c>
      <c r="G947">
        <v>0</v>
      </c>
      <c r="H947">
        <f>Cleaned[[#This Row],[Credit]] *  Cleaned[[#This Row],[FX_rates]]</f>
        <v>0</v>
      </c>
      <c r="I947" t="s">
        <v>2021</v>
      </c>
      <c r="J947" t="s">
        <v>2027</v>
      </c>
      <c r="K947" t="s">
        <v>2976</v>
      </c>
      <c r="L947" t="s">
        <v>4033</v>
      </c>
      <c r="M947">
        <f>Cleaned[[#This Row],[Credit]]-Cleaned[[#This Row],[Debit]]</f>
        <v>-202.11</v>
      </c>
      <c r="N947" t="str">
        <f>_xlfn.XLOOKUP(Cleaned[[#This Row],[AccountName]], Account_Mapping!A:A, Account_Mapping!B:B,"Unmapped")</f>
        <v>Operating Expense</v>
      </c>
      <c r="O947" cm="1">
        <f t="array" ref="O947">_xlfn.XLOOKUP(
  1,
  (FX_Rates[Currency]=Cleaned[[#This Row],[Currency]])*
  (FX_Rates[RateDate]&lt;=Cleaned[[#This Row],[TxnDate]]),
  FX_Rates[Rate_To_INR],
  ,
  -1
)</f>
        <v>56</v>
      </c>
      <c r="P947" s="2">
        <f>Cleaned[[#This Row],[Net Amount]] *  Cleaned[[#This Row],[FX_rates]]</f>
        <v>-11318.16</v>
      </c>
    </row>
    <row r="948" spans="1:16" x14ac:dyDescent="0.45">
      <c r="A948" t="s">
        <v>956</v>
      </c>
      <c r="B948" s="1">
        <v>45343</v>
      </c>
      <c r="C948" s="2" t="s">
        <v>2012</v>
      </c>
      <c r="D948" t="s">
        <v>2017</v>
      </c>
      <c r="E948">
        <v>1844.72</v>
      </c>
      <c r="F948">
        <f>Cleaned[[#This Row],[Debit]] * Cleaned[[#This Row],[FX_rates]]</f>
        <v>112527.92</v>
      </c>
      <c r="G948">
        <v>0</v>
      </c>
      <c r="H948">
        <f>Cleaned[[#This Row],[Credit]] *  Cleaned[[#This Row],[FX_rates]]</f>
        <v>0</v>
      </c>
      <c r="I948" t="s">
        <v>2023</v>
      </c>
      <c r="J948" t="s">
        <v>2026</v>
      </c>
      <c r="K948" t="s">
        <v>2977</v>
      </c>
      <c r="L948" t="s">
        <v>4035</v>
      </c>
      <c r="M948">
        <f>Cleaned[[#This Row],[Credit]]-Cleaned[[#This Row],[Debit]]</f>
        <v>-1844.72</v>
      </c>
      <c r="N948" t="str">
        <f>_xlfn.XLOOKUP(Cleaned[[#This Row],[AccountName]], Account_Mapping!A:A, Account_Mapping!B:B,"Unmapped")</f>
        <v>Operating Expense</v>
      </c>
      <c r="O948" cm="1">
        <f t="array" ref="O948">_xlfn.XLOOKUP(
  1,
  (FX_Rates[Currency]=Cleaned[[#This Row],[Currency]])*
  (FX_Rates[RateDate]&lt;=Cleaned[[#This Row],[TxnDate]]),
  FX_Rates[Rate_To_INR],
  ,
  -1
)</f>
        <v>61</v>
      </c>
      <c r="P948" s="2">
        <f>Cleaned[[#This Row],[Net Amount]] *  Cleaned[[#This Row],[FX_rates]]</f>
        <v>-112527.92</v>
      </c>
    </row>
    <row r="949" spans="1:16" x14ac:dyDescent="0.45">
      <c r="A949" t="s">
        <v>957</v>
      </c>
      <c r="B949" s="1">
        <v>44946</v>
      </c>
      <c r="C949" s="2" t="s">
        <v>2014</v>
      </c>
      <c r="D949" t="s">
        <v>2019</v>
      </c>
      <c r="E949">
        <v>0</v>
      </c>
      <c r="F949">
        <f>Cleaned[[#This Row],[Debit]] * Cleaned[[#This Row],[FX_rates]]</f>
        <v>0</v>
      </c>
      <c r="G949">
        <v>1995.59</v>
      </c>
      <c r="H949">
        <f>Cleaned[[#This Row],[Credit]] *  Cleaned[[#This Row],[FX_rates]]</f>
        <v>175611.91999999998</v>
      </c>
      <c r="I949" t="s">
        <v>2024</v>
      </c>
      <c r="J949" t="s">
        <v>2027</v>
      </c>
      <c r="K949" t="s">
        <v>2978</v>
      </c>
      <c r="L949" t="s">
        <v>4032</v>
      </c>
      <c r="M949">
        <f>Cleaned[[#This Row],[Credit]]-Cleaned[[#This Row],[Debit]]</f>
        <v>1995.59</v>
      </c>
      <c r="N949" t="str">
        <f>_xlfn.XLOOKUP(Cleaned[[#This Row],[AccountName]], Account_Mapping!A:A, Account_Mapping!B:B,"Unmapped")</f>
        <v>Revenue</v>
      </c>
      <c r="O949" cm="1">
        <f t="array" ref="O949">_xlfn.XLOOKUP(
  1,
  (FX_Rates[Currency]=Cleaned[[#This Row],[Currency]])*
  (FX_Rates[RateDate]&lt;=Cleaned[[#This Row],[TxnDate]]),
  FX_Rates[Rate_To_INR],
  ,
  -1
)</f>
        <v>88</v>
      </c>
      <c r="P949" s="2">
        <f>Cleaned[[#This Row],[Net Amount]] *  Cleaned[[#This Row],[FX_rates]]</f>
        <v>175611.91999999998</v>
      </c>
    </row>
    <row r="950" spans="1:16" x14ac:dyDescent="0.45">
      <c r="A950" t="s">
        <v>958</v>
      </c>
      <c r="B950" s="1">
        <v>45195</v>
      </c>
      <c r="C950" s="2" t="s">
        <v>2011</v>
      </c>
      <c r="D950" t="s">
        <v>2016</v>
      </c>
      <c r="E950">
        <v>1875.24</v>
      </c>
      <c r="F950">
        <f>Cleaned[[#This Row],[Debit]] * Cleaned[[#This Row],[FX_rates]]</f>
        <v>153769.68</v>
      </c>
      <c r="G950">
        <v>0</v>
      </c>
      <c r="H950">
        <f>Cleaned[[#This Row],[Credit]] *  Cleaned[[#This Row],[FX_rates]]</f>
        <v>0</v>
      </c>
      <c r="I950" t="s">
        <v>2021</v>
      </c>
      <c r="J950" t="s">
        <v>2026</v>
      </c>
      <c r="K950" t="s">
        <v>2979</v>
      </c>
      <c r="L950" t="s">
        <v>4034</v>
      </c>
      <c r="M950">
        <f>Cleaned[[#This Row],[Credit]]-Cleaned[[#This Row],[Debit]]</f>
        <v>-1875.24</v>
      </c>
      <c r="N950" t="str">
        <f>_xlfn.XLOOKUP(Cleaned[[#This Row],[AccountName]], Account_Mapping!A:A, Account_Mapping!B:B,"Unmapped")</f>
        <v>COGS</v>
      </c>
      <c r="O950" cm="1">
        <f t="array" ref="O950">_xlfn.XLOOKUP(
  1,
  (FX_Rates[Currency]=Cleaned[[#This Row],[Currency]])*
  (FX_Rates[RateDate]&lt;=Cleaned[[#This Row],[TxnDate]]),
  FX_Rates[Rate_To_INR],
  ,
  -1
)</f>
        <v>82</v>
      </c>
      <c r="P950" s="2">
        <f>Cleaned[[#This Row],[Net Amount]] *  Cleaned[[#This Row],[FX_rates]]</f>
        <v>-153769.68</v>
      </c>
    </row>
    <row r="951" spans="1:16" x14ac:dyDescent="0.45">
      <c r="A951" t="s">
        <v>959</v>
      </c>
      <c r="B951" s="1">
        <v>45685</v>
      </c>
      <c r="C951" s="2" t="s">
        <v>2013</v>
      </c>
      <c r="D951" t="s">
        <v>2018</v>
      </c>
      <c r="E951">
        <v>80.59</v>
      </c>
      <c r="F951">
        <f>Cleaned[[#This Row],[Debit]] * Cleaned[[#This Row],[FX_rates]]</f>
        <v>8300.77</v>
      </c>
      <c r="G951">
        <v>0</v>
      </c>
      <c r="H951">
        <f>Cleaned[[#This Row],[Credit]] *  Cleaned[[#This Row],[FX_rates]]</f>
        <v>0</v>
      </c>
      <c r="I951" t="s">
        <v>2020</v>
      </c>
      <c r="J951" t="s">
        <v>2028</v>
      </c>
      <c r="K951" t="s">
        <v>2980</v>
      </c>
      <c r="L951" t="s">
        <v>4031</v>
      </c>
      <c r="M951">
        <f>Cleaned[[#This Row],[Credit]]-Cleaned[[#This Row],[Debit]]</f>
        <v>-80.59</v>
      </c>
      <c r="N951" t="str">
        <f>_xlfn.XLOOKUP(Cleaned[[#This Row],[AccountName]], Account_Mapping!A:A, Account_Mapping!B:B,"Unmapped")</f>
        <v>Operating Expense</v>
      </c>
      <c r="O951" cm="1">
        <f t="array" ref="O951">_xlfn.XLOOKUP(
  1,
  (FX_Rates[Currency]=Cleaned[[#This Row],[Currency]])*
  (FX_Rates[RateDate]&lt;=Cleaned[[#This Row],[TxnDate]]),
  FX_Rates[Rate_To_INR],
  ,
  -1
)</f>
        <v>103</v>
      </c>
      <c r="P951" s="2">
        <f>Cleaned[[#This Row],[Net Amount]] *  Cleaned[[#This Row],[FX_rates]]</f>
        <v>-8300.77</v>
      </c>
    </row>
    <row r="952" spans="1:16" x14ac:dyDescent="0.45">
      <c r="A952" t="s">
        <v>960</v>
      </c>
      <c r="B952" s="1">
        <v>45131</v>
      </c>
      <c r="C952" s="2" t="s">
        <v>2013</v>
      </c>
      <c r="D952" t="s">
        <v>2018</v>
      </c>
      <c r="E952">
        <v>445.11</v>
      </c>
      <c r="F952">
        <f>Cleaned[[#This Row],[Debit]] * Cleaned[[#This Row],[FX_rates]]</f>
        <v>24926.16</v>
      </c>
      <c r="G952">
        <v>0</v>
      </c>
      <c r="H952">
        <f>Cleaned[[#This Row],[Credit]] *  Cleaned[[#This Row],[FX_rates]]</f>
        <v>0</v>
      </c>
      <c r="I952" t="s">
        <v>2022</v>
      </c>
      <c r="J952" t="s">
        <v>2027</v>
      </c>
      <c r="K952" t="s">
        <v>2981</v>
      </c>
      <c r="L952" t="s">
        <v>4033</v>
      </c>
      <c r="M952">
        <f>Cleaned[[#This Row],[Credit]]-Cleaned[[#This Row],[Debit]]</f>
        <v>-445.11</v>
      </c>
      <c r="N952" t="str">
        <f>_xlfn.XLOOKUP(Cleaned[[#This Row],[AccountName]], Account_Mapping!A:A, Account_Mapping!B:B,"Unmapped")</f>
        <v>Operating Expense</v>
      </c>
      <c r="O952" cm="1">
        <f t="array" ref="O952">_xlfn.XLOOKUP(
  1,
  (FX_Rates[Currency]=Cleaned[[#This Row],[Currency]])*
  (FX_Rates[RateDate]&lt;=Cleaned[[#This Row],[TxnDate]]),
  FX_Rates[Rate_To_INR],
  ,
  -1
)</f>
        <v>56</v>
      </c>
      <c r="P952" s="2">
        <f>Cleaned[[#This Row],[Net Amount]] *  Cleaned[[#This Row],[FX_rates]]</f>
        <v>-24926.16</v>
      </c>
    </row>
    <row r="953" spans="1:16" x14ac:dyDescent="0.45">
      <c r="A953" t="s">
        <v>961</v>
      </c>
      <c r="B953" s="1">
        <v>45424</v>
      </c>
      <c r="C953" s="2" t="s">
        <v>2014</v>
      </c>
      <c r="D953" t="s">
        <v>2019</v>
      </c>
      <c r="E953">
        <v>0</v>
      </c>
      <c r="F953">
        <f>Cleaned[[#This Row],[Debit]] * Cleaned[[#This Row],[FX_rates]]</f>
        <v>0</v>
      </c>
      <c r="G953">
        <v>2882.01</v>
      </c>
      <c r="H953">
        <f>Cleaned[[#This Row],[Credit]] *  Cleaned[[#This Row],[FX_rates]]</f>
        <v>236324.82</v>
      </c>
      <c r="I953" t="s">
        <v>2023</v>
      </c>
      <c r="J953" t="s">
        <v>2026</v>
      </c>
      <c r="K953" t="s">
        <v>2982</v>
      </c>
      <c r="L953" t="s">
        <v>4034</v>
      </c>
      <c r="M953">
        <f>Cleaned[[#This Row],[Credit]]-Cleaned[[#This Row],[Debit]]</f>
        <v>2882.01</v>
      </c>
      <c r="N953" t="str">
        <f>_xlfn.XLOOKUP(Cleaned[[#This Row],[AccountName]], Account_Mapping!A:A, Account_Mapping!B:B,"Unmapped")</f>
        <v>Revenue</v>
      </c>
      <c r="O953" cm="1">
        <f t="array" ref="O953">_xlfn.XLOOKUP(
  1,
  (FX_Rates[Currency]=Cleaned[[#This Row],[Currency]])*
  (FX_Rates[RateDate]&lt;=Cleaned[[#This Row],[TxnDate]]),
  FX_Rates[Rate_To_INR],
  ,
  -1
)</f>
        <v>82</v>
      </c>
      <c r="P953" s="2">
        <f>Cleaned[[#This Row],[Net Amount]] *  Cleaned[[#This Row],[FX_rates]]</f>
        <v>236324.82</v>
      </c>
    </row>
    <row r="954" spans="1:16" x14ac:dyDescent="0.45">
      <c r="A954" t="s">
        <v>962</v>
      </c>
      <c r="B954" s="1">
        <v>45034</v>
      </c>
      <c r="C954" s="2" t="s">
        <v>2011</v>
      </c>
      <c r="D954" t="s">
        <v>2016</v>
      </c>
      <c r="E954">
        <v>788.01</v>
      </c>
      <c r="F954">
        <f>Cleaned[[#This Row],[Debit]] * Cleaned[[#This Row],[FX_rates]]</f>
        <v>81165.03</v>
      </c>
      <c r="G954">
        <v>0</v>
      </c>
      <c r="H954">
        <f>Cleaned[[#This Row],[Credit]] *  Cleaned[[#This Row],[FX_rates]]</f>
        <v>0</v>
      </c>
      <c r="I954" t="s">
        <v>2021</v>
      </c>
      <c r="J954" t="s">
        <v>2029</v>
      </c>
      <c r="K954" t="s">
        <v>2983</v>
      </c>
      <c r="L954" t="s">
        <v>4031</v>
      </c>
      <c r="M954">
        <f>Cleaned[[#This Row],[Credit]]-Cleaned[[#This Row],[Debit]]</f>
        <v>-788.01</v>
      </c>
      <c r="N954" t="str">
        <f>_xlfn.XLOOKUP(Cleaned[[#This Row],[AccountName]], Account_Mapping!A:A, Account_Mapping!B:B,"Unmapped")</f>
        <v>COGS</v>
      </c>
      <c r="O954" cm="1">
        <f t="array" ref="O954">_xlfn.XLOOKUP(
  1,
  (FX_Rates[Currency]=Cleaned[[#This Row],[Currency]])*
  (FX_Rates[RateDate]&lt;=Cleaned[[#This Row],[TxnDate]]),
  FX_Rates[Rate_To_INR],
  ,
  -1
)</f>
        <v>103</v>
      </c>
      <c r="P954" s="2">
        <f>Cleaned[[#This Row],[Net Amount]] *  Cleaned[[#This Row],[FX_rates]]</f>
        <v>-81165.03</v>
      </c>
    </row>
    <row r="955" spans="1:16" x14ac:dyDescent="0.45">
      <c r="A955" t="s">
        <v>963</v>
      </c>
      <c r="B955" s="1">
        <v>45098</v>
      </c>
      <c r="C955" s="2" t="s">
        <v>2014</v>
      </c>
      <c r="D955" t="s">
        <v>2019</v>
      </c>
      <c r="E955">
        <v>0</v>
      </c>
      <c r="F955">
        <f>Cleaned[[#This Row],[Debit]] * Cleaned[[#This Row],[FX_rates]]</f>
        <v>0</v>
      </c>
      <c r="G955">
        <v>1052.22</v>
      </c>
      <c r="H955">
        <f>Cleaned[[#This Row],[Credit]] *  Cleaned[[#This Row],[FX_rates]]</f>
        <v>64185.42</v>
      </c>
      <c r="I955" t="s">
        <v>2022</v>
      </c>
      <c r="J955" t="s">
        <v>2029</v>
      </c>
      <c r="K955" t="s">
        <v>2984</v>
      </c>
      <c r="L955" t="s">
        <v>4035</v>
      </c>
      <c r="M955">
        <f>Cleaned[[#This Row],[Credit]]-Cleaned[[#This Row],[Debit]]</f>
        <v>1052.22</v>
      </c>
      <c r="N955" t="str">
        <f>_xlfn.XLOOKUP(Cleaned[[#This Row],[AccountName]], Account_Mapping!A:A, Account_Mapping!B:B,"Unmapped")</f>
        <v>Revenue</v>
      </c>
      <c r="O955" cm="1">
        <f t="array" ref="O955">_xlfn.XLOOKUP(
  1,
  (FX_Rates[Currency]=Cleaned[[#This Row],[Currency]])*
  (FX_Rates[RateDate]&lt;=Cleaned[[#This Row],[TxnDate]]),
  FX_Rates[Rate_To_INR],
  ,
  -1
)</f>
        <v>61</v>
      </c>
      <c r="P955" s="2">
        <f>Cleaned[[#This Row],[Net Amount]] *  Cleaned[[#This Row],[FX_rates]]</f>
        <v>64185.42</v>
      </c>
    </row>
    <row r="956" spans="1:16" x14ac:dyDescent="0.45">
      <c r="A956" t="s">
        <v>964</v>
      </c>
      <c r="B956" s="1">
        <v>45033</v>
      </c>
      <c r="C956" s="2" t="s">
        <v>2014</v>
      </c>
      <c r="D956" t="s">
        <v>2019</v>
      </c>
      <c r="E956">
        <v>0</v>
      </c>
      <c r="F956">
        <f>Cleaned[[#This Row],[Debit]] * Cleaned[[#This Row],[FX_rates]]</f>
        <v>0</v>
      </c>
      <c r="G956">
        <v>583.57000000000005</v>
      </c>
      <c r="H956">
        <f>Cleaned[[#This Row],[Credit]] *  Cleaned[[#This Row],[FX_rates]]</f>
        <v>47852.740000000005</v>
      </c>
      <c r="I956" t="s">
        <v>2020</v>
      </c>
      <c r="J956" t="s">
        <v>2027</v>
      </c>
      <c r="K956" t="s">
        <v>2985</v>
      </c>
      <c r="L956" t="s">
        <v>4034</v>
      </c>
      <c r="M956">
        <f>Cleaned[[#This Row],[Credit]]-Cleaned[[#This Row],[Debit]]</f>
        <v>583.57000000000005</v>
      </c>
      <c r="N956" t="str">
        <f>_xlfn.XLOOKUP(Cleaned[[#This Row],[AccountName]], Account_Mapping!A:A, Account_Mapping!B:B,"Unmapped")</f>
        <v>Revenue</v>
      </c>
      <c r="O956" cm="1">
        <f t="array" ref="O956">_xlfn.XLOOKUP(
  1,
  (FX_Rates[Currency]=Cleaned[[#This Row],[Currency]])*
  (FX_Rates[RateDate]&lt;=Cleaned[[#This Row],[TxnDate]]),
  FX_Rates[Rate_To_INR],
  ,
  -1
)</f>
        <v>82</v>
      </c>
      <c r="P956" s="2">
        <f>Cleaned[[#This Row],[Net Amount]] *  Cleaned[[#This Row],[FX_rates]]</f>
        <v>47852.740000000005</v>
      </c>
    </row>
    <row r="957" spans="1:16" x14ac:dyDescent="0.45">
      <c r="A957" t="s">
        <v>965</v>
      </c>
      <c r="B957" s="1">
        <v>45713</v>
      </c>
      <c r="C957" s="2" t="s">
        <v>2011</v>
      </c>
      <c r="D957" t="s">
        <v>2016</v>
      </c>
      <c r="E957">
        <v>1472.38</v>
      </c>
      <c r="F957">
        <f>Cleaned[[#This Row],[Debit]] * Cleaned[[#This Row],[FX_rates]]</f>
        <v>120735.16</v>
      </c>
      <c r="G957">
        <v>0</v>
      </c>
      <c r="H957">
        <f>Cleaned[[#This Row],[Credit]] *  Cleaned[[#This Row],[FX_rates]]</f>
        <v>0</v>
      </c>
      <c r="I957" t="s">
        <v>2021</v>
      </c>
      <c r="J957" t="s">
        <v>2027</v>
      </c>
      <c r="K957" t="s">
        <v>2986</v>
      </c>
      <c r="L957" t="s">
        <v>4034</v>
      </c>
      <c r="M957">
        <f>Cleaned[[#This Row],[Credit]]-Cleaned[[#This Row],[Debit]]</f>
        <v>-1472.38</v>
      </c>
      <c r="N957" t="str">
        <f>_xlfn.XLOOKUP(Cleaned[[#This Row],[AccountName]], Account_Mapping!A:A, Account_Mapping!B:B,"Unmapped")</f>
        <v>COGS</v>
      </c>
      <c r="O957" cm="1">
        <f t="array" ref="O957">_xlfn.XLOOKUP(
  1,
  (FX_Rates[Currency]=Cleaned[[#This Row],[Currency]])*
  (FX_Rates[RateDate]&lt;=Cleaned[[#This Row],[TxnDate]]),
  FX_Rates[Rate_To_INR],
  ,
  -1
)</f>
        <v>82</v>
      </c>
      <c r="P957" s="2">
        <f>Cleaned[[#This Row],[Net Amount]] *  Cleaned[[#This Row],[FX_rates]]</f>
        <v>-120735.16</v>
      </c>
    </row>
    <row r="958" spans="1:16" x14ac:dyDescent="0.45">
      <c r="A958" t="s">
        <v>966</v>
      </c>
      <c r="B958" s="1">
        <v>45196</v>
      </c>
      <c r="C958" s="2" t="s">
        <v>2011</v>
      </c>
      <c r="D958" t="s">
        <v>2016</v>
      </c>
      <c r="E958">
        <v>1444.24</v>
      </c>
      <c r="F958">
        <f>Cleaned[[#This Row],[Debit]] * Cleaned[[#This Row],[FX_rates]]</f>
        <v>148756.72</v>
      </c>
      <c r="G958">
        <v>0</v>
      </c>
      <c r="H958">
        <f>Cleaned[[#This Row],[Credit]] *  Cleaned[[#This Row],[FX_rates]]</f>
        <v>0</v>
      </c>
      <c r="I958" t="s">
        <v>2024</v>
      </c>
      <c r="J958" t="s">
        <v>2027</v>
      </c>
      <c r="K958" t="s">
        <v>2987</v>
      </c>
      <c r="L958" t="s">
        <v>4031</v>
      </c>
      <c r="M958">
        <f>Cleaned[[#This Row],[Credit]]-Cleaned[[#This Row],[Debit]]</f>
        <v>-1444.24</v>
      </c>
      <c r="N958" t="str">
        <f>_xlfn.XLOOKUP(Cleaned[[#This Row],[AccountName]], Account_Mapping!A:A, Account_Mapping!B:B,"Unmapped")</f>
        <v>COGS</v>
      </c>
      <c r="O958" cm="1">
        <f t="array" ref="O958">_xlfn.XLOOKUP(
  1,
  (FX_Rates[Currency]=Cleaned[[#This Row],[Currency]])*
  (FX_Rates[RateDate]&lt;=Cleaned[[#This Row],[TxnDate]]),
  FX_Rates[Rate_To_INR],
  ,
  -1
)</f>
        <v>103</v>
      </c>
      <c r="P958" s="2">
        <f>Cleaned[[#This Row],[Net Amount]] *  Cleaned[[#This Row],[FX_rates]]</f>
        <v>-148756.72</v>
      </c>
    </row>
    <row r="959" spans="1:16" x14ac:dyDescent="0.45">
      <c r="A959" t="s">
        <v>967</v>
      </c>
      <c r="B959" s="1">
        <v>45812</v>
      </c>
      <c r="C959" s="2" t="s">
        <v>2012</v>
      </c>
      <c r="D959" t="s">
        <v>2017</v>
      </c>
      <c r="E959">
        <v>746.97</v>
      </c>
      <c r="F959">
        <f>Cleaned[[#This Row],[Debit]] * Cleaned[[#This Row],[FX_rates]]</f>
        <v>61251.54</v>
      </c>
      <c r="G959">
        <v>0</v>
      </c>
      <c r="H959">
        <f>Cleaned[[#This Row],[Credit]] *  Cleaned[[#This Row],[FX_rates]]</f>
        <v>0</v>
      </c>
      <c r="I959" t="s">
        <v>2025</v>
      </c>
      <c r="J959" t="s">
        <v>2030</v>
      </c>
      <c r="K959" t="s">
        <v>2988</v>
      </c>
      <c r="L959" t="s">
        <v>4034</v>
      </c>
      <c r="M959">
        <f>Cleaned[[#This Row],[Credit]]-Cleaned[[#This Row],[Debit]]</f>
        <v>-746.97</v>
      </c>
      <c r="N959" t="str">
        <f>_xlfn.XLOOKUP(Cleaned[[#This Row],[AccountName]], Account_Mapping!A:A, Account_Mapping!B:B,"Unmapped")</f>
        <v>Operating Expense</v>
      </c>
      <c r="O959" cm="1">
        <f t="array" ref="O959">_xlfn.XLOOKUP(
  1,
  (FX_Rates[Currency]=Cleaned[[#This Row],[Currency]])*
  (FX_Rates[RateDate]&lt;=Cleaned[[#This Row],[TxnDate]]),
  FX_Rates[Rate_To_INR],
  ,
  -1
)</f>
        <v>82</v>
      </c>
      <c r="P959" s="2">
        <f>Cleaned[[#This Row],[Net Amount]] *  Cleaned[[#This Row],[FX_rates]]</f>
        <v>-61251.54</v>
      </c>
    </row>
    <row r="960" spans="1:16" x14ac:dyDescent="0.45">
      <c r="A960" t="s">
        <v>968</v>
      </c>
      <c r="B960" s="1">
        <v>45486</v>
      </c>
      <c r="C960" s="2" t="s">
        <v>2013</v>
      </c>
      <c r="D960" t="s">
        <v>2018</v>
      </c>
      <c r="E960">
        <v>1912.71</v>
      </c>
      <c r="F960">
        <f>Cleaned[[#This Row],[Debit]] * Cleaned[[#This Row],[FX_rates]]</f>
        <v>107111.76000000001</v>
      </c>
      <c r="G960">
        <v>0</v>
      </c>
      <c r="H960">
        <f>Cleaned[[#This Row],[Credit]] *  Cleaned[[#This Row],[FX_rates]]</f>
        <v>0</v>
      </c>
      <c r="I960" t="s">
        <v>2025</v>
      </c>
      <c r="J960" t="s">
        <v>2029</v>
      </c>
      <c r="K960" t="s">
        <v>2989</v>
      </c>
      <c r="L960" t="s">
        <v>4033</v>
      </c>
      <c r="M960">
        <f>Cleaned[[#This Row],[Credit]]-Cleaned[[#This Row],[Debit]]</f>
        <v>-1912.71</v>
      </c>
      <c r="N960" t="str">
        <f>_xlfn.XLOOKUP(Cleaned[[#This Row],[AccountName]], Account_Mapping!A:A, Account_Mapping!B:B,"Unmapped")</f>
        <v>Operating Expense</v>
      </c>
      <c r="O960" cm="1">
        <f t="array" ref="O960">_xlfn.XLOOKUP(
  1,
  (FX_Rates[Currency]=Cleaned[[#This Row],[Currency]])*
  (FX_Rates[RateDate]&lt;=Cleaned[[#This Row],[TxnDate]]),
  FX_Rates[Rate_To_INR],
  ,
  -1
)</f>
        <v>56</v>
      </c>
      <c r="P960" s="2">
        <f>Cleaned[[#This Row],[Net Amount]] *  Cleaned[[#This Row],[FX_rates]]</f>
        <v>-107111.76000000001</v>
      </c>
    </row>
    <row r="961" spans="1:16" x14ac:dyDescent="0.45">
      <c r="A961" t="s">
        <v>969</v>
      </c>
      <c r="B961" s="1">
        <v>45136</v>
      </c>
      <c r="C961" s="2" t="s">
        <v>2012</v>
      </c>
      <c r="D961" t="s">
        <v>2017</v>
      </c>
      <c r="E961">
        <v>1714.13</v>
      </c>
      <c r="F961">
        <f>Cleaned[[#This Row],[Debit]] * Cleaned[[#This Row],[FX_rates]]</f>
        <v>104561.93000000001</v>
      </c>
      <c r="G961">
        <v>0</v>
      </c>
      <c r="H961">
        <f>Cleaned[[#This Row],[Credit]] *  Cleaned[[#This Row],[FX_rates]]</f>
        <v>0</v>
      </c>
      <c r="I961" t="s">
        <v>2020</v>
      </c>
      <c r="J961" t="s">
        <v>2026</v>
      </c>
      <c r="K961" t="s">
        <v>2990</v>
      </c>
      <c r="L961" t="s">
        <v>4035</v>
      </c>
      <c r="M961">
        <f>Cleaned[[#This Row],[Credit]]-Cleaned[[#This Row],[Debit]]</f>
        <v>-1714.13</v>
      </c>
      <c r="N961" t="str">
        <f>_xlfn.XLOOKUP(Cleaned[[#This Row],[AccountName]], Account_Mapping!A:A, Account_Mapping!B:B,"Unmapped")</f>
        <v>Operating Expense</v>
      </c>
      <c r="O961" cm="1">
        <f t="array" ref="O961">_xlfn.XLOOKUP(
  1,
  (FX_Rates[Currency]=Cleaned[[#This Row],[Currency]])*
  (FX_Rates[RateDate]&lt;=Cleaned[[#This Row],[TxnDate]]),
  FX_Rates[Rate_To_INR],
  ,
  -1
)</f>
        <v>61</v>
      </c>
      <c r="P961" s="2">
        <f>Cleaned[[#This Row],[Net Amount]] *  Cleaned[[#This Row],[FX_rates]]</f>
        <v>-104561.93000000001</v>
      </c>
    </row>
    <row r="962" spans="1:16" x14ac:dyDescent="0.45">
      <c r="A962" t="s">
        <v>970</v>
      </c>
      <c r="B962" s="1">
        <v>45551</v>
      </c>
      <c r="C962" s="2" t="s">
        <v>2011</v>
      </c>
      <c r="D962" t="s">
        <v>2016</v>
      </c>
      <c r="E962">
        <v>996.13</v>
      </c>
      <c r="F962">
        <f>Cleaned[[#This Row],[Debit]] * Cleaned[[#This Row],[FX_rates]]</f>
        <v>87659.44</v>
      </c>
      <c r="G962">
        <v>0</v>
      </c>
      <c r="H962">
        <f>Cleaned[[#This Row],[Credit]] *  Cleaned[[#This Row],[FX_rates]]</f>
        <v>0</v>
      </c>
      <c r="I962" t="s">
        <v>2022</v>
      </c>
      <c r="J962" t="s">
        <v>2029</v>
      </c>
      <c r="K962" t="s">
        <v>2991</v>
      </c>
      <c r="L962" t="s">
        <v>4032</v>
      </c>
      <c r="M962">
        <f>Cleaned[[#This Row],[Credit]]-Cleaned[[#This Row],[Debit]]</f>
        <v>-996.13</v>
      </c>
      <c r="N962" t="str">
        <f>_xlfn.XLOOKUP(Cleaned[[#This Row],[AccountName]], Account_Mapping!A:A, Account_Mapping!B:B,"Unmapped")</f>
        <v>COGS</v>
      </c>
      <c r="O962" cm="1">
        <f t="array" ref="O962">_xlfn.XLOOKUP(
  1,
  (FX_Rates[Currency]=Cleaned[[#This Row],[Currency]])*
  (FX_Rates[RateDate]&lt;=Cleaned[[#This Row],[TxnDate]]),
  FX_Rates[Rate_To_INR],
  ,
  -1
)</f>
        <v>88</v>
      </c>
      <c r="P962" s="2">
        <f>Cleaned[[#This Row],[Net Amount]] *  Cleaned[[#This Row],[FX_rates]]</f>
        <v>-87659.44</v>
      </c>
    </row>
    <row r="963" spans="1:16" x14ac:dyDescent="0.45">
      <c r="A963" t="s">
        <v>971</v>
      </c>
      <c r="B963" s="1">
        <v>45523</v>
      </c>
      <c r="C963" s="2" t="s">
        <v>2011</v>
      </c>
      <c r="D963" t="s">
        <v>2016</v>
      </c>
      <c r="E963">
        <v>1735.24</v>
      </c>
      <c r="F963">
        <f>Cleaned[[#This Row],[Debit]] * Cleaned[[#This Row],[FX_rates]]</f>
        <v>105849.64</v>
      </c>
      <c r="G963">
        <v>0</v>
      </c>
      <c r="H963">
        <f>Cleaned[[#This Row],[Credit]] *  Cleaned[[#This Row],[FX_rates]]</f>
        <v>0</v>
      </c>
      <c r="I963" t="s">
        <v>2020</v>
      </c>
      <c r="J963" t="s">
        <v>2029</v>
      </c>
      <c r="K963" t="s">
        <v>2992</v>
      </c>
      <c r="L963" t="s">
        <v>4035</v>
      </c>
      <c r="M963">
        <f>Cleaned[[#This Row],[Credit]]-Cleaned[[#This Row],[Debit]]</f>
        <v>-1735.24</v>
      </c>
      <c r="N963" t="str">
        <f>_xlfn.XLOOKUP(Cleaned[[#This Row],[AccountName]], Account_Mapping!A:A, Account_Mapping!B:B,"Unmapped")</f>
        <v>COGS</v>
      </c>
      <c r="O963" cm="1">
        <f t="array" ref="O963">_xlfn.XLOOKUP(
  1,
  (FX_Rates[Currency]=Cleaned[[#This Row],[Currency]])*
  (FX_Rates[RateDate]&lt;=Cleaned[[#This Row],[TxnDate]]),
  FX_Rates[Rate_To_INR],
  ,
  -1
)</f>
        <v>61</v>
      </c>
      <c r="P963" s="2">
        <f>Cleaned[[#This Row],[Net Amount]] *  Cleaned[[#This Row],[FX_rates]]</f>
        <v>-105849.64</v>
      </c>
    </row>
    <row r="964" spans="1:16" x14ac:dyDescent="0.45">
      <c r="A964" t="s">
        <v>972</v>
      </c>
      <c r="B964" s="1">
        <v>44935</v>
      </c>
      <c r="C964" s="2" t="s">
        <v>2012</v>
      </c>
      <c r="D964" t="s">
        <v>2017</v>
      </c>
      <c r="E964">
        <v>1782.36</v>
      </c>
      <c r="F964">
        <f>Cleaned[[#This Row],[Debit]] * Cleaned[[#This Row],[FX_rates]]</f>
        <v>108723.95999999999</v>
      </c>
      <c r="G964">
        <v>0</v>
      </c>
      <c r="H964">
        <f>Cleaned[[#This Row],[Credit]] *  Cleaned[[#This Row],[FX_rates]]</f>
        <v>0</v>
      </c>
      <c r="I964" t="s">
        <v>2021</v>
      </c>
      <c r="J964" t="s">
        <v>2029</v>
      </c>
      <c r="K964" t="s">
        <v>2993</v>
      </c>
      <c r="L964" t="s">
        <v>4035</v>
      </c>
      <c r="M964">
        <f>Cleaned[[#This Row],[Credit]]-Cleaned[[#This Row],[Debit]]</f>
        <v>-1782.36</v>
      </c>
      <c r="N964" t="str">
        <f>_xlfn.XLOOKUP(Cleaned[[#This Row],[AccountName]], Account_Mapping!A:A, Account_Mapping!B:B,"Unmapped")</f>
        <v>Operating Expense</v>
      </c>
      <c r="O964" cm="1">
        <f t="array" ref="O964">_xlfn.XLOOKUP(
  1,
  (FX_Rates[Currency]=Cleaned[[#This Row],[Currency]])*
  (FX_Rates[RateDate]&lt;=Cleaned[[#This Row],[TxnDate]]),
  FX_Rates[Rate_To_INR],
  ,
  -1
)</f>
        <v>61</v>
      </c>
      <c r="P964" s="2">
        <f>Cleaned[[#This Row],[Net Amount]] *  Cleaned[[#This Row],[FX_rates]]</f>
        <v>-108723.95999999999</v>
      </c>
    </row>
    <row r="965" spans="1:16" x14ac:dyDescent="0.45">
      <c r="A965" t="s">
        <v>973</v>
      </c>
      <c r="B965" s="1">
        <v>45341</v>
      </c>
      <c r="C965" s="2" t="s">
        <v>2013</v>
      </c>
      <c r="D965" t="s">
        <v>2018</v>
      </c>
      <c r="E965">
        <v>288.13</v>
      </c>
      <c r="F965">
        <f>Cleaned[[#This Row],[Debit]] * Cleaned[[#This Row],[FX_rates]]</f>
        <v>29677.39</v>
      </c>
      <c r="G965">
        <v>0</v>
      </c>
      <c r="H965">
        <f>Cleaned[[#This Row],[Credit]] *  Cleaned[[#This Row],[FX_rates]]</f>
        <v>0</v>
      </c>
      <c r="I965" t="s">
        <v>2020</v>
      </c>
      <c r="J965" t="s">
        <v>2027</v>
      </c>
      <c r="K965" t="s">
        <v>2994</v>
      </c>
      <c r="L965" t="s">
        <v>4031</v>
      </c>
      <c r="M965">
        <f>Cleaned[[#This Row],[Credit]]-Cleaned[[#This Row],[Debit]]</f>
        <v>-288.13</v>
      </c>
      <c r="N965" t="str">
        <f>_xlfn.XLOOKUP(Cleaned[[#This Row],[AccountName]], Account_Mapping!A:A, Account_Mapping!B:B,"Unmapped")</f>
        <v>Operating Expense</v>
      </c>
      <c r="O965" cm="1">
        <f t="array" ref="O965">_xlfn.XLOOKUP(
  1,
  (FX_Rates[Currency]=Cleaned[[#This Row],[Currency]])*
  (FX_Rates[RateDate]&lt;=Cleaned[[#This Row],[TxnDate]]),
  FX_Rates[Rate_To_INR],
  ,
  -1
)</f>
        <v>103</v>
      </c>
      <c r="P965" s="2">
        <f>Cleaned[[#This Row],[Net Amount]] *  Cleaned[[#This Row],[FX_rates]]</f>
        <v>-29677.39</v>
      </c>
    </row>
    <row r="966" spans="1:16" x14ac:dyDescent="0.45">
      <c r="A966" t="s">
        <v>974</v>
      </c>
      <c r="B966" s="1">
        <v>45419</v>
      </c>
      <c r="C966" s="2" t="s">
        <v>2012</v>
      </c>
      <c r="D966" t="s">
        <v>2017</v>
      </c>
      <c r="E966">
        <v>760.63</v>
      </c>
      <c r="F966">
        <f>Cleaned[[#This Row],[Debit]] * Cleaned[[#This Row],[FX_rates]]</f>
        <v>66935.44</v>
      </c>
      <c r="G966">
        <v>0</v>
      </c>
      <c r="H966">
        <f>Cleaned[[#This Row],[Credit]] *  Cleaned[[#This Row],[FX_rates]]</f>
        <v>0</v>
      </c>
      <c r="I966" t="s">
        <v>2024</v>
      </c>
      <c r="J966" t="s">
        <v>2030</v>
      </c>
      <c r="K966" t="s">
        <v>2995</v>
      </c>
      <c r="L966" t="s">
        <v>4032</v>
      </c>
      <c r="M966">
        <f>Cleaned[[#This Row],[Credit]]-Cleaned[[#This Row],[Debit]]</f>
        <v>-760.63</v>
      </c>
      <c r="N966" t="str">
        <f>_xlfn.XLOOKUP(Cleaned[[#This Row],[AccountName]], Account_Mapping!A:A, Account_Mapping!B:B,"Unmapped")</f>
        <v>Operating Expense</v>
      </c>
      <c r="O966" cm="1">
        <f t="array" ref="O966">_xlfn.XLOOKUP(
  1,
  (FX_Rates[Currency]=Cleaned[[#This Row],[Currency]])*
  (FX_Rates[RateDate]&lt;=Cleaned[[#This Row],[TxnDate]]),
  FX_Rates[Rate_To_INR],
  ,
  -1
)</f>
        <v>88</v>
      </c>
      <c r="P966" s="2">
        <f>Cleaned[[#This Row],[Net Amount]] *  Cleaned[[#This Row],[FX_rates]]</f>
        <v>-66935.44</v>
      </c>
    </row>
    <row r="967" spans="1:16" x14ac:dyDescent="0.45">
      <c r="A967" t="s">
        <v>975</v>
      </c>
      <c r="B967" s="1">
        <v>45092</v>
      </c>
      <c r="C967" s="2" t="s">
        <v>2014</v>
      </c>
      <c r="D967" t="s">
        <v>2019</v>
      </c>
      <c r="E967">
        <v>0</v>
      </c>
      <c r="F967">
        <f>Cleaned[[#This Row],[Debit]] * Cleaned[[#This Row],[FX_rates]]</f>
        <v>0</v>
      </c>
      <c r="G967">
        <v>4555.41</v>
      </c>
      <c r="H967">
        <f>Cleaned[[#This Row],[Credit]] *  Cleaned[[#This Row],[FX_rates]]</f>
        <v>469207.23</v>
      </c>
      <c r="I967" t="s">
        <v>2025</v>
      </c>
      <c r="J967" t="s">
        <v>2029</v>
      </c>
      <c r="K967" t="s">
        <v>2996</v>
      </c>
      <c r="L967" t="s">
        <v>4031</v>
      </c>
      <c r="M967">
        <f>Cleaned[[#This Row],[Credit]]-Cleaned[[#This Row],[Debit]]</f>
        <v>4555.41</v>
      </c>
      <c r="N967" t="str">
        <f>_xlfn.XLOOKUP(Cleaned[[#This Row],[AccountName]], Account_Mapping!A:A, Account_Mapping!B:B,"Unmapped")</f>
        <v>Revenue</v>
      </c>
      <c r="O967" cm="1">
        <f t="array" ref="O967">_xlfn.XLOOKUP(
  1,
  (FX_Rates[Currency]=Cleaned[[#This Row],[Currency]])*
  (FX_Rates[RateDate]&lt;=Cleaned[[#This Row],[TxnDate]]),
  FX_Rates[Rate_To_INR],
  ,
  -1
)</f>
        <v>103</v>
      </c>
      <c r="P967" s="2">
        <f>Cleaned[[#This Row],[Net Amount]] *  Cleaned[[#This Row],[FX_rates]]</f>
        <v>469207.23</v>
      </c>
    </row>
    <row r="968" spans="1:16" x14ac:dyDescent="0.45">
      <c r="A968" t="s">
        <v>976</v>
      </c>
      <c r="B968" s="1">
        <v>45049</v>
      </c>
      <c r="C968" s="2" t="s">
        <v>2010</v>
      </c>
      <c r="D968" t="s">
        <v>2015</v>
      </c>
      <c r="E968">
        <v>0</v>
      </c>
      <c r="F968">
        <f>Cleaned[[#This Row],[Debit]] * Cleaned[[#This Row],[FX_rates]]</f>
        <v>0</v>
      </c>
      <c r="G968">
        <v>1864.27</v>
      </c>
      <c r="H968">
        <f>Cleaned[[#This Row],[Credit]] *  Cleaned[[#This Row],[FX_rates]]</f>
        <v>152870.13999999998</v>
      </c>
      <c r="I968" t="s">
        <v>2021</v>
      </c>
      <c r="J968" t="s">
        <v>2026</v>
      </c>
      <c r="K968" t="s">
        <v>2997</v>
      </c>
      <c r="L968" t="s">
        <v>4034</v>
      </c>
      <c r="M968">
        <f>Cleaned[[#This Row],[Credit]]-Cleaned[[#This Row],[Debit]]</f>
        <v>1864.27</v>
      </c>
      <c r="N968" t="str">
        <f>_xlfn.XLOOKUP(Cleaned[[#This Row],[AccountName]], Account_Mapping!A:A, Account_Mapping!B:B,"Unmapped")</f>
        <v>Revenue</v>
      </c>
      <c r="O968" cm="1">
        <f t="array" ref="O968">_xlfn.XLOOKUP(
  1,
  (FX_Rates[Currency]=Cleaned[[#This Row],[Currency]])*
  (FX_Rates[RateDate]&lt;=Cleaned[[#This Row],[TxnDate]]),
  FX_Rates[Rate_To_INR],
  ,
  -1
)</f>
        <v>82</v>
      </c>
      <c r="P968" s="2">
        <f>Cleaned[[#This Row],[Net Amount]] *  Cleaned[[#This Row],[FX_rates]]</f>
        <v>152870.13999999998</v>
      </c>
    </row>
    <row r="969" spans="1:16" x14ac:dyDescent="0.45">
      <c r="A969" t="s">
        <v>977</v>
      </c>
      <c r="B969" s="1">
        <v>45690</v>
      </c>
      <c r="C969" s="2" t="s">
        <v>2014</v>
      </c>
      <c r="D969" t="s">
        <v>2019</v>
      </c>
      <c r="E969">
        <v>0</v>
      </c>
      <c r="F969">
        <f>Cleaned[[#This Row],[Debit]] * Cleaned[[#This Row],[FX_rates]]</f>
        <v>0</v>
      </c>
      <c r="G969">
        <v>705.16</v>
      </c>
      <c r="H969">
        <f>Cleaned[[#This Row],[Credit]] *  Cleaned[[#This Row],[FX_rates]]</f>
        <v>57823.119999999995</v>
      </c>
      <c r="I969" t="s">
        <v>2022</v>
      </c>
      <c r="J969" t="s">
        <v>2029</v>
      </c>
      <c r="K969" t="s">
        <v>2998</v>
      </c>
      <c r="L969" t="s">
        <v>4034</v>
      </c>
      <c r="M969">
        <f>Cleaned[[#This Row],[Credit]]-Cleaned[[#This Row],[Debit]]</f>
        <v>705.16</v>
      </c>
      <c r="N969" t="str">
        <f>_xlfn.XLOOKUP(Cleaned[[#This Row],[AccountName]], Account_Mapping!A:A, Account_Mapping!B:B,"Unmapped")</f>
        <v>Revenue</v>
      </c>
      <c r="O969" cm="1">
        <f t="array" ref="O969">_xlfn.XLOOKUP(
  1,
  (FX_Rates[Currency]=Cleaned[[#This Row],[Currency]])*
  (FX_Rates[RateDate]&lt;=Cleaned[[#This Row],[TxnDate]]),
  FX_Rates[Rate_To_INR],
  ,
  -1
)</f>
        <v>82</v>
      </c>
      <c r="P969" s="2">
        <f>Cleaned[[#This Row],[Net Amount]] *  Cleaned[[#This Row],[FX_rates]]</f>
        <v>57823.119999999995</v>
      </c>
    </row>
    <row r="970" spans="1:16" x14ac:dyDescent="0.45">
      <c r="A970" t="s">
        <v>978</v>
      </c>
      <c r="B970" s="1">
        <v>45138</v>
      </c>
      <c r="C970" s="2" t="s">
        <v>2010</v>
      </c>
      <c r="D970" t="s">
        <v>2015</v>
      </c>
      <c r="E970">
        <v>0</v>
      </c>
      <c r="F970">
        <f>Cleaned[[#This Row],[Debit]] * Cleaned[[#This Row],[FX_rates]]</f>
        <v>0</v>
      </c>
      <c r="G970">
        <v>2558.2800000000002</v>
      </c>
      <c r="H970">
        <f>Cleaned[[#This Row],[Credit]] *  Cleaned[[#This Row],[FX_rates]]</f>
        <v>156055.08000000002</v>
      </c>
      <c r="I970" t="s">
        <v>2021</v>
      </c>
      <c r="J970" t="s">
        <v>2026</v>
      </c>
      <c r="K970" t="s">
        <v>2999</v>
      </c>
      <c r="L970" t="s">
        <v>4035</v>
      </c>
      <c r="M970">
        <f>Cleaned[[#This Row],[Credit]]-Cleaned[[#This Row],[Debit]]</f>
        <v>2558.2800000000002</v>
      </c>
      <c r="N970" t="str">
        <f>_xlfn.XLOOKUP(Cleaned[[#This Row],[AccountName]], Account_Mapping!A:A, Account_Mapping!B:B,"Unmapped")</f>
        <v>Revenue</v>
      </c>
      <c r="O970" cm="1">
        <f t="array" ref="O970">_xlfn.XLOOKUP(
  1,
  (FX_Rates[Currency]=Cleaned[[#This Row],[Currency]])*
  (FX_Rates[RateDate]&lt;=Cleaned[[#This Row],[TxnDate]]),
  FX_Rates[Rate_To_INR],
  ,
  -1
)</f>
        <v>61</v>
      </c>
      <c r="P970" s="2">
        <f>Cleaned[[#This Row],[Net Amount]] *  Cleaned[[#This Row],[FX_rates]]</f>
        <v>156055.08000000002</v>
      </c>
    </row>
    <row r="971" spans="1:16" x14ac:dyDescent="0.45">
      <c r="A971" t="s">
        <v>979</v>
      </c>
      <c r="B971" s="1">
        <v>44946</v>
      </c>
      <c r="C971" s="2" t="s">
        <v>2014</v>
      </c>
      <c r="D971" t="s">
        <v>2019</v>
      </c>
      <c r="E971">
        <v>0</v>
      </c>
      <c r="F971">
        <f>Cleaned[[#This Row],[Debit]] * Cleaned[[#This Row],[FX_rates]]</f>
        <v>0</v>
      </c>
      <c r="G971">
        <v>583.33000000000004</v>
      </c>
      <c r="H971">
        <f>Cleaned[[#This Row],[Credit]] *  Cleaned[[#This Row],[FX_rates]]</f>
        <v>32666.480000000003</v>
      </c>
      <c r="I971" t="s">
        <v>2023</v>
      </c>
      <c r="J971" t="s">
        <v>2027</v>
      </c>
      <c r="K971" t="s">
        <v>3000</v>
      </c>
      <c r="L971" t="s">
        <v>4033</v>
      </c>
      <c r="M971">
        <f>Cleaned[[#This Row],[Credit]]-Cleaned[[#This Row],[Debit]]</f>
        <v>583.33000000000004</v>
      </c>
      <c r="N971" t="str">
        <f>_xlfn.XLOOKUP(Cleaned[[#This Row],[AccountName]], Account_Mapping!A:A, Account_Mapping!B:B,"Unmapped")</f>
        <v>Revenue</v>
      </c>
      <c r="O971" cm="1">
        <f t="array" ref="O971">_xlfn.XLOOKUP(
  1,
  (FX_Rates[Currency]=Cleaned[[#This Row],[Currency]])*
  (FX_Rates[RateDate]&lt;=Cleaned[[#This Row],[TxnDate]]),
  FX_Rates[Rate_To_INR],
  ,
  -1
)</f>
        <v>56</v>
      </c>
      <c r="P971" s="2">
        <f>Cleaned[[#This Row],[Net Amount]] *  Cleaned[[#This Row],[FX_rates]]</f>
        <v>32666.480000000003</v>
      </c>
    </row>
    <row r="972" spans="1:16" x14ac:dyDescent="0.45">
      <c r="A972" t="s">
        <v>980</v>
      </c>
      <c r="B972" s="1">
        <v>45629</v>
      </c>
      <c r="C972" s="2" t="s">
        <v>2014</v>
      </c>
      <c r="D972" t="s">
        <v>2019</v>
      </c>
      <c r="E972">
        <v>0</v>
      </c>
      <c r="F972">
        <f>Cleaned[[#This Row],[Debit]] * Cleaned[[#This Row],[FX_rates]]</f>
        <v>0</v>
      </c>
      <c r="G972">
        <v>2126.6999999999998</v>
      </c>
      <c r="H972">
        <f>Cleaned[[#This Row],[Credit]] *  Cleaned[[#This Row],[FX_rates]]</f>
        <v>174389.4</v>
      </c>
      <c r="I972" t="s">
        <v>2021</v>
      </c>
      <c r="J972" t="s">
        <v>2028</v>
      </c>
      <c r="K972" t="s">
        <v>3001</v>
      </c>
      <c r="L972" t="s">
        <v>4034</v>
      </c>
      <c r="M972">
        <f>Cleaned[[#This Row],[Credit]]-Cleaned[[#This Row],[Debit]]</f>
        <v>2126.6999999999998</v>
      </c>
      <c r="N972" t="str">
        <f>_xlfn.XLOOKUP(Cleaned[[#This Row],[AccountName]], Account_Mapping!A:A, Account_Mapping!B:B,"Unmapped")</f>
        <v>Revenue</v>
      </c>
      <c r="O972" cm="1">
        <f t="array" ref="O972">_xlfn.XLOOKUP(
  1,
  (FX_Rates[Currency]=Cleaned[[#This Row],[Currency]])*
  (FX_Rates[RateDate]&lt;=Cleaned[[#This Row],[TxnDate]]),
  FX_Rates[Rate_To_INR],
  ,
  -1
)</f>
        <v>82</v>
      </c>
      <c r="P972" s="2">
        <f>Cleaned[[#This Row],[Net Amount]] *  Cleaned[[#This Row],[FX_rates]]</f>
        <v>174389.4</v>
      </c>
    </row>
    <row r="973" spans="1:16" x14ac:dyDescent="0.45">
      <c r="A973" t="s">
        <v>981</v>
      </c>
      <c r="B973" s="1">
        <v>45658</v>
      </c>
      <c r="C973" s="2" t="s">
        <v>2012</v>
      </c>
      <c r="D973" t="s">
        <v>2017</v>
      </c>
      <c r="E973">
        <v>409.25</v>
      </c>
      <c r="F973">
        <f>Cleaned[[#This Row],[Debit]] * Cleaned[[#This Row],[FX_rates]]</f>
        <v>24964.25</v>
      </c>
      <c r="G973">
        <v>0</v>
      </c>
      <c r="H973">
        <f>Cleaned[[#This Row],[Credit]] *  Cleaned[[#This Row],[FX_rates]]</f>
        <v>0</v>
      </c>
      <c r="I973" t="s">
        <v>2025</v>
      </c>
      <c r="J973" t="s">
        <v>2030</v>
      </c>
      <c r="K973" t="s">
        <v>3002</v>
      </c>
      <c r="L973" t="s">
        <v>4035</v>
      </c>
      <c r="M973">
        <f>Cleaned[[#This Row],[Credit]]-Cleaned[[#This Row],[Debit]]</f>
        <v>-409.25</v>
      </c>
      <c r="N973" t="str">
        <f>_xlfn.XLOOKUP(Cleaned[[#This Row],[AccountName]], Account_Mapping!A:A, Account_Mapping!B:B,"Unmapped")</f>
        <v>Operating Expense</v>
      </c>
      <c r="O973" cm="1">
        <f t="array" ref="O973">_xlfn.XLOOKUP(
  1,
  (FX_Rates[Currency]=Cleaned[[#This Row],[Currency]])*
  (FX_Rates[RateDate]&lt;=Cleaned[[#This Row],[TxnDate]]),
  FX_Rates[Rate_To_INR],
  ,
  -1
)</f>
        <v>61</v>
      </c>
      <c r="P973" s="2">
        <f>Cleaned[[#This Row],[Net Amount]] *  Cleaned[[#This Row],[FX_rates]]</f>
        <v>-24964.25</v>
      </c>
    </row>
    <row r="974" spans="1:16" x14ac:dyDescent="0.45">
      <c r="A974" t="s">
        <v>982</v>
      </c>
      <c r="B974" s="1">
        <v>45403</v>
      </c>
      <c r="C974" s="2" t="s">
        <v>2014</v>
      </c>
      <c r="D974" t="s">
        <v>2019</v>
      </c>
      <c r="E974">
        <v>0</v>
      </c>
      <c r="F974">
        <f>Cleaned[[#This Row],[Debit]] * Cleaned[[#This Row],[FX_rates]]</f>
        <v>0</v>
      </c>
      <c r="G974">
        <v>546.70000000000005</v>
      </c>
      <c r="H974">
        <f>Cleaned[[#This Row],[Credit]] *  Cleaned[[#This Row],[FX_rates]]</f>
        <v>48109.600000000006</v>
      </c>
      <c r="I974" t="s">
        <v>2020</v>
      </c>
      <c r="J974" t="s">
        <v>2030</v>
      </c>
      <c r="K974" t="s">
        <v>3003</v>
      </c>
      <c r="L974" t="s">
        <v>4032</v>
      </c>
      <c r="M974">
        <f>Cleaned[[#This Row],[Credit]]-Cleaned[[#This Row],[Debit]]</f>
        <v>546.70000000000005</v>
      </c>
      <c r="N974" t="str">
        <f>_xlfn.XLOOKUP(Cleaned[[#This Row],[AccountName]], Account_Mapping!A:A, Account_Mapping!B:B,"Unmapped")</f>
        <v>Revenue</v>
      </c>
      <c r="O974" cm="1">
        <f t="array" ref="O974">_xlfn.XLOOKUP(
  1,
  (FX_Rates[Currency]=Cleaned[[#This Row],[Currency]])*
  (FX_Rates[RateDate]&lt;=Cleaned[[#This Row],[TxnDate]]),
  FX_Rates[Rate_To_INR],
  ,
  -1
)</f>
        <v>88</v>
      </c>
      <c r="P974" s="2">
        <f>Cleaned[[#This Row],[Net Amount]] *  Cleaned[[#This Row],[FX_rates]]</f>
        <v>48109.600000000006</v>
      </c>
    </row>
    <row r="975" spans="1:16" x14ac:dyDescent="0.45">
      <c r="A975" t="s">
        <v>983</v>
      </c>
      <c r="B975" s="1">
        <v>45722</v>
      </c>
      <c r="C975" s="2" t="s">
        <v>2013</v>
      </c>
      <c r="D975" t="s">
        <v>2018</v>
      </c>
      <c r="E975">
        <v>1708.86</v>
      </c>
      <c r="F975">
        <f>Cleaned[[#This Row],[Debit]] * Cleaned[[#This Row],[FX_rates]]</f>
        <v>104240.45999999999</v>
      </c>
      <c r="G975">
        <v>0</v>
      </c>
      <c r="H975">
        <f>Cleaned[[#This Row],[Credit]] *  Cleaned[[#This Row],[FX_rates]]</f>
        <v>0</v>
      </c>
      <c r="I975" t="s">
        <v>2021</v>
      </c>
      <c r="J975" t="s">
        <v>2029</v>
      </c>
      <c r="K975" t="s">
        <v>3004</v>
      </c>
      <c r="L975" t="s">
        <v>4035</v>
      </c>
      <c r="M975">
        <f>Cleaned[[#This Row],[Credit]]-Cleaned[[#This Row],[Debit]]</f>
        <v>-1708.86</v>
      </c>
      <c r="N975" t="str">
        <f>_xlfn.XLOOKUP(Cleaned[[#This Row],[AccountName]], Account_Mapping!A:A, Account_Mapping!B:B,"Unmapped")</f>
        <v>Operating Expense</v>
      </c>
      <c r="O975" cm="1">
        <f t="array" ref="O975">_xlfn.XLOOKUP(
  1,
  (FX_Rates[Currency]=Cleaned[[#This Row],[Currency]])*
  (FX_Rates[RateDate]&lt;=Cleaned[[#This Row],[TxnDate]]),
  FX_Rates[Rate_To_INR],
  ,
  -1
)</f>
        <v>61</v>
      </c>
      <c r="P975" s="2">
        <f>Cleaned[[#This Row],[Net Amount]] *  Cleaned[[#This Row],[FX_rates]]</f>
        <v>-104240.45999999999</v>
      </c>
    </row>
    <row r="976" spans="1:16" x14ac:dyDescent="0.45">
      <c r="A976" t="s">
        <v>984</v>
      </c>
      <c r="B976" s="1">
        <v>45126</v>
      </c>
      <c r="C976" s="2" t="s">
        <v>2011</v>
      </c>
      <c r="D976" t="s">
        <v>2016</v>
      </c>
      <c r="E976">
        <v>1155.1300000000001</v>
      </c>
      <c r="F976">
        <f>Cleaned[[#This Row],[Debit]] * Cleaned[[#This Row],[FX_rates]]</f>
        <v>118978.39000000001</v>
      </c>
      <c r="G976">
        <v>0</v>
      </c>
      <c r="H976">
        <f>Cleaned[[#This Row],[Credit]] *  Cleaned[[#This Row],[FX_rates]]</f>
        <v>0</v>
      </c>
      <c r="I976" t="s">
        <v>2025</v>
      </c>
      <c r="J976" t="s">
        <v>2028</v>
      </c>
      <c r="K976" t="s">
        <v>3005</v>
      </c>
      <c r="L976" t="s">
        <v>4031</v>
      </c>
      <c r="M976">
        <f>Cleaned[[#This Row],[Credit]]-Cleaned[[#This Row],[Debit]]</f>
        <v>-1155.1300000000001</v>
      </c>
      <c r="N976" t="str">
        <f>_xlfn.XLOOKUP(Cleaned[[#This Row],[AccountName]], Account_Mapping!A:A, Account_Mapping!B:B,"Unmapped")</f>
        <v>COGS</v>
      </c>
      <c r="O976" cm="1">
        <f t="array" ref="O976">_xlfn.XLOOKUP(
  1,
  (FX_Rates[Currency]=Cleaned[[#This Row],[Currency]])*
  (FX_Rates[RateDate]&lt;=Cleaned[[#This Row],[TxnDate]]),
  FX_Rates[Rate_To_INR],
  ,
  -1
)</f>
        <v>103</v>
      </c>
      <c r="P976" s="2">
        <f>Cleaned[[#This Row],[Net Amount]] *  Cleaned[[#This Row],[FX_rates]]</f>
        <v>-118978.39000000001</v>
      </c>
    </row>
    <row r="977" spans="1:16" x14ac:dyDescent="0.45">
      <c r="A977" t="s">
        <v>985</v>
      </c>
      <c r="B977" s="1">
        <v>45575</v>
      </c>
      <c r="C977" s="2" t="s">
        <v>2013</v>
      </c>
      <c r="D977" t="s">
        <v>2018</v>
      </c>
      <c r="E977">
        <v>906.36</v>
      </c>
      <c r="F977">
        <f>Cleaned[[#This Row],[Debit]] * Cleaned[[#This Row],[FX_rates]]</f>
        <v>50756.160000000003</v>
      </c>
      <c r="G977">
        <v>0</v>
      </c>
      <c r="H977">
        <f>Cleaned[[#This Row],[Credit]] *  Cleaned[[#This Row],[FX_rates]]</f>
        <v>0</v>
      </c>
      <c r="I977" t="s">
        <v>2022</v>
      </c>
      <c r="J977" t="s">
        <v>2027</v>
      </c>
      <c r="K977" t="s">
        <v>3006</v>
      </c>
      <c r="L977" t="s">
        <v>4033</v>
      </c>
      <c r="M977">
        <f>Cleaned[[#This Row],[Credit]]-Cleaned[[#This Row],[Debit]]</f>
        <v>-906.36</v>
      </c>
      <c r="N977" t="str">
        <f>_xlfn.XLOOKUP(Cleaned[[#This Row],[AccountName]], Account_Mapping!A:A, Account_Mapping!B:B,"Unmapped")</f>
        <v>Operating Expense</v>
      </c>
      <c r="O977" cm="1">
        <f t="array" ref="O977">_xlfn.XLOOKUP(
  1,
  (FX_Rates[Currency]=Cleaned[[#This Row],[Currency]])*
  (FX_Rates[RateDate]&lt;=Cleaned[[#This Row],[TxnDate]]),
  FX_Rates[Rate_To_INR],
  ,
  -1
)</f>
        <v>56</v>
      </c>
      <c r="P977" s="2">
        <f>Cleaned[[#This Row],[Net Amount]] *  Cleaned[[#This Row],[FX_rates]]</f>
        <v>-50756.160000000003</v>
      </c>
    </row>
    <row r="978" spans="1:16" x14ac:dyDescent="0.45">
      <c r="A978" t="s">
        <v>986</v>
      </c>
      <c r="B978" s="1">
        <v>45349</v>
      </c>
      <c r="C978" s="2" t="s">
        <v>2010</v>
      </c>
      <c r="D978" t="s">
        <v>2015</v>
      </c>
      <c r="E978">
        <v>0</v>
      </c>
      <c r="F978">
        <f>Cleaned[[#This Row],[Debit]] * Cleaned[[#This Row],[FX_rates]]</f>
        <v>0</v>
      </c>
      <c r="G978">
        <v>1026.19</v>
      </c>
      <c r="H978">
        <f>Cleaned[[#This Row],[Credit]] *  Cleaned[[#This Row],[FX_rates]]</f>
        <v>57466.64</v>
      </c>
      <c r="I978" t="s">
        <v>2023</v>
      </c>
      <c r="J978" t="s">
        <v>2027</v>
      </c>
      <c r="K978" t="s">
        <v>3007</v>
      </c>
      <c r="L978" t="s">
        <v>4033</v>
      </c>
      <c r="M978">
        <f>Cleaned[[#This Row],[Credit]]-Cleaned[[#This Row],[Debit]]</f>
        <v>1026.19</v>
      </c>
      <c r="N978" t="str">
        <f>_xlfn.XLOOKUP(Cleaned[[#This Row],[AccountName]], Account_Mapping!A:A, Account_Mapping!B:B,"Unmapped")</f>
        <v>Revenue</v>
      </c>
      <c r="O978" cm="1">
        <f t="array" ref="O978">_xlfn.XLOOKUP(
  1,
  (FX_Rates[Currency]=Cleaned[[#This Row],[Currency]])*
  (FX_Rates[RateDate]&lt;=Cleaned[[#This Row],[TxnDate]]),
  FX_Rates[Rate_To_INR],
  ,
  -1
)</f>
        <v>56</v>
      </c>
      <c r="P978" s="2">
        <f>Cleaned[[#This Row],[Net Amount]] *  Cleaned[[#This Row],[FX_rates]]</f>
        <v>57466.64</v>
      </c>
    </row>
    <row r="979" spans="1:16" x14ac:dyDescent="0.45">
      <c r="A979" t="s">
        <v>987</v>
      </c>
      <c r="B979" s="1">
        <v>45540</v>
      </c>
      <c r="C979" s="2" t="s">
        <v>2013</v>
      </c>
      <c r="D979" t="s">
        <v>2018</v>
      </c>
      <c r="E979">
        <v>1571.91</v>
      </c>
      <c r="F979">
        <f>Cleaned[[#This Row],[Debit]] * Cleaned[[#This Row],[FX_rates]]</f>
        <v>95886.510000000009</v>
      </c>
      <c r="G979">
        <v>0</v>
      </c>
      <c r="H979">
        <f>Cleaned[[#This Row],[Credit]] *  Cleaned[[#This Row],[FX_rates]]</f>
        <v>0</v>
      </c>
      <c r="I979" t="s">
        <v>2022</v>
      </c>
      <c r="J979" t="s">
        <v>2030</v>
      </c>
      <c r="K979" t="s">
        <v>3008</v>
      </c>
      <c r="L979" t="s">
        <v>4035</v>
      </c>
      <c r="M979">
        <f>Cleaned[[#This Row],[Credit]]-Cleaned[[#This Row],[Debit]]</f>
        <v>-1571.91</v>
      </c>
      <c r="N979" t="str">
        <f>_xlfn.XLOOKUP(Cleaned[[#This Row],[AccountName]], Account_Mapping!A:A, Account_Mapping!B:B,"Unmapped")</f>
        <v>Operating Expense</v>
      </c>
      <c r="O979" cm="1">
        <f t="array" ref="O979">_xlfn.XLOOKUP(
  1,
  (FX_Rates[Currency]=Cleaned[[#This Row],[Currency]])*
  (FX_Rates[RateDate]&lt;=Cleaned[[#This Row],[TxnDate]]),
  FX_Rates[Rate_To_INR],
  ,
  -1
)</f>
        <v>61</v>
      </c>
      <c r="P979" s="2">
        <f>Cleaned[[#This Row],[Net Amount]] *  Cleaned[[#This Row],[FX_rates]]</f>
        <v>-95886.510000000009</v>
      </c>
    </row>
    <row r="980" spans="1:16" x14ac:dyDescent="0.45">
      <c r="A980" t="s">
        <v>988</v>
      </c>
      <c r="B980" s="1">
        <v>45799</v>
      </c>
      <c r="C980" s="2" t="s">
        <v>2010</v>
      </c>
      <c r="D980" t="s">
        <v>2015</v>
      </c>
      <c r="E980">
        <v>0</v>
      </c>
      <c r="F980">
        <f>Cleaned[[#This Row],[Debit]] * Cleaned[[#This Row],[FX_rates]]</f>
        <v>0</v>
      </c>
      <c r="G980">
        <v>504.44</v>
      </c>
      <c r="H980">
        <f>Cleaned[[#This Row],[Credit]] *  Cleaned[[#This Row],[FX_rates]]</f>
        <v>41364.080000000002</v>
      </c>
      <c r="I980" t="s">
        <v>2025</v>
      </c>
      <c r="J980" t="s">
        <v>2027</v>
      </c>
      <c r="K980" t="s">
        <v>3009</v>
      </c>
      <c r="L980" t="s">
        <v>4034</v>
      </c>
      <c r="M980">
        <f>Cleaned[[#This Row],[Credit]]-Cleaned[[#This Row],[Debit]]</f>
        <v>504.44</v>
      </c>
      <c r="N980" t="str">
        <f>_xlfn.XLOOKUP(Cleaned[[#This Row],[AccountName]], Account_Mapping!A:A, Account_Mapping!B:B,"Unmapped")</f>
        <v>Revenue</v>
      </c>
      <c r="O980" cm="1">
        <f t="array" ref="O980">_xlfn.XLOOKUP(
  1,
  (FX_Rates[Currency]=Cleaned[[#This Row],[Currency]])*
  (FX_Rates[RateDate]&lt;=Cleaned[[#This Row],[TxnDate]]),
  FX_Rates[Rate_To_INR],
  ,
  -1
)</f>
        <v>82</v>
      </c>
      <c r="P980" s="2">
        <f>Cleaned[[#This Row],[Net Amount]] *  Cleaned[[#This Row],[FX_rates]]</f>
        <v>41364.080000000002</v>
      </c>
    </row>
    <row r="981" spans="1:16" x14ac:dyDescent="0.45">
      <c r="A981" t="s">
        <v>989</v>
      </c>
      <c r="B981" s="1">
        <v>45684</v>
      </c>
      <c r="C981" s="2" t="s">
        <v>2010</v>
      </c>
      <c r="D981" t="s">
        <v>2015</v>
      </c>
      <c r="E981">
        <v>0</v>
      </c>
      <c r="F981">
        <f>Cleaned[[#This Row],[Debit]] * Cleaned[[#This Row],[FX_rates]]</f>
        <v>0</v>
      </c>
      <c r="G981">
        <v>2486.2199999999998</v>
      </c>
      <c r="H981">
        <f>Cleaned[[#This Row],[Credit]] *  Cleaned[[#This Row],[FX_rates]]</f>
        <v>256080.65999999997</v>
      </c>
      <c r="I981" t="s">
        <v>2022</v>
      </c>
      <c r="J981" t="s">
        <v>2030</v>
      </c>
      <c r="K981" t="s">
        <v>3010</v>
      </c>
      <c r="L981" t="s">
        <v>4031</v>
      </c>
      <c r="M981">
        <f>Cleaned[[#This Row],[Credit]]-Cleaned[[#This Row],[Debit]]</f>
        <v>2486.2199999999998</v>
      </c>
      <c r="N981" t="str">
        <f>_xlfn.XLOOKUP(Cleaned[[#This Row],[AccountName]], Account_Mapping!A:A, Account_Mapping!B:B,"Unmapped")</f>
        <v>Revenue</v>
      </c>
      <c r="O981" cm="1">
        <f t="array" ref="O981">_xlfn.XLOOKUP(
  1,
  (FX_Rates[Currency]=Cleaned[[#This Row],[Currency]])*
  (FX_Rates[RateDate]&lt;=Cleaned[[#This Row],[TxnDate]]),
  FX_Rates[Rate_To_INR],
  ,
  -1
)</f>
        <v>103</v>
      </c>
      <c r="P981" s="2">
        <f>Cleaned[[#This Row],[Net Amount]] *  Cleaned[[#This Row],[FX_rates]]</f>
        <v>256080.65999999997</v>
      </c>
    </row>
    <row r="982" spans="1:16" x14ac:dyDescent="0.45">
      <c r="A982" t="s">
        <v>990</v>
      </c>
      <c r="B982" s="1">
        <v>45705</v>
      </c>
      <c r="C982" s="2" t="s">
        <v>2013</v>
      </c>
      <c r="D982" t="s">
        <v>2018</v>
      </c>
      <c r="E982">
        <v>397.17</v>
      </c>
      <c r="F982">
        <f>Cleaned[[#This Row],[Debit]] * Cleaned[[#This Row],[FX_rates]]</f>
        <v>34950.959999999999</v>
      </c>
      <c r="G982">
        <v>0</v>
      </c>
      <c r="H982">
        <f>Cleaned[[#This Row],[Credit]] *  Cleaned[[#This Row],[FX_rates]]</f>
        <v>0</v>
      </c>
      <c r="I982" t="s">
        <v>2024</v>
      </c>
      <c r="J982" t="s">
        <v>2029</v>
      </c>
      <c r="K982" t="s">
        <v>3011</v>
      </c>
      <c r="L982" t="s">
        <v>4032</v>
      </c>
      <c r="M982">
        <f>Cleaned[[#This Row],[Credit]]-Cleaned[[#This Row],[Debit]]</f>
        <v>-397.17</v>
      </c>
      <c r="N982" t="str">
        <f>_xlfn.XLOOKUP(Cleaned[[#This Row],[AccountName]], Account_Mapping!A:A, Account_Mapping!B:B,"Unmapped")</f>
        <v>Operating Expense</v>
      </c>
      <c r="O982" cm="1">
        <f t="array" ref="O982">_xlfn.XLOOKUP(
  1,
  (FX_Rates[Currency]=Cleaned[[#This Row],[Currency]])*
  (FX_Rates[RateDate]&lt;=Cleaned[[#This Row],[TxnDate]]),
  FX_Rates[Rate_To_INR],
  ,
  -1
)</f>
        <v>88</v>
      </c>
      <c r="P982" s="2">
        <f>Cleaned[[#This Row],[Net Amount]] *  Cleaned[[#This Row],[FX_rates]]</f>
        <v>-34950.959999999999</v>
      </c>
    </row>
    <row r="983" spans="1:16" x14ac:dyDescent="0.45">
      <c r="A983" t="s">
        <v>991</v>
      </c>
      <c r="B983" s="1">
        <v>45534</v>
      </c>
      <c r="C983" s="2" t="s">
        <v>2013</v>
      </c>
      <c r="D983" t="s">
        <v>2018</v>
      </c>
      <c r="E983">
        <v>1558.38</v>
      </c>
      <c r="F983">
        <f>Cleaned[[#This Row],[Debit]] * Cleaned[[#This Row],[FX_rates]]</f>
        <v>160513.14000000001</v>
      </c>
      <c r="G983">
        <v>0</v>
      </c>
      <c r="H983">
        <f>Cleaned[[#This Row],[Credit]] *  Cleaned[[#This Row],[FX_rates]]</f>
        <v>0</v>
      </c>
      <c r="I983" t="s">
        <v>2024</v>
      </c>
      <c r="J983" t="s">
        <v>2029</v>
      </c>
      <c r="K983" t="s">
        <v>3012</v>
      </c>
      <c r="L983" t="s">
        <v>4031</v>
      </c>
      <c r="M983">
        <f>Cleaned[[#This Row],[Credit]]-Cleaned[[#This Row],[Debit]]</f>
        <v>-1558.38</v>
      </c>
      <c r="N983" t="str">
        <f>_xlfn.XLOOKUP(Cleaned[[#This Row],[AccountName]], Account_Mapping!A:A, Account_Mapping!B:B,"Unmapped")</f>
        <v>Operating Expense</v>
      </c>
      <c r="O983" cm="1">
        <f t="array" ref="O983">_xlfn.XLOOKUP(
  1,
  (FX_Rates[Currency]=Cleaned[[#This Row],[Currency]])*
  (FX_Rates[RateDate]&lt;=Cleaned[[#This Row],[TxnDate]]),
  FX_Rates[Rate_To_INR],
  ,
  -1
)</f>
        <v>103</v>
      </c>
      <c r="P983" s="2">
        <f>Cleaned[[#This Row],[Net Amount]] *  Cleaned[[#This Row],[FX_rates]]</f>
        <v>-160513.14000000001</v>
      </c>
    </row>
    <row r="984" spans="1:16" x14ac:dyDescent="0.45">
      <c r="A984" t="s">
        <v>992</v>
      </c>
      <c r="B984" s="1">
        <v>45270</v>
      </c>
      <c r="C984" s="2" t="s">
        <v>2010</v>
      </c>
      <c r="D984" t="s">
        <v>2015</v>
      </c>
      <c r="E984">
        <v>0</v>
      </c>
      <c r="F984">
        <f>Cleaned[[#This Row],[Debit]] * Cleaned[[#This Row],[FX_rates]]</f>
        <v>0</v>
      </c>
      <c r="G984">
        <v>1902.31</v>
      </c>
      <c r="H984">
        <f>Cleaned[[#This Row],[Credit]] *  Cleaned[[#This Row],[FX_rates]]</f>
        <v>155989.41999999998</v>
      </c>
      <c r="I984" t="s">
        <v>2023</v>
      </c>
      <c r="J984" t="s">
        <v>2028</v>
      </c>
      <c r="K984" t="s">
        <v>3013</v>
      </c>
      <c r="L984" t="s">
        <v>4034</v>
      </c>
      <c r="M984">
        <f>Cleaned[[#This Row],[Credit]]-Cleaned[[#This Row],[Debit]]</f>
        <v>1902.31</v>
      </c>
      <c r="N984" t="str">
        <f>_xlfn.XLOOKUP(Cleaned[[#This Row],[AccountName]], Account_Mapping!A:A, Account_Mapping!B:B,"Unmapped")</f>
        <v>Revenue</v>
      </c>
      <c r="O984" cm="1">
        <f t="array" ref="O984">_xlfn.XLOOKUP(
  1,
  (FX_Rates[Currency]=Cleaned[[#This Row],[Currency]])*
  (FX_Rates[RateDate]&lt;=Cleaned[[#This Row],[TxnDate]]),
  FX_Rates[Rate_To_INR],
  ,
  -1
)</f>
        <v>82</v>
      </c>
      <c r="P984" s="2">
        <f>Cleaned[[#This Row],[Net Amount]] *  Cleaned[[#This Row],[FX_rates]]</f>
        <v>155989.41999999998</v>
      </c>
    </row>
    <row r="985" spans="1:16" x14ac:dyDescent="0.45">
      <c r="A985" t="s">
        <v>993</v>
      </c>
      <c r="B985" s="1">
        <v>45604</v>
      </c>
      <c r="C985" s="2" t="s">
        <v>2012</v>
      </c>
      <c r="D985" t="s">
        <v>2017</v>
      </c>
      <c r="E985">
        <v>330.31</v>
      </c>
      <c r="F985">
        <f>Cleaned[[#This Row],[Debit]] * Cleaned[[#This Row],[FX_rates]]</f>
        <v>29067.279999999999</v>
      </c>
      <c r="G985">
        <v>0</v>
      </c>
      <c r="H985">
        <f>Cleaned[[#This Row],[Credit]] *  Cleaned[[#This Row],[FX_rates]]</f>
        <v>0</v>
      </c>
      <c r="I985" t="s">
        <v>2023</v>
      </c>
      <c r="J985" t="s">
        <v>2028</v>
      </c>
      <c r="K985" t="s">
        <v>3014</v>
      </c>
      <c r="L985" t="s">
        <v>4032</v>
      </c>
      <c r="M985">
        <f>Cleaned[[#This Row],[Credit]]-Cleaned[[#This Row],[Debit]]</f>
        <v>-330.31</v>
      </c>
      <c r="N985" t="str">
        <f>_xlfn.XLOOKUP(Cleaned[[#This Row],[AccountName]], Account_Mapping!A:A, Account_Mapping!B:B,"Unmapped")</f>
        <v>Operating Expense</v>
      </c>
      <c r="O985" cm="1">
        <f t="array" ref="O985">_xlfn.XLOOKUP(
  1,
  (FX_Rates[Currency]=Cleaned[[#This Row],[Currency]])*
  (FX_Rates[RateDate]&lt;=Cleaned[[#This Row],[TxnDate]]),
  FX_Rates[Rate_To_INR],
  ,
  -1
)</f>
        <v>88</v>
      </c>
      <c r="P985" s="2">
        <f>Cleaned[[#This Row],[Net Amount]] *  Cleaned[[#This Row],[FX_rates]]</f>
        <v>-29067.279999999999</v>
      </c>
    </row>
    <row r="986" spans="1:16" x14ac:dyDescent="0.45">
      <c r="A986" t="s">
        <v>994</v>
      </c>
      <c r="B986" s="1">
        <v>45502</v>
      </c>
      <c r="C986" s="2" t="s">
        <v>2014</v>
      </c>
      <c r="D986" t="s">
        <v>2019</v>
      </c>
      <c r="E986">
        <v>0</v>
      </c>
      <c r="F986">
        <f>Cleaned[[#This Row],[Debit]] * Cleaned[[#This Row],[FX_rates]]</f>
        <v>0</v>
      </c>
      <c r="G986">
        <v>369.23</v>
      </c>
      <c r="H986">
        <f>Cleaned[[#This Row],[Credit]] *  Cleaned[[#This Row],[FX_rates]]</f>
        <v>20676.88</v>
      </c>
      <c r="I986" t="s">
        <v>2025</v>
      </c>
      <c r="J986" t="s">
        <v>2027</v>
      </c>
      <c r="K986" t="s">
        <v>3015</v>
      </c>
      <c r="L986" t="s">
        <v>4033</v>
      </c>
      <c r="M986">
        <f>Cleaned[[#This Row],[Credit]]-Cleaned[[#This Row],[Debit]]</f>
        <v>369.23</v>
      </c>
      <c r="N986" t="str">
        <f>_xlfn.XLOOKUP(Cleaned[[#This Row],[AccountName]], Account_Mapping!A:A, Account_Mapping!B:B,"Unmapped")</f>
        <v>Revenue</v>
      </c>
      <c r="O986" cm="1">
        <f t="array" ref="O986">_xlfn.XLOOKUP(
  1,
  (FX_Rates[Currency]=Cleaned[[#This Row],[Currency]])*
  (FX_Rates[RateDate]&lt;=Cleaned[[#This Row],[TxnDate]]),
  FX_Rates[Rate_To_INR],
  ,
  -1
)</f>
        <v>56</v>
      </c>
      <c r="P986" s="2">
        <f>Cleaned[[#This Row],[Net Amount]] *  Cleaned[[#This Row],[FX_rates]]</f>
        <v>20676.88</v>
      </c>
    </row>
    <row r="987" spans="1:16" x14ac:dyDescent="0.45">
      <c r="A987" t="s">
        <v>995</v>
      </c>
      <c r="B987" s="1">
        <v>45130</v>
      </c>
      <c r="C987" s="2" t="s">
        <v>2014</v>
      </c>
      <c r="D987" t="s">
        <v>2019</v>
      </c>
      <c r="E987">
        <v>0</v>
      </c>
      <c r="F987">
        <f>Cleaned[[#This Row],[Debit]] * Cleaned[[#This Row],[FX_rates]]</f>
        <v>0</v>
      </c>
      <c r="G987">
        <v>2516.86</v>
      </c>
      <c r="H987">
        <f>Cleaned[[#This Row],[Credit]] *  Cleaned[[#This Row],[FX_rates]]</f>
        <v>221483.68000000002</v>
      </c>
      <c r="I987" t="s">
        <v>2021</v>
      </c>
      <c r="J987" t="s">
        <v>2029</v>
      </c>
      <c r="K987" t="s">
        <v>3016</v>
      </c>
      <c r="L987" t="s">
        <v>4032</v>
      </c>
      <c r="M987">
        <f>Cleaned[[#This Row],[Credit]]-Cleaned[[#This Row],[Debit]]</f>
        <v>2516.86</v>
      </c>
      <c r="N987" t="str">
        <f>_xlfn.XLOOKUP(Cleaned[[#This Row],[AccountName]], Account_Mapping!A:A, Account_Mapping!B:B,"Unmapped")</f>
        <v>Revenue</v>
      </c>
      <c r="O987" cm="1">
        <f t="array" ref="O987">_xlfn.XLOOKUP(
  1,
  (FX_Rates[Currency]=Cleaned[[#This Row],[Currency]])*
  (FX_Rates[RateDate]&lt;=Cleaned[[#This Row],[TxnDate]]),
  FX_Rates[Rate_To_INR],
  ,
  -1
)</f>
        <v>88</v>
      </c>
      <c r="P987" s="2">
        <f>Cleaned[[#This Row],[Net Amount]] *  Cleaned[[#This Row],[FX_rates]]</f>
        <v>221483.68000000002</v>
      </c>
    </row>
    <row r="988" spans="1:16" x14ac:dyDescent="0.45">
      <c r="A988" t="s">
        <v>996</v>
      </c>
      <c r="B988" s="1">
        <v>45769</v>
      </c>
      <c r="C988" s="2" t="s">
        <v>2014</v>
      </c>
      <c r="D988" t="s">
        <v>2019</v>
      </c>
      <c r="E988">
        <v>0</v>
      </c>
      <c r="F988">
        <f>Cleaned[[#This Row],[Debit]] * Cleaned[[#This Row],[FX_rates]]</f>
        <v>0</v>
      </c>
      <c r="G988">
        <v>2267.1999999999998</v>
      </c>
      <c r="H988">
        <f>Cleaned[[#This Row],[Credit]] *  Cleaned[[#This Row],[FX_rates]]</f>
        <v>126963.19999999998</v>
      </c>
      <c r="I988" t="s">
        <v>2024</v>
      </c>
      <c r="J988" t="s">
        <v>2027</v>
      </c>
      <c r="K988" t="s">
        <v>3017</v>
      </c>
      <c r="L988" t="s">
        <v>4033</v>
      </c>
      <c r="M988">
        <f>Cleaned[[#This Row],[Credit]]-Cleaned[[#This Row],[Debit]]</f>
        <v>2267.1999999999998</v>
      </c>
      <c r="N988" t="str">
        <f>_xlfn.XLOOKUP(Cleaned[[#This Row],[AccountName]], Account_Mapping!A:A, Account_Mapping!B:B,"Unmapped")</f>
        <v>Revenue</v>
      </c>
      <c r="O988" cm="1">
        <f t="array" ref="O988">_xlfn.XLOOKUP(
  1,
  (FX_Rates[Currency]=Cleaned[[#This Row],[Currency]])*
  (FX_Rates[RateDate]&lt;=Cleaned[[#This Row],[TxnDate]]),
  FX_Rates[Rate_To_INR],
  ,
  -1
)</f>
        <v>56</v>
      </c>
      <c r="P988" s="2">
        <f>Cleaned[[#This Row],[Net Amount]] *  Cleaned[[#This Row],[FX_rates]]</f>
        <v>126963.19999999998</v>
      </c>
    </row>
    <row r="989" spans="1:16" x14ac:dyDescent="0.45">
      <c r="A989" t="s">
        <v>997</v>
      </c>
      <c r="B989" s="1">
        <v>45572</v>
      </c>
      <c r="C989" s="2" t="s">
        <v>2011</v>
      </c>
      <c r="D989" t="s">
        <v>2016</v>
      </c>
      <c r="E989">
        <v>270.42</v>
      </c>
      <c r="F989">
        <f>Cleaned[[#This Row],[Debit]] * Cleaned[[#This Row],[FX_rates]]</f>
        <v>16495.620000000003</v>
      </c>
      <c r="G989">
        <v>0</v>
      </c>
      <c r="H989">
        <f>Cleaned[[#This Row],[Credit]] *  Cleaned[[#This Row],[FX_rates]]</f>
        <v>0</v>
      </c>
      <c r="I989" t="s">
        <v>2022</v>
      </c>
      <c r="J989" t="s">
        <v>2026</v>
      </c>
      <c r="K989" t="s">
        <v>3018</v>
      </c>
      <c r="L989" t="s">
        <v>4035</v>
      </c>
      <c r="M989">
        <f>Cleaned[[#This Row],[Credit]]-Cleaned[[#This Row],[Debit]]</f>
        <v>-270.42</v>
      </c>
      <c r="N989" t="str">
        <f>_xlfn.XLOOKUP(Cleaned[[#This Row],[AccountName]], Account_Mapping!A:A, Account_Mapping!B:B,"Unmapped")</f>
        <v>COGS</v>
      </c>
      <c r="O989" cm="1">
        <f t="array" ref="O989">_xlfn.XLOOKUP(
  1,
  (FX_Rates[Currency]=Cleaned[[#This Row],[Currency]])*
  (FX_Rates[RateDate]&lt;=Cleaned[[#This Row],[TxnDate]]),
  FX_Rates[Rate_To_INR],
  ,
  -1
)</f>
        <v>61</v>
      </c>
      <c r="P989" s="2">
        <f>Cleaned[[#This Row],[Net Amount]] *  Cleaned[[#This Row],[FX_rates]]</f>
        <v>-16495.620000000003</v>
      </c>
    </row>
    <row r="990" spans="1:16" x14ac:dyDescent="0.45">
      <c r="A990" t="s">
        <v>998</v>
      </c>
      <c r="B990" s="1">
        <v>45587</v>
      </c>
      <c r="C990" s="2" t="s">
        <v>2010</v>
      </c>
      <c r="D990" t="s">
        <v>2015</v>
      </c>
      <c r="E990">
        <v>0</v>
      </c>
      <c r="F990">
        <f>Cleaned[[#This Row],[Debit]] * Cleaned[[#This Row],[FX_rates]]</f>
        <v>0</v>
      </c>
      <c r="G990">
        <v>1807.47</v>
      </c>
      <c r="H990">
        <f>Cleaned[[#This Row],[Credit]] *  Cleaned[[#This Row],[FX_rates]]</f>
        <v>148212.54</v>
      </c>
      <c r="I990" t="s">
        <v>2024</v>
      </c>
      <c r="J990" t="s">
        <v>2029</v>
      </c>
      <c r="K990" t="s">
        <v>3019</v>
      </c>
      <c r="L990" t="s">
        <v>4034</v>
      </c>
      <c r="M990">
        <f>Cleaned[[#This Row],[Credit]]-Cleaned[[#This Row],[Debit]]</f>
        <v>1807.47</v>
      </c>
      <c r="N990" t="str">
        <f>_xlfn.XLOOKUP(Cleaned[[#This Row],[AccountName]], Account_Mapping!A:A, Account_Mapping!B:B,"Unmapped")</f>
        <v>Revenue</v>
      </c>
      <c r="O990" cm="1">
        <f t="array" ref="O990">_xlfn.XLOOKUP(
  1,
  (FX_Rates[Currency]=Cleaned[[#This Row],[Currency]])*
  (FX_Rates[RateDate]&lt;=Cleaned[[#This Row],[TxnDate]]),
  FX_Rates[Rate_To_INR],
  ,
  -1
)</f>
        <v>82</v>
      </c>
      <c r="P990" s="2">
        <f>Cleaned[[#This Row],[Net Amount]] *  Cleaned[[#This Row],[FX_rates]]</f>
        <v>148212.54</v>
      </c>
    </row>
    <row r="991" spans="1:16" x14ac:dyDescent="0.45">
      <c r="A991" t="s">
        <v>999</v>
      </c>
      <c r="B991" s="1">
        <v>45723</v>
      </c>
      <c r="C991" s="2" t="s">
        <v>2011</v>
      </c>
      <c r="D991" t="s">
        <v>2016</v>
      </c>
      <c r="E991">
        <v>1404.46</v>
      </c>
      <c r="F991">
        <f>Cleaned[[#This Row],[Debit]] * Cleaned[[#This Row],[FX_rates]]</f>
        <v>85672.06</v>
      </c>
      <c r="G991">
        <v>0</v>
      </c>
      <c r="H991">
        <f>Cleaned[[#This Row],[Credit]] *  Cleaned[[#This Row],[FX_rates]]</f>
        <v>0</v>
      </c>
      <c r="I991" t="s">
        <v>2022</v>
      </c>
      <c r="J991" t="s">
        <v>2027</v>
      </c>
      <c r="K991" t="s">
        <v>3020</v>
      </c>
      <c r="L991" t="s">
        <v>4035</v>
      </c>
      <c r="M991">
        <f>Cleaned[[#This Row],[Credit]]-Cleaned[[#This Row],[Debit]]</f>
        <v>-1404.46</v>
      </c>
      <c r="N991" t="str">
        <f>_xlfn.XLOOKUP(Cleaned[[#This Row],[AccountName]], Account_Mapping!A:A, Account_Mapping!B:B,"Unmapped")</f>
        <v>COGS</v>
      </c>
      <c r="O991" cm="1">
        <f t="array" ref="O991">_xlfn.XLOOKUP(
  1,
  (FX_Rates[Currency]=Cleaned[[#This Row],[Currency]])*
  (FX_Rates[RateDate]&lt;=Cleaned[[#This Row],[TxnDate]]),
  FX_Rates[Rate_To_INR],
  ,
  -1
)</f>
        <v>61</v>
      </c>
      <c r="P991" s="2">
        <f>Cleaned[[#This Row],[Net Amount]] *  Cleaned[[#This Row],[FX_rates]]</f>
        <v>-85672.06</v>
      </c>
    </row>
    <row r="992" spans="1:16" x14ac:dyDescent="0.45">
      <c r="A992" t="s">
        <v>1000</v>
      </c>
      <c r="B992" s="1">
        <v>45667</v>
      </c>
      <c r="C992" s="2" t="s">
        <v>2012</v>
      </c>
      <c r="D992" t="s">
        <v>2017</v>
      </c>
      <c r="E992">
        <v>1628.38</v>
      </c>
      <c r="F992">
        <f>Cleaned[[#This Row],[Debit]] * Cleaned[[#This Row],[FX_rates]]</f>
        <v>99331.180000000008</v>
      </c>
      <c r="G992">
        <v>0</v>
      </c>
      <c r="H992">
        <f>Cleaned[[#This Row],[Credit]] *  Cleaned[[#This Row],[FX_rates]]</f>
        <v>0</v>
      </c>
      <c r="I992" t="s">
        <v>2025</v>
      </c>
      <c r="J992" t="s">
        <v>2026</v>
      </c>
      <c r="K992" t="s">
        <v>3021</v>
      </c>
      <c r="L992" t="s">
        <v>4035</v>
      </c>
      <c r="M992">
        <f>Cleaned[[#This Row],[Credit]]-Cleaned[[#This Row],[Debit]]</f>
        <v>-1628.38</v>
      </c>
      <c r="N992" t="str">
        <f>_xlfn.XLOOKUP(Cleaned[[#This Row],[AccountName]], Account_Mapping!A:A, Account_Mapping!B:B,"Unmapped")</f>
        <v>Operating Expense</v>
      </c>
      <c r="O992" cm="1">
        <f t="array" ref="O992">_xlfn.XLOOKUP(
  1,
  (FX_Rates[Currency]=Cleaned[[#This Row],[Currency]])*
  (FX_Rates[RateDate]&lt;=Cleaned[[#This Row],[TxnDate]]),
  FX_Rates[Rate_To_INR],
  ,
  -1
)</f>
        <v>61</v>
      </c>
      <c r="P992" s="2">
        <f>Cleaned[[#This Row],[Net Amount]] *  Cleaned[[#This Row],[FX_rates]]</f>
        <v>-99331.180000000008</v>
      </c>
    </row>
    <row r="993" spans="1:16" x14ac:dyDescent="0.45">
      <c r="A993" t="s">
        <v>1001</v>
      </c>
      <c r="B993" s="1">
        <v>45132</v>
      </c>
      <c r="C993" s="2" t="s">
        <v>2013</v>
      </c>
      <c r="D993" t="s">
        <v>2018</v>
      </c>
      <c r="E993">
        <v>1593.21</v>
      </c>
      <c r="F993">
        <f>Cleaned[[#This Row],[Debit]] * Cleaned[[#This Row],[FX_rates]]</f>
        <v>140202.48000000001</v>
      </c>
      <c r="G993">
        <v>0</v>
      </c>
      <c r="H993">
        <f>Cleaned[[#This Row],[Credit]] *  Cleaned[[#This Row],[FX_rates]]</f>
        <v>0</v>
      </c>
      <c r="I993" t="s">
        <v>2021</v>
      </c>
      <c r="J993" t="s">
        <v>2029</v>
      </c>
      <c r="K993" t="s">
        <v>3022</v>
      </c>
      <c r="L993" t="s">
        <v>4032</v>
      </c>
      <c r="M993">
        <f>Cleaned[[#This Row],[Credit]]-Cleaned[[#This Row],[Debit]]</f>
        <v>-1593.21</v>
      </c>
      <c r="N993" t="str">
        <f>_xlfn.XLOOKUP(Cleaned[[#This Row],[AccountName]], Account_Mapping!A:A, Account_Mapping!B:B,"Unmapped")</f>
        <v>Operating Expense</v>
      </c>
      <c r="O993" cm="1">
        <f t="array" ref="O993">_xlfn.XLOOKUP(
  1,
  (FX_Rates[Currency]=Cleaned[[#This Row],[Currency]])*
  (FX_Rates[RateDate]&lt;=Cleaned[[#This Row],[TxnDate]]),
  FX_Rates[Rate_To_INR],
  ,
  -1
)</f>
        <v>88</v>
      </c>
      <c r="P993" s="2">
        <f>Cleaned[[#This Row],[Net Amount]] *  Cleaned[[#This Row],[FX_rates]]</f>
        <v>-140202.48000000001</v>
      </c>
    </row>
    <row r="994" spans="1:16" x14ac:dyDescent="0.45">
      <c r="A994" t="s">
        <v>1002</v>
      </c>
      <c r="B994" s="1">
        <v>45275</v>
      </c>
      <c r="C994" s="2" t="s">
        <v>2010</v>
      </c>
      <c r="D994" t="s">
        <v>2015</v>
      </c>
      <c r="E994">
        <v>0</v>
      </c>
      <c r="F994">
        <f>Cleaned[[#This Row],[Debit]] * Cleaned[[#This Row],[FX_rates]]</f>
        <v>0</v>
      </c>
      <c r="G994">
        <v>3100.79</v>
      </c>
      <c r="H994">
        <f>Cleaned[[#This Row],[Credit]] *  Cleaned[[#This Row],[FX_rates]]</f>
        <v>189148.19</v>
      </c>
      <c r="I994" t="s">
        <v>2024</v>
      </c>
      <c r="J994" t="s">
        <v>2029</v>
      </c>
      <c r="K994" t="s">
        <v>3023</v>
      </c>
      <c r="L994" t="s">
        <v>4035</v>
      </c>
      <c r="M994">
        <f>Cleaned[[#This Row],[Credit]]-Cleaned[[#This Row],[Debit]]</f>
        <v>3100.79</v>
      </c>
      <c r="N994" t="str">
        <f>_xlfn.XLOOKUP(Cleaned[[#This Row],[AccountName]], Account_Mapping!A:A, Account_Mapping!B:B,"Unmapped")</f>
        <v>Revenue</v>
      </c>
      <c r="O994" cm="1">
        <f t="array" ref="O994">_xlfn.XLOOKUP(
  1,
  (FX_Rates[Currency]=Cleaned[[#This Row],[Currency]])*
  (FX_Rates[RateDate]&lt;=Cleaned[[#This Row],[TxnDate]]),
  FX_Rates[Rate_To_INR],
  ,
  -1
)</f>
        <v>61</v>
      </c>
      <c r="P994" s="2">
        <f>Cleaned[[#This Row],[Net Amount]] *  Cleaned[[#This Row],[FX_rates]]</f>
        <v>189148.19</v>
      </c>
    </row>
    <row r="995" spans="1:16" x14ac:dyDescent="0.45">
      <c r="A995" t="s">
        <v>1003</v>
      </c>
      <c r="B995" s="1">
        <v>45127</v>
      </c>
      <c r="C995" s="2" t="s">
        <v>2011</v>
      </c>
      <c r="D995" t="s">
        <v>2016</v>
      </c>
      <c r="E995">
        <v>759.38</v>
      </c>
      <c r="F995">
        <f>Cleaned[[#This Row],[Debit]] * Cleaned[[#This Row],[FX_rates]]</f>
        <v>42525.279999999999</v>
      </c>
      <c r="G995">
        <v>0</v>
      </c>
      <c r="H995">
        <f>Cleaned[[#This Row],[Credit]] *  Cleaned[[#This Row],[FX_rates]]</f>
        <v>0</v>
      </c>
      <c r="I995" t="s">
        <v>2020</v>
      </c>
      <c r="J995" t="s">
        <v>2030</v>
      </c>
      <c r="K995" t="s">
        <v>3024</v>
      </c>
      <c r="L995" t="s">
        <v>4033</v>
      </c>
      <c r="M995">
        <f>Cleaned[[#This Row],[Credit]]-Cleaned[[#This Row],[Debit]]</f>
        <v>-759.38</v>
      </c>
      <c r="N995" t="str">
        <f>_xlfn.XLOOKUP(Cleaned[[#This Row],[AccountName]], Account_Mapping!A:A, Account_Mapping!B:B,"Unmapped")</f>
        <v>COGS</v>
      </c>
      <c r="O995" cm="1">
        <f t="array" ref="O995">_xlfn.XLOOKUP(
  1,
  (FX_Rates[Currency]=Cleaned[[#This Row],[Currency]])*
  (FX_Rates[RateDate]&lt;=Cleaned[[#This Row],[TxnDate]]),
  FX_Rates[Rate_To_INR],
  ,
  -1
)</f>
        <v>56</v>
      </c>
      <c r="P995" s="2">
        <f>Cleaned[[#This Row],[Net Amount]] *  Cleaned[[#This Row],[FX_rates]]</f>
        <v>-42525.279999999999</v>
      </c>
    </row>
    <row r="996" spans="1:16" x14ac:dyDescent="0.45">
      <c r="A996" t="s">
        <v>1004</v>
      </c>
      <c r="B996" s="1">
        <v>45655</v>
      </c>
      <c r="C996" s="2" t="s">
        <v>2012</v>
      </c>
      <c r="D996" t="s">
        <v>2017</v>
      </c>
      <c r="E996">
        <v>818.52</v>
      </c>
      <c r="F996">
        <f>Cleaned[[#This Row],[Debit]] * Cleaned[[#This Row],[FX_rates]]</f>
        <v>84307.56</v>
      </c>
      <c r="G996">
        <v>0</v>
      </c>
      <c r="H996">
        <f>Cleaned[[#This Row],[Credit]] *  Cleaned[[#This Row],[FX_rates]]</f>
        <v>0</v>
      </c>
      <c r="I996" t="s">
        <v>2020</v>
      </c>
      <c r="J996" t="s">
        <v>2026</v>
      </c>
      <c r="K996" t="s">
        <v>3025</v>
      </c>
      <c r="L996" t="s">
        <v>4031</v>
      </c>
      <c r="M996">
        <f>Cleaned[[#This Row],[Credit]]-Cleaned[[#This Row],[Debit]]</f>
        <v>-818.52</v>
      </c>
      <c r="N996" t="str">
        <f>_xlfn.XLOOKUP(Cleaned[[#This Row],[AccountName]], Account_Mapping!A:A, Account_Mapping!B:B,"Unmapped")</f>
        <v>Operating Expense</v>
      </c>
      <c r="O996" cm="1">
        <f t="array" ref="O996">_xlfn.XLOOKUP(
  1,
  (FX_Rates[Currency]=Cleaned[[#This Row],[Currency]])*
  (FX_Rates[RateDate]&lt;=Cleaned[[#This Row],[TxnDate]]),
  FX_Rates[Rate_To_INR],
  ,
  -1
)</f>
        <v>103</v>
      </c>
      <c r="P996" s="2">
        <f>Cleaned[[#This Row],[Net Amount]] *  Cleaned[[#This Row],[FX_rates]]</f>
        <v>-84307.56</v>
      </c>
    </row>
    <row r="997" spans="1:16" x14ac:dyDescent="0.45">
      <c r="A997" t="s">
        <v>1005</v>
      </c>
      <c r="B997" s="1">
        <v>44958</v>
      </c>
      <c r="C997" s="2" t="s">
        <v>2012</v>
      </c>
      <c r="D997" t="s">
        <v>2017</v>
      </c>
      <c r="E997">
        <v>1003.28</v>
      </c>
      <c r="F997">
        <f>Cleaned[[#This Row],[Debit]] * Cleaned[[#This Row],[FX_rates]]</f>
        <v>56183.68</v>
      </c>
      <c r="G997">
        <v>0</v>
      </c>
      <c r="H997">
        <f>Cleaned[[#This Row],[Credit]] *  Cleaned[[#This Row],[FX_rates]]</f>
        <v>0</v>
      </c>
      <c r="I997" t="s">
        <v>2020</v>
      </c>
      <c r="J997" t="s">
        <v>2029</v>
      </c>
      <c r="K997" t="s">
        <v>3026</v>
      </c>
      <c r="L997" t="s">
        <v>4033</v>
      </c>
      <c r="M997">
        <f>Cleaned[[#This Row],[Credit]]-Cleaned[[#This Row],[Debit]]</f>
        <v>-1003.28</v>
      </c>
      <c r="N997" t="str">
        <f>_xlfn.XLOOKUP(Cleaned[[#This Row],[AccountName]], Account_Mapping!A:A, Account_Mapping!B:B,"Unmapped")</f>
        <v>Operating Expense</v>
      </c>
      <c r="O997" cm="1">
        <f t="array" ref="O997">_xlfn.XLOOKUP(
  1,
  (FX_Rates[Currency]=Cleaned[[#This Row],[Currency]])*
  (FX_Rates[RateDate]&lt;=Cleaned[[#This Row],[TxnDate]]),
  FX_Rates[Rate_To_INR],
  ,
  -1
)</f>
        <v>56</v>
      </c>
      <c r="P997" s="2">
        <f>Cleaned[[#This Row],[Net Amount]] *  Cleaned[[#This Row],[FX_rates]]</f>
        <v>-56183.68</v>
      </c>
    </row>
    <row r="998" spans="1:16" x14ac:dyDescent="0.45">
      <c r="A998" t="s">
        <v>1006</v>
      </c>
      <c r="B998" s="1">
        <v>45377</v>
      </c>
      <c r="C998" s="2" t="s">
        <v>2014</v>
      </c>
      <c r="D998" t="s">
        <v>2019</v>
      </c>
      <c r="E998">
        <v>0</v>
      </c>
      <c r="F998">
        <f>Cleaned[[#This Row],[Debit]] * Cleaned[[#This Row],[FX_rates]]</f>
        <v>0</v>
      </c>
      <c r="G998">
        <v>3683.5</v>
      </c>
      <c r="H998">
        <f>Cleaned[[#This Row],[Credit]] *  Cleaned[[#This Row],[FX_rates]]</f>
        <v>302047</v>
      </c>
      <c r="I998" t="s">
        <v>2024</v>
      </c>
      <c r="J998" t="s">
        <v>2030</v>
      </c>
      <c r="K998" t="s">
        <v>3027</v>
      </c>
      <c r="L998" t="s">
        <v>4034</v>
      </c>
      <c r="M998">
        <f>Cleaned[[#This Row],[Credit]]-Cleaned[[#This Row],[Debit]]</f>
        <v>3683.5</v>
      </c>
      <c r="N998" t="str">
        <f>_xlfn.XLOOKUP(Cleaned[[#This Row],[AccountName]], Account_Mapping!A:A, Account_Mapping!B:B,"Unmapped")</f>
        <v>Revenue</v>
      </c>
      <c r="O998" cm="1">
        <f t="array" ref="O998">_xlfn.XLOOKUP(
  1,
  (FX_Rates[Currency]=Cleaned[[#This Row],[Currency]])*
  (FX_Rates[RateDate]&lt;=Cleaned[[#This Row],[TxnDate]]),
  FX_Rates[Rate_To_INR],
  ,
  -1
)</f>
        <v>82</v>
      </c>
      <c r="P998" s="2">
        <f>Cleaned[[#This Row],[Net Amount]] *  Cleaned[[#This Row],[FX_rates]]</f>
        <v>302047</v>
      </c>
    </row>
    <row r="999" spans="1:16" x14ac:dyDescent="0.45">
      <c r="A999" t="s">
        <v>1007</v>
      </c>
      <c r="B999" s="1">
        <v>45725</v>
      </c>
      <c r="C999" s="2" t="s">
        <v>2013</v>
      </c>
      <c r="D999" t="s">
        <v>2018</v>
      </c>
      <c r="E999">
        <v>1336.12</v>
      </c>
      <c r="F999">
        <f>Cleaned[[#This Row],[Debit]] * Cleaned[[#This Row],[FX_rates]]</f>
        <v>81503.319999999992</v>
      </c>
      <c r="G999">
        <v>0</v>
      </c>
      <c r="H999">
        <f>Cleaned[[#This Row],[Credit]] *  Cleaned[[#This Row],[FX_rates]]</f>
        <v>0</v>
      </c>
      <c r="I999" t="s">
        <v>2020</v>
      </c>
      <c r="J999" t="s">
        <v>2030</v>
      </c>
      <c r="K999" t="s">
        <v>3028</v>
      </c>
      <c r="L999" t="s">
        <v>4035</v>
      </c>
      <c r="M999">
        <f>Cleaned[[#This Row],[Credit]]-Cleaned[[#This Row],[Debit]]</f>
        <v>-1336.12</v>
      </c>
      <c r="N999" t="str">
        <f>_xlfn.XLOOKUP(Cleaned[[#This Row],[AccountName]], Account_Mapping!A:A, Account_Mapping!B:B,"Unmapped")</f>
        <v>Operating Expense</v>
      </c>
      <c r="O999" cm="1">
        <f t="array" ref="O999">_xlfn.XLOOKUP(
  1,
  (FX_Rates[Currency]=Cleaned[[#This Row],[Currency]])*
  (FX_Rates[RateDate]&lt;=Cleaned[[#This Row],[TxnDate]]),
  FX_Rates[Rate_To_INR],
  ,
  -1
)</f>
        <v>61</v>
      </c>
      <c r="P999" s="2">
        <f>Cleaned[[#This Row],[Net Amount]] *  Cleaned[[#This Row],[FX_rates]]</f>
        <v>-81503.319999999992</v>
      </c>
    </row>
    <row r="1000" spans="1:16" x14ac:dyDescent="0.45">
      <c r="A1000" t="s">
        <v>1008</v>
      </c>
      <c r="B1000" s="1">
        <v>45490</v>
      </c>
      <c r="C1000" s="2" t="s">
        <v>2010</v>
      </c>
      <c r="D1000" t="s">
        <v>2015</v>
      </c>
      <c r="E1000">
        <v>0</v>
      </c>
      <c r="F1000">
        <f>Cleaned[[#This Row],[Debit]] * Cleaned[[#This Row],[FX_rates]]</f>
        <v>0</v>
      </c>
      <c r="G1000">
        <v>142.47999999999999</v>
      </c>
      <c r="H1000">
        <f>Cleaned[[#This Row],[Credit]] *  Cleaned[[#This Row],[FX_rates]]</f>
        <v>14675.439999999999</v>
      </c>
      <c r="I1000" t="s">
        <v>2024</v>
      </c>
      <c r="J1000" t="s">
        <v>2030</v>
      </c>
      <c r="K1000" t="s">
        <v>3029</v>
      </c>
      <c r="L1000" t="s">
        <v>4031</v>
      </c>
      <c r="M1000">
        <f>Cleaned[[#This Row],[Credit]]-Cleaned[[#This Row],[Debit]]</f>
        <v>142.47999999999999</v>
      </c>
      <c r="N1000" t="str">
        <f>_xlfn.XLOOKUP(Cleaned[[#This Row],[AccountName]], Account_Mapping!A:A, Account_Mapping!B:B,"Unmapped")</f>
        <v>Revenue</v>
      </c>
      <c r="O1000" cm="1">
        <f t="array" ref="O1000">_xlfn.XLOOKUP(
  1,
  (FX_Rates[Currency]=Cleaned[[#This Row],[Currency]])*
  (FX_Rates[RateDate]&lt;=Cleaned[[#This Row],[TxnDate]]),
  FX_Rates[Rate_To_INR],
  ,
  -1
)</f>
        <v>103</v>
      </c>
      <c r="P1000" s="2">
        <f>Cleaned[[#This Row],[Net Amount]] *  Cleaned[[#This Row],[FX_rates]]</f>
        <v>14675.439999999999</v>
      </c>
    </row>
    <row r="1001" spans="1:16" x14ac:dyDescent="0.45">
      <c r="A1001" t="s">
        <v>1009</v>
      </c>
      <c r="B1001" s="1">
        <v>45797</v>
      </c>
      <c r="C1001" s="2" t="s">
        <v>2012</v>
      </c>
      <c r="D1001" t="s">
        <v>2017</v>
      </c>
      <c r="E1001">
        <v>225.03</v>
      </c>
      <c r="F1001">
        <f>Cleaned[[#This Row],[Debit]] * Cleaned[[#This Row],[FX_rates]]</f>
        <v>13726.83</v>
      </c>
      <c r="G1001">
        <v>0</v>
      </c>
      <c r="H1001">
        <f>Cleaned[[#This Row],[Credit]] *  Cleaned[[#This Row],[FX_rates]]</f>
        <v>0</v>
      </c>
      <c r="I1001" t="s">
        <v>2020</v>
      </c>
      <c r="J1001" t="s">
        <v>2030</v>
      </c>
      <c r="K1001" t="s">
        <v>3030</v>
      </c>
      <c r="L1001" t="s">
        <v>4035</v>
      </c>
      <c r="M1001">
        <f>Cleaned[[#This Row],[Credit]]-Cleaned[[#This Row],[Debit]]</f>
        <v>-225.03</v>
      </c>
      <c r="N1001" t="str">
        <f>_xlfn.XLOOKUP(Cleaned[[#This Row],[AccountName]], Account_Mapping!A:A, Account_Mapping!B:B,"Unmapped")</f>
        <v>Operating Expense</v>
      </c>
      <c r="O1001" cm="1">
        <f t="array" ref="O1001">_xlfn.XLOOKUP(
  1,
  (FX_Rates[Currency]=Cleaned[[#This Row],[Currency]])*
  (FX_Rates[RateDate]&lt;=Cleaned[[#This Row],[TxnDate]]),
  FX_Rates[Rate_To_INR],
  ,
  -1
)</f>
        <v>61</v>
      </c>
      <c r="P1001" s="2">
        <f>Cleaned[[#This Row],[Net Amount]] *  Cleaned[[#This Row],[FX_rates]]</f>
        <v>-13726.83</v>
      </c>
    </row>
    <row r="1002" spans="1:16" x14ac:dyDescent="0.45">
      <c r="A1002" t="s">
        <v>1010</v>
      </c>
      <c r="B1002" s="1">
        <v>45701</v>
      </c>
      <c r="C1002" s="2" t="s">
        <v>2011</v>
      </c>
      <c r="D1002" t="s">
        <v>2016</v>
      </c>
      <c r="E1002">
        <v>1959.72</v>
      </c>
      <c r="F1002">
        <f>Cleaned[[#This Row],[Debit]] * Cleaned[[#This Row],[FX_rates]]</f>
        <v>109744.32000000001</v>
      </c>
      <c r="G1002">
        <v>0</v>
      </c>
      <c r="H1002">
        <f>Cleaned[[#This Row],[Credit]] *  Cleaned[[#This Row],[FX_rates]]</f>
        <v>0</v>
      </c>
      <c r="I1002" t="s">
        <v>2020</v>
      </c>
      <c r="J1002" t="s">
        <v>2029</v>
      </c>
      <c r="K1002" t="s">
        <v>3031</v>
      </c>
      <c r="L1002" t="s">
        <v>4033</v>
      </c>
      <c r="M1002">
        <f>Cleaned[[#This Row],[Credit]]-Cleaned[[#This Row],[Debit]]</f>
        <v>-1959.72</v>
      </c>
      <c r="N1002" t="str">
        <f>_xlfn.XLOOKUP(Cleaned[[#This Row],[AccountName]], Account_Mapping!A:A, Account_Mapping!B:B,"Unmapped")</f>
        <v>COGS</v>
      </c>
      <c r="O1002" cm="1">
        <f t="array" ref="O1002">_xlfn.XLOOKUP(
  1,
  (FX_Rates[Currency]=Cleaned[[#This Row],[Currency]])*
  (FX_Rates[RateDate]&lt;=Cleaned[[#This Row],[TxnDate]]),
  FX_Rates[Rate_To_INR],
  ,
  -1
)</f>
        <v>56</v>
      </c>
      <c r="P1002" s="2">
        <f>Cleaned[[#This Row],[Net Amount]] *  Cleaned[[#This Row],[FX_rates]]</f>
        <v>-109744.32000000001</v>
      </c>
    </row>
    <row r="1003" spans="1:16" x14ac:dyDescent="0.45">
      <c r="A1003" t="s">
        <v>1011</v>
      </c>
      <c r="B1003" s="1">
        <v>45528</v>
      </c>
      <c r="C1003" s="2" t="s">
        <v>2012</v>
      </c>
      <c r="D1003" t="s">
        <v>2017</v>
      </c>
      <c r="E1003">
        <v>459.97</v>
      </c>
      <c r="F1003">
        <f>Cleaned[[#This Row],[Debit]] * Cleaned[[#This Row],[FX_rates]]</f>
        <v>37717.54</v>
      </c>
      <c r="G1003">
        <v>0</v>
      </c>
      <c r="H1003">
        <f>Cleaned[[#This Row],[Credit]] *  Cleaned[[#This Row],[FX_rates]]</f>
        <v>0</v>
      </c>
      <c r="I1003" t="s">
        <v>2020</v>
      </c>
      <c r="J1003" t="s">
        <v>2030</v>
      </c>
      <c r="K1003" t="s">
        <v>3032</v>
      </c>
      <c r="L1003" t="s">
        <v>4034</v>
      </c>
      <c r="M1003">
        <f>Cleaned[[#This Row],[Credit]]-Cleaned[[#This Row],[Debit]]</f>
        <v>-459.97</v>
      </c>
      <c r="N1003" t="str">
        <f>_xlfn.XLOOKUP(Cleaned[[#This Row],[AccountName]], Account_Mapping!A:A, Account_Mapping!B:B,"Unmapped")</f>
        <v>Operating Expense</v>
      </c>
      <c r="O1003" cm="1">
        <f t="array" ref="O1003">_xlfn.XLOOKUP(
  1,
  (FX_Rates[Currency]=Cleaned[[#This Row],[Currency]])*
  (FX_Rates[RateDate]&lt;=Cleaned[[#This Row],[TxnDate]]),
  FX_Rates[Rate_To_INR],
  ,
  -1
)</f>
        <v>82</v>
      </c>
      <c r="P1003" s="2">
        <f>Cleaned[[#This Row],[Net Amount]] *  Cleaned[[#This Row],[FX_rates]]</f>
        <v>-37717.54</v>
      </c>
    </row>
    <row r="1004" spans="1:16" x14ac:dyDescent="0.45">
      <c r="A1004" t="s">
        <v>1012</v>
      </c>
      <c r="B1004" s="1">
        <v>45420</v>
      </c>
      <c r="C1004" s="2" t="s">
        <v>2010</v>
      </c>
      <c r="D1004" t="s">
        <v>2015</v>
      </c>
      <c r="E1004">
        <v>0</v>
      </c>
      <c r="F1004">
        <f>Cleaned[[#This Row],[Debit]] * Cleaned[[#This Row],[FX_rates]]</f>
        <v>0</v>
      </c>
      <c r="G1004">
        <v>1518.16</v>
      </c>
      <c r="H1004">
        <f>Cleaned[[#This Row],[Credit]] *  Cleaned[[#This Row],[FX_rates]]</f>
        <v>124489.12000000001</v>
      </c>
      <c r="I1004" t="s">
        <v>2022</v>
      </c>
      <c r="J1004" t="s">
        <v>2026</v>
      </c>
      <c r="K1004" t="s">
        <v>3033</v>
      </c>
      <c r="L1004" t="s">
        <v>4034</v>
      </c>
      <c r="M1004">
        <f>Cleaned[[#This Row],[Credit]]-Cleaned[[#This Row],[Debit]]</f>
        <v>1518.16</v>
      </c>
      <c r="N1004" t="str">
        <f>_xlfn.XLOOKUP(Cleaned[[#This Row],[AccountName]], Account_Mapping!A:A, Account_Mapping!B:B,"Unmapped")</f>
        <v>Revenue</v>
      </c>
      <c r="O1004" cm="1">
        <f t="array" ref="O1004">_xlfn.XLOOKUP(
  1,
  (FX_Rates[Currency]=Cleaned[[#This Row],[Currency]])*
  (FX_Rates[RateDate]&lt;=Cleaned[[#This Row],[TxnDate]]),
  FX_Rates[Rate_To_INR],
  ,
  -1
)</f>
        <v>82</v>
      </c>
      <c r="P1004" s="2">
        <f>Cleaned[[#This Row],[Net Amount]] *  Cleaned[[#This Row],[FX_rates]]</f>
        <v>124489.12000000001</v>
      </c>
    </row>
    <row r="1005" spans="1:16" x14ac:dyDescent="0.45">
      <c r="A1005" t="s">
        <v>1013</v>
      </c>
      <c r="B1005" s="1">
        <v>45471</v>
      </c>
      <c r="C1005" s="2" t="s">
        <v>2012</v>
      </c>
      <c r="D1005" t="s">
        <v>2017</v>
      </c>
      <c r="E1005">
        <v>1278.1199999999999</v>
      </c>
      <c r="F1005">
        <f>Cleaned[[#This Row],[Debit]] * Cleaned[[#This Row],[FX_rates]]</f>
        <v>112474.56</v>
      </c>
      <c r="G1005">
        <v>0</v>
      </c>
      <c r="H1005">
        <f>Cleaned[[#This Row],[Credit]] *  Cleaned[[#This Row],[FX_rates]]</f>
        <v>0</v>
      </c>
      <c r="I1005" t="s">
        <v>2025</v>
      </c>
      <c r="J1005" t="s">
        <v>2026</v>
      </c>
      <c r="K1005" t="s">
        <v>3034</v>
      </c>
      <c r="L1005" t="s">
        <v>4032</v>
      </c>
      <c r="M1005">
        <f>Cleaned[[#This Row],[Credit]]-Cleaned[[#This Row],[Debit]]</f>
        <v>-1278.1199999999999</v>
      </c>
      <c r="N1005" t="str">
        <f>_xlfn.XLOOKUP(Cleaned[[#This Row],[AccountName]], Account_Mapping!A:A, Account_Mapping!B:B,"Unmapped")</f>
        <v>Operating Expense</v>
      </c>
      <c r="O1005" cm="1">
        <f t="array" ref="O1005">_xlfn.XLOOKUP(
  1,
  (FX_Rates[Currency]=Cleaned[[#This Row],[Currency]])*
  (FX_Rates[RateDate]&lt;=Cleaned[[#This Row],[TxnDate]]),
  FX_Rates[Rate_To_INR],
  ,
  -1
)</f>
        <v>88</v>
      </c>
      <c r="P1005" s="2">
        <f>Cleaned[[#This Row],[Net Amount]] *  Cleaned[[#This Row],[FX_rates]]</f>
        <v>-112474.56</v>
      </c>
    </row>
    <row r="1006" spans="1:16" x14ac:dyDescent="0.45">
      <c r="A1006" t="s">
        <v>1014</v>
      </c>
      <c r="B1006" s="1">
        <v>45410</v>
      </c>
      <c r="C1006" s="2" t="s">
        <v>2011</v>
      </c>
      <c r="D1006" t="s">
        <v>2016</v>
      </c>
      <c r="E1006">
        <v>1956.42</v>
      </c>
      <c r="F1006">
        <f>Cleaned[[#This Row],[Debit]] * Cleaned[[#This Row],[FX_rates]]</f>
        <v>172164.96000000002</v>
      </c>
      <c r="G1006">
        <v>0</v>
      </c>
      <c r="H1006">
        <f>Cleaned[[#This Row],[Credit]] *  Cleaned[[#This Row],[FX_rates]]</f>
        <v>0</v>
      </c>
      <c r="I1006" t="s">
        <v>2020</v>
      </c>
      <c r="J1006" t="s">
        <v>2030</v>
      </c>
      <c r="K1006" t="s">
        <v>3035</v>
      </c>
      <c r="L1006" t="s">
        <v>4032</v>
      </c>
      <c r="M1006">
        <f>Cleaned[[#This Row],[Credit]]-Cleaned[[#This Row],[Debit]]</f>
        <v>-1956.42</v>
      </c>
      <c r="N1006" t="str">
        <f>_xlfn.XLOOKUP(Cleaned[[#This Row],[AccountName]], Account_Mapping!A:A, Account_Mapping!B:B,"Unmapped")</f>
        <v>COGS</v>
      </c>
      <c r="O1006" cm="1">
        <f t="array" ref="O1006">_xlfn.XLOOKUP(
  1,
  (FX_Rates[Currency]=Cleaned[[#This Row],[Currency]])*
  (FX_Rates[RateDate]&lt;=Cleaned[[#This Row],[TxnDate]]),
  FX_Rates[Rate_To_INR],
  ,
  -1
)</f>
        <v>88</v>
      </c>
      <c r="P1006" s="2">
        <f>Cleaned[[#This Row],[Net Amount]] *  Cleaned[[#This Row],[FX_rates]]</f>
        <v>-172164.96000000002</v>
      </c>
    </row>
    <row r="1007" spans="1:16" x14ac:dyDescent="0.45">
      <c r="A1007" t="s">
        <v>1015</v>
      </c>
      <c r="B1007" s="1">
        <v>45445</v>
      </c>
      <c r="C1007" s="2" t="s">
        <v>2013</v>
      </c>
      <c r="D1007" t="s">
        <v>2018</v>
      </c>
      <c r="E1007">
        <v>1816.11</v>
      </c>
      <c r="F1007">
        <f>Cleaned[[#This Row],[Debit]] * Cleaned[[#This Row],[FX_rates]]</f>
        <v>187059.33</v>
      </c>
      <c r="G1007">
        <v>0</v>
      </c>
      <c r="H1007">
        <f>Cleaned[[#This Row],[Credit]] *  Cleaned[[#This Row],[FX_rates]]</f>
        <v>0</v>
      </c>
      <c r="I1007" t="s">
        <v>2022</v>
      </c>
      <c r="J1007" t="s">
        <v>2028</v>
      </c>
      <c r="K1007" t="s">
        <v>3036</v>
      </c>
      <c r="L1007" t="s">
        <v>4031</v>
      </c>
      <c r="M1007">
        <f>Cleaned[[#This Row],[Credit]]-Cleaned[[#This Row],[Debit]]</f>
        <v>-1816.11</v>
      </c>
      <c r="N1007" t="str">
        <f>_xlfn.XLOOKUP(Cleaned[[#This Row],[AccountName]], Account_Mapping!A:A, Account_Mapping!B:B,"Unmapped")</f>
        <v>Operating Expense</v>
      </c>
      <c r="O1007" cm="1">
        <f t="array" ref="O1007">_xlfn.XLOOKUP(
  1,
  (FX_Rates[Currency]=Cleaned[[#This Row],[Currency]])*
  (FX_Rates[RateDate]&lt;=Cleaned[[#This Row],[TxnDate]]),
  FX_Rates[Rate_To_INR],
  ,
  -1
)</f>
        <v>103</v>
      </c>
      <c r="P1007" s="2">
        <f>Cleaned[[#This Row],[Net Amount]] *  Cleaned[[#This Row],[FX_rates]]</f>
        <v>-187059.33</v>
      </c>
    </row>
    <row r="1008" spans="1:16" x14ac:dyDescent="0.45">
      <c r="A1008" t="s">
        <v>1016</v>
      </c>
      <c r="B1008" s="1">
        <v>45615</v>
      </c>
      <c r="C1008" s="2" t="s">
        <v>2011</v>
      </c>
      <c r="D1008" t="s">
        <v>2016</v>
      </c>
      <c r="E1008">
        <v>1309.5</v>
      </c>
      <c r="F1008">
        <f>Cleaned[[#This Row],[Debit]] * Cleaned[[#This Row],[FX_rates]]</f>
        <v>115236</v>
      </c>
      <c r="G1008">
        <v>0</v>
      </c>
      <c r="H1008">
        <f>Cleaned[[#This Row],[Credit]] *  Cleaned[[#This Row],[FX_rates]]</f>
        <v>0</v>
      </c>
      <c r="I1008" t="s">
        <v>2024</v>
      </c>
      <c r="J1008" t="s">
        <v>2027</v>
      </c>
      <c r="K1008" t="s">
        <v>3037</v>
      </c>
      <c r="L1008" t="s">
        <v>4032</v>
      </c>
      <c r="M1008">
        <f>Cleaned[[#This Row],[Credit]]-Cleaned[[#This Row],[Debit]]</f>
        <v>-1309.5</v>
      </c>
      <c r="N1008" t="str">
        <f>_xlfn.XLOOKUP(Cleaned[[#This Row],[AccountName]], Account_Mapping!A:A, Account_Mapping!B:B,"Unmapped")</f>
        <v>COGS</v>
      </c>
      <c r="O1008" cm="1">
        <f t="array" ref="O1008">_xlfn.XLOOKUP(
  1,
  (FX_Rates[Currency]=Cleaned[[#This Row],[Currency]])*
  (FX_Rates[RateDate]&lt;=Cleaned[[#This Row],[TxnDate]]),
  FX_Rates[Rate_To_INR],
  ,
  -1
)</f>
        <v>88</v>
      </c>
      <c r="P1008" s="2">
        <f>Cleaned[[#This Row],[Net Amount]] *  Cleaned[[#This Row],[FX_rates]]</f>
        <v>-115236</v>
      </c>
    </row>
    <row r="1009" spans="1:16" x14ac:dyDescent="0.45">
      <c r="A1009" t="s">
        <v>1017</v>
      </c>
      <c r="B1009" s="1">
        <v>45101</v>
      </c>
      <c r="C1009" s="2" t="s">
        <v>2011</v>
      </c>
      <c r="D1009" t="s">
        <v>2016</v>
      </c>
      <c r="E1009">
        <v>316.43</v>
      </c>
      <c r="F1009">
        <f>Cleaned[[#This Row],[Debit]] * Cleaned[[#This Row],[FX_rates]]</f>
        <v>27845.84</v>
      </c>
      <c r="G1009">
        <v>0</v>
      </c>
      <c r="H1009">
        <f>Cleaned[[#This Row],[Credit]] *  Cleaned[[#This Row],[FX_rates]]</f>
        <v>0</v>
      </c>
      <c r="I1009" t="s">
        <v>2022</v>
      </c>
      <c r="J1009" t="s">
        <v>2030</v>
      </c>
      <c r="K1009" t="s">
        <v>3038</v>
      </c>
      <c r="L1009" t="s">
        <v>4032</v>
      </c>
      <c r="M1009">
        <f>Cleaned[[#This Row],[Credit]]-Cleaned[[#This Row],[Debit]]</f>
        <v>-316.43</v>
      </c>
      <c r="N1009" t="str">
        <f>_xlfn.XLOOKUP(Cleaned[[#This Row],[AccountName]], Account_Mapping!A:A, Account_Mapping!B:B,"Unmapped")</f>
        <v>COGS</v>
      </c>
      <c r="O1009" cm="1">
        <f t="array" ref="O1009">_xlfn.XLOOKUP(
  1,
  (FX_Rates[Currency]=Cleaned[[#This Row],[Currency]])*
  (FX_Rates[RateDate]&lt;=Cleaned[[#This Row],[TxnDate]]),
  FX_Rates[Rate_To_INR],
  ,
  -1
)</f>
        <v>88</v>
      </c>
      <c r="P1009" s="2">
        <f>Cleaned[[#This Row],[Net Amount]] *  Cleaned[[#This Row],[FX_rates]]</f>
        <v>-27845.84</v>
      </c>
    </row>
    <row r="1010" spans="1:16" x14ac:dyDescent="0.45">
      <c r="A1010" t="s">
        <v>1018</v>
      </c>
      <c r="B1010" s="1">
        <v>45407</v>
      </c>
      <c r="C1010" s="2" t="s">
        <v>2010</v>
      </c>
      <c r="D1010" t="s">
        <v>2015</v>
      </c>
      <c r="E1010">
        <v>0</v>
      </c>
      <c r="F1010">
        <f>Cleaned[[#This Row],[Debit]] * Cleaned[[#This Row],[FX_rates]]</f>
        <v>0</v>
      </c>
      <c r="G1010">
        <v>4239.59</v>
      </c>
      <c r="H1010">
        <f>Cleaned[[#This Row],[Credit]] *  Cleaned[[#This Row],[FX_rates]]</f>
        <v>373083.92000000004</v>
      </c>
      <c r="I1010" t="s">
        <v>2020</v>
      </c>
      <c r="J1010" t="s">
        <v>2030</v>
      </c>
      <c r="K1010" t="s">
        <v>3039</v>
      </c>
      <c r="L1010" t="s">
        <v>4032</v>
      </c>
      <c r="M1010">
        <f>Cleaned[[#This Row],[Credit]]-Cleaned[[#This Row],[Debit]]</f>
        <v>4239.59</v>
      </c>
      <c r="N1010" t="str">
        <f>_xlfn.XLOOKUP(Cleaned[[#This Row],[AccountName]], Account_Mapping!A:A, Account_Mapping!B:B,"Unmapped")</f>
        <v>Revenue</v>
      </c>
      <c r="O1010" cm="1">
        <f t="array" ref="O1010">_xlfn.XLOOKUP(
  1,
  (FX_Rates[Currency]=Cleaned[[#This Row],[Currency]])*
  (FX_Rates[RateDate]&lt;=Cleaned[[#This Row],[TxnDate]]),
  FX_Rates[Rate_To_INR],
  ,
  -1
)</f>
        <v>88</v>
      </c>
      <c r="P1010" s="2">
        <f>Cleaned[[#This Row],[Net Amount]] *  Cleaned[[#This Row],[FX_rates]]</f>
        <v>373083.92000000004</v>
      </c>
    </row>
    <row r="1011" spans="1:16" x14ac:dyDescent="0.45">
      <c r="A1011" t="s">
        <v>1019</v>
      </c>
      <c r="B1011" s="1">
        <v>45607</v>
      </c>
      <c r="C1011" s="2" t="s">
        <v>2011</v>
      </c>
      <c r="D1011" t="s">
        <v>2016</v>
      </c>
      <c r="E1011">
        <v>497.55</v>
      </c>
      <c r="F1011">
        <f>Cleaned[[#This Row],[Debit]] * Cleaned[[#This Row],[FX_rates]]</f>
        <v>51247.65</v>
      </c>
      <c r="G1011">
        <v>0</v>
      </c>
      <c r="H1011">
        <f>Cleaned[[#This Row],[Credit]] *  Cleaned[[#This Row],[FX_rates]]</f>
        <v>0</v>
      </c>
      <c r="I1011" t="s">
        <v>2020</v>
      </c>
      <c r="J1011" t="s">
        <v>2027</v>
      </c>
      <c r="K1011" t="s">
        <v>3040</v>
      </c>
      <c r="L1011" t="s">
        <v>4031</v>
      </c>
      <c r="M1011">
        <f>Cleaned[[#This Row],[Credit]]-Cleaned[[#This Row],[Debit]]</f>
        <v>-497.55</v>
      </c>
      <c r="N1011" t="str">
        <f>_xlfn.XLOOKUP(Cleaned[[#This Row],[AccountName]], Account_Mapping!A:A, Account_Mapping!B:B,"Unmapped")</f>
        <v>COGS</v>
      </c>
      <c r="O1011" cm="1">
        <f t="array" ref="O1011">_xlfn.XLOOKUP(
  1,
  (FX_Rates[Currency]=Cleaned[[#This Row],[Currency]])*
  (FX_Rates[RateDate]&lt;=Cleaned[[#This Row],[TxnDate]]),
  FX_Rates[Rate_To_INR],
  ,
  -1
)</f>
        <v>103</v>
      </c>
      <c r="P1011" s="2">
        <f>Cleaned[[#This Row],[Net Amount]] *  Cleaned[[#This Row],[FX_rates]]</f>
        <v>-51247.65</v>
      </c>
    </row>
    <row r="1012" spans="1:16" x14ac:dyDescent="0.45">
      <c r="A1012" t="s">
        <v>1020</v>
      </c>
      <c r="B1012" s="1">
        <v>45729</v>
      </c>
      <c r="C1012" s="2" t="s">
        <v>2012</v>
      </c>
      <c r="D1012" t="s">
        <v>2017</v>
      </c>
      <c r="E1012">
        <v>1978.21</v>
      </c>
      <c r="F1012">
        <f>Cleaned[[#This Row],[Debit]] * Cleaned[[#This Row],[FX_rates]]</f>
        <v>162213.22</v>
      </c>
      <c r="G1012">
        <v>0</v>
      </c>
      <c r="H1012">
        <f>Cleaned[[#This Row],[Credit]] *  Cleaned[[#This Row],[FX_rates]]</f>
        <v>0</v>
      </c>
      <c r="I1012" t="s">
        <v>2021</v>
      </c>
      <c r="J1012" t="s">
        <v>2026</v>
      </c>
      <c r="K1012" t="s">
        <v>3041</v>
      </c>
      <c r="L1012" t="s">
        <v>4034</v>
      </c>
      <c r="M1012">
        <f>Cleaned[[#This Row],[Credit]]-Cleaned[[#This Row],[Debit]]</f>
        <v>-1978.21</v>
      </c>
      <c r="N1012" t="str">
        <f>_xlfn.XLOOKUP(Cleaned[[#This Row],[AccountName]], Account_Mapping!A:A, Account_Mapping!B:B,"Unmapped")</f>
        <v>Operating Expense</v>
      </c>
      <c r="O1012" cm="1">
        <f t="array" ref="O1012">_xlfn.XLOOKUP(
  1,
  (FX_Rates[Currency]=Cleaned[[#This Row],[Currency]])*
  (FX_Rates[RateDate]&lt;=Cleaned[[#This Row],[TxnDate]]),
  FX_Rates[Rate_To_INR],
  ,
  -1
)</f>
        <v>82</v>
      </c>
      <c r="P1012" s="2">
        <f>Cleaned[[#This Row],[Net Amount]] *  Cleaned[[#This Row],[FX_rates]]</f>
        <v>-162213.22</v>
      </c>
    </row>
    <row r="1013" spans="1:16" x14ac:dyDescent="0.45">
      <c r="A1013" t="s">
        <v>1021</v>
      </c>
      <c r="B1013" s="1">
        <v>45055</v>
      </c>
      <c r="C1013" s="2" t="s">
        <v>2011</v>
      </c>
      <c r="D1013" t="s">
        <v>2016</v>
      </c>
      <c r="E1013">
        <v>1691.11</v>
      </c>
      <c r="F1013">
        <f>Cleaned[[#This Row],[Debit]] * Cleaned[[#This Row],[FX_rates]]</f>
        <v>174184.33</v>
      </c>
      <c r="G1013">
        <v>0</v>
      </c>
      <c r="H1013">
        <f>Cleaned[[#This Row],[Credit]] *  Cleaned[[#This Row],[FX_rates]]</f>
        <v>0</v>
      </c>
      <c r="I1013" t="s">
        <v>2022</v>
      </c>
      <c r="J1013" t="s">
        <v>2027</v>
      </c>
      <c r="K1013" t="s">
        <v>3042</v>
      </c>
      <c r="L1013" t="s">
        <v>4031</v>
      </c>
      <c r="M1013">
        <f>Cleaned[[#This Row],[Credit]]-Cleaned[[#This Row],[Debit]]</f>
        <v>-1691.11</v>
      </c>
      <c r="N1013" t="str">
        <f>_xlfn.XLOOKUP(Cleaned[[#This Row],[AccountName]], Account_Mapping!A:A, Account_Mapping!B:B,"Unmapped")</f>
        <v>COGS</v>
      </c>
      <c r="O1013" cm="1">
        <f t="array" ref="O1013">_xlfn.XLOOKUP(
  1,
  (FX_Rates[Currency]=Cleaned[[#This Row],[Currency]])*
  (FX_Rates[RateDate]&lt;=Cleaned[[#This Row],[TxnDate]]),
  FX_Rates[Rate_To_INR],
  ,
  -1
)</f>
        <v>103</v>
      </c>
      <c r="P1013" s="2">
        <f>Cleaned[[#This Row],[Net Amount]] *  Cleaned[[#This Row],[FX_rates]]</f>
        <v>-174184.33</v>
      </c>
    </row>
    <row r="1014" spans="1:16" x14ac:dyDescent="0.45">
      <c r="A1014" t="s">
        <v>1022</v>
      </c>
      <c r="B1014" s="1">
        <v>45282</v>
      </c>
      <c r="C1014" s="2" t="s">
        <v>2010</v>
      </c>
      <c r="D1014" t="s">
        <v>2015</v>
      </c>
      <c r="E1014">
        <v>0</v>
      </c>
      <c r="F1014">
        <f>Cleaned[[#This Row],[Debit]] * Cleaned[[#This Row],[FX_rates]]</f>
        <v>0</v>
      </c>
      <c r="G1014">
        <v>3238.48</v>
      </c>
      <c r="H1014">
        <f>Cleaned[[#This Row],[Credit]] *  Cleaned[[#This Row],[FX_rates]]</f>
        <v>333563.44</v>
      </c>
      <c r="I1014" t="s">
        <v>2020</v>
      </c>
      <c r="J1014" t="s">
        <v>2027</v>
      </c>
      <c r="K1014" t="s">
        <v>3043</v>
      </c>
      <c r="L1014" t="s">
        <v>4031</v>
      </c>
      <c r="M1014">
        <f>Cleaned[[#This Row],[Credit]]-Cleaned[[#This Row],[Debit]]</f>
        <v>3238.48</v>
      </c>
      <c r="N1014" t="str">
        <f>_xlfn.XLOOKUP(Cleaned[[#This Row],[AccountName]], Account_Mapping!A:A, Account_Mapping!B:B,"Unmapped")</f>
        <v>Revenue</v>
      </c>
      <c r="O1014" cm="1">
        <f t="array" ref="O1014">_xlfn.XLOOKUP(
  1,
  (FX_Rates[Currency]=Cleaned[[#This Row],[Currency]])*
  (FX_Rates[RateDate]&lt;=Cleaned[[#This Row],[TxnDate]]),
  FX_Rates[Rate_To_INR],
  ,
  -1
)</f>
        <v>103</v>
      </c>
      <c r="P1014" s="2">
        <f>Cleaned[[#This Row],[Net Amount]] *  Cleaned[[#This Row],[FX_rates]]</f>
        <v>333563.44</v>
      </c>
    </row>
    <row r="1015" spans="1:16" x14ac:dyDescent="0.45">
      <c r="A1015" t="s">
        <v>1023</v>
      </c>
      <c r="B1015" s="1">
        <v>44955</v>
      </c>
      <c r="C1015" s="2" t="s">
        <v>2014</v>
      </c>
      <c r="D1015" t="s">
        <v>2019</v>
      </c>
      <c r="E1015">
        <v>0</v>
      </c>
      <c r="F1015">
        <f>Cleaned[[#This Row],[Debit]] * Cleaned[[#This Row],[FX_rates]]</f>
        <v>0</v>
      </c>
      <c r="G1015">
        <v>2318.9699999999998</v>
      </c>
      <c r="H1015">
        <f>Cleaned[[#This Row],[Credit]] *  Cleaned[[#This Row],[FX_rates]]</f>
        <v>129862.31999999999</v>
      </c>
      <c r="I1015" t="s">
        <v>2025</v>
      </c>
      <c r="J1015" t="s">
        <v>2026</v>
      </c>
      <c r="K1015" t="s">
        <v>3044</v>
      </c>
      <c r="L1015" t="s">
        <v>4033</v>
      </c>
      <c r="M1015">
        <f>Cleaned[[#This Row],[Credit]]-Cleaned[[#This Row],[Debit]]</f>
        <v>2318.9699999999998</v>
      </c>
      <c r="N1015" t="str">
        <f>_xlfn.XLOOKUP(Cleaned[[#This Row],[AccountName]], Account_Mapping!A:A, Account_Mapping!B:B,"Unmapped")</f>
        <v>Revenue</v>
      </c>
      <c r="O1015" cm="1">
        <f t="array" ref="O1015">_xlfn.XLOOKUP(
  1,
  (FX_Rates[Currency]=Cleaned[[#This Row],[Currency]])*
  (FX_Rates[RateDate]&lt;=Cleaned[[#This Row],[TxnDate]]),
  FX_Rates[Rate_To_INR],
  ,
  -1
)</f>
        <v>56</v>
      </c>
      <c r="P1015" s="2">
        <f>Cleaned[[#This Row],[Net Amount]] *  Cleaned[[#This Row],[FX_rates]]</f>
        <v>129862.31999999999</v>
      </c>
    </row>
    <row r="1016" spans="1:16" x14ac:dyDescent="0.45">
      <c r="A1016" t="s">
        <v>1024</v>
      </c>
      <c r="B1016" s="1">
        <v>45255</v>
      </c>
      <c r="C1016" s="2" t="s">
        <v>2011</v>
      </c>
      <c r="D1016" t="s">
        <v>2016</v>
      </c>
      <c r="E1016">
        <v>683.66</v>
      </c>
      <c r="F1016">
        <f>Cleaned[[#This Row],[Debit]] * Cleaned[[#This Row],[FX_rates]]</f>
        <v>38284.959999999999</v>
      </c>
      <c r="G1016">
        <v>0</v>
      </c>
      <c r="H1016">
        <f>Cleaned[[#This Row],[Credit]] *  Cleaned[[#This Row],[FX_rates]]</f>
        <v>0</v>
      </c>
      <c r="I1016" t="s">
        <v>2021</v>
      </c>
      <c r="J1016" t="s">
        <v>2029</v>
      </c>
      <c r="K1016" t="s">
        <v>3045</v>
      </c>
      <c r="L1016" t="s">
        <v>4033</v>
      </c>
      <c r="M1016">
        <f>Cleaned[[#This Row],[Credit]]-Cleaned[[#This Row],[Debit]]</f>
        <v>-683.66</v>
      </c>
      <c r="N1016" t="str">
        <f>_xlfn.XLOOKUP(Cleaned[[#This Row],[AccountName]], Account_Mapping!A:A, Account_Mapping!B:B,"Unmapped")</f>
        <v>COGS</v>
      </c>
      <c r="O1016" cm="1">
        <f t="array" ref="O1016">_xlfn.XLOOKUP(
  1,
  (FX_Rates[Currency]=Cleaned[[#This Row],[Currency]])*
  (FX_Rates[RateDate]&lt;=Cleaned[[#This Row],[TxnDate]]),
  FX_Rates[Rate_To_INR],
  ,
  -1
)</f>
        <v>56</v>
      </c>
      <c r="P1016" s="2">
        <f>Cleaned[[#This Row],[Net Amount]] *  Cleaned[[#This Row],[FX_rates]]</f>
        <v>-38284.959999999999</v>
      </c>
    </row>
    <row r="1017" spans="1:16" x14ac:dyDescent="0.45">
      <c r="A1017" t="s">
        <v>1025</v>
      </c>
      <c r="B1017" s="1">
        <v>45087</v>
      </c>
      <c r="C1017" s="2" t="s">
        <v>2012</v>
      </c>
      <c r="D1017" t="s">
        <v>2017</v>
      </c>
      <c r="E1017">
        <v>1309.76</v>
      </c>
      <c r="F1017">
        <f>Cleaned[[#This Row],[Debit]] * Cleaned[[#This Row],[FX_rates]]</f>
        <v>73346.559999999998</v>
      </c>
      <c r="G1017">
        <v>0</v>
      </c>
      <c r="H1017">
        <f>Cleaned[[#This Row],[Credit]] *  Cleaned[[#This Row],[FX_rates]]</f>
        <v>0</v>
      </c>
      <c r="I1017" t="s">
        <v>2021</v>
      </c>
      <c r="J1017" t="s">
        <v>2026</v>
      </c>
      <c r="K1017" t="s">
        <v>3046</v>
      </c>
      <c r="L1017" t="s">
        <v>4033</v>
      </c>
      <c r="M1017">
        <f>Cleaned[[#This Row],[Credit]]-Cleaned[[#This Row],[Debit]]</f>
        <v>-1309.76</v>
      </c>
      <c r="N1017" t="str">
        <f>_xlfn.XLOOKUP(Cleaned[[#This Row],[AccountName]], Account_Mapping!A:A, Account_Mapping!B:B,"Unmapped")</f>
        <v>Operating Expense</v>
      </c>
      <c r="O1017" cm="1">
        <f t="array" ref="O1017">_xlfn.XLOOKUP(
  1,
  (FX_Rates[Currency]=Cleaned[[#This Row],[Currency]])*
  (FX_Rates[RateDate]&lt;=Cleaned[[#This Row],[TxnDate]]),
  FX_Rates[Rate_To_INR],
  ,
  -1
)</f>
        <v>56</v>
      </c>
      <c r="P1017" s="2">
        <f>Cleaned[[#This Row],[Net Amount]] *  Cleaned[[#This Row],[FX_rates]]</f>
        <v>-73346.559999999998</v>
      </c>
    </row>
    <row r="1018" spans="1:16" x14ac:dyDescent="0.45">
      <c r="A1018" t="s">
        <v>1026</v>
      </c>
      <c r="B1018" s="1">
        <v>45017</v>
      </c>
      <c r="C1018" s="2" t="s">
        <v>2012</v>
      </c>
      <c r="D1018" t="s">
        <v>2017</v>
      </c>
      <c r="E1018">
        <v>988.94</v>
      </c>
      <c r="F1018">
        <f>Cleaned[[#This Row],[Debit]] * Cleaned[[#This Row],[FX_rates]]</f>
        <v>81093.08</v>
      </c>
      <c r="G1018">
        <v>0</v>
      </c>
      <c r="H1018">
        <f>Cleaned[[#This Row],[Credit]] *  Cleaned[[#This Row],[FX_rates]]</f>
        <v>0</v>
      </c>
      <c r="I1018" t="s">
        <v>2025</v>
      </c>
      <c r="J1018" t="s">
        <v>2029</v>
      </c>
      <c r="K1018" t="s">
        <v>3047</v>
      </c>
      <c r="L1018" t="s">
        <v>4034</v>
      </c>
      <c r="M1018">
        <f>Cleaned[[#This Row],[Credit]]-Cleaned[[#This Row],[Debit]]</f>
        <v>-988.94</v>
      </c>
      <c r="N1018" t="str">
        <f>_xlfn.XLOOKUP(Cleaned[[#This Row],[AccountName]], Account_Mapping!A:A, Account_Mapping!B:B,"Unmapped")</f>
        <v>Operating Expense</v>
      </c>
      <c r="O1018" cm="1">
        <f t="array" ref="O1018">_xlfn.XLOOKUP(
  1,
  (FX_Rates[Currency]=Cleaned[[#This Row],[Currency]])*
  (FX_Rates[RateDate]&lt;=Cleaned[[#This Row],[TxnDate]]),
  FX_Rates[Rate_To_INR],
  ,
  -1
)</f>
        <v>82</v>
      </c>
      <c r="P1018" s="2">
        <f>Cleaned[[#This Row],[Net Amount]] *  Cleaned[[#This Row],[FX_rates]]</f>
        <v>-81093.08</v>
      </c>
    </row>
    <row r="1019" spans="1:16" x14ac:dyDescent="0.45">
      <c r="A1019" t="s">
        <v>1027</v>
      </c>
      <c r="B1019" s="1">
        <v>45642</v>
      </c>
      <c r="C1019" s="2" t="s">
        <v>2010</v>
      </c>
      <c r="D1019" t="s">
        <v>2015</v>
      </c>
      <c r="E1019">
        <v>0</v>
      </c>
      <c r="F1019">
        <f>Cleaned[[#This Row],[Debit]] * Cleaned[[#This Row],[FX_rates]]</f>
        <v>0</v>
      </c>
      <c r="G1019">
        <v>3981.75</v>
      </c>
      <c r="H1019">
        <f>Cleaned[[#This Row],[Credit]] *  Cleaned[[#This Row],[FX_rates]]</f>
        <v>222978</v>
      </c>
      <c r="I1019" t="s">
        <v>2024</v>
      </c>
      <c r="J1019" t="s">
        <v>2028</v>
      </c>
      <c r="K1019" t="s">
        <v>3048</v>
      </c>
      <c r="L1019" t="s">
        <v>4033</v>
      </c>
      <c r="M1019">
        <f>Cleaned[[#This Row],[Credit]]-Cleaned[[#This Row],[Debit]]</f>
        <v>3981.75</v>
      </c>
      <c r="N1019" t="str">
        <f>_xlfn.XLOOKUP(Cleaned[[#This Row],[AccountName]], Account_Mapping!A:A, Account_Mapping!B:B,"Unmapped")</f>
        <v>Revenue</v>
      </c>
      <c r="O1019" cm="1">
        <f t="array" ref="O1019">_xlfn.XLOOKUP(
  1,
  (FX_Rates[Currency]=Cleaned[[#This Row],[Currency]])*
  (FX_Rates[RateDate]&lt;=Cleaned[[#This Row],[TxnDate]]),
  FX_Rates[Rate_To_INR],
  ,
  -1
)</f>
        <v>56</v>
      </c>
      <c r="P1019" s="2">
        <f>Cleaned[[#This Row],[Net Amount]] *  Cleaned[[#This Row],[FX_rates]]</f>
        <v>222978</v>
      </c>
    </row>
    <row r="1020" spans="1:16" x14ac:dyDescent="0.45">
      <c r="A1020" t="s">
        <v>1028</v>
      </c>
      <c r="B1020" s="1">
        <v>45669</v>
      </c>
      <c r="C1020" s="2" t="s">
        <v>2014</v>
      </c>
      <c r="D1020" t="s">
        <v>2019</v>
      </c>
      <c r="E1020">
        <v>0</v>
      </c>
      <c r="F1020">
        <f>Cleaned[[#This Row],[Debit]] * Cleaned[[#This Row],[FX_rates]]</f>
        <v>0</v>
      </c>
      <c r="G1020">
        <v>4727.49</v>
      </c>
      <c r="H1020">
        <f>Cleaned[[#This Row],[Credit]] *  Cleaned[[#This Row],[FX_rates]]</f>
        <v>387654.18</v>
      </c>
      <c r="I1020" t="s">
        <v>2024</v>
      </c>
      <c r="J1020" t="s">
        <v>2027</v>
      </c>
      <c r="K1020" t="s">
        <v>3049</v>
      </c>
      <c r="L1020" t="s">
        <v>4034</v>
      </c>
      <c r="M1020">
        <f>Cleaned[[#This Row],[Credit]]-Cleaned[[#This Row],[Debit]]</f>
        <v>4727.49</v>
      </c>
      <c r="N1020" t="str">
        <f>_xlfn.XLOOKUP(Cleaned[[#This Row],[AccountName]], Account_Mapping!A:A, Account_Mapping!B:B,"Unmapped")</f>
        <v>Revenue</v>
      </c>
      <c r="O1020" cm="1">
        <f t="array" ref="O1020">_xlfn.XLOOKUP(
  1,
  (FX_Rates[Currency]=Cleaned[[#This Row],[Currency]])*
  (FX_Rates[RateDate]&lt;=Cleaned[[#This Row],[TxnDate]]),
  FX_Rates[Rate_To_INR],
  ,
  -1
)</f>
        <v>82</v>
      </c>
      <c r="P1020" s="2">
        <f>Cleaned[[#This Row],[Net Amount]] *  Cleaned[[#This Row],[FX_rates]]</f>
        <v>387654.18</v>
      </c>
    </row>
    <row r="1021" spans="1:16" x14ac:dyDescent="0.45">
      <c r="A1021" t="s">
        <v>1029</v>
      </c>
      <c r="B1021" s="1">
        <v>45226</v>
      </c>
      <c r="C1021" s="2" t="s">
        <v>2010</v>
      </c>
      <c r="D1021" t="s">
        <v>2015</v>
      </c>
      <c r="E1021">
        <v>0</v>
      </c>
      <c r="F1021">
        <f>Cleaned[[#This Row],[Debit]] * Cleaned[[#This Row],[FX_rates]]</f>
        <v>0</v>
      </c>
      <c r="G1021">
        <v>4557.5600000000004</v>
      </c>
      <c r="H1021">
        <f>Cleaned[[#This Row],[Credit]] *  Cleaned[[#This Row],[FX_rates]]</f>
        <v>278011.16000000003</v>
      </c>
      <c r="I1021" t="s">
        <v>2023</v>
      </c>
      <c r="J1021" t="s">
        <v>2029</v>
      </c>
      <c r="K1021" t="s">
        <v>3050</v>
      </c>
      <c r="L1021" t="s">
        <v>4035</v>
      </c>
      <c r="M1021">
        <f>Cleaned[[#This Row],[Credit]]-Cleaned[[#This Row],[Debit]]</f>
        <v>4557.5600000000004</v>
      </c>
      <c r="N1021" t="str">
        <f>_xlfn.XLOOKUP(Cleaned[[#This Row],[AccountName]], Account_Mapping!A:A, Account_Mapping!B:B,"Unmapped")</f>
        <v>Revenue</v>
      </c>
      <c r="O1021" cm="1">
        <f t="array" ref="O1021">_xlfn.XLOOKUP(
  1,
  (FX_Rates[Currency]=Cleaned[[#This Row],[Currency]])*
  (FX_Rates[RateDate]&lt;=Cleaned[[#This Row],[TxnDate]]),
  FX_Rates[Rate_To_INR],
  ,
  -1
)</f>
        <v>61</v>
      </c>
      <c r="P1021" s="2">
        <f>Cleaned[[#This Row],[Net Amount]] *  Cleaned[[#This Row],[FX_rates]]</f>
        <v>278011.16000000003</v>
      </c>
    </row>
    <row r="1022" spans="1:16" x14ac:dyDescent="0.45">
      <c r="A1022" t="s">
        <v>1030</v>
      </c>
      <c r="B1022" s="1">
        <v>45540</v>
      </c>
      <c r="C1022" s="2" t="s">
        <v>2011</v>
      </c>
      <c r="D1022" t="s">
        <v>2016</v>
      </c>
      <c r="E1022">
        <v>402.15</v>
      </c>
      <c r="F1022">
        <f>Cleaned[[#This Row],[Debit]] * Cleaned[[#This Row],[FX_rates]]</f>
        <v>35389.199999999997</v>
      </c>
      <c r="G1022">
        <v>0</v>
      </c>
      <c r="H1022">
        <f>Cleaned[[#This Row],[Credit]] *  Cleaned[[#This Row],[FX_rates]]</f>
        <v>0</v>
      </c>
      <c r="I1022" t="s">
        <v>2025</v>
      </c>
      <c r="J1022" t="s">
        <v>2026</v>
      </c>
      <c r="K1022" t="s">
        <v>3051</v>
      </c>
      <c r="L1022" t="s">
        <v>4032</v>
      </c>
      <c r="M1022">
        <f>Cleaned[[#This Row],[Credit]]-Cleaned[[#This Row],[Debit]]</f>
        <v>-402.15</v>
      </c>
      <c r="N1022" t="str">
        <f>_xlfn.XLOOKUP(Cleaned[[#This Row],[AccountName]], Account_Mapping!A:A, Account_Mapping!B:B,"Unmapped")</f>
        <v>COGS</v>
      </c>
      <c r="O1022" cm="1">
        <f t="array" ref="O1022">_xlfn.XLOOKUP(
  1,
  (FX_Rates[Currency]=Cleaned[[#This Row],[Currency]])*
  (FX_Rates[RateDate]&lt;=Cleaned[[#This Row],[TxnDate]]),
  FX_Rates[Rate_To_INR],
  ,
  -1
)</f>
        <v>88</v>
      </c>
      <c r="P1022" s="2">
        <f>Cleaned[[#This Row],[Net Amount]] *  Cleaned[[#This Row],[FX_rates]]</f>
        <v>-35389.199999999997</v>
      </c>
    </row>
    <row r="1023" spans="1:16" x14ac:dyDescent="0.45">
      <c r="A1023" t="s">
        <v>1031</v>
      </c>
      <c r="B1023" s="1">
        <v>45811</v>
      </c>
      <c r="C1023" s="2" t="s">
        <v>2010</v>
      </c>
      <c r="D1023" t="s">
        <v>2015</v>
      </c>
      <c r="E1023">
        <v>0</v>
      </c>
      <c r="F1023">
        <f>Cleaned[[#This Row],[Debit]] * Cleaned[[#This Row],[FX_rates]]</f>
        <v>0</v>
      </c>
      <c r="G1023">
        <v>1210.2</v>
      </c>
      <c r="H1023">
        <f>Cleaned[[#This Row],[Credit]] *  Cleaned[[#This Row],[FX_rates]]</f>
        <v>99236.400000000009</v>
      </c>
      <c r="I1023" t="s">
        <v>2021</v>
      </c>
      <c r="J1023" t="s">
        <v>2026</v>
      </c>
      <c r="K1023" t="s">
        <v>3052</v>
      </c>
      <c r="L1023" t="s">
        <v>4034</v>
      </c>
      <c r="M1023">
        <f>Cleaned[[#This Row],[Credit]]-Cleaned[[#This Row],[Debit]]</f>
        <v>1210.2</v>
      </c>
      <c r="N1023" t="str">
        <f>_xlfn.XLOOKUP(Cleaned[[#This Row],[AccountName]], Account_Mapping!A:A, Account_Mapping!B:B,"Unmapped")</f>
        <v>Revenue</v>
      </c>
      <c r="O1023" cm="1">
        <f t="array" ref="O1023">_xlfn.XLOOKUP(
  1,
  (FX_Rates[Currency]=Cleaned[[#This Row],[Currency]])*
  (FX_Rates[RateDate]&lt;=Cleaned[[#This Row],[TxnDate]]),
  FX_Rates[Rate_To_INR],
  ,
  -1
)</f>
        <v>82</v>
      </c>
      <c r="P1023" s="2">
        <f>Cleaned[[#This Row],[Net Amount]] *  Cleaned[[#This Row],[FX_rates]]</f>
        <v>99236.400000000009</v>
      </c>
    </row>
    <row r="1024" spans="1:16" x14ac:dyDescent="0.45">
      <c r="A1024" t="s">
        <v>1032</v>
      </c>
      <c r="B1024" s="1">
        <v>44949</v>
      </c>
      <c r="C1024" s="2" t="s">
        <v>2010</v>
      </c>
      <c r="D1024" t="s">
        <v>2015</v>
      </c>
      <c r="E1024">
        <v>0</v>
      </c>
      <c r="F1024">
        <f>Cleaned[[#This Row],[Debit]] * Cleaned[[#This Row],[FX_rates]]</f>
        <v>0</v>
      </c>
      <c r="G1024">
        <v>256.32</v>
      </c>
      <c r="H1024">
        <f>Cleaned[[#This Row],[Credit]] *  Cleaned[[#This Row],[FX_rates]]</f>
        <v>15635.52</v>
      </c>
      <c r="I1024" t="s">
        <v>2020</v>
      </c>
      <c r="J1024" t="s">
        <v>2026</v>
      </c>
      <c r="K1024" t="s">
        <v>3053</v>
      </c>
      <c r="L1024" t="s">
        <v>4035</v>
      </c>
      <c r="M1024">
        <f>Cleaned[[#This Row],[Credit]]-Cleaned[[#This Row],[Debit]]</f>
        <v>256.32</v>
      </c>
      <c r="N1024" t="str">
        <f>_xlfn.XLOOKUP(Cleaned[[#This Row],[AccountName]], Account_Mapping!A:A, Account_Mapping!B:B,"Unmapped")</f>
        <v>Revenue</v>
      </c>
      <c r="O1024" cm="1">
        <f t="array" ref="O1024">_xlfn.XLOOKUP(
  1,
  (FX_Rates[Currency]=Cleaned[[#This Row],[Currency]])*
  (FX_Rates[RateDate]&lt;=Cleaned[[#This Row],[TxnDate]]),
  FX_Rates[Rate_To_INR],
  ,
  -1
)</f>
        <v>61</v>
      </c>
      <c r="P1024" s="2">
        <f>Cleaned[[#This Row],[Net Amount]] *  Cleaned[[#This Row],[FX_rates]]</f>
        <v>15635.52</v>
      </c>
    </row>
    <row r="1025" spans="1:16" x14ac:dyDescent="0.45">
      <c r="A1025" t="s">
        <v>1033</v>
      </c>
      <c r="B1025" s="1">
        <v>45584</v>
      </c>
      <c r="C1025" s="2" t="s">
        <v>2011</v>
      </c>
      <c r="D1025" t="s">
        <v>2016</v>
      </c>
      <c r="E1025">
        <v>1493.77</v>
      </c>
      <c r="F1025">
        <f>Cleaned[[#This Row],[Debit]] * Cleaned[[#This Row],[FX_rates]]</f>
        <v>91119.97</v>
      </c>
      <c r="G1025">
        <v>0</v>
      </c>
      <c r="H1025">
        <f>Cleaned[[#This Row],[Credit]] *  Cleaned[[#This Row],[FX_rates]]</f>
        <v>0</v>
      </c>
      <c r="I1025" t="s">
        <v>2021</v>
      </c>
      <c r="J1025" t="s">
        <v>2029</v>
      </c>
      <c r="K1025" t="s">
        <v>3054</v>
      </c>
      <c r="L1025" t="s">
        <v>4035</v>
      </c>
      <c r="M1025">
        <f>Cleaned[[#This Row],[Credit]]-Cleaned[[#This Row],[Debit]]</f>
        <v>-1493.77</v>
      </c>
      <c r="N1025" t="str">
        <f>_xlfn.XLOOKUP(Cleaned[[#This Row],[AccountName]], Account_Mapping!A:A, Account_Mapping!B:B,"Unmapped")</f>
        <v>COGS</v>
      </c>
      <c r="O1025" cm="1">
        <f t="array" ref="O1025">_xlfn.XLOOKUP(
  1,
  (FX_Rates[Currency]=Cleaned[[#This Row],[Currency]])*
  (FX_Rates[RateDate]&lt;=Cleaned[[#This Row],[TxnDate]]),
  FX_Rates[Rate_To_INR],
  ,
  -1
)</f>
        <v>61</v>
      </c>
      <c r="P1025" s="2">
        <f>Cleaned[[#This Row],[Net Amount]] *  Cleaned[[#This Row],[FX_rates]]</f>
        <v>-91119.97</v>
      </c>
    </row>
    <row r="1026" spans="1:16" x14ac:dyDescent="0.45">
      <c r="A1026" t="s">
        <v>1034</v>
      </c>
      <c r="B1026" s="1">
        <v>45332</v>
      </c>
      <c r="C1026" s="2" t="s">
        <v>2012</v>
      </c>
      <c r="D1026" t="s">
        <v>2017</v>
      </c>
      <c r="E1026">
        <v>1946.64</v>
      </c>
      <c r="F1026">
        <f>Cleaned[[#This Row],[Debit]] * Cleaned[[#This Row],[FX_rates]]</f>
        <v>118745.04000000001</v>
      </c>
      <c r="G1026">
        <v>0</v>
      </c>
      <c r="H1026">
        <f>Cleaned[[#This Row],[Credit]] *  Cleaned[[#This Row],[FX_rates]]</f>
        <v>0</v>
      </c>
      <c r="I1026" t="s">
        <v>2024</v>
      </c>
      <c r="J1026" t="s">
        <v>2028</v>
      </c>
      <c r="K1026" t="s">
        <v>3055</v>
      </c>
      <c r="L1026" t="s">
        <v>4035</v>
      </c>
      <c r="M1026">
        <f>Cleaned[[#This Row],[Credit]]-Cleaned[[#This Row],[Debit]]</f>
        <v>-1946.64</v>
      </c>
      <c r="N1026" t="str">
        <f>_xlfn.XLOOKUP(Cleaned[[#This Row],[AccountName]], Account_Mapping!A:A, Account_Mapping!B:B,"Unmapped")</f>
        <v>Operating Expense</v>
      </c>
      <c r="O1026" cm="1">
        <f t="array" ref="O1026">_xlfn.XLOOKUP(
  1,
  (FX_Rates[Currency]=Cleaned[[#This Row],[Currency]])*
  (FX_Rates[RateDate]&lt;=Cleaned[[#This Row],[TxnDate]]),
  FX_Rates[Rate_To_INR],
  ,
  -1
)</f>
        <v>61</v>
      </c>
      <c r="P1026" s="2">
        <f>Cleaned[[#This Row],[Net Amount]] *  Cleaned[[#This Row],[FX_rates]]</f>
        <v>-118745.04000000001</v>
      </c>
    </row>
    <row r="1027" spans="1:16" x14ac:dyDescent="0.45">
      <c r="A1027" t="s">
        <v>1035</v>
      </c>
      <c r="B1027" s="1">
        <v>44943</v>
      </c>
      <c r="C1027" s="2" t="s">
        <v>2014</v>
      </c>
      <c r="D1027" t="s">
        <v>2019</v>
      </c>
      <c r="E1027">
        <v>0</v>
      </c>
      <c r="F1027">
        <f>Cleaned[[#This Row],[Debit]] * Cleaned[[#This Row],[FX_rates]]</f>
        <v>0</v>
      </c>
      <c r="G1027">
        <v>3890.34</v>
      </c>
      <c r="H1027">
        <f>Cleaned[[#This Row],[Credit]] *  Cleaned[[#This Row],[FX_rates]]</f>
        <v>217859.04</v>
      </c>
      <c r="I1027" t="s">
        <v>2025</v>
      </c>
      <c r="J1027" t="s">
        <v>2027</v>
      </c>
      <c r="K1027" t="s">
        <v>3056</v>
      </c>
      <c r="L1027" t="s">
        <v>4033</v>
      </c>
      <c r="M1027">
        <f>Cleaned[[#This Row],[Credit]]-Cleaned[[#This Row],[Debit]]</f>
        <v>3890.34</v>
      </c>
      <c r="N1027" t="str">
        <f>_xlfn.XLOOKUP(Cleaned[[#This Row],[AccountName]], Account_Mapping!A:A, Account_Mapping!B:B,"Unmapped")</f>
        <v>Revenue</v>
      </c>
      <c r="O1027" cm="1">
        <f t="array" ref="O1027">_xlfn.XLOOKUP(
  1,
  (FX_Rates[Currency]=Cleaned[[#This Row],[Currency]])*
  (FX_Rates[RateDate]&lt;=Cleaned[[#This Row],[TxnDate]]),
  FX_Rates[Rate_To_INR],
  ,
  -1
)</f>
        <v>56</v>
      </c>
      <c r="P1027" s="2">
        <f>Cleaned[[#This Row],[Net Amount]] *  Cleaned[[#This Row],[FX_rates]]</f>
        <v>217859.04</v>
      </c>
    </row>
    <row r="1028" spans="1:16" x14ac:dyDescent="0.45">
      <c r="A1028" t="s">
        <v>1036</v>
      </c>
      <c r="B1028" s="1">
        <v>45406</v>
      </c>
      <c r="C1028" s="2" t="s">
        <v>2013</v>
      </c>
      <c r="D1028" t="s">
        <v>2018</v>
      </c>
      <c r="E1028">
        <v>1085.95</v>
      </c>
      <c r="F1028">
        <f>Cleaned[[#This Row],[Debit]] * Cleaned[[#This Row],[FX_rates]]</f>
        <v>60813.200000000004</v>
      </c>
      <c r="G1028">
        <v>0</v>
      </c>
      <c r="H1028">
        <f>Cleaned[[#This Row],[Credit]] *  Cleaned[[#This Row],[FX_rates]]</f>
        <v>0</v>
      </c>
      <c r="I1028" t="s">
        <v>2020</v>
      </c>
      <c r="J1028" t="s">
        <v>2029</v>
      </c>
      <c r="K1028" t="s">
        <v>3057</v>
      </c>
      <c r="L1028" t="s">
        <v>4033</v>
      </c>
      <c r="M1028">
        <f>Cleaned[[#This Row],[Credit]]-Cleaned[[#This Row],[Debit]]</f>
        <v>-1085.95</v>
      </c>
      <c r="N1028" t="str">
        <f>_xlfn.XLOOKUP(Cleaned[[#This Row],[AccountName]], Account_Mapping!A:A, Account_Mapping!B:B,"Unmapped")</f>
        <v>Operating Expense</v>
      </c>
      <c r="O1028" cm="1">
        <f t="array" ref="O1028">_xlfn.XLOOKUP(
  1,
  (FX_Rates[Currency]=Cleaned[[#This Row],[Currency]])*
  (FX_Rates[RateDate]&lt;=Cleaned[[#This Row],[TxnDate]]),
  FX_Rates[Rate_To_INR],
  ,
  -1
)</f>
        <v>56</v>
      </c>
      <c r="P1028" s="2">
        <f>Cleaned[[#This Row],[Net Amount]] *  Cleaned[[#This Row],[FX_rates]]</f>
        <v>-60813.200000000004</v>
      </c>
    </row>
    <row r="1029" spans="1:16" x14ac:dyDescent="0.45">
      <c r="A1029" t="s">
        <v>1037</v>
      </c>
      <c r="B1029" s="1">
        <v>45721</v>
      </c>
      <c r="C1029" s="2" t="s">
        <v>2012</v>
      </c>
      <c r="D1029" t="s">
        <v>2017</v>
      </c>
      <c r="E1029">
        <v>1425.4</v>
      </c>
      <c r="F1029">
        <f>Cleaned[[#This Row],[Debit]] * Cleaned[[#This Row],[FX_rates]]</f>
        <v>79822.400000000009</v>
      </c>
      <c r="G1029">
        <v>0</v>
      </c>
      <c r="H1029">
        <f>Cleaned[[#This Row],[Credit]] *  Cleaned[[#This Row],[FX_rates]]</f>
        <v>0</v>
      </c>
      <c r="I1029" t="s">
        <v>2021</v>
      </c>
      <c r="J1029" t="s">
        <v>2027</v>
      </c>
      <c r="K1029" t="s">
        <v>3058</v>
      </c>
      <c r="L1029" t="s">
        <v>4033</v>
      </c>
      <c r="M1029">
        <f>Cleaned[[#This Row],[Credit]]-Cleaned[[#This Row],[Debit]]</f>
        <v>-1425.4</v>
      </c>
      <c r="N1029" t="str">
        <f>_xlfn.XLOOKUP(Cleaned[[#This Row],[AccountName]], Account_Mapping!A:A, Account_Mapping!B:B,"Unmapped")</f>
        <v>Operating Expense</v>
      </c>
      <c r="O1029" cm="1">
        <f t="array" ref="O1029">_xlfn.XLOOKUP(
  1,
  (FX_Rates[Currency]=Cleaned[[#This Row],[Currency]])*
  (FX_Rates[RateDate]&lt;=Cleaned[[#This Row],[TxnDate]]),
  FX_Rates[Rate_To_INR],
  ,
  -1
)</f>
        <v>56</v>
      </c>
      <c r="P1029" s="2">
        <f>Cleaned[[#This Row],[Net Amount]] *  Cleaned[[#This Row],[FX_rates]]</f>
        <v>-79822.400000000009</v>
      </c>
    </row>
    <row r="1030" spans="1:16" x14ac:dyDescent="0.45">
      <c r="A1030" t="s">
        <v>1038</v>
      </c>
      <c r="B1030" s="1">
        <v>45510</v>
      </c>
      <c r="C1030" s="2" t="s">
        <v>2013</v>
      </c>
      <c r="D1030" t="s">
        <v>2018</v>
      </c>
      <c r="E1030">
        <v>910.93</v>
      </c>
      <c r="F1030">
        <f>Cleaned[[#This Row],[Debit]] * Cleaned[[#This Row],[FX_rates]]</f>
        <v>93825.79</v>
      </c>
      <c r="G1030">
        <v>0</v>
      </c>
      <c r="H1030">
        <f>Cleaned[[#This Row],[Credit]] *  Cleaned[[#This Row],[FX_rates]]</f>
        <v>0</v>
      </c>
      <c r="I1030" t="s">
        <v>2023</v>
      </c>
      <c r="J1030" t="s">
        <v>2027</v>
      </c>
      <c r="K1030" t="s">
        <v>3059</v>
      </c>
      <c r="L1030" t="s">
        <v>4031</v>
      </c>
      <c r="M1030">
        <f>Cleaned[[#This Row],[Credit]]-Cleaned[[#This Row],[Debit]]</f>
        <v>-910.93</v>
      </c>
      <c r="N1030" t="str">
        <f>_xlfn.XLOOKUP(Cleaned[[#This Row],[AccountName]], Account_Mapping!A:A, Account_Mapping!B:B,"Unmapped")</f>
        <v>Operating Expense</v>
      </c>
      <c r="O1030" cm="1">
        <f t="array" ref="O1030">_xlfn.XLOOKUP(
  1,
  (FX_Rates[Currency]=Cleaned[[#This Row],[Currency]])*
  (FX_Rates[RateDate]&lt;=Cleaned[[#This Row],[TxnDate]]),
  FX_Rates[Rate_To_INR],
  ,
  -1
)</f>
        <v>103</v>
      </c>
      <c r="P1030" s="2">
        <f>Cleaned[[#This Row],[Net Amount]] *  Cleaned[[#This Row],[FX_rates]]</f>
        <v>-93825.79</v>
      </c>
    </row>
    <row r="1031" spans="1:16" x14ac:dyDescent="0.45">
      <c r="A1031" t="s">
        <v>1039</v>
      </c>
      <c r="B1031" s="1">
        <v>45574</v>
      </c>
      <c r="C1031" s="2" t="s">
        <v>2012</v>
      </c>
      <c r="D1031" t="s">
        <v>2017</v>
      </c>
      <c r="E1031">
        <v>973.12</v>
      </c>
      <c r="F1031">
        <f>Cleaned[[#This Row],[Debit]] * Cleaned[[#This Row],[FX_rates]]</f>
        <v>100231.36</v>
      </c>
      <c r="G1031">
        <v>0</v>
      </c>
      <c r="H1031">
        <f>Cleaned[[#This Row],[Credit]] *  Cleaned[[#This Row],[FX_rates]]</f>
        <v>0</v>
      </c>
      <c r="I1031" t="s">
        <v>2022</v>
      </c>
      <c r="J1031" t="s">
        <v>2030</v>
      </c>
      <c r="K1031" t="s">
        <v>3060</v>
      </c>
      <c r="L1031" t="s">
        <v>4031</v>
      </c>
      <c r="M1031">
        <f>Cleaned[[#This Row],[Credit]]-Cleaned[[#This Row],[Debit]]</f>
        <v>-973.12</v>
      </c>
      <c r="N1031" t="str">
        <f>_xlfn.XLOOKUP(Cleaned[[#This Row],[AccountName]], Account_Mapping!A:A, Account_Mapping!B:B,"Unmapped")</f>
        <v>Operating Expense</v>
      </c>
      <c r="O1031" cm="1">
        <f t="array" ref="O1031">_xlfn.XLOOKUP(
  1,
  (FX_Rates[Currency]=Cleaned[[#This Row],[Currency]])*
  (FX_Rates[RateDate]&lt;=Cleaned[[#This Row],[TxnDate]]),
  FX_Rates[Rate_To_INR],
  ,
  -1
)</f>
        <v>103</v>
      </c>
      <c r="P1031" s="2">
        <f>Cleaned[[#This Row],[Net Amount]] *  Cleaned[[#This Row],[FX_rates]]</f>
        <v>-100231.36</v>
      </c>
    </row>
    <row r="1032" spans="1:16" x14ac:dyDescent="0.45">
      <c r="A1032" t="s">
        <v>1040</v>
      </c>
      <c r="B1032" s="1">
        <v>45255</v>
      </c>
      <c r="C1032" s="2" t="s">
        <v>2014</v>
      </c>
      <c r="D1032" t="s">
        <v>2019</v>
      </c>
      <c r="E1032">
        <v>0</v>
      </c>
      <c r="F1032">
        <f>Cleaned[[#This Row],[Debit]] * Cleaned[[#This Row],[FX_rates]]</f>
        <v>0</v>
      </c>
      <c r="G1032">
        <v>3221.92</v>
      </c>
      <c r="H1032">
        <f>Cleaned[[#This Row],[Credit]] *  Cleaned[[#This Row],[FX_rates]]</f>
        <v>264197.44</v>
      </c>
      <c r="I1032" t="s">
        <v>2020</v>
      </c>
      <c r="J1032" t="s">
        <v>2028</v>
      </c>
      <c r="K1032" t="s">
        <v>3061</v>
      </c>
      <c r="L1032" t="s">
        <v>4034</v>
      </c>
      <c r="M1032">
        <f>Cleaned[[#This Row],[Credit]]-Cleaned[[#This Row],[Debit]]</f>
        <v>3221.92</v>
      </c>
      <c r="N1032" t="str">
        <f>_xlfn.XLOOKUP(Cleaned[[#This Row],[AccountName]], Account_Mapping!A:A, Account_Mapping!B:B,"Unmapped")</f>
        <v>Revenue</v>
      </c>
      <c r="O1032" cm="1">
        <f t="array" ref="O1032">_xlfn.XLOOKUP(
  1,
  (FX_Rates[Currency]=Cleaned[[#This Row],[Currency]])*
  (FX_Rates[RateDate]&lt;=Cleaned[[#This Row],[TxnDate]]),
  FX_Rates[Rate_To_INR],
  ,
  -1
)</f>
        <v>82</v>
      </c>
      <c r="P1032" s="2">
        <f>Cleaned[[#This Row],[Net Amount]] *  Cleaned[[#This Row],[FX_rates]]</f>
        <v>264197.44</v>
      </c>
    </row>
    <row r="1033" spans="1:16" x14ac:dyDescent="0.45">
      <c r="A1033" t="s">
        <v>1041</v>
      </c>
      <c r="B1033" s="1">
        <v>45499</v>
      </c>
      <c r="C1033" s="2" t="s">
        <v>2014</v>
      </c>
      <c r="D1033" t="s">
        <v>2019</v>
      </c>
      <c r="E1033">
        <v>0</v>
      </c>
      <c r="F1033">
        <f>Cleaned[[#This Row],[Debit]] * Cleaned[[#This Row],[FX_rates]]</f>
        <v>0</v>
      </c>
      <c r="G1033">
        <v>4508.8599999999997</v>
      </c>
      <c r="H1033">
        <f>Cleaned[[#This Row],[Credit]] *  Cleaned[[#This Row],[FX_rates]]</f>
        <v>275040.45999999996</v>
      </c>
      <c r="I1033" t="s">
        <v>2022</v>
      </c>
      <c r="J1033" t="s">
        <v>2027</v>
      </c>
      <c r="K1033" t="s">
        <v>3062</v>
      </c>
      <c r="L1033" t="s">
        <v>4035</v>
      </c>
      <c r="M1033">
        <f>Cleaned[[#This Row],[Credit]]-Cleaned[[#This Row],[Debit]]</f>
        <v>4508.8599999999997</v>
      </c>
      <c r="N1033" t="str">
        <f>_xlfn.XLOOKUP(Cleaned[[#This Row],[AccountName]], Account_Mapping!A:A, Account_Mapping!B:B,"Unmapped")</f>
        <v>Revenue</v>
      </c>
      <c r="O1033" cm="1">
        <f t="array" ref="O1033">_xlfn.XLOOKUP(
  1,
  (FX_Rates[Currency]=Cleaned[[#This Row],[Currency]])*
  (FX_Rates[RateDate]&lt;=Cleaned[[#This Row],[TxnDate]]),
  FX_Rates[Rate_To_INR],
  ,
  -1
)</f>
        <v>61</v>
      </c>
      <c r="P1033" s="2">
        <f>Cleaned[[#This Row],[Net Amount]] *  Cleaned[[#This Row],[FX_rates]]</f>
        <v>275040.45999999996</v>
      </c>
    </row>
    <row r="1034" spans="1:16" x14ac:dyDescent="0.45">
      <c r="A1034" t="s">
        <v>1042</v>
      </c>
      <c r="B1034" s="1">
        <v>44970</v>
      </c>
      <c r="C1034" s="2" t="s">
        <v>2014</v>
      </c>
      <c r="D1034" t="s">
        <v>2019</v>
      </c>
      <c r="E1034">
        <v>0</v>
      </c>
      <c r="F1034">
        <f>Cleaned[[#This Row],[Debit]] * Cleaned[[#This Row],[FX_rates]]</f>
        <v>0</v>
      </c>
      <c r="G1034">
        <v>882.66</v>
      </c>
      <c r="H1034">
        <f>Cleaned[[#This Row],[Credit]] *  Cleaned[[#This Row],[FX_rates]]</f>
        <v>72378.12</v>
      </c>
      <c r="I1034" t="s">
        <v>2023</v>
      </c>
      <c r="J1034" t="s">
        <v>2028</v>
      </c>
      <c r="K1034" t="s">
        <v>3063</v>
      </c>
      <c r="L1034" t="s">
        <v>4034</v>
      </c>
      <c r="M1034">
        <f>Cleaned[[#This Row],[Credit]]-Cleaned[[#This Row],[Debit]]</f>
        <v>882.66</v>
      </c>
      <c r="N1034" t="str">
        <f>_xlfn.XLOOKUP(Cleaned[[#This Row],[AccountName]], Account_Mapping!A:A, Account_Mapping!B:B,"Unmapped")</f>
        <v>Revenue</v>
      </c>
      <c r="O1034" cm="1">
        <f t="array" ref="O1034">_xlfn.XLOOKUP(
  1,
  (FX_Rates[Currency]=Cleaned[[#This Row],[Currency]])*
  (FX_Rates[RateDate]&lt;=Cleaned[[#This Row],[TxnDate]]),
  FX_Rates[Rate_To_INR],
  ,
  -1
)</f>
        <v>82</v>
      </c>
      <c r="P1034" s="2">
        <f>Cleaned[[#This Row],[Net Amount]] *  Cleaned[[#This Row],[FX_rates]]</f>
        <v>72378.12</v>
      </c>
    </row>
    <row r="1035" spans="1:16" x14ac:dyDescent="0.45">
      <c r="A1035" t="s">
        <v>1043</v>
      </c>
      <c r="B1035" s="1">
        <v>45370</v>
      </c>
      <c r="C1035" s="2" t="s">
        <v>2012</v>
      </c>
      <c r="D1035" t="s">
        <v>2017</v>
      </c>
      <c r="E1035">
        <v>432.35</v>
      </c>
      <c r="F1035">
        <f>Cleaned[[#This Row],[Debit]] * Cleaned[[#This Row],[FX_rates]]</f>
        <v>26373.350000000002</v>
      </c>
      <c r="G1035">
        <v>0</v>
      </c>
      <c r="H1035">
        <f>Cleaned[[#This Row],[Credit]] *  Cleaned[[#This Row],[FX_rates]]</f>
        <v>0</v>
      </c>
      <c r="I1035" t="s">
        <v>2022</v>
      </c>
      <c r="J1035" t="s">
        <v>2027</v>
      </c>
      <c r="K1035" t="s">
        <v>3064</v>
      </c>
      <c r="L1035" t="s">
        <v>4035</v>
      </c>
      <c r="M1035">
        <f>Cleaned[[#This Row],[Credit]]-Cleaned[[#This Row],[Debit]]</f>
        <v>-432.35</v>
      </c>
      <c r="N1035" t="str">
        <f>_xlfn.XLOOKUP(Cleaned[[#This Row],[AccountName]], Account_Mapping!A:A, Account_Mapping!B:B,"Unmapped")</f>
        <v>Operating Expense</v>
      </c>
      <c r="O1035" cm="1">
        <f t="array" ref="O1035">_xlfn.XLOOKUP(
  1,
  (FX_Rates[Currency]=Cleaned[[#This Row],[Currency]])*
  (FX_Rates[RateDate]&lt;=Cleaned[[#This Row],[TxnDate]]),
  FX_Rates[Rate_To_INR],
  ,
  -1
)</f>
        <v>61</v>
      </c>
      <c r="P1035" s="2">
        <f>Cleaned[[#This Row],[Net Amount]] *  Cleaned[[#This Row],[FX_rates]]</f>
        <v>-26373.350000000002</v>
      </c>
    </row>
    <row r="1036" spans="1:16" x14ac:dyDescent="0.45">
      <c r="A1036" t="s">
        <v>1044</v>
      </c>
      <c r="B1036" s="1">
        <v>45050</v>
      </c>
      <c r="C1036" s="2" t="s">
        <v>2010</v>
      </c>
      <c r="D1036" t="s">
        <v>2015</v>
      </c>
      <c r="E1036">
        <v>0</v>
      </c>
      <c r="F1036">
        <f>Cleaned[[#This Row],[Debit]] * Cleaned[[#This Row],[FX_rates]]</f>
        <v>0</v>
      </c>
      <c r="G1036">
        <v>1578.7</v>
      </c>
      <c r="H1036">
        <f>Cleaned[[#This Row],[Credit]] *  Cleaned[[#This Row],[FX_rates]]</f>
        <v>129453.40000000001</v>
      </c>
      <c r="I1036" t="s">
        <v>2023</v>
      </c>
      <c r="J1036" t="s">
        <v>2030</v>
      </c>
      <c r="K1036" t="s">
        <v>3065</v>
      </c>
      <c r="L1036" t="s">
        <v>4034</v>
      </c>
      <c r="M1036">
        <f>Cleaned[[#This Row],[Credit]]-Cleaned[[#This Row],[Debit]]</f>
        <v>1578.7</v>
      </c>
      <c r="N1036" t="str">
        <f>_xlfn.XLOOKUP(Cleaned[[#This Row],[AccountName]], Account_Mapping!A:A, Account_Mapping!B:B,"Unmapped")</f>
        <v>Revenue</v>
      </c>
      <c r="O1036" cm="1">
        <f t="array" ref="O1036">_xlfn.XLOOKUP(
  1,
  (FX_Rates[Currency]=Cleaned[[#This Row],[Currency]])*
  (FX_Rates[RateDate]&lt;=Cleaned[[#This Row],[TxnDate]]),
  FX_Rates[Rate_To_INR],
  ,
  -1
)</f>
        <v>82</v>
      </c>
      <c r="P1036" s="2">
        <f>Cleaned[[#This Row],[Net Amount]] *  Cleaned[[#This Row],[FX_rates]]</f>
        <v>129453.40000000001</v>
      </c>
    </row>
    <row r="1037" spans="1:16" x14ac:dyDescent="0.45">
      <c r="A1037" t="s">
        <v>1045</v>
      </c>
      <c r="B1037" s="1">
        <v>45117</v>
      </c>
      <c r="C1037" s="2" t="s">
        <v>2012</v>
      </c>
      <c r="D1037" t="s">
        <v>2017</v>
      </c>
      <c r="E1037">
        <v>880.83</v>
      </c>
      <c r="F1037">
        <f>Cleaned[[#This Row],[Debit]] * Cleaned[[#This Row],[FX_rates]]</f>
        <v>90725.49</v>
      </c>
      <c r="G1037">
        <v>0</v>
      </c>
      <c r="H1037">
        <f>Cleaned[[#This Row],[Credit]] *  Cleaned[[#This Row],[FX_rates]]</f>
        <v>0</v>
      </c>
      <c r="I1037" t="s">
        <v>2023</v>
      </c>
      <c r="J1037" t="s">
        <v>2026</v>
      </c>
      <c r="K1037" t="s">
        <v>3066</v>
      </c>
      <c r="L1037" t="s">
        <v>4031</v>
      </c>
      <c r="M1037">
        <f>Cleaned[[#This Row],[Credit]]-Cleaned[[#This Row],[Debit]]</f>
        <v>-880.83</v>
      </c>
      <c r="N1037" t="str">
        <f>_xlfn.XLOOKUP(Cleaned[[#This Row],[AccountName]], Account_Mapping!A:A, Account_Mapping!B:B,"Unmapped")</f>
        <v>Operating Expense</v>
      </c>
      <c r="O1037" cm="1">
        <f t="array" ref="O1037">_xlfn.XLOOKUP(
  1,
  (FX_Rates[Currency]=Cleaned[[#This Row],[Currency]])*
  (FX_Rates[RateDate]&lt;=Cleaned[[#This Row],[TxnDate]]),
  FX_Rates[Rate_To_INR],
  ,
  -1
)</f>
        <v>103</v>
      </c>
      <c r="P1037" s="2">
        <f>Cleaned[[#This Row],[Net Amount]] *  Cleaned[[#This Row],[FX_rates]]</f>
        <v>-90725.49</v>
      </c>
    </row>
    <row r="1038" spans="1:16" x14ac:dyDescent="0.45">
      <c r="A1038" t="s">
        <v>1046</v>
      </c>
      <c r="B1038" s="1">
        <v>45392</v>
      </c>
      <c r="C1038" s="2" t="s">
        <v>2010</v>
      </c>
      <c r="D1038" t="s">
        <v>2015</v>
      </c>
      <c r="E1038">
        <v>0</v>
      </c>
      <c r="F1038">
        <f>Cleaned[[#This Row],[Debit]] * Cleaned[[#This Row],[FX_rates]]</f>
        <v>0</v>
      </c>
      <c r="G1038">
        <v>1378.62</v>
      </c>
      <c r="H1038">
        <f>Cleaned[[#This Row],[Credit]] *  Cleaned[[#This Row],[FX_rates]]</f>
        <v>77202.720000000001</v>
      </c>
      <c r="I1038" t="s">
        <v>2022</v>
      </c>
      <c r="J1038" t="s">
        <v>2026</v>
      </c>
      <c r="K1038" t="s">
        <v>3067</v>
      </c>
      <c r="L1038" t="s">
        <v>4033</v>
      </c>
      <c r="M1038">
        <f>Cleaned[[#This Row],[Credit]]-Cleaned[[#This Row],[Debit]]</f>
        <v>1378.62</v>
      </c>
      <c r="N1038" t="str">
        <f>_xlfn.XLOOKUP(Cleaned[[#This Row],[AccountName]], Account_Mapping!A:A, Account_Mapping!B:B,"Unmapped")</f>
        <v>Revenue</v>
      </c>
      <c r="O1038" cm="1">
        <f t="array" ref="O1038">_xlfn.XLOOKUP(
  1,
  (FX_Rates[Currency]=Cleaned[[#This Row],[Currency]])*
  (FX_Rates[RateDate]&lt;=Cleaned[[#This Row],[TxnDate]]),
  FX_Rates[Rate_To_INR],
  ,
  -1
)</f>
        <v>56</v>
      </c>
      <c r="P1038" s="2">
        <f>Cleaned[[#This Row],[Net Amount]] *  Cleaned[[#This Row],[FX_rates]]</f>
        <v>77202.720000000001</v>
      </c>
    </row>
    <row r="1039" spans="1:16" x14ac:dyDescent="0.45">
      <c r="A1039" t="s">
        <v>1047</v>
      </c>
      <c r="B1039" s="1">
        <v>45371</v>
      </c>
      <c r="C1039" s="2" t="s">
        <v>2010</v>
      </c>
      <c r="D1039" t="s">
        <v>2015</v>
      </c>
      <c r="E1039">
        <v>0</v>
      </c>
      <c r="F1039">
        <f>Cleaned[[#This Row],[Debit]] * Cleaned[[#This Row],[FX_rates]]</f>
        <v>0</v>
      </c>
      <c r="G1039">
        <v>1884.23</v>
      </c>
      <c r="H1039">
        <f>Cleaned[[#This Row],[Credit]] *  Cleaned[[#This Row],[FX_rates]]</f>
        <v>154506.86000000002</v>
      </c>
      <c r="I1039" t="s">
        <v>2025</v>
      </c>
      <c r="J1039" t="s">
        <v>2026</v>
      </c>
      <c r="K1039" t="s">
        <v>3068</v>
      </c>
      <c r="L1039" t="s">
        <v>4034</v>
      </c>
      <c r="M1039">
        <f>Cleaned[[#This Row],[Credit]]-Cleaned[[#This Row],[Debit]]</f>
        <v>1884.23</v>
      </c>
      <c r="N1039" t="str">
        <f>_xlfn.XLOOKUP(Cleaned[[#This Row],[AccountName]], Account_Mapping!A:A, Account_Mapping!B:B,"Unmapped")</f>
        <v>Revenue</v>
      </c>
      <c r="O1039" cm="1">
        <f t="array" ref="O1039">_xlfn.XLOOKUP(
  1,
  (FX_Rates[Currency]=Cleaned[[#This Row],[Currency]])*
  (FX_Rates[RateDate]&lt;=Cleaned[[#This Row],[TxnDate]]),
  FX_Rates[Rate_To_INR],
  ,
  -1
)</f>
        <v>82</v>
      </c>
      <c r="P1039" s="2">
        <f>Cleaned[[#This Row],[Net Amount]] *  Cleaned[[#This Row],[FX_rates]]</f>
        <v>154506.86000000002</v>
      </c>
    </row>
    <row r="1040" spans="1:16" x14ac:dyDescent="0.45">
      <c r="A1040" t="s">
        <v>1048</v>
      </c>
      <c r="B1040" s="1">
        <v>45429</v>
      </c>
      <c r="C1040" s="2" t="s">
        <v>2011</v>
      </c>
      <c r="D1040" t="s">
        <v>2016</v>
      </c>
      <c r="E1040">
        <v>398.06</v>
      </c>
      <c r="F1040">
        <f>Cleaned[[#This Row],[Debit]] * Cleaned[[#This Row],[FX_rates]]</f>
        <v>41000.18</v>
      </c>
      <c r="G1040">
        <v>0</v>
      </c>
      <c r="H1040">
        <f>Cleaned[[#This Row],[Credit]] *  Cleaned[[#This Row],[FX_rates]]</f>
        <v>0</v>
      </c>
      <c r="I1040" t="s">
        <v>2024</v>
      </c>
      <c r="J1040" t="s">
        <v>2029</v>
      </c>
      <c r="K1040" t="s">
        <v>3069</v>
      </c>
      <c r="L1040" t="s">
        <v>4031</v>
      </c>
      <c r="M1040">
        <f>Cleaned[[#This Row],[Credit]]-Cleaned[[#This Row],[Debit]]</f>
        <v>-398.06</v>
      </c>
      <c r="N1040" t="str">
        <f>_xlfn.XLOOKUP(Cleaned[[#This Row],[AccountName]], Account_Mapping!A:A, Account_Mapping!B:B,"Unmapped")</f>
        <v>COGS</v>
      </c>
      <c r="O1040" cm="1">
        <f t="array" ref="O1040">_xlfn.XLOOKUP(
  1,
  (FX_Rates[Currency]=Cleaned[[#This Row],[Currency]])*
  (FX_Rates[RateDate]&lt;=Cleaned[[#This Row],[TxnDate]]),
  FX_Rates[Rate_To_INR],
  ,
  -1
)</f>
        <v>103</v>
      </c>
      <c r="P1040" s="2">
        <f>Cleaned[[#This Row],[Net Amount]] *  Cleaned[[#This Row],[FX_rates]]</f>
        <v>-41000.18</v>
      </c>
    </row>
    <row r="1041" spans="1:16" x14ac:dyDescent="0.45">
      <c r="A1041" t="s">
        <v>1049</v>
      </c>
      <c r="B1041" s="1">
        <v>45093</v>
      </c>
      <c r="C1041" s="2" t="s">
        <v>2012</v>
      </c>
      <c r="D1041" t="s">
        <v>2017</v>
      </c>
      <c r="E1041">
        <v>1030.76</v>
      </c>
      <c r="F1041">
        <f>Cleaned[[#This Row],[Debit]] * Cleaned[[#This Row],[FX_rates]]</f>
        <v>90706.880000000005</v>
      </c>
      <c r="G1041">
        <v>0</v>
      </c>
      <c r="H1041">
        <f>Cleaned[[#This Row],[Credit]] *  Cleaned[[#This Row],[FX_rates]]</f>
        <v>0</v>
      </c>
      <c r="I1041" t="s">
        <v>2022</v>
      </c>
      <c r="J1041" t="s">
        <v>2026</v>
      </c>
      <c r="K1041" t="s">
        <v>3070</v>
      </c>
      <c r="L1041" t="s">
        <v>4032</v>
      </c>
      <c r="M1041">
        <f>Cleaned[[#This Row],[Credit]]-Cleaned[[#This Row],[Debit]]</f>
        <v>-1030.76</v>
      </c>
      <c r="N1041" t="str">
        <f>_xlfn.XLOOKUP(Cleaned[[#This Row],[AccountName]], Account_Mapping!A:A, Account_Mapping!B:B,"Unmapped")</f>
        <v>Operating Expense</v>
      </c>
      <c r="O1041" cm="1">
        <f t="array" ref="O1041">_xlfn.XLOOKUP(
  1,
  (FX_Rates[Currency]=Cleaned[[#This Row],[Currency]])*
  (FX_Rates[RateDate]&lt;=Cleaned[[#This Row],[TxnDate]]),
  FX_Rates[Rate_To_INR],
  ,
  -1
)</f>
        <v>88</v>
      </c>
      <c r="P1041" s="2">
        <f>Cleaned[[#This Row],[Net Amount]] *  Cleaned[[#This Row],[FX_rates]]</f>
        <v>-90706.880000000005</v>
      </c>
    </row>
    <row r="1042" spans="1:16" x14ac:dyDescent="0.45">
      <c r="A1042" t="s">
        <v>1050</v>
      </c>
      <c r="B1042" s="1">
        <v>45195</v>
      </c>
      <c r="C1042" s="2" t="s">
        <v>2013</v>
      </c>
      <c r="D1042" t="s">
        <v>2018</v>
      </c>
      <c r="E1042">
        <v>1713</v>
      </c>
      <c r="F1042">
        <f>Cleaned[[#This Row],[Debit]] * Cleaned[[#This Row],[FX_rates]]</f>
        <v>95928</v>
      </c>
      <c r="G1042">
        <v>0</v>
      </c>
      <c r="H1042">
        <f>Cleaned[[#This Row],[Credit]] *  Cleaned[[#This Row],[FX_rates]]</f>
        <v>0</v>
      </c>
      <c r="I1042" t="s">
        <v>2024</v>
      </c>
      <c r="J1042" t="s">
        <v>2029</v>
      </c>
      <c r="K1042" t="s">
        <v>3071</v>
      </c>
      <c r="L1042" t="s">
        <v>4033</v>
      </c>
      <c r="M1042">
        <f>Cleaned[[#This Row],[Credit]]-Cleaned[[#This Row],[Debit]]</f>
        <v>-1713</v>
      </c>
      <c r="N1042" t="str">
        <f>_xlfn.XLOOKUP(Cleaned[[#This Row],[AccountName]], Account_Mapping!A:A, Account_Mapping!B:B,"Unmapped")</f>
        <v>Operating Expense</v>
      </c>
      <c r="O1042" cm="1">
        <f t="array" ref="O1042">_xlfn.XLOOKUP(
  1,
  (FX_Rates[Currency]=Cleaned[[#This Row],[Currency]])*
  (FX_Rates[RateDate]&lt;=Cleaned[[#This Row],[TxnDate]]),
  FX_Rates[Rate_To_INR],
  ,
  -1
)</f>
        <v>56</v>
      </c>
      <c r="P1042" s="2">
        <f>Cleaned[[#This Row],[Net Amount]] *  Cleaned[[#This Row],[FX_rates]]</f>
        <v>-95928</v>
      </c>
    </row>
    <row r="1043" spans="1:16" x14ac:dyDescent="0.45">
      <c r="A1043" t="s">
        <v>1051</v>
      </c>
      <c r="B1043" s="1">
        <v>45573</v>
      </c>
      <c r="C1043" s="2" t="s">
        <v>2010</v>
      </c>
      <c r="D1043" t="s">
        <v>2015</v>
      </c>
      <c r="E1043">
        <v>0</v>
      </c>
      <c r="F1043">
        <f>Cleaned[[#This Row],[Debit]] * Cleaned[[#This Row],[FX_rates]]</f>
        <v>0</v>
      </c>
      <c r="G1043">
        <v>3214.89</v>
      </c>
      <c r="H1043">
        <f>Cleaned[[#This Row],[Credit]] *  Cleaned[[#This Row],[FX_rates]]</f>
        <v>180033.84</v>
      </c>
      <c r="I1043" t="s">
        <v>2022</v>
      </c>
      <c r="J1043" t="s">
        <v>2026</v>
      </c>
      <c r="K1043" t="s">
        <v>3072</v>
      </c>
      <c r="L1043" t="s">
        <v>4033</v>
      </c>
      <c r="M1043">
        <f>Cleaned[[#This Row],[Credit]]-Cleaned[[#This Row],[Debit]]</f>
        <v>3214.89</v>
      </c>
      <c r="N1043" t="str">
        <f>_xlfn.XLOOKUP(Cleaned[[#This Row],[AccountName]], Account_Mapping!A:A, Account_Mapping!B:B,"Unmapped")</f>
        <v>Revenue</v>
      </c>
      <c r="O1043" cm="1">
        <f t="array" ref="O1043">_xlfn.XLOOKUP(
  1,
  (FX_Rates[Currency]=Cleaned[[#This Row],[Currency]])*
  (FX_Rates[RateDate]&lt;=Cleaned[[#This Row],[TxnDate]]),
  FX_Rates[Rate_To_INR],
  ,
  -1
)</f>
        <v>56</v>
      </c>
      <c r="P1043" s="2">
        <f>Cleaned[[#This Row],[Net Amount]] *  Cleaned[[#This Row],[FX_rates]]</f>
        <v>180033.84</v>
      </c>
    </row>
    <row r="1044" spans="1:16" x14ac:dyDescent="0.45">
      <c r="A1044" t="s">
        <v>1052</v>
      </c>
      <c r="B1044" s="1">
        <v>45364</v>
      </c>
      <c r="C1044" s="2" t="s">
        <v>2010</v>
      </c>
      <c r="D1044" t="s">
        <v>2015</v>
      </c>
      <c r="E1044">
        <v>0</v>
      </c>
      <c r="F1044">
        <f>Cleaned[[#This Row],[Debit]] * Cleaned[[#This Row],[FX_rates]]</f>
        <v>0</v>
      </c>
      <c r="G1044">
        <v>284.06</v>
      </c>
      <c r="H1044">
        <f>Cleaned[[#This Row],[Credit]] *  Cleaned[[#This Row],[FX_rates]]</f>
        <v>15907.36</v>
      </c>
      <c r="I1044" t="s">
        <v>2025</v>
      </c>
      <c r="J1044" t="s">
        <v>2026</v>
      </c>
      <c r="K1044" t="s">
        <v>3073</v>
      </c>
      <c r="L1044" t="s">
        <v>4033</v>
      </c>
      <c r="M1044">
        <f>Cleaned[[#This Row],[Credit]]-Cleaned[[#This Row],[Debit]]</f>
        <v>284.06</v>
      </c>
      <c r="N1044" t="str">
        <f>_xlfn.XLOOKUP(Cleaned[[#This Row],[AccountName]], Account_Mapping!A:A, Account_Mapping!B:B,"Unmapped")</f>
        <v>Revenue</v>
      </c>
      <c r="O1044" cm="1">
        <f t="array" ref="O1044">_xlfn.XLOOKUP(
  1,
  (FX_Rates[Currency]=Cleaned[[#This Row],[Currency]])*
  (FX_Rates[RateDate]&lt;=Cleaned[[#This Row],[TxnDate]]),
  FX_Rates[Rate_To_INR],
  ,
  -1
)</f>
        <v>56</v>
      </c>
      <c r="P1044" s="2">
        <f>Cleaned[[#This Row],[Net Amount]] *  Cleaned[[#This Row],[FX_rates]]</f>
        <v>15907.36</v>
      </c>
    </row>
    <row r="1045" spans="1:16" x14ac:dyDescent="0.45">
      <c r="A1045" t="s">
        <v>1053</v>
      </c>
      <c r="B1045" s="1">
        <v>45236</v>
      </c>
      <c r="C1045" s="2" t="s">
        <v>2014</v>
      </c>
      <c r="D1045" t="s">
        <v>2019</v>
      </c>
      <c r="E1045">
        <v>0</v>
      </c>
      <c r="F1045">
        <f>Cleaned[[#This Row],[Debit]] * Cleaned[[#This Row],[FX_rates]]</f>
        <v>0</v>
      </c>
      <c r="G1045">
        <v>3835.49</v>
      </c>
      <c r="H1045">
        <f>Cleaned[[#This Row],[Credit]] *  Cleaned[[#This Row],[FX_rates]]</f>
        <v>395055.47</v>
      </c>
      <c r="I1045" t="s">
        <v>2020</v>
      </c>
      <c r="J1045" t="s">
        <v>2027</v>
      </c>
      <c r="K1045" t="s">
        <v>3074</v>
      </c>
      <c r="L1045" t="s">
        <v>4031</v>
      </c>
      <c r="M1045">
        <f>Cleaned[[#This Row],[Credit]]-Cleaned[[#This Row],[Debit]]</f>
        <v>3835.49</v>
      </c>
      <c r="N1045" t="str">
        <f>_xlfn.XLOOKUP(Cleaned[[#This Row],[AccountName]], Account_Mapping!A:A, Account_Mapping!B:B,"Unmapped")</f>
        <v>Revenue</v>
      </c>
      <c r="O1045" cm="1">
        <f t="array" ref="O1045">_xlfn.XLOOKUP(
  1,
  (FX_Rates[Currency]=Cleaned[[#This Row],[Currency]])*
  (FX_Rates[RateDate]&lt;=Cleaned[[#This Row],[TxnDate]]),
  FX_Rates[Rate_To_INR],
  ,
  -1
)</f>
        <v>103</v>
      </c>
      <c r="P1045" s="2">
        <f>Cleaned[[#This Row],[Net Amount]] *  Cleaned[[#This Row],[FX_rates]]</f>
        <v>395055.47</v>
      </c>
    </row>
    <row r="1046" spans="1:16" x14ac:dyDescent="0.45">
      <c r="A1046" t="s">
        <v>1054</v>
      </c>
      <c r="B1046" s="1">
        <v>45141</v>
      </c>
      <c r="C1046" s="2" t="s">
        <v>2011</v>
      </c>
      <c r="D1046" t="s">
        <v>2016</v>
      </c>
      <c r="E1046">
        <v>357.85</v>
      </c>
      <c r="F1046">
        <f>Cleaned[[#This Row],[Debit]] * Cleaned[[#This Row],[FX_rates]]</f>
        <v>36858.550000000003</v>
      </c>
      <c r="G1046">
        <v>0</v>
      </c>
      <c r="H1046">
        <f>Cleaned[[#This Row],[Credit]] *  Cleaned[[#This Row],[FX_rates]]</f>
        <v>0</v>
      </c>
      <c r="I1046" t="s">
        <v>2021</v>
      </c>
      <c r="J1046" t="s">
        <v>2028</v>
      </c>
      <c r="K1046" t="s">
        <v>3075</v>
      </c>
      <c r="L1046" t="s">
        <v>4031</v>
      </c>
      <c r="M1046">
        <f>Cleaned[[#This Row],[Credit]]-Cleaned[[#This Row],[Debit]]</f>
        <v>-357.85</v>
      </c>
      <c r="N1046" t="str">
        <f>_xlfn.XLOOKUP(Cleaned[[#This Row],[AccountName]], Account_Mapping!A:A, Account_Mapping!B:B,"Unmapped")</f>
        <v>COGS</v>
      </c>
      <c r="O1046" cm="1">
        <f t="array" ref="O1046">_xlfn.XLOOKUP(
  1,
  (FX_Rates[Currency]=Cleaned[[#This Row],[Currency]])*
  (FX_Rates[RateDate]&lt;=Cleaned[[#This Row],[TxnDate]]),
  FX_Rates[Rate_To_INR],
  ,
  -1
)</f>
        <v>103</v>
      </c>
      <c r="P1046" s="2">
        <f>Cleaned[[#This Row],[Net Amount]] *  Cleaned[[#This Row],[FX_rates]]</f>
        <v>-36858.550000000003</v>
      </c>
    </row>
    <row r="1047" spans="1:16" x14ac:dyDescent="0.45">
      <c r="A1047" t="s">
        <v>1055</v>
      </c>
      <c r="B1047" s="1">
        <v>45052</v>
      </c>
      <c r="C1047" s="2" t="s">
        <v>2014</v>
      </c>
      <c r="D1047" t="s">
        <v>2019</v>
      </c>
      <c r="E1047">
        <v>0</v>
      </c>
      <c r="F1047">
        <f>Cleaned[[#This Row],[Debit]] * Cleaned[[#This Row],[FX_rates]]</f>
        <v>0</v>
      </c>
      <c r="G1047">
        <v>1435.58</v>
      </c>
      <c r="H1047">
        <f>Cleaned[[#This Row],[Credit]] *  Cleaned[[#This Row],[FX_rates]]</f>
        <v>147864.74</v>
      </c>
      <c r="I1047" t="s">
        <v>2023</v>
      </c>
      <c r="J1047" t="s">
        <v>2029</v>
      </c>
      <c r="K1047" t="s">
        <v>3076</v>
      </c>
      <c r="L1047" t="s">
        <v>4031</v>
      </c>
      <c r="M1047">
        <f>Cleaned[[#This Row],[Credit]]-Cleaned[[#This Row],[Debit]]</f>
        <v>1435.58</v>
      </c>
      <c r="N1047" t="str">
        <f>_xlfn.XLOOKUP(Cleaned[[#This Row],[AccountName]], Account_Mapping!A:A, Account_Mapping!B:B,"Unmapped")</f>
        <v>Revenue</v>
      </c>
      <c r="O1047" cm="1">
        <f t="array" ref="O1047">_xlfn.XLOOKUP(
  1,
  (FX_Rates[Currency]=Cleaned[[#This Row],[Currency]])*
  (FX_Rates[RateDate]&lt;=Cleaned[[#This Row],[TxnDate]]),
  FX_Rates[Rate_To_INR],
  ,
  -1
)</f>
        <v>103</v>
      </c>
      <c r="P1047" s="2">
        <f>Cleaned[[#This Row],[Net Amount]] *  Cleaned[[#This Row],[FX_rates]]</f>
        <v>147864.74</v>
      </c>
    </row>
    <row r="1048" spans="1:16" x14ac:dyDescent="0.45">
      <c r="A1048" t="s">
        <v>1056</v>
      </c>
      <c r="B1048" s="1">
        <v>45108</v>
      </c>
      <c r="C1048" s="2" t="s">
        <v>2011</v>
      </c>
      <c r="D1048" t="s">
        <v>2016</v>
      </c>
      <c r="E1048">
        <v>163.47999999999999</v>
      </c>
      <c r="F1048">
        <f>Cleaned[[#This Row],[Debit]] * Cleaned[[#This Row],[FX_rates]]</f>
        <v>9154.8799999999992</v>
      </c>
      <c r="G1048">
        <v>0</v>
      </c>
      <c r="H1048">
        <f>Cleaned[[#This Row],[Credit]] *  Cleaned[[#This Row],[FX_rates]]</f>
        <v>0</v>
      </c>
      <c r="I1048" t="s">
        <v>2025</v>
      </c>
      <c r="J1048" t="s">
        <v>2029</v>
      </c>
      <c r="K1048" t="s">
        <v>3077</v>
      </c>
      <c r="L1048" t="s">
        <v>4033</v>
      </c>
      <c r="M1048">
        <f>Cleaned[[#This Row],[Credit]]-Cleaned[[#This Row],[Debit]]</f>
        <v>-163.47999999999999</v>
      </c>
      <c r="N1048" t="str">
        <f>_xlfn.XLOOKUP(Cleaned[[#This Row],[AccountName]], Account_Mapping!A:A, Account_Mapping!B:B,"Unmapped")</f>
        <v>COGS</v>
      </c>
      <c r="O1048" cm="1">
        <f t="array" ref="O1048">_xlfn.XLOOKUP(
  1,
  (FX_Rates[Currency]=Cleaned[[#This Row],[Currency]])*
  (FX_Rates[RateDate]&lt;=Cleaned[[#This Row],[TxnDate]]),
  FX_Rates[Rate_To_INR],
  ,
  -1
)</f>
        <v>56</v>
      </c>
      <c r="P1048" s="2">
        <f>Cleaned[[#This Row],[Net Amount]] *  Cleaned[[#This Row],[FX_rates]]</f>
        <v>-9154.8799999999992</v>
      </c>
    </row>
    <row r="1049" spans="1:16" x14ac:dyDescent="0.45">
      <c r="A1049" t="s">
        <v>1057</v>
      </c>
      <c r="B1049" s="1">
        <v>45478</v>
      </c>
      <c r="C1049" s="2" t="s">
        <v>2013</v>
      </c>
      <c r="D1049" t="s">
        <v>2018</v>
      </c>
      <c r="E1049">
        <v>1586.3</v>
      </c>
      <c r="F1049">
        <f>Cleaned[[#This Row],[Debit]] * Cleaned[[#This Row],[FX_rates]]</f>
        <v>96764.3</v>
      </c>
      <c r="G1049">
        <v>0</v>
      </c>
      <c r="H1049">
        <f>Cleaned[[#This Row],[Credit]] *  Cleaned[[#This Row],[FX_rates]]</f>
        <v>0</v>
      </c>
      <c r="I1049" t="s">
        <v>2025</v>
      </c>
      <c r="J1049" t="s">
        <v>2028</v>
      </c>
      <c r="K1049" t="s">
        <v>3078</v>
      </c>
      <c r="L1049" t="s">
        <v>4035</v>
      </c>
      <c r="M1049">
        <f>Cleaned[[#This Row],[Credit]]-Cleaned[[#This Row],[Debit]]</f>
        <v>-1586.3</v>
      </c>
      <c r="N1049" t="str">
        <f>_xlfn.XLOOKUP(Cleaned[[#This Row],[AccountName]], Account_Mapping!A:A, Account_Mapping!B:B,"Unmapped")</f>
        <v>Operating Expense</v>
      </c>
      <c r="O1049" cm="1">
        <f t="array" ref="O1049">_xlfn.XLOOKUP(
  1,
  (FX_Rates[Currency]=Cleaned[[#This Row],[Currency]])*
  (FX_Rates[RateDate]&lt;=Cleaned[[#This Row],[TxnDate]]),
  FX_Rates[Rate_To_INR],
  ,
  -1
)</f>
        <v>61</v>
      </c>
      <c r="P1049" s="2">
        <f>Cleaned[[#This Row],[Net Amount]] *  Cleaned[[#This Row],[FX_rates]]</f>
        <v>-96764.3</v>
      </c>
    </row>
    <row r="1050" spans="1:16" x14ac:dyDescent="0.45">
      <c r="A1050" t="s">
        <v>1058</v>
      </c>
      <c r="B1050" s="1">
        <v>45059</v>
      </c>
      <c r="C1050" s="2" t="s">
        <v>2014</v>
      </c>
      <c r="D1050" t="s">
        <v>2019</v>
      </c>
      <c r="E1050">
        <v>0</v>
      </c>
      <c r="F1050">
        <f>Cleaned[[#This Row],[Debit]] * Cleaned[[#This Row],[FX_rates]]</f>
        <v>0</v>
      </c>
      <c r="G1050">
        <v>1071.1300000000001</v>
      </c>
      <c r="H1050">
        <f>Cleaned[[#This Row],[Credit]] *  Cleaned[[#This Row],[FX_rates]]</f>
        <v>87832.66</v>
      </c>
      <c r="I1050" t="s">
        <v>2021</v>
      </c>
      <c r="J1050" t="s">
        <v>2029</v>
      </c>
      <c r="K1050" t="s">
        <v>3079</v>
      </c>
      <c r="L1050" t="s">
        <v>4034</v>
      </c>
      <c r="M1050">
        <f>Cleaned[[#This Row],[Credit]]-Cleaned[[#This Row],[Debit]]</f>
        <v>1071.1300000000001</v>
      </c>
      <c r="N1050" t="str">
        <f>_xlfn.XLOOKUP(Cleaned[[#This Row],[AccountName]], Account_Mapping!A:A, Account_Mapping!B:B,"Unmapped")</f>
        <v>Revenue</v>
      </c>
      <c r="O1050" cm="1">
        <f t="array" ref="O1050">_xlfn.XLOOKUP(
  1,
  (FX_Rates[Currency]=Cleaned[[#This Row],[Currency]])*
  (FX_Rates[RateDate]&lt;=Cleaned[[#This Row],[TxnDate]]),
  FX_Rates[Rate_To_INR],
  ,
  -1
)</f>
        <v>82</v>
      </c>
      <c r="P1050" s="2">
        <f>Cleaned[[#This Row],[Net Amount]] *  Cleaned[[#This Row],[FX_rates]]</f>
        <v>87832.66</v>
      </c>
    </row>
    <row r="1051" spans="1:16" x14ac:dyDescent="0.45">
      <c r="A1051" t="s">
        <v>1059</v>
      </c>
      <c r="B1051" s="1">
        <v>45508</v>
      </c>
      <c r="C1051" s="2" t="s">
        <v>2013</v>
      </c>
      <c r="D1051" t="s">
        <v>2018</v>
      </c>
      <c r="E1051">
        <v>1888.6</v>
      </c>
      <c r="F1051">
        <f>Cleaned[[#This Row],[Debit]] * Cleaned[[#This Row],[FX_rates]]</f>
        <v>166196.79999999999</v>
      </c>
      <c r="G1051">
        <v>0</v>
      </c>
      <c r="H1051">
        <f>Cleaned[[#This Row],[Credit]] *  Cleaned[[#This Row],[FX_rates]]</f>
        <v>0</v>
      </c>
      <c r="I1051" t="s">
        <v>2024</v>
      </c>
      <c r="J1051" t="s">
        <v>2029</v>
      </c>
      <c r="K1051" t="s">
        <v>3080</v>
      </c>
      <c r="L1051" t="s">
        <v>4032</v>
      </c>
      <c r="M1051">
        <f>Cleaned[[#This Row],[Credit]]-Cleaned[[#This Row],[Debit]]</f>
        <v>-1888.6</v>
      </c>
      <c r="N1051" t="str">
        <f>_xlfn.XLOOKUP(Cleaned[[#This Row],[AccountName]], Account_Mapping!A:A, Account_Mapping!B:B,"Unmapped")</f>
        <v>Operating Expense</v>
      </c>
      <c r="O1051" cm="1">
        <f t="array" ref="O1051">_xlfn.XLOOKUP(
  1,
  (FX_Rates[Currency]=Cleaned[[#This Row],[Currency]])*
  (FX_Rates[RateDate]&lt;=Cleaned[[#This Row],[TxnDate]]),
  FX_Rates[Rate_To_INR],
  ,
  -1
)</f>
        <v>88</v>
      </c>
      <c r="P1051" s="2">
        <f>Cleaned[[#This Row],[Net Amount]] *  Cleaned[[#This Row],[FX_rates]]</f>
        <v>-166196.79999999999</v>
      </c>
    </row>
    <row r="1052" spans="1:16" x14ac:dyDescent="0.45">
      <c r="A1052" t="s">
        <v>1060</v>
      </c>
      <c r="B1052" s="1">
        <v>45244</v>
      </c>
      <c r="C1052" s="2" t="s">
        <v>2012</v>
      </c>
      <c r="D1052" t="s">
        <v>2017</v>
      </c>
      <c r="E1052">
        <v>1396.76</v>
      </c>
      <c r="F1052">
        <f>Cleaned[[#This Row],[Debit]] * Cleaned[[#This Row],[FX_rates]]</f>
        <v>114534.31999999999</v>
      </c>
      <c r="G1052">
        <v>0</v>
      </c>
      <c r="H1052">
        <f>Cleaned[[#This Row],[Credit]] *  Cleaned[[#This Row],[FX_rates]]</f>
        <v>0</v>
      </c>
      <c r="I1052" t="s">
        <v>2021</v>
      </c>
      <c r="J1052" t="s">
        <v>2029</v>
      </c>
      <c r="K1052" t="s">
        <v>3081</v>
      </c>
      <c r="L1052" t="s">
        <v>4034</v>
      </c>
      <c r="M1052">
        <f>Cleaned[[#This Row],[Credit]]-Cleaned[[#This Row],[Debit]]</f>
        <v>-1396.76</v>
      </c>
      <c r="N1052" t="str">
        <f>_xlfn.XLOOKUP(Cleaned[[#This Row],[AccountName]], Account_Mapping!A:A, Account_Mapping!B:B,"Unmapped")</f>
        <v>Operating Expense</v>
      </c>
      <c r="O1052" cm="1">
        <f t="array" ref="O1052">_xlfn.XLOOKUP(
  1,
  (FX_Rates[Currency]=Cleaned[[#This Row],[Currency]])*
  (FX_Rates[RateDate]&lt;=Cleaned[[#This Row],[TxnDate]]),
  FX_Rates[Rate_To_INR],
  ,
  -1
)</f>
        <v>82</v>
      </c>
      <c r="P1052" s="2">
        <f>Cleaned[[#This Row],[Net Amount]] *  Cleaned[[#This Row],[FX_rates]]</f>
        <v>-114534.31999999999</v>
      </c>
    </row>
    <row r="1053" spans="1:16" x14ac:dyDescent="0.45">
      <c r="A1053" t="s">
        <v>1061</v>
      </c>
      <c r="B1053" s="1">
        <v>44968</v>
      </c>
      <c r="C1053" s="2" t="s">
        <v>2010</v>
      </c>
      <c r="D1053" t="s">
        <v>2015</v>
      </c>
      <c r="E1053">
        <v>0</v>
      </c>
      <c r="F1053">
        <f>Cleaned[[#This Row],[Debit]] * Cleaned[[#This Row],[FX_rates]]</f>
        <v>0</v>
      </c>
      <c r="G1053">
        <v>458.3</v>
      </c>
      <c r="H1053">
        <f>Cleaned[[#This Row],[Credit]] *  Cleaned[[#This Row],[FX_rates]]</f>
        <v>40330.400000000001</v>
      </c>
      <c r="I1053" t="s">
        <v>2024</v>
      </c>
      <c r="J1053" t="s">
        <v>2030</v>
      </c>
      <c r="K1053" t="s">
        <v>3082</v>
      </c>
      <c r="L1053" t="s">
        <v>4032</v>
      </c>
      <c r="M1053">
        <f>Cleaned[[#This Row],[Credit]]-Cleaned[[#This Row],[Debit]]</f>
        <v>458.3</v>
      </c>
      <c r="N1053" t="str">
        <f>_xlfn.XLOOKUP(Cleaned[[#This Row],[AccountName]], Account_Mapping!A:A, Account_Mapping!B:B,"Unmapped")</f>
        <v>Revenue</v>
      </c>
      <c r="O1053" cm="1">
        <f t="array" ref="O1053">_xlfn.XLOOKUP(
  1,
  (FX_Rates[Currency]=Cleaned[[#This Row],[Currency]])*
  (FX_Rates[RateDate]&lt;=Cleaned[[#This Row],[TxnDate]]),
  FX_Rates[Rate_To_INR],
  ,
  -1
)</f>
        <v>88</v>
      </c>
      <c r="P1053" s="2">
        <f>Cleaned[[#This Row],[Net Amount]] *  Cleaned[[#This Row],[FX_rates]]</f>
        <v>40330.400000000001</v>
      </c>
    </row>
    <row r="1054" spans="1:16" x14ac:dyDescent="0.45">
      <c r="A1054" t="s">
        <v>1062</v>
      </c>
      <c r="B1054" s="1">
        <v>45813</v>
      </c>
      <c r="C1054" s="2" t="s">
        <v>2012</v>
      </c>
      <c r="D1054" t="s">
        <v>2017</v>
      </c>
      <c r="E1054">
        <v>1873.98</v>
      </c>
      <c r="F1054">
        <f>Cleaned[[#This Row],[Debit]] * Cleaned[[#This Row],[FX_rates]]</f>
        <v>114312.78</v>
      </c>
      <c r="G1054">
        <v>0</v>
      </c>
      <c r="H1054">
        <f>Cleaned[[#This Row],[Credit]] *  Cleaned[[#This Row],[FX_rates]]</f>
        <v>0</v>
      </c>
      <c r="I1054" t="s">
        <v>2022</v>
      </c>
      <c r="J1054" t="s">
        <v>2026</v>
      </c>
      <c r="K1054" t="s">
        <v>3083</v>
      </c>
      <c r="L1054" t="s">
        <v>4035</v>
      </c>
      <c r="M1054">
        <f>Cleaned[[#This Row],[Credit]]-Cleaned[[#This Row],[Debit]]</f>
        <v>-1873.98</v>
      </c>
      <c r="N1054" t="str">
        <f>_xlfn.XLOOKUP(Cleaned[[#This Row],[AccountName]], Account_Mapping!A:A, Account_Mapping!B:B,"Unmapped")</f>
        <v>Operating Expense</v>
      </c>
      <c r="O1054" cm="1">
        <f t="array" ref="O1054">_xlfn.XLOOKUP(
  1,
  (FX_Rates[Currency]=Cleaned[[#This Row],[Currency]])*
  (FX_Rates[RateDate]&lt;=Cleaned[[#This Row],[TxnDate]]),
  FX_Rates[Rate_To_INR],
  ,
  -1
)</f>
        <v>61</v>
      </c>
      <c r="P1054" s="2">
        <f>Cleaned[[#This Row],[Net Amount]] *  Cleaned[[#This Row],[FX_rates]]</f>
        <v>-114312.78</v>
      </c>
    </row>
    <row r="1055" spans="1:16" x14ac:dyDescent="0.45">
      <c r="A1055" t="s">
        <v>1063</v>
      </c>
      <c r="B1055" s="1">
        <v>45459</v>
      </c>
      <c r="C1055" s="2" t="s">
        <v>2014</v>
      </c>
      <c r="D1055" t="s">
        <v>2019</v>
      </c>
      <c r="E1055">
        <v>0</v>
      </c>
      <c r="F1055">
        <f>Cleaned[[#This Row],[Debit]] * Cleaned[[#This Row],[FX_rates]]</f>
        <v>0</v>
      </c>
      <c r="G1055">
        <v>550.03</v>
      </c>
      <c r="H1055">
        <f>Cleaned[[#This Row],[Credit]] *  Cleaned[[#This Row],[FX_rates]]</f>
        <v>30801.68</v>
      </c>
      <c r="I1055" t="s">
        <v>2022</v>
      </c>
      <c r="J1055" t="s">
        <v>2030</v>
      </c>
      <c r="K1055" t="s">
        <v>3084</v>
      </c>
      <c r="L1055" t="s">
        <v>4033</v>
      </c>
      <c r="M1055">
        <f>Cleaned[[#This Row],[Credit]]-Cleaned[[#This Row],[Debit]]</f>
        <v>550.03</v>
      </c>
      <c r="N1055" t="str">
        <f>_xlfn.XLOOKUP(Cleaned[[#This Row],[AccountName]], Account_Mapping!A:A, Account_Mapping!B:B,"Unmapped")</f>
        <v>Revenue</v>
      </c>
      <c r="O1055" cm="1">
        <f t="array" ref="O1055">_xlfn.XLOOKUP(
  1,
  (FX_Rates[Currency]=Cleaned[[#This Row],[Currency]])*
  (FX_Rates[RateDate]&lt;=Cleaned[[#This Row],[TxnDate]]),
  FX_Rates[Rate_To_INR],
  ,
  -1
)</f>
        <v>56</v>
      </c>
      <c r="P1055" s="2">
        <f>Cleaned[[#This Row],[Net Amount]] *  Cleaned[[#This Row],[FX_rates]]</f>
        <v>30801.68</v>
      </c>
    </row>
    <row r="1056" spans="1:16" x14ac:dyDescent="0.45">
      <c r="A1056" t="s">
        <v>1064</v>
      </c>
      <c r="B1056" s="1">
        <v>45144</v>
      </c>
      <c r="C1056" s="2" t="s">
        <v>2013</v>
      </c>
      <c r="D1056" t="s">
        <v>2018</v>
      </c>
      <c r="E1056">
        <v>1300.8599999999999</v>
      </c>
      <c r="F1056">
        <f>Cleaned[[#This Row],[Debit]] * Cleaned[[#This Row],[FX_rates]]</f>
        <v>114475.68</v>
      </c>
      <c r="G1056">
        <v>0</v>
      </c>
      <c r="H1056">
        <f>Cleaned[[#This Row],[Credit]] *  Cleaned[[#This Row],[FX_rates]]</f>
        <v>0</v>
      </c>
      <c r="I1056" t="s">
        <v>2025</v>
      </c>
      <c r="J1056" t="s">
        <v>2027</v>
      </c>
      <c r="K1056" t="s">
        <v>3085</v>
      </c>
      <c r="L1056" t="s">
        <v>4032</v>
      </c>
      <c r="M1056">
        <f>Cleaned[[#This Row],[Credit]]-Cleaned[[#This Row],[Debit]]</f>
        <v>-1300.8599999999999</v>
      </c>
      <c r="N1056" t="str">
        <f>_xlfn.XLOOKUP(Cleaned[[#This Row],[AccountName]], Account_Mapping!A:A, Account_Mapping!B:B,"Unmapped")</f>
        <v>Operating Expense</v>
      </c>
      <c r="O1056" cm="1">
        <f t="array" ref="O1056">_xlfn.XLOOKUP(
  1,
  (FX_Rates[Currency]=Cleaned[[#This Row],[Currency]])*
  (FX_Rates[RateDate]&lt;=Cleaned[[#This Row],[TxnDate]]),
  FX_Rates[Rate_To_INR],
  ,
  -1
)</f>
        <v>88</v>
      </c>
      <c r="P1056" s="2">
        <f>Cleaned[[#This Row],[Net Amount]] *  Cleaned[[#This Row],[FX_rates]]</f>
        <v>-114475.68</v>
      </c>
    </row>
    <row r="1057" spans="1:16" x14ac:dyDescent="0.45">
      <c r="A1057" t="s">
        <v>1065</v>
      </c>
      <c r="B1057" s="1">
        <v>45254</v>
      </c>
      <c r="C1057" s="2" t="s">
        <v>2012</v>
      </c>
      <c r="D1057" t="s">
        <v>2017</v>
      </c>
      <c r="E1057">
        <v>509.12</v>
      </c>
      <c r="F1057">
        <f>Cleaned[[#This Row],[Debit]] * Cleaned[[#This Row],[FX_rates]]</f>
        <v>31056.32</v>
      </c>
      <c r="G1057">
        <v>0</v>
      </c>
      <c r="H1057">
        <f>Cleaned[[#This Row],[Credit]] *  Cleaned[[#This Row],[FX_rates]]</f>
        <v>0</v>
      </c>
      <c r="I1057" t="s">
        <v>2025</v>
      </c>
      <c r="J1057" t="s">
        <v>2027</v>
      </c>
      <c r="K1057" t="s">
        <v>3086</v>
      </c>
      <c r="L1057" t="s">
        <v>4035</v>
      </c>
      <c r="M1057">
        <f>Cleaned[[#This Row],[Credit]]-Cleaned[[#This Row],[Debit]]</f>
        <v>-509.12</v>
      </c>
      <c r="N1057" t="str">
        <f>_xlfn.XLOOKUP(Cleaned[[#This Row],[AccountName]], Account_Mapping!A:A, Account_Mapping!B:B,"Unmapped")</f>
        <v>Operating Expense</v>
      </c>
      <c r="O1057" cm="1">
        <f t="array" ref="O1057">_xlfn.XLOOKUP(
  1,
  (FX_Rates[Currency]=Cleaned[[#This Row],[Currency]])*
  (FX_Rates[RateDate]&lt;=Cleaned[[#This Row],[TxnDate]]),
  FX_Rates[Rate_To_INR],
  ,
  -1
)</f>
        <v>61</v>
      </c>
      <c r="P1057" s="2">
        <f>Cleaned[[#This Row],[Net Amount]] *  Cleaned[[#This Row],[FX_rates]]</f>
        <v>-31056.32</v>
      </c>
    </row>
    <row r="1058" spans="1:16" x14ac:dyDescent="0.45">
      <c r="A1058" t="s">
        <v>1066</v>
      </c>
      <c r="B1058" s="1">
        <v>45782</v>
      </c>
      <c r="C1058" s="2" t="s">
        <v>2012</v>
      </c>
      <c r="D1058" t="s">
        <v>2017</v>
      </c>
      <c r="E1058">
        <v>1328.19</v>
      </c>
      <c r="F1058">
        <f>Cleaned[[#This Row],[Debit]] * Cleaned[[#This Row],[FX_rates]]</f>
        <v>81019.59</v>
      </c>
      <c r="G1058">
        <v>0</v>
      </c>
      <c r="H1058">
        <f>Cleaned[[#This Row],[Credit]] *  Cleaned[[#This Row],[FX_rates]]</f>
        <v>0</v>
      </c>
      <c r="I1058" t="s">
        <v>2024</v>
      </c>
      <c r="J1058" t="s">
        <v>2026</v>
      </c>
      <c r="K1058" t="s">
        <v>3087</v>
      </c>
      <c r="L1058" t="s">
        <v>4035</v>
      </c>
      <c r="M1058">
        <f>Cleaned[[#This Row],[Credit]]-Cleaned[[#This Row],[Debit]]</f>
        <v>-1328.19</v>
      </c>
      <c r="N1058" t="str">
        <f>_xlfn.XLOOKUP(Cleaned[[#This Row],[AccountName]], Account_Mapping!A:A, Account_Mapping!B:B,"Unmapped")</f>
        <v>Operating Expense</v>
      </c>
      <c r="O1058" cm="1">
        <f t="array" ref="O1058">_xlfn.XLOOKUP(
  1,
  (FX_Rates[Currency]=Cleaned[[#This Row],[Currency]])*
  (FX_Rates[RateDate]&lt;=Cleaned[[#This Row],[TxnDate]]),
  FX_Rates[Rate_To_INR],
  ,
  -1
)</f>
        <v>61</v>
      </c>
      <c r="P1058" s="2">
        <f>Cleaned[[#This Row],[Net Amount]] *  Cleaned[[#This Row],[FX_rates]]</f>
        <v>-81019.59</v>
      </c>
    </row>
    <row r="1059" spans="1:16" x14ac:dyDescent="0.45">
      <c r="A1059" t="s">
        <v>1067</v>
      </c>
      <c r="B1059" s="1">
        <v>45559</v>
      </c>
      <c r="C1059" s="2" t="s">
        <v>2010</v>
      </c>
      <c r="D1059" t="s">
        <v>2015</v>
      </c>
      <c r="E1059">
        <v>0</v>
      </c>
      <c r="F1059">
        <f>Cleaned[[#This Row],[Debit]] * Cleaned[[#This Row],[FX_rates]]</f>
        <v>0</v>
      </c>
      <c r="G1059">
        <v>2455.5100000000002</v>
      </c>
      <c r="H1059">
        <f>Cleaned[[#This Row],[Credit]] *  Cleaned[[#This Row],[FX_rates]]</f>
        <v>137508.56</v>
      </c>
      <c r="I1059" t="s">
        <v>2020</v>
      </c>
      <c r="J1059" t="s">
        <v>2026</v>
      </c>
      <c r="K1059" t="s">
        <v>3088</v>
      </c>
      <c r="L1059" t="s">
        <v>4033</v>
      </c>
      <c r="M1059">
        <f>Cleaned[[#This Row],[Credit]]-Cleaned[[#This Row],[Debit]]</f>
        <v>2455.5100000000002</v>
      </c>
      <c r="N1059" t="str">
        <f>_xlfn.XLOOKUP(Cleaned[[#This Row],[AccountName]], Account_Mapping!A:A, Account_Mapping!B:B,"Unmapped")</f>
        <v>Revenue</v>
      </c>
      <c r="O1059" cm="1">
        <f t="array" ref="O1059">_xlfn.XLOOKUP(
  1,
  (FX_Rates[Currency]=Cleaned[[#This Row],[Currency]])*
  (FX_Rates[RateDate]&lt;=Cleaned[[#This Row],[TxnDate]]),
  FX_Rates[Rate_To_INR],
  ,
  -1
)</f>
        <v>56</v>
      </c>
      <c r="P1059" s="2">
        <f>Cleaned[[#This Row],[Net Amount]] *  Cleaned[[#This Row],[FX_rates]]</f>
        <v>137508.56</v>
      </c>
    </row>
    <row r="1060" spans="1:16" x14ac:dyDescent="0.45">
      <c r="A1060" t="s">
        <v>1068</v>
      </c>
      <c r="B1060" s="1">
        <v>45791</v>
      </c>
      <c r="C1060" s="2" t="s">
        <v>2010</v>
      </c>
      <c r="D1060" t="s">
        <v>2015</v>
      </c>
      <c r="E1060">
        <v>0</v>
      </c>
      <c r="F1060">
        <f>Cleaned[[#This Row],[Debit]] * Cleaned[[#This Row],[FX_rates]]</f>
        <v>0</v>
      </c>
      <c r="G1060">
        <v>723.85</v>
      </c>
      <c r="H1060">
        <f>Cleaned[[#This Row],[Credit]] *  Cleaned[[#This Row],[FX_rates]]</f>
        <v>59355.700000000004</v>
      </c>
      <c r="I1060" t="s">
        <v>2025</v>
      </c>
      <c r="J1060" t="s">
        <v>2026</v>
      </c>
      <c r="K1060" t="s">
        <v>3089</v>
      </c>
      <c r="L1060" t="s">
        <v>4034</v>
      </c>
      <c r="M1060">
        <f>Cleaned[[#This Row],[Credit]]-Cleaned[[#This Row],[Debit]]</f>
        <v>723.85</v>
      </c>
      <c r="N1060" t="str">
        <f>_xlfn.XLOOKUP(Cleaned[[#This Row],[AccountName]], Account_Mapping!A:A, Account_Mapping!B:B,"Unmapped")</f>
        <v>Revenue</v>
      </c>
      <c r="O1060" cm="1">
        <f t="array" ref="O1060">_xlfn.XLOOKUP(
  1,
  (FX_Rates[Currency]=Cleaned[[#This Row],[Currency]])*
  (FX_Rates[RateDate]&lt;=Cleaned[[#This Row],[TxnDate]]),
  FX_Rates[Rate_To_INR],
  ,
  -1
)</f>
        <v>82</v>
      </c>
      <c r="P1060" s="2">
        <f>Cleaned[[#This Row],[Net Amount]] *  Cleaned[[#This Row],[FX_rates]]</f>
        <v>59355.700000000004</v>
      </c>
    </row>
    <row r="1061" spans="1:16" x14ac:dyDescent="0.45">
      <c r="A1061" t="s">
        <v>1069</v>
      </c>
      <c r="B1061" s="1">
        <v>45287</v>
      </c>
      <c r="C1061" s="2" t="s">
        <v>2014</v>
      </c>
      <c r="D1061" t="s">
        <v>2019</v>
      </c>
      <c r="E1061">
        <v>0</v>
      </c>
      <c r="F1061">
        <f>Cleaned[[#This Row],[Debit]] * Cleaned[[#This Row],[FX_rates]]</f>
        <v>0</v>
      </c>
      <c r="G1061">
        <v>544.42999999999995</v>
      </c>
      <c r="H1061">
        <f>Cleaned[[#This Row],[Credit]] *  Cleaned[[#This Row],[FX_rates]]</f>
        <v>33210.229999999996</v>
      </c>
      <c r="I1061" t="s">
        <v>2021</v>
      </c>
      <c r="J1061" t="s">
        <v>2026</v>
      </c>
      <c r="K1061" t="s">
        <v>3090</v>
      </c>
      <c r="L1061" t="s">
        <v>4035</v>
      </c>
      <c r="M1061">
        <f>Cleaned[[#This Row],[Credit]]-Cleaned[[#This Row],[Debit]]</f>
        <v>544.42999999999995</v>
      </c>
      <c r="N1061" t="str">
        <f>_xlfn.XLOOKUP(Cleaned[[#This Row],[AccountName]], Account_Mapping!A:A, Account_Mapping!B:B,"Unmapped")</f>
        <v>Revenue</v>
      </c>
      <c r="O1061" cm="1">
        <f t="array" ref="O1061">_xlfn.XLOOKUP(
  1,
  (FX_Rates[Currency]=Cleaned[[#This Row],[Currency]])*
  (FX_Rates[RateDate]&lt;=Cleaned[[#This Row],[TxnDate]]),
  FX_Rates[Rate_To_INR],
  ,
  -1
)</f>
        <v>61</v>
      </c>
      <c r="P1061" s="2">
        <f>Cleaned[[#This Row],[Net Amount]] *  Cleaned[[#This Row],[FX_rates]]</f>
        <v>33210.229999999996</v>
      </c>
    </row>
    <row r="1062" spans="1:16" x14ac:dyDescent="0.45">
      <c r="A1062" t="s">
        <v>1070</v>
      </c>
      <c r="B1062" s="1">
        <v>45175</v>
      </c>
      <c r="C1062" s="2" t="s">
        <v>2011</v>
      </c>
      <c r="D1062" t="s">
        <v>2016</v>
      </c>
      <c r="E1062">
        <v>1812.2</v>
      </c>
      <c r="F1062">
        <f>Cleaned[[#This Row],[Debit]] * Cleaned[[#This Row],[FX_rates]]</f>
        <v>186656.6</v>
      </c>
      <c r="G1062">
        <v>0</v>
      </c>
      <c r="H1062">
        <f>Cleaned[[#This Row],[Credit]] *  Cleaned[[#This Row],[FX_rates]]</f>
        <v>0</v>
      </c>
      <c r="I1062" t="s">
        <v>2021</v>
      </c>
      <c r="J1062" t="s">
        <v>2030</v>
      </c>
      <c r="K1062" t="s">
        <v>3091</v>
      </c>
      <c r="L1062" t="s">
        <v>4031</v>
      </c>
      <c r="M1062">
        <f>Cleaned[[#This Row],[Credit]]-Cleaned[[#This Row],[Debit]]</f>
        <v>-1812.2</v>
      </c>
      <c r="N1062" t="str">
        <f>_xlfn.XLOOKUP(Cleaned[[#This Row],[AccountName]], Account_Mapping!A:A, Account_Mapping!B:B,"Unmapped")</f>
        <v>COGS</v>
      </c>
      <c r="O1062" cm="1">
        <f t="array" ref="O1062">_xlfn.XLOOKUP(
  1,
  (FX_Rates[Currency]=Cleaned[[#This Row],[Currency]])*
  (FX_Rates[RateDate]&lt;=Cleaned[[#This Row],[TxnDate]]),
  FX_Rates[Rate_To_INR],
  ,
  -1
)</f>
        <v>103</v>
      </c>
      <c r="P1062" s="2">
        <f>Cleaned[[#This Row],[Net Amount]] *  Cleaned[[#This Row],[FX_rates]]</f>
        <v>-186656.6</v>
      </c>
    </row>
    <row r="1063" spans="1:16" x14ac:dyDescent="0.45">
      <c r="A1063" t="s">
        <v>1071</v>
      </c>
      <c r="B1063" s="1">
        <v>45242</v>
      </c>
      <c r="C1063" s="2" t="s">
        <v>2013</v>
      </c>
      <c r="D1063" t="s">
        <v>2018</v>
      </c>
      <c r="E1063">
        <v>1323.46</v>
      </c>
      <c r="F1063">
        <f>Cleaned[[#This Row],[Debit]] * Cleaned[[#This Row],[FX_rates]]</f>
        <v>136316.38</v>
      </c>
      <c r="G1063">
        <v>0</v>
      </c>
      <c r="H1063">
        <f>Cleaned[[#This Row],[Credit]] *  Cleaned[[#This Row],[FX_rates]]</f>
        <v>0</v>
      </c>
      <c r="I1063" t="s">
        <v>2022</v>
      </c>
      <c r="J1063" t="s">
        <v>2030</v>
      </c>
      <c r="K1063" t="s">
        <v>3092</v>
      </c>
      <c r="L1063" t="s">
        <v>4031</v>
      </c>
      <c r="M1063">
        <f>Cleaned[[#This Row],[Credit]]-Cleaned[[#This Row],[Debit]]</f>
        <v>-1323.46</v>
      </c>
      <c r="N1063" t="str">
        <f>_xlfn.XLOOKUP(Cleaned[[#This Row],[AccountName]], Account_Mapping!A:A, Account_Mapping!B:B,"Unmapped")</f>
        <v>Operating Expense</v>
      </c>
      <c r="O1063" cm="1">
        <f t="array" ref="O1063">_xlfn.XLOOKUP(
  1,
  (FX_Rates[Currency]=Cleaned[[#This Row],[Currency]])*
  (FX_Rates[RateDate]&lt;=Cleaned[[#This Row],[TxnDate]]),
  FX_Rates[Rate_To_INR],
  ,
  -1
)</f>
        <v>103</v>
      </c>
      <c r="P1063" s="2">
        <f>Cleaned[[#This Row],[Net Amount]] *  Cleaned[[#This Row],[FX_rates]]</f>
        <v>-136316.38</v>
      </c>
    </row>
    <row r="1064" spans="1:16" x14ac:dyDescent="0.45">
      <c r="A1064" t="s">
        <v>1072</v>
      </c>
      <c r="B1064" s="1">
        <v>45315</v>
      </c>
      <c r="C1064" s="2" t="s">
        <v>2011</v>
      </c>
      <c r="D1064" t="s">
        <v>2016</v>
      </c>
      <c r="E1064">
        <v>254.62</v>
      </c>
      <c r="F1064">
        <f>Cleaned[[#This Row],[Debit]] * Cleaned[[#This Row],[FX_rates]]</f>
        <v>20878.84</v>
      </c>
      <c r="G1064">
        <v>0</v>
      </c>
      <c r="H1064">
        <f>Cleaned[[#This Row],[Credit]] *  Cleaned[[#This Row],[FX_rates]]</f>
        <v>0</v>
      </c>
      <c r="I1064" t="s">
        <v>2020</v>
      </c>
      <c r="J1064" t="s">
        <v>2027</v>
      </c>
      <c r="K1064" t="s">
        <v>3093</v>
      </c>
      <c r="L1064" t="s">
        <v>4034</v>
      </c>
      <c r="M1064">
        <f>Cleaned[[#This Row],[Credit]]-Cleaned[[#This Row],[Debit]]</f>
        <v>-254.62</v>
      </c>
      <c r="N1064" t="str">
        <f>_xlfn.XLOOKUP(Cleaned[[#This Row],[AccountName]], Account_Mapping!A:A, Account_Mapping!B:B,"Unmapped")</f>
        <v>COGS</v>
      </c>
      <c r="O1064" cm="1">
        <f t="array" ref="O1064">_xlfn.XLOOKUP(
  1,
  (FX_Rates[Currency]=Cleaned[[#This Row],[Currency]])*
  (FX_Rates[RateDate]&lt;=Cleaned[[#This Row],[TxnDate]]),
  FX_Rates[Rate_To_INR],
  ,
  -1
)</f>
        <v>82</v>
      </c>
      <c r="P1064" s="2">
        <f>Cleaned[[#This Row],[Net Amount]] *  Cleaned[[#This Row],[FX_rates]]</f>
        <v>-20878.84</v>
      </c>
    </row>
    <row r="1065" spans="1:16" x14ac:dyDescent="0.45">
      <c r="A1065" t="s">
        <v>1073</v>
      </c>
      <c r="B1065" s="1">
        <v>45567</v>
      </c>
      <c r="C1065" s="2" t="s">
        <v>2013</v>
      </c>
      <c r="D1065" t="s">
        <v>2018</v>
      </c>
      <c r="E1065">
        <v>1198.8900000000001</v>
      </c>
      <c r="F1065">
        <f>Cleaned[[#This Row],[Debit]] * Cleaned[[#This Row],[FX_rates]]</f>
        <v>123485.67000000001</v>
      </c>
      <c r="G1065">
        <v>0</v>
      </c>
      <c r="H1065">
        <f>Cleaned[[#This Row],[Credit]] *  Cleaned[[#This Row],[FX_rates]]</f>
        <v>0</v>
      </c>
      <c r="I1065" t="s">
        <v>2025</v>
      </c>
      <c r="J1065" t="s">
        <v>2027</v>
      </c>
      <c r="K1065" t="s">
        <v>3094</v>
      </c>
      <c r="L1065" t="s">
        <v>4031</v>
      </c>
      <c r="M1065">
        <f>Cleaned[[#This Row],[Credit]]-Cleaned[[#This Row],[Debit]]</f>
        <v>-1198.8900000000001</v>
      </c>
      <c r="N1065" t="str">
        <f>_xlfn.XLOOKUP(Cleaned[[#This Row],[AccountName]], Account_Mapping!A:A, Account_Mapping!B:B,"Unmapped")</f>
        <v>Operating Expense</v>
      </c>
      <c r="O1065" cm="1">
        <f t="array" ref="O1065">_xlfn.XLOOKUP(
  1,
  (FX_Rates[Currency]=Cleaned[[#This Row],[Currency]])*
  (FX_Rates[RateDate]&lt;=Cleaned[[#This Row],[TxnDate]]),
  FX_Rates[Rate_To_INR],
  ,
  -1
)</f>
        <v>103</v>
      </c>
      <c r="P1065" s="2">
        <f>Cleaned[[#This Row],[Net Amount]] *  Cleaned[[#This Row],[FX_rates]]</f>
        <v>-123485.67000000001</v>
      </c>
    </row>
    <row r="1066" spans="1:16" x14ac:dyDescent="0.45">
      <c r="A1066" t="s">
        <v>1074</v>
      </c>
      <c r="B1066" s="1">
        <v>45462</v>
      </c>
      <c r="C1066" s="2" t="s">
        <v>2013</v>
      </c>
      <c r="D1066" t="s">
        <v>2018</v>
      </c>
      <c r="E1066">
        <v>556.48</v>
      </c>
      <c r="F1066">
        <f>Cleaned[[#This Row],[Debit]] * Cleaned[[#This Row],[FX_rates]]</f>
        <v>57317.440000000002</v>
      </c>
      <c r="G1066">
        <v>0</v>
      </c>
      <c r="H1066">
        <f>Cleaned[[#This Row],[Credit]] *  Cleaned[[#This Row],[FX_rates]]</f>
        <v>0</v>
      </c>
      <c r="I1066" t="s">
        <v>2023</v>
      </c>
      <c r="J1066" t="s">
        <v>2030</v>
      </c>
      <c r="K1066" t="s">
        <v>3095</v>
      </c>
      <c r="L1066" t="s">
        <v>4031</v>
      </c>
      <c r="M1066">
        <f>Cleaned[[#This Row],[Credit]]-Cleaned[[#This Row],[Debit]]</f>
        <v>-556.48</v>
      </c>
      <c r="N1066" t="str">
        <f>_xlfn.XLOOKUP(Cleaned[[#This Row],[AccountName]], Account_Mapping!A:A, Account_Mapping!B:B,"Unmapped")</f>
        <v>Operating Expense</v>
      </c>
      <c r="O1066" cm="1">
        <f t="array" ref="O1066">_xlfn.XLOOKUP(
  1,
  (FX_Rates[Currency]=Cleaned[[#This Row],[Currency]])*
  (FX_Rates[RateDate]&lt;=Cleaned[[#This Row],[TxnDate]]),
  FX_Rates[Rate_To_INR],
  ,
  -1
)</f>
        <v>103</v>
      </c>
      <c r="P1066" s="2">
        <f>Cleaned[[#This Row],[Net Amount]] *  Cleaned[[#This Row],[FX_rates]]</f>
        <v>-57317.440000000002</v>
      </c>
    </row>
    <row r="1067" spans="1:16" x14ac:dyDescent="0.45">
      <c r="A1067" t="s">
        <v>1075</v>
      </c>
      <c r="B1067" s="1">
        <v>45103</v>
      </c>
      <c r="C1067" s="2" t="s">
        <v>2014</v>
      </c>
      <c r="D1067" t="s">
        <v>2019</v>
      </c>
      <c r="E1067">
        <v>0</v>
      </c>
      <c r="F1067">
        <f>Cleaned[[#This Row],[Debit]] * Cleaned[[#This Row],[FX_rates]]</f>
        <v>0</v>
      </c>
      <c r="G1067">
        <v>3204.3</v>
      </c>
      <c r="H1067">
        <f>Cleaned[[#This Row],[Credit]] *  Cleaned[[#This Row],[FX_rates]]</f>
        <v>195462.30000000002</v>
      </c>
      <c r="I1067" t="s">
        <v>2025</v>
      </c>
      <c r="J1067" t="s">
        <v>2030</v>
      </c>
      <c r="K1067" t="s">
        <v>3096</v>
      </c>
      <c r="L1067" t="s">
        <v>4035</v>
      </c>
      <c r="M1067">
        <f>Cleaned[[#This Row],[Credit]]-Cleaned[[#This Row],[Debit]]</f>
        <v>3204.3</v>
      </c>
      <c r="N1067" t="str">
        <f>_xlfn.XLOOKUP(Cleaned[[#This Row],[AccountName]], Account_Mapping!A:A, Account_Mapping!B:B,"Unmapped")</f>
        <v>Revenue</v>
      </c>
      <c r="O1067" cm="1">
        <f t="array" ref="O1067">_xlfn.XLOOKUP(
  1,
  (FX_Rates[Currency]=Cleaned[[#This Row],[Currency]])*
  (FX_Rates[RateDate]&lt;=Cleaned[[#This Row],[TxnDate]]),
  FX_Rates[Rate_To_INR],
  ,
  -1
)</f>
        <v>61</v>
      </c>
      <c r="P1067" s="2">
        <f>Cleaned[[#This Row],[Net Amount]] *  Cleaned[[#This Row],[FX_rates]]</f>
        <v>195462.30000000002</v>
      </c>
    </row>
    <row r="1068" spans="1:16" x14ac:dyDescent="0.45">
      <c r="A1068" t="s">
        <v>1076</v>
      </c>
      <c r="B1068" s="1">
        <v>45827</v>
      </c>
      <c r="C1068" s="2" t="s">
        <v>2012</v>
      </c>
      <c r="D1068" t="s">
        <v>2017</v>
      </c>
      <c r="E1068">
        <v>322.5</v>
      </c>
      <c r="F1068">
        <f>Cleaned[[#This Row],[Debit]] * Cleaned[[#This Row],[FX_rates]]</f>
        <v>28380</v>
      </c>
      <c r="G1068">
        <v>0</v>
      </c>
      <c r="H1068">
        <f>Cleaned[[#This Row],[Credit]] *  Cleaned[[#This Row],[FX_rates]]</f>
        <v>0</v>
      </c>
      <c r="I1068" t="s">
        <v>2021</v>
      </c>
      <c r="J1068" t="s">
        <v>2030</v>
      </c>
      <c r="K1068" t="s">
        <v>3097</v>
      </c>
      <c r="L1068" t="s">
        <v>4032</v>
      </c>
      <c r="M1068">
        <f>Cleaned[[#This Row],[Credit]]-Cleaned[[#This Row],[Debit]]</f>
        <v>-322.5</v>
      </c>
      <c r="N1068" t="str">
        <f>_xlfn.XLOOKUP(Cleaned[[#This Row],[AccountName]], Account_Mapping!A:A, Account_Mapping!B:B,"Unmapped")</f>
        <v>Operating Expense</v>
      </c>
      <c r="O1068" cm="1">
        <f t="array" ref="O1068">_xlfn.XLOOKUP(
  1,
  (FX_Rates[Currency]=Cleaned[[#This Row],[Currency]])*
  (FX_Rates[RateDate]&lt;=Cleaned[[#This Row],[TxnDate]]),
  FX_Rates[Rate_To_INR],
  ,
  -1
)</f>
        <v>88</v>
      </c>
      <c r="P1068" s="2">
        <f>Cleaned[[#This Row],[Net Amount]] *  Cleaned[[#This Row],[FX_rates]]</f>
        <v>-28380</v>
      </c>
    </row>
    <row r="1069" spans="1:16" x14ac:dyDescent="0.45">
      <c r="A1069" t="s">
        <v>1077</v>
      </c>
      <c r="B1069" s="1">
        <v>45033</v>
      </c>
      <c r="C1069" s="2" t="s">
        <v>2012</v>
      </c>
      <c r="D1069" t="s">
        <v>2017</v>
      </c>
      <c r="E1069">
        <v>916.19</v>
      </c>
      <c r="F1069">
        <f>Cleaned[[#This Row],[Debit]] * Cleaned[[#This Row],[FX_rates]]</f>
        <v>94367.57</v>
      </c>
      <c r="G1069">
        <v>0</v>
      </c>
      <c r="H1069">
        <f>Cleaned[[#This Row],[Credit]] *  Cleaned[[#This Row],[FX_rates]]</f>
        <v>0</v>
      </c>
      <c r="I1069" t="s">
        <v>2025</v>
      </c>
      <c r="J1069" t="s">
        <v>2029</v>
      </c>
      <c r="K1069" t="s">
        <v>3098</v>
      </c>
      <c r="L1069" t="s">
        <v>4031</v>
      </c>
      <c r="M1069">
        <f>Cleaned[[#This Row],[Credit]]-Cleaned[[#This Row],[Debit]]</f>
        <v>-916.19</v>
      </c>
      <c r="N1069" t="str">
        <f>_xlfn.XLOOKUP(Cleaned[[#This Row],[AccountName]], Account_Mapping!A:A, Account_Mapping!B:B,"Unmapped")</f>
        <v>Operating Expense</v>
      </c>
      <c r="O1069" cm="1">
        <f t="array" ref="O1069">_xlfn.XLOOKUP(
  1,
  (FX_Rates[Currency]=Cleaned[[#This Row],[Currency]])*
  (FX_Rates[RateDate]&lt;=Cleaned[[#This Row],[TxnDate]]),
  FX_Rates[Rate_To_INR],
  ,
  -1
)</f>
        <v>103</v>
      </c>
      <c r="P1069" s="2">
        <f>Cleaned[[#This Row],[Net Amount]] *  Cleaned[[#This Row],[FX_rates]]</f>
        <v>-94367.57</v>
      </c>
    </row>
    <row r="1070" spans="1:16" x14ac:dyDescent="0.45">
      <c r="A1070" t="s">
        <v>1078</v>
      </c>
      <c r="B1070" s="1">
        <v>45756</v>
      </c>
      <c r="C1070" s="2" t="s">
        <v>2013</v>
      </c>
      <c r="D1070" t="s">
        <v>2018</v>
      </c>
      <c r="E1070">
        <v>202.58</v>
      </c>
      <c r="F1070">
        <f>Cleaned[[#This Row],[Debit]] * Cleaned[[#This Row],[FX_rates]]</f>
        <v>11344.480000000001</v>
      </c>
      <c r="G1070">
        <v>0</v>
      </c>
      <c r="H1070">
        <f>Cleaned[[#This Row],[Credit]] *  Cleaned[[#This Row],[FX_rates]]</f>
        <v>0</v>
      </c>
      <c r="I1070" t="s">
        <v>2025</v>
      </c>
      <c r="J1070" t="s">
        <v>2029</v>
      </c>
      <c r="K1070" t="s">
        <v>3099</v>
      </c>
      <c r="L1070" t="s">
        <v>4033</v>
      </c>
      <c r="M1070">
        <f>Cleaned[[#This Row],[Credit]]-Cleaned[[#This Row],[Debit]]</f>
        <v>-202.58</v>
      </c>
      <c r="N1070" t="str">
        <f>_xlfn.XLOOKUP(Cleaned[[#This Row],[AccountName]], Account_Mapping!A:A, Account_Mapping!B:B,"Unmapped")</f>
        <v>Operating Expense</v>
      </c>
      <c r="O1070" cm="1">
        <f t="array" ref="O1070">_xlfn.XLOOKUP(
  1,
  (FX_Rates[Currency]=Cleaned[[#This Row],[Currency]])*
  (FX_Rates[RateDate]&lt;=Cleaned[[#This Row],[TxnDate]]),
  FX_Rates[Rate_To_INR],
  ,
  -1
)</f>
        <v>56</v>
      </c>
      <c r="P1070" s="2">
        <f>Cleaned[[#This Row],[Net Amount]] *  Cleaned[[#This Row],[FX_rates]]</f>
        <v>-11344.480000000001</v>
      </c>
    </row>
    <row r="1071" spans="1:16" x14ac:dyDescent="0.45">
      <c r="A1071" t="s">
        <v>1079</v>
      </c>
      <c r="B1071" s="1">
        <v>45633</v>
      </c>
      <c r="C1071" s="2" t="s">
        <v>2010</v>
      </c>
      <c r="D1071" t="s">
        <v>2015</v>
      </c>
      <c r="E1071">
        <v>0</v>
      </c>
      <c r="F1071">
        <f>Cleaned[[#This Row],[Debit]] * Cleaned[[#This Row],[FX_rates]]</f>
        <v>0</v>
      </c>
      <c r="G1071">
        <v>4558.3900000000003</v>
      </c>
      <c r="H1071">
        <f>Cleaned[[#This Row],[Credit]] *  Cleaned[[#This Row],[FX_rates]]</f>
        <v>401138.32</v>
      </c>
      <c r="I1071" t="s">
        <v>2024</v>
      </c>
      <c r="J1071" t="s">
        <v>2028</v>
      </c>
      <c r="K1071" t="s">
        <v>3100</v>
      </c>
      <c r="L1071" t="s">
        <v>4032</v>
      </c>
      <c r="M1071">
        <f>Cleaned[[#This Row],[Credit]]-Cleaned[[#This Row],[Debit]]</f>
        <v>4558.3900000000003</v>
      </c>
      <c r="N1071" t="str">
        <f>_xlfn.XLOOKUP(Cleaned[[#This Row],[AccountName]], Account_Mapping!A:A, Account_Mapping!B:B,"Unmapped")</f>
        <v>Revenue</v>
      </c>
      <c r="O1071" cm="1">
        <f t="array" ref="O1071">_xlfn.XLOOKUP(
  1,
  (FX_Rates[Currency]=Cleaned[[#This Row],[Currency]])*
  (FX_Rates[RateDate]&lt;=Cleaned[[#This Row],[TxnDate]]),
  FX_Rates[Rate_To_INR],
  ,
  -1
)</f>
        <v>88</v>
      </c>
      <c r="P1071" s="2">
        <f>Cleaned[[#This Row],[Net Amount]] *  Cleaned[[#This Row],[FX_rates]]</f>
        <v>401138.32</v>
      </c>
    </row>
    <row r="1072" spans="1:16" x14ac:dyDescent="0.45">
      <c r="A1072" t="s">
        <v>1080</v>
      </c>
      <c r="B1072" s="1">
        <v>45018</v>
      </c>
      <c r="C1072" s="2" t="s">
        <v>2012</v>
      </c>
      <c r="D1072" t="s">
        <v>2017</v>
      </c>
      <c r="E1072">
        <v>962.74</v>
      </c>
      <c r="F1072">
        <f>Cleaned[[#This Row],[Debit]] * Cleaned[[#This Row],[FX_rates]]</f>
        <v>78944.680000000008</v>
      </c>
      <c r="G1072">
        <v>0</v>
      </c>
      <c r="H1072">
        <f>Cleaned[[#This Row],[Credit]] *  Cleaned[[#This Row],[FX_rates]]</f>
        <v>0</v>
      </c>
      <c r="I1072" t="s">
        <v>2021</v>
      </c>
      <c r="J1072" t="s">
        <v>2030</v>
      </c>
      <c r="K1072" t="s">
        <v>3101</v>
      </c>
      <c r="L1072" t="s">
        <v>4034</v>
      </c>
      <c r="M1072">
        <f>Cleaned[[#This Row],[Credit]]-Cleaned[[#This Row],[Debit]]</f>
        <v>-962.74</v>
      </c>
      <c r="N1072" t="str">
        <f>_xlfn.XLOOKUP(Cleaned[[#This Row],[AccountName]], Account_Mapping!A:A, Account_Mapping!B:B,"Unmapped")</f>
        <v>Operating Expense</v>
      </c>
      <c r="O1072" cm="1">
        <f t="array" ref="O1072">_xlfn.XLOOKUP(
  1,
  (FX_Rates[Currency]=Cleaned[[#This Row],[Currency]])*
  (FX_Rates[RateDate]&lt;=Cleaned[[#This Row],[TxnDate]]),
  FX_Rates[Rate_To_INR],
  ,
  -1
)</f>
        <v>82</v>
      </c>
      <c r="P1072" s="2">
        <f>Cleaned[[#This Row],[Net Amount]] *  Cleaned[[#This Row],[FX_rates]]</f>
        <v>-78944.680000000008</v>
      </c>
    </row>
    <row r="1073" spans="1:16" x14ac:dyDescent="0.45">
      <c r="A1073" t="s">
        <v>1081</v>
      </c>
      <c r="B1073" s="1">
        <v>45389</v>
      </c>
      <c r="C1073" s="2" t="s">
        <v>2012</v>
      </c>
      <c r="D1073" t="s">
        <v>2017</v>
      </c>
      <c r="E1073">
        <v>996.08</v>
      </c>
      <c r="F1073">
        <f>Cleaned[[#This Row],[Debit]] * Cleaned[[#This Row],[FX_rates]]</f>
        <v>87655.040000000008</v>
      </c>
      <c r="G1073">
        <v>0</v>
      </c>
      <c r="H1073">
        <f>Cleaned[[#This Row],[Credit]] *  Cleaned[[#This Row],[FX_rates]]</f>
        <v>0</v>
      </c>
      <c r="I1073" t="s">
        <v>2021</v>
      </c>
      <c r="J1073" t="s">
        <v>2030</v>
      </c>
      <c r="K1073" t="s">
        <v>3102</v>
      </c>
      <c r="L1073" t="s">
        <v>4032</v>
      </c>
      <c r="M1073">
        <f>Cleaned[[#This Row],[Credit]]-Cleaned[[#This Row],[Debit]]</f>
        <v>-996.08</v>
      </c>
      <c r="N1073" t="str">
        <f>_xlfn.XLOOKUP(Cleaned[[#This Row],[AccountName]], Account_Mapping!A:A, Account_Mapping!B:B,"Unmapped")</f>
        <v>Operating Expense</v>
      </c>
      <c r="O1073" cm="1">
        <f t="array" ref="O1073">_xlfn.XLOOKUP(
  1,
  (FX_Rates[Currency]=Cleaned[[#This Row],[Currency]])*
  (FX_Rates[RateDate]&lt;=Cleaned[[#This Row],[TxnDate]]),
  FX_Rates[Rate_To_INR],
  ,
  -1
)</f>
        <v>88</v>
      </c>
      <c r="P1073" s="2">
        <f>Cleaned[[#This Row],[Net Amount]] *  Cleaned[[#This Row],[FX_rates]]</f>
        <v>-87655.040000000008</v>
      </c>
    </row>
    <row r="1074" spans="1:16" x14ac:dyDescent="0.45">
      <c r="A1074" t="s">
        <v>1082</v>
      </c>
      <c r="B1074" s="1">
        <v>45680</v>
      </c>
      <c r="C1074" s="2" t="s">
        <v>2012</v>
      </c>
      <c r="D1074" t="s">
        <v>2017</v>
      </c>
      <c r="E1074">
        <v>1399.67</v>
      </c>
      <c r="F1074">
        <f>Cleaned[[#This Row],[Debit]] * Cleaned[[#This Row],[FX_rates]]</f>
        <v>85379.87000000001</v>
      </c>
      <c r="G1074">
        <v>0</v>
      </c>
      <c r="H1074">
        <f>Cleaned[[#This Row],[Credit]] *  Cleaned[[#This Row],[FX_rates]]</f>
        <v>0</v>
      </c>
      <c r="I1074" t="s">
        <v>2024</v>
      </c>
      <c r="J1074" t="s">
        <v>2030</v>
      </c>
      <c r="K1074" t="s">
        <v>3103</v>
      </c>
      <c r="L1074" t="s">
        <v>4035</v>
      </c>
      <c r="M1074">
        <f>Cleaned[[#This Row],[Credit]]-Cleaned[[#This Row],[Debit]]</f>
        <v>-1399.67</v>
      </c>
      <c r="N1074" t="str">
        <f>_xlfn.XLOOKUP(Cleaned[[#This Row],[AccountName]], Account_Mapping!A:A, Account_Mapping!B:B,"Unmapped")</f>
        <v>Operating Expense</v>
      </c>
      <c r="O1074" cm="1">
        <f t="array" ref="O1074">_xlfn.XLOOKUP(
  1,
  (FX_Rates[Currency]=Cleaned[[#This Row],[Currency]])*
  (FX_Rates[RateDate]&lt;=Cleaned[[#This Row],[TxnDate]]),
  FX_Rates[Rate_To_INR],
  ,
  -1
)</f>
        <v>61</v>
      </c>
      <c r="P1074" s="2">
        <f>Cleaned[[#This Row],[Net Amount]] *  Cleaned[[#This Row],[FX_rates]]</f>
        <v>-85379.87000000001</v>
      </c>
    </row>
    <row r="1075" spans="1:16" x14ac:dyDescent="0.45">
      <c r="A1075" t="s">
        <v>1083</v>
      </c>
      <c r="B1075" s="1">
        <v>45213</v>
      </c>
      <c r="C1075" s="2" t="s">
        <v>2014</v>
      </c>
      <c r="D1075" t="s">
        <v>2019</v>
      </c>
      <c r="E1075">
        <v>0</v>
      </c>
      <c r="F1075">
        <f>Cleaned[[#This Row],[Debit]] * Cleaned[[#This Row],[FX_rates]]</f>
        <v>0</v>
      </c>
      <c r="G1075">
        <v>1644.76</v>
      </c>
      <c r="H1075">
        <f>Cleaned[[#This Row],[Credit]] *  Cleaned[[#This Row],[FX_rates]]</f>
        <v>100330.36</v>
      </c>
      <c r="I1075" t="s">
        <v>2021</v>
      </c>
      <c r="J1075" t="s">
        <v>2026</v>
      </c>
      <c r="K1075" t="s">
        <v>3104</v>
      </c>
      <c r="L1075" t="s">
        <v>4035</v>
      </c>
      <c r="M1075">
        <f>Cleaned[[#This Row],[Credit]]-Cleaned[[#This Row],[Debit]]</f>
        <v>1644.76</v>
      </c>
      <c r="N1075" t="str">
        <f>_xlfn.XLOOKUP(Cleaned[[#This Row],[AccountName]], Account_Mapping!A:A, Account_Mapping!B:B,"Unmapped")</f>
        <v>Revenue</v>
      </c>
      <c r="O1075" cm="1">
        <f t="array" ref="O1075">_xlfn.XLOOKUP(
  1,
  (FX_Rates[Currency]=Cleaned[[#This Row],[Currency]])*
  (FX_Rates[RateDate]&lt;=Cleaned[[#This Row],[TxnDate]]),
  FX_Rates[Rate_To_INR],
  ,
  -1
)</f>
        <v>61</v>
      </c>
      <c r="P1075" s="2">
        <f>Cleaned[[#This Row],[Net Amount]] *  Cleaned[[#This Row],[FX_rates]]</f>
        <v>100330.36</v>
      </c>
    </row>
    <row r="1076" spans="1:16" x14ac:dyDescent="0.45">
      <c r="A1076" t="s">
        <v>1084</v>
      </c>
      <c r="B1076" s="1">
        <v>45360</v>
      </c>
      <c r="C1076" s="2" t="s">
        <v>2011</v>
      </c>
      <c r="D1076" t="s">
        <v>2016</v>
      </c>
      <c r="E1076">
        <v>1049.23</v>
      </c>
      <c r="F1076">
        <f>Cleaned[[#This Row],[Debit]] * Cleaned[[#This Row],[FX_rates]]</f>
        <v>58756.880000000005</v>
      </c>
      <c r="G1076">
        <v>0</v>
      </c>
      <c r="H1076">
        <f>Cleaned[[#This Row],[Credit]] *  Cleaned[[#This Row],[FX_rates]]</f>
        <v>0</v>
      </c>
      <c r="I1076" t="s">
        <v>2020</v>
      </c>
      <c r="J1076" t="s">
        <v>2026</v>
      </c>
      <c r="K1076" t="s">
        <v>3105</v>
      </c>
      <c r="L1076" t="s">
        <v>4033</v>
      </c>
      <c r="M1076">
        <f>Cleaned[[#This Row],[Credit]]-Cleaned[[#This Row],[Debit]]</f>
        <v>-1049.23</v>
      </c>
      <c r="N1076" t="str">
        <f>_xlfn.XLOOKUP(Cleaned[[#This Row],[AccountName]], Account_Mapping!A:A, Account_Mapping!B:B,"Unmapped")</f>
        <v>COGS</v>
      </c>
      <c r="O1076" cm="1">
        <f t="array" ref="O1076">_xlfn.XLOOKUP(
  1,
  (FX_Rates[Currency]=Cleaned[[#This Row],[Currency]])*
  (FX_Rates[RateDate]&lt;=Cleaned[[#This Row],[TxnDate]]),
  FX_Rates[Rate_To_INR],
  ,
  -1
)</f>
        <v>56</v>
      </c>
      <c r="P1076" s="2">
        <f>Cleaned[[#This Row],[Net Amount]] *  Cleaned[[#This Row],[FX_rates]]</f>
        <v>-58756.880000000005</v>
      </c>
    </row>
    <row r="1077" spans="1:16" x14ac:dyDescent="0.45">
      <c r="A1077" t="s">
        <v>1085</v>
      </c>
      <c r="B1077" s="1">
        <v>45072</v>
      </c>
      <c r="C1077" s="2" t="s">
        <v>2011</v>
      </c>
      <c r="D1077" t="s">
        <v>2016</v>
      </c>
      <c r="E1077">
        <v>1655.29</v>
      </c>
      <c r="F1077">
        <f>Cleaned[[#This Row],[Debit]] * Cleaned[[#This Row],[FX_rates]]</f>
        <v>135733.78</v>
      </c>
      <c r="G1077">
        <v>0</v>
      </c>
      <c r="H1077">
        <f>Cleaned[[#This Row],[Credit]] *  Cleaned[[#This Row],[FX_rates]]</f>
        <v>0</v>
      </c>
      <c r="I1077" t="s">
        <v>2021</v>
      </c>
      <c r="J1077" t="s">
        <v>2026</v>
      </c>
      <c r="K1077" t="s">
        <v>3106</v>
      </c>
      <c r="L1077" t="s">
        <v>4034</v>
      </c>
      <c r="M1077">
        <f>Cleaned[[#This Row],[Credit]]-Cleaned[[#This Row],[Debit]]</f>
        <v>-1655.29</v>
      </c>
      <c r="N1077" t="str">
        <f>_xlfn.XLOOKUP(Cleaned[[#This Row],[AccountName]], Account_Mapping!A:A, Account_Mapping!B:B,"Unmapped")</f>
        <v>COGS</v>
      </c>
      <c r="O1077" cm="1">
        <f t="array" ref="O1077">_xlfn.XLOOKUP(
  1,
  (FX_Rates[Currency]=Cleaned[[#This Row],[Currency]])*
  (FX_Rates[RateDate]&lt;=Cleaned[[#This Row],[TxnDate]]),
  FX_Rates[Rate_To_INR],
  ,
  -1
)</f>
        <v>82</v>
      </c>
      <c r="P1077" s="2">
        <f>Cleaned[[#This Row],[Net Amount]] *  Cleaned[[#This Row],[FX_rates]]</f>
        <v>-135733.78</v>
      </c>
    </row>
    <row r="1078" spans="1:16" x14ac:dyDescent="0.45">
      <c r="A1078" t="s">
        <v>1086</v>
      </c>
      <c r="B1078" s="1">
        <v>45656</v>
      </c>
      <c r="C1078" s="2" t="s">
        <v>2013</v>
      </c>
      <c r="D1078" t="s">
        <v>2018</v>
      </c>
      <c r="E1078">
        <v>1402.31</v>
      </c>
      <c r="F1078">
        <f>Cleaned[[#This Row],[Debit]] * Cleaned[[#This Row],[FX_rates]]</f>
        <v>123403.28</v>
      </c>
      <c r="G1078">
        <v>0</v>
      </c>
      <c r="H1078">
        <f>Cleaned[[#This Row],[Credit]] *  Cleaned[[#This Row],[FX_rates]]</f>
        <v>0</v>
      </c>
      <c r="I1078" t="s">
        <v>2025</v>
      </c>
      <c r="J1078" t="s">
        <v>2030</v>
      </c>
      <c r="K1078" t="s">
        <v>3107</v>
      </c>
      <c r="L1078" t="s">
        <v>4032</v>
      </c>
      <c r="M1078">
        <f>Cleaned[[#This Row],[Credit]]-Cleaned[[#This Row],[Debit]]</f>
        <v>-1402.31</v>
      </c>
      <c r="N1078" t="str">
        <f>_xlfn.XLOOKUP(Cleaned[[#This Row],[AccountName]], Account_Mapping!A:A, Account_Mapping!B:B,"Unmapped")</f>
        <v>Operating Expense</v>
      </c>
      <c r="O1078" cm="1">
        <f t="array" ref="O1078">_xlfn.XLOOKUP(
  1,
  (FX_Rates[Currency]=Cleaned[[#This Row],[Currency]])*
  (FX_Rates[RateDate]&lt;=Cleaned[[#This Row],[TxnDate]]),
  FX_Rates[Rate_To_INR],
  ,
  -1
)</f>
        <v>88</v>
      </c>
      <c r="P1078" s="2">
        <f>Cleaned[[#This Row],[Net Amount]] *  Cleaned[[#This Row],[FX_rates]]</f>
        <v>-123403.28</v>
      </c>
    </row>
    <row r="1079" spans="1:16" x14ac:dyDescent="0.45">
      <c r="A1079" t="s">
        <v>1087</v>
      </c>
      <c r="B1079" s="1">
        <v>45134</v>
      </c>
      <c r="C1079" s="2" t="s">
        <v>2013</v>
      </c>
      <c r="D1079" t="s">
        <v>2018</v>
      </c>
      <c r="E1079">
        <v>833.9</v>
      </c>
      <c r="F1079">
        <f>Cleaned[[#This Row],[Debit]] * Cleaned[[#This Row],[FX_rates]]</f>
        <v>73383.199999999997</v>
      </c>
      <c r="G1079">
        <v>0</v>
      </c>
      <c r="H1079">
        <f>Cleaned[[#This Row],[Credit]] *  Cleaned[[#This Row],[FX_rates]]</f>
        <v>0</v>
      </c>
      <c r="I1079" t="s">
        <v>2020</v>
      </c>
      <c r="J1079" t="s">
        <v>2028</v>
      </c>
      <c r="K1079" t="s">
        <v>3108</v>
      </c>
      <c r="L1079" t="s">
        <v>4032</v>
      </c>
      <c r="M1079">
        <f>Cleaned[[#This Row],[Credit]]-Cleaned[[#This Row],[Debit]]</f>
        <v>-833.9</v>
      </c>
      <c r="N1079" t="str">
        <f>_xlfn.XLOOKUP(Cleaned[[#This Row],[AccountName]], Account_Mapping!A:A, Account_Mapping!B:B,"Unmapped")</f>
        <v>Operating Expense</v>
      </c>
      <c r="O1079" cm="1">
        <f t="array" ref="O1079">_xlfn.XLOOKUP(
  1,
  (FX_Rates[Currency]=Cleaned[[#This Row],[Currency]])*
  (FX_Rates[RateDate]&lt;=Cleaned[[#This Row],[TxnDate]]),
  FX_Rates[Rate_To_INR],
  ,
  -1
)</f>
        <v>88</v>
      </c>
      <c r="P1079" s="2">
        <f>Cleaned[[#This Row],[Net Amount]] *  Cleaned[[#This Row],[FX_rates]]</f>
        <v>-73383.199999999997</v>
      </c>
    </row>
    <row r="1080" spans="1:16" x14ac:dyDescent="0.45">
      <c r="A1080" t="s">
        <v>1088</v>
      </c>
      <c r="B1080" s="1">
        <v>45032</v>
      </c>
      <c r="C1080" s="2" t="s">
        <v>2010</v>
      </c>
      <c r="D1080" t="s">
        <v>2015</v>
      </c>
      <c r="E1080">
        <v>0</v>
      </c>
      <c r="F1080">
        <f>Cleaned[[#This Row],[Debit]] * Cleaned[[#This Row],[FX_rates]]</f>
        <v>0</v>
      </c>
      <c r="G1080">
        <v>3759.18</v>
      </c>
      <c r="H1080">
        <f>Cleaned[[#This Row],[Credit]] *  Cleaned[[#This Row],[FX_rates]]</f>
        <v>229309.97999999998</v>
      </c>
      <c r="I1080" t="s">
        <v>2023</v>
      </c>
      <c r="J1080" t="s">
        <v>2026</v>
      </c>
      <c r="K1080" t="s">
        <v>3109</v>
      </c>
      <c r="L1080" t="s">
        <v>4035</v>
      </c>
      <c r="M1080">
        <f>Cleaned[[#This Row],[Credit]]-Cleaned[[#This Row],[Debit]]</f>
        <v>3759.18</v>
      </c>
      <c r="N1080" t="str">
        <f>_xlfn.XLOOKUP(Cleaned[[#This Row],[AccountName]], Account_Mapping!A:A, Account_Mapping!B:B,"Unmapped")</f>
        <v>Revenue</v>
      </c>
      <c r="O1080" cm="1">
        <f t="array" ref="O1080">_xlfn.XLOOKUP(
  1,
  (FX_Rates[Currency]=Cleaned[[#This Row],[Currency]])*
  (FX_Rates[RateDate]&lt;=Cleaned[[#This Row],[TxnDate]]),
  FX_Rates[Rate_To_INR],
  ,
  -1
)</f>
        <v>61</v>
      </c>
      <c r="P1080" s="2">
        <f>Cleaned[[#This Row],[Net Amount]] *  Cleaned[[#This Row],[FX_rates]]</f>
        <v>229309.97999999998</v>
      </c>
    </row>
    <row r="1081" spans="1:16" x14ac:dyDescent="0.45">
      <c r="A1081" t="s">
        <v>1089</v>
      </c>
      <c r="B1081" s="1">
        <v>45470</v>
      </c>
      <c r="C1081" s="2" t="s">
        <v>2012</v>
      </c>
      <c r="D1081" t="s">
        <v>2017</v>
      </c>
      <c r="E1081">
        <v>67.150000000000006</v>
      </c>
      <c r="F1081">
        <f>Cleaned[[#This Row],[Debit]] * Cleaned[[#This Row],[FX_rates]]</f>
        <v>5506.3</v>
      </c>
      <c r="G1081">
        <v>0</v>
      </c>
      <c r="H1081">
        <f>Cleaned[[#This Row],[Credit]] *  Cleaned[[#This Row],[FX_rates]]</f>
        <v>0</v>
      </c>
      <c r="I1081" t="s">
        <v>2023</v>
      </c>
      <c r="J1081" t="s">
        <v>2027</v>
      </c>
      <c r="K1081" t="s">
        <v>3110</v>
      </c>
      <c r="L1081" t="s">
        <v>4034</v>
      </c>
      <c r="M1081">
        <f>Cleaned[[#This Row],[Credit]]-Cleaned[[#This Row],[Debit]]</f>
        <v>-67.150000000000006</v>
      </c>
      <c r="N1081" t="str">
        <f>_xlfn.XLOOKUP(Cleaned[[#This Row],[AccountName]], Account_Mapping!A:A, Account_Mapping!B:B,"Unmapped")</f>
        <v>Operating Expense</v>
      </c>
      <c r="O1081" cm="1">
        <f t="array" ref="O1081">_xlfn.XLOOKUP(
  1,
  (FX_Rates[Currency]=Cleaned[[#This Row],[Currency]])*
  (FX_Rates[RateDate]&lt;=Cleaned[[#This Row],[TxnDate]]),
  FX_Rates[Rate_To_INR],
  ,
  -1
)</f>
        <v>82</v>
      </c>
      <c r="P1081" s="2">
        <f>Cleaned[[#This Row],[Net Amount]] *  Cleaned[[#This Row],[FX_rates]]</f>
        <v>-5506.3</v>
      </c>
    </row>
    <row r="1082" spans="1:16" x14ac:dyDescent="0.45">
      <c r="A1082" t="s">
        <v>1090</v>
      </c>
      <c r="B1082" s="1">
        <v>44968</v>
      </c>
      <c r="C1082" s="2" t="s">
        <v>2011</v>
      </c>
      <c r="D1082" t="s">
        <v>2016</v>
      </c>
      <c r="E1082">
        <v>1138.3599999999999</v>
      </c>
      <c r="F1082">
        <f>Cleaned[[#This Row],[Debit]] * Cleaned[[#This Row],[FX_rates]]</f>
        <v>69439.959999999992</v>
      </c>
      <c r="G1082">
        <v>0</v>
      </c>
      <c r="H1082">
        <f>Cleaned[[#This Row],[Credit]] *  Cleaned[[#This Row],[FX_rates]]</f>
        <v>0</v>
      </c>
      <c r="I1082" t="s">
        <v>2025</v>
      </c>
      <c r="J1082" t="s">
        <v>2028</v>
      </c>
      <c r="K1082" t="s">
        <v>3111</v>
      </c>
      <c r="L1082" t="s">
        <v>4035</v>
      </c>
      <c r="M1082">
        <f>Cleaned[[#This Row],[Credit]]-Cleaned[[#This Row],[Debit]]</f>
        <v>-1138.3599999999999</v>
      </c>
      <c r="N1082" t="str">
        <f>_xlfn.XLOOKUP(Cleaned[[#This Row],[AccountName]], Account_Mapping!A:A, Account_Mapping!B:B,"Unmapped")</f>
        <v>COGS</v>
      </c>
      <c r="O1082" cm="1">
        <f t="array" ref="O1082">_xlfn.XLOOKUP(
  1,
  (FX_Rates[Currency]=Cleaned[[#This Row],[Currency]])*
  (FX_Rates[RateDate]&lt;=Cleaned[[#This Row],[TxnDate]]),
  FX_Rates[Rate_To_INR],
  ,
  -1
)</f>
        <v>61</v>
      </c>
      <c r="P1082" s="2">
        <f>Cleaned[[#This Row],[Net Amount]] *  Cleaned[[#This Row],[FX_rates]]</f>
        <v>-69439.959999999992</v>
      </c>
    </row>
    <row r="1083" spans="1:16" x14ac:dyDescent="0.45">
      <c r="A1083" t="s">
        <v>1091</v>
      </c>
      <c r="B1083" s="1">
        <v>45066</v>
      </c>
      <c r="C1083" s="2" t="s">
        <v>2012</v>
      </c>
      <c r="D1083" t="s">
        <v>2017</v>
      </c>
      <c r="E1083">
        <v>1356.38</v>
      </c>
      <c r="F1083">
        <f>Cleaned[[#This Row],[Debit]] * Cleaned[[#This Row],[FX_rates]]</f>
        <v>82739.180000000008</v>
      </c>
      <c r="G1083">
        <v>0</v>
      </c>
      <c r="H1083">
        <f>Cleaned[[#This Row],[Credit]] *  Cleaned[[#This Row],[FX_rates]]</f>
        <v>0</v>
      </c>
      <c r="I1083" t="s">
        <v>2024</v>
      </c>
      <c r="J1083" t="s">
        <v>2029</v>
      </c>
      <c r="K1083" t="s">
        <v>3112</v>
      </c>
      <c r="L1083" t="s">
        <v>4035</v>
      </c>
      <c r="M1083">
        <f>Cleaned[[#This Row],[Credit]]-Cleaned[[#This Row],[Debit]]</f>
        <v>-1356.38</v>
      </c>
      <c r="N1083" t="str">
        <f>_xlfn.XLOOKUP(Cleaned[[#This Row],[AccountName]], Account_Mapping!A:A, Account_Mapping!B:B,"Unmapped")</f>
        <v>Operating Expense</v>
      </c>
      <c r="O1083" cm="1">
        <f t="array" ref="O1083">_xlfn.XLOOKUP(
  1,
  (FX_Rates[Currency]=Cleaned[[#This Row],[Currency]])*
  (FX_Rates[RateDate]&lt;=Cleaned[[#This Row],[TxnDate]]),
  FX_Rates[Rate_To_INR],
  ,
  -1
)</f>
        <v>61</v>
      </c>
      <c r="P1083" s="2">
        <f>Cleaned[[#This Row],[Net Amount]] *  Cleaned[[#This Row],[FX_rates]]</f>
        <v>-82739.180000000008</v>
      </c>
    </row>
    <row r="1084" spans="1:16" x14ac:dyDescent="0.45">
      <c r="A1084" t="s">
        <v>1092</v>
      </c>
      <c r="B1084" s="1">
        <v>45721</v>
      </c>
      <c r="C1084" s="2" t="s">
        <v>2013</v>
      </c>
      <c r="D1084" t="s">
        <v>2018</v>
      </c>
      <c r="E1084">
        <v>1770.21</v>
      </c>
      <c r="F1084">
        <f>Cleaned[[#This Row],[Debit]] * Cleaned[[#This Row],[FX_rates]]</f>
        <v>182331.63</v>
      </c>
      <c r="G1084">
        <v>0</v>
      </c>
      <c r="H1084">
        <f>Cleaned[[#This Row],[Credit]] *  Cleaned[[#This Row],[FX_rates]]</f>
        <v>0</v>
      </c>
      <c r="I1084" t="s">
        <v>2020</v>
      </c>
      <c r="J1084" t="s">
        <v>2029</v>
      </c>
      <c r="K1084" t="s">
        <v>3113</v>
      </c>
      <c r="L1084" t="s">
        <v>4031</v>
      </c>
      <c r="M1084">
        <f>Cleaned[[#This Row],[Credit]]-Cleaned[[#This Row],[Debit]]</f>
        <v>-1770.21</v>
      </c>
      <c r="N1084" t="str">
        <f>_xlfn.XLOOKUP(Cleaned[[#This Row],[AccountName]], Account_Mapping!A:A, Account_Mapping!B:B,"Unmapped")</f>
        <v>Operating Expense</v>
      </c>
      <c r="O1084" cm="1">
        <f t="array" ref="O1084">_xlfn.XLOOKUP(
  1,
  (FX_Rates[Currency]=Cleaned[[#This Row],[Currency]])*
  (FX_Rates[RateDate]&lt;=Cleaned[[#This Row],[TxnDate]]),
  FX_Rates[Rate_To_INR],
  ,
  -1
)</f>
        <v>103</v>
      </c>
      <c r="P1084" s="2">
        <f>Cleaned[[#This Row],[Net Amount]] *  Cleaned[[#This Row],[FX_rates]]</f>
        <v>-182331.63</v>
      </c>
    </row>
    <row r="1085" spans="1:16" x14ac:dyDescent="0.45">
      <c r="A1085" t="s">
        <v>1093</v>
      </c>
      <c r="B1085" s="1">
        <v>45716</v>
      </c>
      <c r="C1085" s="2" t="s">
        <v>2011</v>
      </c>
      <c r="D1085" t="s">
        <v>2016</v>
      </c>
      <c r="E1085">
        <v>1240.48</v>
      </c>
      <c r="F1085">
        <f>Cleaned[[#This Row],[Debit]] * Cleaned[[#This Row],[FX_rates]]</f>
        <v>109162.24000000001</v>
      </c>
      <c r="G1085">
        <v>0</v>
      </c>
      <c r="H1085">
        <f>Cleaned[[#This Row],[Credit]] *  Cleaned[[#This Row],[FX_rates]]</f>
        <v>0</v>
      </c>
      <c r="I1085" t="s">
        <v>2023</v>
      </c>
      <c r="J1085" t="s">
        <v>2027</v>
      </c>
      <c r="K1085" t="s">
        <v>3114</v>
      </c>
      <c r="L1085" t="s">
        <v>4032</v>
      </c>
      <c r="M1085">
        <f>Cleaned[[#This Row],[Credit]]-Cleaned[[#This Row],[Debit]]</f>
        <v>-1240.48</v>
      </c>
      <c r="N1085" t="str">
        <f>_xlfn.XLOOKUP(Cleaned[[#This Row],[AccountName]], Account_Mapping!A:A, Account_Mapping!B:B,"Unmapped")</f>
        <v>COGS</v>
      </c>
      <c r="O1085" cm="1">
        <f t="array" ref="O1085">_xlfn.XLOOKUP(
  1,
  (FX_Rates[Currency]=Cleaned[[#This Row],[Currency]])*
  (FX_Rates[RateDate]&lt;=Cleaned[[#This Row],[TxnDate]]),
  FX_Rates[Rate_To_INR],
  ,
  -1
)</f>
        <v>88</v>
      </c>
      <c r="P1085" s="2">
        <f>Cleaned[[#This Row],[Net Amount]] *  Cleaned[[#This Row],[FX_rates]]</f>
        <v>-109162.24000000001</v>
      </c>
    </row>
    <row r="1086" spans="1:16" x14ac:dyDescent="0.45">
      <c r="A1086" t="s">
        <v>1094</v>
      </c>
      <c r="B1086" s="1">
        <v>45752</v>
      </c>
      <c r="C1086" s="2" t="s">
        <v>2013</v>
      </c>
      <c r="D1086" t="s">
        <v>2018</v>
      </c>
      <c r="E1086">
        <v>1870.74</v>
      </c>
      <c r="F1086">
        <f>Cleaned[[#This Row],[Debit]] * Cleaned[[#This Row],[FX_rates]]</f>
        <v>104761.44</v>
      </c>
      <c r="G1086">
        <v>0</v>
      </c>
      <c r="H1086">
        <f>Cleaned[[#This Row],[Credit]] *  Cleaned[[#This Row],[FX_rates]]</f>
        <v>0</v>
      </c>
      <c r="I1086" t="s">
        <v>2021</v>
      </c>
      <c r="J1086" t="s">
        <v>2029</v>
      </c>
      <c r="K1086" t="s">
        <v>3115</v>
      </c>
      <c r="L1086" t="s">
        <v>4033</v>
      </c>
      <c r="M1086">
        <f>Cleaned[[#This Row],[Credit]]-Cleaned[[#This Row],[Debit]]</f>
        <v>-1870.74</v>
      </c>
      <c r="N1086" t="str">
        <f>_xlfn.XLOOKUP(Cleaned[[#This Row],[AccountName]], Account_Mapping!A:A, Account_Mapping!B:B,"Unmapped")</f>
        <v>Operating Expense</v>
      </c>
      <c r="O1086" cm="1">
        <f t="array" ref="O1086">_xlfn.XLOOKUP(
  1,
  (FX_Rates[Currency]=Cleaned[[#This Row],[Currency]])*
  (FX_Rates[RateDate]&lt;=Cleaned[[#This Row],[TxnDate]]),
  FX_Rates[Rate_To_INR],
  ,
  -1
)</f>
        <v>56</v>
      </c>
      <c r="P1086" s="2">
        <f>Cleaned[[#This Row],[Net Amount]] *  Cleaned[[#This Row],[FX_rates]]</f>
        <v>-104761.44</v>
      </c>
    </row>
    <row r="1087" spans="1:16" x14ac:dyDescent="0.45">
      <c r="A1087" t="s">
        <v>1095</v>
      </c>
      <c r="B1087" s="1">
        <v>45628</v>
      </c>
      <c r="C1087" s="2" t="s">
        <v>2013</v>
      </c>
      <c r="D1087" t="s">
        <v>2018</v>
      </c>
      <c r="E1087">
        <v>1295.49</v>
      </c>
      <c r="F1087">
        <f>Cleaned[[#This Row],[Debit]] * Cleaned[[#This Row],[FX_rates]]</f>
        <v>133435.47</v>
      </c>
      <c r="G1087">
        <v>0</v>
      </c>
      <c r="H1087">
        <f>Cleaned[[#This Row],[Credit]] *  Cleaned[[#This Row],[FX_rates]]</f>
        <v>0</v>
      </c>
      <c r="I1087" t="s">
        <v>2020</v>
      </c>
      <c r="J1087" t="s">
        <v>2029</v>
      </c>
      <c r="K1087" t="s">
        <v>3116</v>
      </c>
      <c r="L1087" t="s">
        <v>4031</v>
      </c>
      <c r="M1087">
        <f>Cleaned[[#This Row],[Credit]]-Cleaned[[#This Row],[Debit]]</f>
        <v>-1295.49</v>
      </c>
      <c r="N1087" t="str">
        <f>_xlfn.XLOOKUP(Cleaned[[#This Row],[AccountName]], Account_Mapping!A:A, Account_Mapping!B:B,"Unmapped")</f>
        <v>Operating Expense</v>
      </c>
      <c r="O1087" cm="1">
        <f t="array" ref="O1087">_xlfn.XLOOKUP(
  1,
  (FX_Rates[Currency]=Cleaned[[#This Row],[Currency]])*
  (FX_Rates[RateDate]&lt;=Cleaned[[#This Row],[TxnDate]]),
  FX_Rates[Rate_To_INR],
  ,
  -1
)</f>
        <v>103</v>
      </c>
      <c r="P1087" s="2">
        <f>Cleaned[[#This Row],[Net Amount]] *  Cleaned[[#This Row],[FX_rates]]</f>
        <v>-133435.47</v>
      </c>
    </row>
    <row r="1088" spans="1:16" x14ac:dyDescent="0.45">
      <c r="A1088" t="s">
        <v>1096</v>
      </c>
      <c r="B1088" s="1">
        <v>45827</v>
      </c>
      <c r="C1088" s="2" t="s">
        <v>2013</v>
      </c>
      <c r="D1088" t="s">
        <v>2018</v>
      </c>
      <c r="E1088">
        <v>403.44</v>
      </c>
      <c r="F1088">
        <f>Cleaned[[#This Row],[Debit]] * Cleaned[[#This Row],[FX_rates]]</f>
        <v>35502.720000000001</v>
      </c>
      <c r="G1088">
        <v>0</v>
      </c>
      <c r="H1088">
        <f>Cleaned[[#This Row],[Credit]] *  Cleaned[[#This Row],[FX_rates]]</f>
        <v>0</v>
      </c>
      <c r="I1088" t="s">
        <v>2023</v>
      </c>
      <c r="J1088" t="s">
        <v>2030</v>
      </c>
      <c r="K1088" t="s">
        <v>3117</v>
      </c>
      <c r="L1088" t="s">
        <v>4032</v>
      </c>
      <c r="M1088">
        <f>Cleaned[[#This Row],[Credit]]-Cleaned[[#This Row],[Debit]]</f>
        <v>-403.44</v>
      </c>
      <c r="N1088" t="str">
        <f>_xlfn.XLOOKUP(Cleaned[[#This Row],[AccountName]], Account_Mapping!A:A, Account_Mapping!B:B,"Unmapped")</f>
        <v>Operating Expense</v>
      </c>
      <c r="O1088" cm="1">
        <f t="array" ref="O1088">_xlfn.XLOOKUP(
  1,
  (FX_Rates[Currency]=Cleaned[[#This Row],[Currency]])*
  (FX_Rates[RateDate]&lt;=Cleaned[[#This Row],[TxnDate]]),
  FX_Rates[Rate_To_INR],
  ,
  -1
)</f>
        <v>88</v>
      </c>
      <c r="P1088" s="2">
        <f>Cleaned[[#This Row],[Net Amount]] *  Cleaned[[#This Row],[FX_rates]]</f>
        <v>-35502.720000000001</v>
      </c>
    </row>
    <row r="1089" spans="1:16" x14ac:dyDescent="0.45">
      <c r="A1089" t="s">
        <v>1097</v>
      </c>
      <c r="B1089" s="1">
        <v>45215</v>
      </c>
      <c r="C1089" s="2" t="s">
        <v>2014</v>
      </c>
      <c r="D1089" t="s">
        <v>2019</v>
      </c>
      <c r="E1089">
        <v>0</v>
      </c>
      <c r="F1089">
        <f>Cleaned[[#This Row],[Debit]] * Cleaned[[#This Row],[FX_rates]]</f>
        <v>0</v>
      </c>
      <c r="G1089">
        <v>298.58</v>
      </c>
      <c r="H1089">
        <f>Cleaned[[#This Row],[Credit]] *  Cleaned[[#This Row],[FX_rates]]</f>
        <v>16720.48</v>
      </c>
      <c r="I1089" t="s">
        <v>2022</v>
      </c>
      <c r="J1089" t="s">
        <v>2027</v>
      </c>
      <c r="K1089" t="s">
        <v>3118</v>
      </c>
      <c r="L1089" t="s">
        <v>4033</v>
      </c>
      <c r="M1089">
        <f>Cleaned[[#This Row],[Credit]]-Cleaned[[#This Row],[Debit]]</f>
        <v>298.58</v>
      </c>
      <c r="N1089" t="str">
        <f>_xlfn.XLOOKUP(Cleaned[[#This Row],[AccountName]], Account_Mapping!A:A, Account_Mapping!B:B,"Unmapped")</f>
        <v>Revenue</v>
      </c>
      <c r="O1089" cm="1">
        <f t="array" ref="O1089">_xlfn.XLOOKUP(
  1,
  (FX_Rates[Currency]=Cleaned[[#This Row],[Currency]])*
  (FX_Rates[RateDate]&lt;=Cleaned[[#This Row],[TxnDate]]),
  FX_Rates[Rate_To_INR],
  ,
  -1
)</f>
        <v>56</v>
      </c>
      <c r="P1089" s="2">
        <f>Cleaned[[#This Row],[Net Amount]] *  Cleaned[[#This Row],[FX_rates]]</f>
        <v>16720.48</v>
      </c>
    </row>
    <row r="1090" spans="1:16" x14ac:dyDescent="0.45">
      <c r="A1090" t="s">
        <v>1098</v>
      </c>
      <c r="B1090" s="1">
        <v>45314</v>
      </c>
      <c r="C1090" s="2" t="s">
        <v>2014</v>
      </c>
      <c r="D1090" t="s">
        <v>2019</v>
      </c>
      <c r="E1090">
        <v>0</v>
      </c>
      <c r="F1090">
        <f>Cleaned[[#This Row],[Debit]] * Cleaned[[#This Row],[FX_rates]]</f>
        <v>0</v>
      </c>
      <c r="G1090">
        <v>2967.77</v>
      </c>
      <c r="H1090">
        <f>Cleaned[[#This Row],[Credit]] *  Cleaned[[#This Row],[FX_rates]]</f>
        <v>305680.31</v>
      </c>
      <c r="I1090" t="s">
        <v>2025</v>
      </c>
      <c r="J1090" t="s">
        <v>2026</v>
      </c>
      <c r="K1090" t="s">
        <v>3119</v>
      </c>
      <c r="L1090" t="s">
        <v>4031</v>
      </c>
      <c r="M1090">
        <f>Cleaned[[#This Row],[Credit]]-Cleaned[[#This Row],[Debit]]</f>
        <v>2967.77</v>
      </c>
      <c r="N1090" t="str">
        <f>_xlfn.XLOOKUP(Cleaned[[#This Row],[AccountName]], Account_Mapping!A:A, Account_Mapping!B:B,"Unmapped")</f>
        <v>Revenue</v>
      </c>
      <c r="O1090" cm="1">
        <f t="array" ref="O1090">_xlfn.XLOOKUP(
  1,
  (FX_Rates[Currency]=Cleaned[[#This Row],[Currency]])*
  (FX_Rates[RateDate]&lt;=Cleaned[[#This Row],[TxnDate]]),
  FX_Rates[Rate_To_INR],
  ,
  -1
)</f>
        <v>103</v>
      </c>
      <c r="P1090" s="2">
        <f>Cleaned[[#This Row],[Net Amount]] *  Cleaned[[#This Row],[FX_rates]]</f>
        <v>305680.31</v>
      </c>
    </row>
    <row r="1091" spans="1:16" x14ac:dyDescent="0.45">
      <c r="A1091" t="s">
        <v>1099</v>
      </c>
      <c r="B1091" s="1">
        <v>44958</v>
      </c>
      <c r="C1091" s="2" t="s">
        <v>2014</v>
      </c>
      <c r="D1091" t="s">
        <v>2019</v>
      </c>
      <c r="E1091">
        <v>0</v>
      </c>
      <c r="F1091">
        <f>Cleaned[[#This Row],[Debit]] * Cleaned[[#This Row],[FX_rates]]</f>
        <v>0</v>
      </c>
      <c r="G1091">
        <v>322.85000000000002</v>
      </c>
      <c r="H1091">
        <f>Cleaned[[#This Row],[Credit]] *  Cleaned[[#This Row],[FX_rates]]</f>
        <v>26473.7</v>
      </c>
      <c r="I1091" t="s">
        <v>2025</v>
      </c>
      <c r="J1091" t="s">
        <v>2028</v>
      </c>
      <c r="K1091" t="s">
        <v>3120</v>
      </c>
      <c r="L1091" t="s">
        <v>4034</v>
      </c>
      <c r="M1091">
        <f>Cleaned[[#This Row],[Credit]]-Cleaned[[#This Row],[Debit]]</f>
        <v>322.85000000000002</v>
      </c>
      <c r="N1091" t="str">
        <f>_xlfn.XLOOKUP(Cleaned[[#This Row],[AccountName]], Account_Mapping!A:A, Account_Mapping!B:B,"Unmapped")</f>
        <v>Revenue</v>
      </c>
      <c r="O1091" cm="1">
        <f t="array" ref="O1091">_xlfn.XLOOKUP(
  1,
  (FX_Rates[Currency]=Cleaned[[#This Row],[Currency]])*
  (FX_Rates[RateDate]&lt;=Cleaned[[#This Row],[TxnDate]]),
  FX_Rates[Rate_To_INR],
  ,
  -1
)</f>
        <v>82</v>
      </c>
      <c r="P1091" s="2">
        <f>Cleaned[[#This Row],[Net Amount]] *  Cleaned[[#This Row],[FX_rates]]</f>
        <v>26473.7</v>
      </c>
    </row>
    <row r="1092" spans="1:16" x14ac:dyDescent="0.45">
      <c r="A1092" t="s">
        <v>1100</v>
      </c>
      <c r="B1092" s="1">
        <v>45025</v>
      </c>
      <c r="C1092" s="2" t="s">
        <v>2013</v>
      </c>
      <c r="D1092" t="s">
        <v>2018</v>
      </c>
      <c r="E1092">
        <v>1178.57</v>
      </c>
      <c r="F1092">
        <f>Cleaned[[#This Row],[Debit]] * Cleaned[[#This Row],[FX_rates]]</f>
        <v>71892.76999999999</v>
      </c>
      <c r="G1092">
        <v>0</v>
      </c>
      <c r="H1092">
        <f>Cleaned[[#This Row],[Credit]] *  Cleaned[[#This Row],[FX_rates]]</f>
        <v>0</v>
      </c>
      <c r="I1092" t="s">
        <v>2022</v>
      </c>
      <c r="J1092" t="s">
        <v>2030</v>
      </c>
      <c r="K1092" t="s">
        <v>3121</v>
      </c>
      <c r="L1092" t="s">
        <v>4035</v>
      </c>
      <c r="M1092">
        <f>Cleaned[[#This Row],[Credit]]-Cleaned[[#This Row],[Debit]]</f>
        <v>-1178.57</v>
      </c>
      <c r="N1092" t="str">
        <f>_xlfn.XLOOKUP(Cleaned[[#This Row],[AccountName]], Account_Mapping!A:A, Account_Mapping!B:B,"Unmapped")</f>
        <v>Operating Expense</v>
      </c>
      <c r="O1092" cm="1">
        <f t="array" ref="O1092">_xlfn.XLOOKUP(
  1,
  (FX_Rates[Currency]=Cleaned[[#This Row],[Currency]])*
  (FX_Rates[RateDate]&lt;=Cleaned[[#This Row],[TxnDate]]),
  FX_Rates[Rate_To_INR],
  ,
  -1
)</f>
        <v>61</v>
      </c>
      <c r="P1092" s="2">
        <f>Cleaned[[#This Row],[Net Amount]] *  Cleaned[[#This Row],[FX_rates]]</f>
        <v>-71892.76999999999</v>
      </c>
    </row>
    <row r="1093" spans="1:16" x14ac:dyDescent="0.45">
      <c r="A1093" t="s">
        <v>1101</v>
      </c>
      <c r="B1093" s="1">
        <v>45454</v>
      </c>
      <c r="C1093" s="2" t="s">
        <v>2013</v>
      </c>
      <c r="D1093" t="s">
        <v>2018</v>
      </c>
      <c r="E1093">
        <v>572.52</v>
      </c>
      <c r="F1093">
        <f>Cleaned[[#This Row],[Debit]] * Cleaned[[#This Row],[FX_rates]]</f>
        <v>46946.64</v>
      </c>
      <c r="G1093">
        <v>0</v>
      </c>
      <c r="H1093">
        <f>Cleaned[[#This Row],[Credit]] *  Cleaned[[#This Row],[FX_rates]]</f>
        <v>0</v>
      </c>
      <c r="I1093" t="s">
        <v>2025</v>
      </c>
      <c r="J1093" t="s">
        <v>2029</v>
      </c>
      <c r="K1093" t="s">
        <v>3122</v>
      </c>
      <c r="L1093" t="s">
        <v>4034</v>
      </c>
      <c r="M1093">
        <f>Cleaned[[#This Row],[Credit]]-Cleaned[[#This Row],[Debit]]</f>
        <v>-572.52</v>
      </c>
      <c r="N1093" t="str">
        <f>_xlfn.XLOOKUP(Cleaned[[#This Row],[AccountName]], Account_Mapping!A:A, Account_Mapping!B:B,"Unmapped")</f>
        <v>Operating Expense</v>
      </c>
      <c r="O1093" cm="1">
        <f t="array" ref="O1093">_xlfn.XLOOKUP(
  1,
  (FX_Rates[Currency]=Cleaned[[#This Row],[Currency]])*
  (FX_Rates[RateDate]&lt;=Cleaned[[#This Row],[TxnDate]]),
  FX_Rates[Rate_To_INR],
  ,
  -1
)</f>
        <v>82</v>
      </c>
      <c r="P1093" s="2">
        <f>Cleaned[[#This Row],[Net Amount]] *  Cleaned[[#This Row],[FX_rates]]</f>
        <v>-46946.64</v>
      </c>
    </row>
    <row r="1094" spans="1:16" x14ac:dyDescent="0.45">
      <c r="A1094" t="s">
        <v>1102</v>
      </c>
      <c r="B1094" s="1">
        <v>45228</v>
      </c>
      <c r="C1094" s="2" t="s">
        <v>2010</v>
      </c>
      <c r="D1094" t="s">
        <v>2015</v>
      </c>
      <c r="E1094">
        <v>0</v>
      </c>
      <c r="F1094">
        <f>Cleaned[[#This Row],[Debit]] * Cleaned[[#This Row],[FX_rates]]</f>
        <v>0</v>
      </c>
      <c r="G1094">
        <v>1038.25</v>
      </c>
      <c r="H1094">
        <f>Cleaned[[#This Row],[Credit]] *  Cleaned[[#This Row],[FX_rates]]</f>
        <v>106939.75</v>
      </c>
      <c r="I1094" t="s">
        <v>2023</v>
      </c>
      <c r="J1094" t="s">
        <v>2028</v>
      </c>
      <c r="K1094" t="s">
        <v>3123</v>
      </c>
      <c r="L1094" t="s">
        <v>4031</v>
      </c>
      <c r="M1094">
        <f>Cleaned[[#This Row],[Credit]]-Cleaned[[#This Row],[Debit]]</f>
        <v>1038.25</v>
      </c>
      <c r="N1094" t="str">
        <f>_xlfn.XLOOKUP(Cleaned[[#This Row],[AccountName]], Account_Mapping!A:A, Account_Mapping!B:B,"Unmapped")</f>
        <v>Revenue</v>
      </c>
      <c r="O1094" cm="1">
        <f t="array" ref="O1094">_xlfn.XLOOKUP(
  1,
  (FX_Rates[Currency]=Cleaned[[#This Row],[Currency]])*
  (FX_Rates[RateDate]&lt;=Cleaned[[#This Row],[TxnDate]]),
  FX_Rates[Rate_To_INR],
  ,
  -1
)</f>
        <v>103</v>
      </c>
      <c r="P1094" s="2">
        <f>Cleaned[[#This Row],[Net Amount]] *  Cleaned[[#This Row],[FX_rates]]</f>
        <v>106939.75</v>
      </c>
    </row>
    <row r="1095" spans="1:16" x14ac:dyDescent="0.45">
      <c r="A1095" t="s">
        <v>1103</v>
      </c>
      <c r="B1095" s="1">
        <v>44982</v>
      </c>
      <c r="C1095" s="2" t="s">
        <v>2013</v>
      </c>
      <c r="D1095" t="s">
        <v>2018</v>
      </c>
      <c r="E1095">
        <v>54.75</v>
      </c>
      <c r="F1095">
        <f>Cleaned[[#This Row],[Debit]] * Cleaned[[#This Row],[FX_rates]]</f>
        <v>5639.25</v>
      </c>
      <c r="G1095">
        <v>0</v>
      </c>
      <c r="H1095">
        <f>Cleaned[[#This Row],[Credit]] *  Cleaned[[#This Row],[FX_rates]]</f>
        <v>0</v>
      </c>
      <c r="I1095" t="s">
        <v>2021</v>
      </c>
      <c r="J1095" t="s">
        <v>2027</v>
      </c>
      <c r="K1095" t="s">
        <v>3124</v>
      </c>
      <c r="L1095" t="s">
        <v>4031</v>
      </c>
      <c r="M1095">
        <f>Cleaned[[#This Row],[Credit]]-Cleaned[[#This Row],[Debit]]</f>
        <v>-54.75</v>
      </c>
      <c r="N1095" t="str">
        <f>_xlfn.XLOOKUP(Cleaned[[#This Row],[AccountName]], Account_Mapping!A:A, Account_Mapping!B:B,"Unmapped")</f>
        <v>Operating Expense</v>
      </c>
      <c r="O1095" cm="1">
        <f t="array" ref="O1095">_xlfn.XLOOKUP(
  1,
  (FX_Rates[Currency]=Cleaned[[#This Row],[Currency]])*
  (FX_Rates[RateDate]&lt;=Cleaned[[#This Row],[TxnDate]]),
  FX_Rates[Rate_To_INR],
  ,
  -1
)</f>
        <v>103</v>
      </c>
      <c r="P1095" s="2">
        <f>Cleaned[[#This Row],[Net Amount]] *  Cleaned[[#This Row],[FX_rates]]</f>
        <v>-5639.25</v>
      </c>
    </row>
    <row r="1096" spans="1:16" x14ac:dyDescent="0.45">
      <c r="A1096" t="s">
        <v>1104</v>
      </c>
      <c r="B1096" s="1">
        <v>45401</v>
      </c>
      <c r="C1096" s="2" t="s">
        <v>2013</v>
      </c>
      <c r="D1096" t="s">
        <v>2018</v>
      </c>
      <c r="E1096">
        <v>229.78</v>
      </c>
      <c r="F1096">
        <f>Cleaned[[#This Row],[Debit]] * Cleaned[[#This Row],[FX_rates]]</f>
        <v>18841.96</v>
      </c>
      <c r="G1096">
        <v>0</v>
      </c>
      <c r="H1096">
        <f>Cleaned[[#This Row],[Credit]] *  Cleaned[[#This Row],[FX_rates]]</f>
        <v>0</v>
      </c>
      <c r="I1096" t="s">
        <v>2023</v>
      </c>
      <c r="J1096" t="s">
        <v>2027</v>
      </c>
      <c r="K1096" t="s">
        <v>3125</v>
      </c>
      <c r="L1096" t="s">
        <v>4034</v>
      </c>
      <c r="M1096">
        <f>Cleaned[[#This Row],[Credit]]-Cleaned[[#This Row],[Debit]]</f>
        <v>-229.78</v>
      </c>
      <c r="N1096" t="str">
        <f>_xlfn.XLOOKUP(Cleaned[[#This Row],[AccountName]], Account_Mapping!A:A, Account_Mapping!B:B,"Unmapped")</f>
        <v>Operating Expense</v>
      </c>
      <c r="O1096" cm="1">
        <f t="array" ref="O1096">_xlfn.XLOOKUP(
  1,
  (FX_Rates[Currency]=Cleaned[[#This Row],[Currency]])*
  (FX_Rates[RateDate]&lt;=Cleaned[[#This Row],[TxnDate]]),
  FX_Rates[Rate_To_INR],
  ,
  -1
)</f>
        <v>82</v>
      </c>
      <c r="P1096" s="2">
        <f>Cleaned[[#This Row],[Net Amount]] *  Cleaned[[#This Row],[FX_rates]]</f>
        <v>-18841.96</v>
      </c>
    </row>
    <row r="1097" spans="1:16" x14ac:dyDescent="0.45">
      <c r="A1097" t="s">
        <v>1105</v>
      </c>
      <c r="B1097" s="1">
        <v>45497</v>
      </c>
      <c r="C1097" s="2" t="s">
        <v>2013</v>
      </c>
      <c r="D1097" t="s">
        <v>2018</v>
      </c>
      <c r="E1097">
        <v>1195.8599999999999</v>
      </c>
      <c r="F1097">
        <f>Cleaned[[#This Row],[Debit]] * Cleaned[[#This Row],[FX_rates]]</f>
        <v>72947.459999999992</v>
      </c>
      <c r="G1097">
        <v>0</v>
      </c>
      <c r="H1097">
        <f>Cleaned[[#This Row],[Credit]] *  Cleaned[[#This Row],[FX_rates]]</f>
        <v>0</v>
      </c>
      <c r="I1097" t="s">
        <v>2025</v>
      </c>
      <c r="J1097" t="s">
        <v>2027</v>
      </c>
      <c r="K1097" t="s">
        <v>3126</v>
      </c>
      <c r="L1097" t="s">
        <v>4035</v>
      </c>
      <c r="M1097">
        <f>Cleaned[[#This Row],[Credit]]-Cleaned[[#This Row],[Debit]]</f>
        <v>-1195.8599999999999</v>
      </c>
      <c r="N1097" t="str">
        <f>_xlfn.XLOOKUP(Cleaned[[#This Row],[AccountName]], Account_Mapping!A:A, Account_Mapping!B:B,"Unmapped")</f>
        <v>Operating Expense</v>
      </c>
      <c r="O1097" cm="1">
        <f t="array" ref="O1097">_xlfn.XLOOKUP(
  1,
  (FX_Rates[Currency]=Cleaned[[#This Row],[Currency]])*
  (FX_Rates[RateDate]&lt;=Cleaned[[#This Row],[TxnDate]]),
  FX_Rates[Rate_To_INR],
  ,
  -1
)</f>
        <v>61</v>
      </c>
      <c r="P1097" s="2">
        <f>Cleaned[[#This Row],[Net Amount]] *  Cleaned[[#This Row],[FX_rates]]</f>
        <v>-72947.459999999992</v>
      </c>
    </row>
    <row r="1098" spans="1:16" x14ac:dyDescent="0.45">
      <c r="A1098" t="s">
        <v>1106</v>
      </c>
      <c r="B1098" s="1">
        <v>45765</v>
      </c>
      <c r="C1098" s="2" t="s">
        <v>2010</v>
      </c>
      <c r="D1098" t="s">
        <v>2015</v>
      </c>
      <c r="E1098">
        <v>0</v>
      </c>
      <c r="F1098">
        <f>Cleaned[[#This Row],[Debit]] * Cleaned[[#This Row],[FX_rates]]</f>
        <v>0</v>
      </c>
      <c r="G1098">
        <v>183.89</v>
      </c>
      <c r="H1098">
        <f>Cleaned[[#This Row],[Credit]] *  Cleaned[[#This Row],[FX_rates]]</f>
        <v>10297.84</v>
      </c>
      <c r="I1098" t="s">
        <v>2023</v>
      </c>
      <c r="J1098" t="s">
        <v>2029</v>
      </c>
      <c r="K1098" t="s">
        <v>3127</v>
      </c>
      <c r="L1098" t="s">
        <v>4033</v>
      </c>
      <c r="M1098">
        <f>Cleaned[[#This Row],[Credit]]-Cleaned[[#This Row],[Debit]]</f>
        <v>183.89</v>
      </c>
      <c r="N1098" t="str">
        <f>_xlfn.XLOOKUP(Cleaned[[#This Row],[AccountName]], Account_Mapping!A:A, Account_Mapping!B:B,"Unmapped")</f>
        <v>Revenue</v>
      </c>
      <c r="O1098" cm="1">
        <f t="array" ref="O1098">_xlfn.XLOOKUP(
  1,
  (FX_Rates[Currency]=Cleaned[[#This Row],[Currency]])*
  (FX_Rates[RateDate]&lt;=Cleaned[[#This Row],[TxnDate]]),
  FX_Rates[Rate_To_INR],
  ,
  -1
)</f>
        <v>56</v>
      </c>
      <c r="P1098" s="2">
        <f>Cleaned[[#This Row],[Net Amount]] *  Cleaned[[#This Row],[FX_rates]]</f>
        <v>10297.84</v>
      </c>
    </row>
    <row r="1099" spans="1:16" x14ac:dyDescent="0.45">
      <c r="A1099" t="s">
        <v>1107</v>
      </c>
      <c r="B1099" s="1">
        <v>45708</v>
      </c>
      <c r="C1099" s="2" t="s">
        <v>2013</v>
      </c>
      <c r="D1099" t="s">
        <v>2018</v>
      </c>
      <c r="E1099">
        <v>786.38</v>
      </c>
      <c r="F1099">
        <f>Cleaned[[#This Row],[Debit]] * Cleaned[[#This Row],[FX_rates]]</f>
        <v>47969.18</v>
      </c>
      <c r="G1099">
        <v>0</v>
      </c>
      <c r="H1099">
        <f>Cleaned[[#This Row],[Credit]] *  Cleaned[[#This Row],[FX_rates]]</f>
        <v>0</v>
      </c>
      <c r="I1099" t="s">
        <v>2024</v>
      </c>
      <c r="J1099" t="s">
        <v>2029</v>
      </c>
      <c r="K1099" t="s">
        <v>3128</v>
      </c>
      <c r="L1099" t="s">
        <v>4035</v>
      </c>
      <c r="M1099">
        <f>Cleaned[[#This Row],[Credit]]-Cleaned[[#This Row],[Debit]]</f>
        <v>-786.38</v>
      </c>
      <c r="N1099" t="str">
        <f>_xlfn.XLOOKUP(Cleaned[[#This Row],[AccountName]], Account_Mapping!A:A, Account_Mapping!B:B,"Unmapped")</f>
        <v>Operating Expense</v>
      </c>
      <c r="O1099" cm="1">
        <f t="array" ref="O1099">_xlfn.XLOOKUP(
  1,
  (FX_Rates[Currency]=Cleaned[[#This Row],[Currency]])*
  (FX_Rates[RateDate]&lt;=Cleaned[[#This Row],[TxnDate]]),
  FX_Rates[Rate_To_INR],
  ,
  -1
)</f>
        <v>61</v>
      </c>
      <c r="P1099" s="2">
        <f>Cleaned[[#This Row],[Net Amount]] *  Cleaned[[#This Row],[FX_rates]]</f>
        <v>-47969.18</v>
      </c>
    </row>
    <row r="1100" spans="1:16" x14ac:dyDescent="0.45">
      <c r="A1100" t="s">
        <v>1108</v>
      </c>
      <c r="B1100" s="1">
        <v>45809</v>
      </c>
      <c r="C1100" s="2" t="s">
        <v>2013</v>
      </c>
      <c r="D1100" t="s">
        <v>2018</v>
      </c>
      <c r="E1100">
        <v>352.55</v>
      </c>
      <c r="F1100">
        <f>Cleaned[[#This Row],[Debit]] * Cleaned[[#This Row],[FX_rates]]</f>
        <v>31024.400000000001</v>
      </c>
      <c r="G1100">
        <v>0</v>
      </c>
      <c r="H1100">
        <f>Cleaned[[#This Row],[Credit]] *  Cleaned[[#This Row],[FX_rates]]</f>
        <v>0</v>
      </c>
      <c r="I1100" t="s">
        <v>2022</v>
      </c>
      <c r="J1100" t="s">
        <v>2029</v>
      </c>
      <c r="K1100" t="s">
        <v>3129</v>
      </c>
      <c r="L1100" t="s">
        <v>4032</v>
      </c>
      <c r="M1100">
        <f>Cleaned[[#This Row],[Credit]]-Cleaned[[#This Row],[Debit]]</f>
        <v>-352.55</v>
      </c>
      <c r="N1100" t="str">
        <f>_xlfn.XLOOKUP(Cleaned[[#This Row],[AccountName]], Account_Mapping!A:A, Account_Mapping!B:B,"Unmapped")</f>
        <v>Operating Expense</v>
      </c>
      <c r="O1100" cm="1">
        <f t="array" ref="O1100">_xlfn.XLOOKUP(
  1,
  (FX_Rates[Currency]=Cleaned[[#This Row],[Currency]])*
  (FX_Rates[RateDate]&lt;=Cleaned[[#This Row],[TxnDate]]),
  FX_Rates[Rate_To_INR],
  ,
  -1
)</f>
        <v>88</v>
      </c>
      <c r="P1100" s="2">
        <f>Cleaned[[#This Row],[Net Amount]] *  Cleaned[[#This Row],[FX_rates]]</f>
        <v>-31024.400000000001</v>
      </c>
    </row>
    <row r="1101" spans="1:16" x14ac:dyDescent="0.45">
      <c r="A1101" t="s">
        <v>1109</v>
      </c>
      <c r="B1101" s="1">
        <v>45094</v>
      </c>
      <c r="C1101" s="2" t="s">
        <v>2012</v>
      </c>
      <c r="D1101" t="s">
        <v>2017</v>
      </c>
      <c r="E1101">
        <v>1814.7</v>
      </c>
      <c r="F1101">
        <f>Cleaned[[#This Row],[Debit]] * Cleaned[[#This Row],[FX_rates]]</f>
        <v>148805.4</v>
      </c>
      <c r="G1101">
        <v>0</v>
      </c>
      <c r="H1101">
        <f>Cleaned[[#This Row],[Credit]] *  Cleaned[[#This Row],[FX_rates]]</f>
        <v>0</v>
      </c>
      <c r="I1101" t="s">
        <v>2022</v>
      </c>
      <c r="J1101" t="s">
        <v>2030</v>
      </c>
      <c r="K1101" t="s">
        <v>3130</v>
      </c>
      <c r="L1101" t="s">
        <v>4034</v>
      </c>
      <c r="M1101">
        <f>Cleaned[[#This Row],[Credit]]-Cleaned[[#This Row],[Debit]]</f>
        <v>-1814.7</v>
      </c>
      <c r="N1101" t="str">
        <f>_xlfn.XLOOKUP(Cleaned[[#This Row],[AccountName]], Account_Mapping!A:A, Account_Mapping!B:B,"Unmapped")</f>
        <v>Operating Expense</v>
      </c>
      <c r="O1101" cm="1">
        <f t="array" ref="O1101">_xlfn.XLOOKUP(
  1,
  (FX_Rates[Currency]=Cleaned[[#This Row],[Currency]])*
  (FX_Rates[RateDate]&lt;=Cleaned[[#This Row],[TxnDate]]),
  FX_Rates[Rate_To_INR],
  ,
  -1
)</f>
        <v>82</v>
      </c>
      <c r="P1101" s="2">
        <f>Cleaned[[#This Row],[Net Amount]] *  Cleaned[[#This Row],[FX_rates]]</f>
        <v>-148805.4</v>
      </c>
    </row>
    <row r="1102" spans="1:16" x14ac:dyDescent="0.45">
      <c r="A1102" t="s">
        <v>1110</v>
      </c>
      <c r="B1102" s="1">
        <v>45182</v>
      </c>
      <c r="C1102" s="2" t="s">
        <v>2010</v>
      </c>
      <c r="D1102" t="s">
        <v>2015</v>
      </c>
      <c r="E1102">
        <v>0</v>
      </c>
      <c r="F1102">
        <f>Cleaned[[#This Row],[Debit]] * Cleaned[[#This Row],[FX_rates]]</f>
        <v>0</v>
      </c>
      <c r="G1102">
        <v>4099.41</v>
      </c>
      <c r="H1102">
        <f>Cleaned[[#This Row],[Credit]] *  Cleaned[[#This Row],[FX_rates]]</f>
        <v>336151.62</v>
      </c>
      <c r="I1102" t="s">
        <v>2023</v>
      </c>
      <c r="J1102" t="s">
        <v>2026</v>
      </c>
      <c r="K1102" t="s">
        <v>3131</v>
      </c>
      <c r="L1102" t="s">
        <v>4034</v>
      </c>
      <c r="M1102">
        <f>Cleaned[[#This Row],[Credit]]-Cleaned[[#This Row],[Debit]]</f>
        <v>4099.41</v>
      </c>
      <c r="N1102" t="str">
        <f>_xlfn.XLOOKUP(Cleaned[[#This Row],[AccountName]], Account_Mapping!A:A, Account_Mapping!B:B,"Unmapped")</f>
        <v>Revenue</v>
      </c>
      <c r="O1102" cm="1">
        <f t="array" ref="O1102">_xlfn.XLOOKUP(
  1,
  (FX_Rates[Currency]=Cleaned[[#This Row],[Currency]])*
  (FX_Rates[RateDate]&lt;=Cleaned[[#This Row],[TxnDate]]),
  FX_Rates[Rate_To_INR],
  ,
  -1
)</f>
        <v>82</v>
      </c>
      <c r="P1102" s="2">
        <f>Cleaned[[#This Row],[Net Amount]] *  Cleaned[[#This Row],[FX_rates]]</f>
        <v>336151.62</v>
      </c>
    </row>
    <row r="1103" spans="1:16" x14ac:dyDescent="0.45">
      <c r="A1103" t="s">
        <v>1111</v>
      </c>
      <c r="B1103" s="1">
        <v>45793</v>
      </c>
      <c r="C1103" s="2" t="s">
        <v>2010</v>
      </c>
      <c r="D1103" t="s">
        <v>2015</v>
      </c>
      <c r="E1103">
        <v>0</v>
      </c>
      <c r="F1103">
        <f>Cleaned[[#This Row],[Debit]] * Cleaned[[#This Row],[FX_rates]]</f>
        <v>0</v>
      </c>
      <c r="G1103">
        <v>1953.74</v>
      </c>
      <c r="H1103">
        <f>Cleaned[[#This Row],[Credit]] *  Cleaned[[#This Row],[FX_rates]]</f>
        <v>201235.22</v>
      </c>
      <c r="I1103" t="s">
        <v>2025</v>
      </c>
      <c r="J1103" t="s">
        <v>2027</v>
      </c>
      <c r="K1103" t="s">
        <v>3132</v>
      </c>
      <c r="L1103" t="s">
        <v>4031</v>
      </c>
      <c r="M1103">
        <f>Cleaned[[#This Row],[Credit]]-Cleaned[[#This Row],[Debit]]</f>
        <v>1953.74</v>
      </c>
      <c r="N1103" t="str">
        <f>_xlfn.XLOOKUP(Cleaned[[#This Row],[AccountName]], Account_Mapping!A:A, Account_Mapping!B:B,"Unmapped")</f>
        <v>Revenue</v>
      </c>
      <c r="O1103" cm="1">
        <f t="array" ref="O1103">_xlfn.XLOOKUP(
  1,
  (FX_Rates[Currency]=Cleaned[[#This Row],[Currency]])*
  (FX_Rates[RateDate]&lt;=Cleaned[[#This Row],[TxnDate]]),
  FX_Rates[Rate_To_INR],
  ,
  -1
)</f>
        <v>103</v>
      </c>
      <c r="P1103" s="2">
        <f>Cleaned[[#This Row],[Net Amount]] *  Cleaned[[#This Row],[FX_rates]]</f>
        <v>201235.22</v>
      </c>
    </row>
    <row r="1104" spans="1:16" x14ac:dyDescent="0.45">
      <c r="A1104" t="s">
        <v>1112</v>
      </c>
      <c r="B1104" s="1">
        <v>45319</v>
      </c>
      <c r="C1104" s="2" t="s">
        <v>2011</v>
      </c>
      <c r="D1104" t="s">
        <v>2016</v>
      </c>
      <c r="E1104">
        <v>242.28</v>
      </c>
      <c r="F1104">
        <f>Cleaned[[#This Row],[Debit]] * Cleaned[[#This Row],[FX_rates]]</f>
        <v>19866.96</v>
      </c>
      <c r="G1104">
        <v>0</v>
      </c>
      <c r="H1104">
        <f>Cleaned[[#This Row],[Credit]] *  Cleaned[[#This Row],[FX_rates]]</f>
        <v>0</v>
      </c>
      <c r="I1104" t="s">
        <v>2024</v>
      </c>
      <c r="J1104" t="s">
        <v>2028</v>
      </c>
      <c r="K1104" t="s">
        <v>3133</v>
      </c>
      <c r="L1104" t="s">
        <v>4034</v>
      </c>
      <c r="M1104">
        <f>Cleaned[[#This Row],[Credit]]-Cleaned[[#This Row],[Debit]]</f>
        <v>-242.28</v>
      </c>
      <c r="N1104" t="str">
        <f>_xlfn.XLOOKUP(Cleaned[[#This Row],[AccountName]], Account_Mapping!A:A, Account_Mapping!B:B,"Unmapped")</f>
        <v>COGS</v>
      </c>
      <c r="O1104" cm="1">
        <f t="array" ref="O1104">_xlfn.XLOOKUP(
  1,
  (FX_Rates[Currency]=Cleaned[[#This Row],[Currency]])*
  (FX_Rates[RateDate]&lt;=Cleaned[[#This Row],[TxnDate]]),
  FX_Rates[Rate_To_INR],
  ,
  -1
)</f>
        <v>82</v>
      </c>
      <c r="P1104" s="2">
        <f>Cleaned[[#This Row],[Net Amount]] *  Cleaned[[#This Row],[FX_rates]]</f>
        <v>-19866.96</v>
      </c>
    </row>
    <row r="1105" spans="1:16" x14ac:dyDescent="0.45">
      <c r="A1105" t="s">
        <v>1113</v>
      </c>
      <c r="B1105" s="1">
        <v>45434</v>
      </c>
      <c r="C1105" s="2" t="s">
        <v>2014</v>
      </c>
      <c r="D1105" t="s">
        <v>2019</v>
      </c>
      <c r="E1105">
        <v>0</v>
      </c>
      <c r="F1105">
        <f>Cleaned[[#This Row],[Debit]] * Cleaned[[#This Row],[FX_rates]]</f>
        <v>0</v>
      </c>
      <c r="G1105">
        <v>3335.43</v>
      </c>
      <c r="H1105">
        <f>Cleaned[[#This Row],[Credit]] *  Cleaned[[#This Row],[FX_rates]]</f>
        <v>273505.26</v>
      </c>
      <c r="I1105" t="s">
        <v>2025</v>
      </c>
      <c r="J1105" t="s">
        <v>2029</v>
      </c>
      <c r="K1105" t="s">
        <v>3134</v>
      </c>
      <c r="L1105" t="s">
        <v>4034</v>
      </c>
      <c r="M1105">
        <f>Cleaned[[#This Row],[Credit]]-Cleaned[[#This Row],[Debit]]</f>
        <v>3335.43</v>
      </c>
      <c r="N1105" t="str">
        <f>_xlfn.XLOOKUP(Cleaned[[#This Row],[AccountName]], Account_Mapping!A:A, Account_Mapping!B:B,"Unmapped")</f>
        <v>Revenue</v>
      </c>
      <c r="O1105" cm="1">
        <f t="array" ref="O1105">_xlfn.XLOOKUP(
  1,
  (FX_Rates[Currency]=Cleaned[[#This Row],[Currency]])*
  (FX_Rates[RateDate]&lt;=Cleaned[[#This Row],[TxnDate]]),
  FX_Rates[Rate_To_INR],
  ,
  -1
)</f>
        <v>82</v>
      </c>
      <c r="P1105" s="2">
        <f>Cleaned[[#This Row],[Net Amount]] *  Cleaned[[#This Row],[FX_rates]]</f>
        <v>273505.26</v>
      </c>
    </row>
    <row r="1106" spans="1:16" x14ac:dyDescent="0.45">
      <c r="A1106" t="s">
        <v>1114</v>
      </c>
      <c r="B1106" s="1">
        <v>45167</v>
      </c>
      <c r="C1106" s="2" t="s">
        <v>2013</v>
      </c>
      <c r="D1106" t="s">
        <v>2018</v>
      </c>
      <c r="E1106">
        <v>831.33</v>
      </c>
      <c r="F1106">
        <f>Cleaned[[#This Row],[Debit]] * Cleaned[[#This Row],[FX_rates]]</f>
        <v>50711.130000000005</v>
      </c>
      <c r="G1106">
        <v>0</v>
      </c>
      <c r="H1106">
        <f>Cleaned[[#This Row],[Credit]] *  Cleaned[[#This Row],[FX_rates]]</f>
        <v>0</v>
      </c>
      <c r="I1106" t="s">
        <v>2025</v>
      </c>
      <c r="J1106" t="s">
        <v>2029</v>
      </c>
      <c r="K1106" t="s">
        <v>3135</v>
      </c>
      <c r="L1106" t="s">
        <v>4035</v>
      </c>
      <c r="M1106">
        <f>Cleaned[[#This Row],[Credit]]-Cleaned[[#This Row],[Debit]]</f>
        <v>-831.33</v>
      </c>
      <c r="N1106" t="str">
        <f>_xlfn.XLOOKUP(Cleaned[[#This Row],[AccountName]], Account_Mapping!A:A, Account_Mapping!B:B,"Unmapped")</f>
        <v>Operating Expense</v>
      </c>
      <c r="O1106" cm="1">
        <f t="array" ref="O1106">_xlfn.XLOOKUP(
  1,
  (FX_Rates[Currency]=Cleaned[[#This Row],[Currency]])*
  (FX_Rates[RateDate]&lt;=Cleaned[[#This Row],[TxnDate]]),
  FX_Rates[Rate_To_INR],
  ,
  -1
)</f>
        <v>61</v>
      </c>
      <c r="P1106" s="2">
        <f>Cleaned[[#This Row],[Net Amount]] *  Cleaned[[#This Row],[FX_rates]]</f>
        <v>-50711.130000000005</v>
      </c>
    </row>
    <row r="1107" spans="1:16" x14ac:dyDescent="0.45">
      <c r="A1107" t="s">
        <v>1115</v>
      </c>
      <c r="B1107" s="1">
        <v>45344</v>
      </c>
      <c r="C1107" s="2" t="s">
        <v>2010</v>
      </c>
      <c r="D1107" t="s">
        <v>2015</v>
      </c>
      <c r="E1107">
        <v>0</v>
      </c>
      <c r="F1107">
        <f>Cleaned[[#This Row],[Debit]] * Cleaned[[#This Row],[FX_rates]]</f>
        <v>0</v>
      </c>
      <c r="G1107">
        <v>406.59</v>
      </c>
      <c r="H1107">
        <f>Cleaned[[#This Row],[Credit]] *  Cleaned[[#This Row],[FX_rates]]</f>
        <v>35779.919999999998</v>
      </c>
      <c r="I1107" t="s">
        <v>2020</v>
      </c>
      <c r="J1107" t="s">
        <v>2030</v>
      </c>
      <c r="K1107" t="s">
        <v>3136</v>
      </c>
      <c r="L1107" t="s">
        <v>4032</v>
      </c>
      <c r="M1107">
        <f>Cleaned[[#This Row],[Credit]]-Cleaned[[#This Row],[Debit]]</f>
        <v>406.59</v>
      </c>
      <c r="N1107" t="str">
        <f>_xlfn.XLOOKUP(Cleaned[[#This Row],[AccountName]], Account_Mapping!A:A, Account_Mapping!B:B,"Unmapped")</f>
        <v>Revenue</v>
      </c>
      <c r="O1107" cm="1">
        <f t="array" ref="O1107">_xlfn.XLOOKUP(
  1,
  (FX_Rates[Currency]=Cleaned[[#This Row],[Currency]])*
  (FX_Rates[RateDate]&lt;=Cleaned[[#This Row],[TxnDate]]),
  FX_Rates[Rate_To_INR],
  ,
  -1
)</f>
        <v>88</v>
      </c>
      <c r="P1107" s="2">
        <f>Cleaned[[#This Row],[Net Amount]] *  Cleaned[[#This Row],[FX_rates]]</f>
        <v>35779.919999999998</v>
      </c>
    </row>
    <row r="1108" spans="1:16" x14ac:dyDescent="0.45">
      <c r="A1108" t="s">
        <v>1116</v>
      </c>
      <c r="B1108" s="1">
        <v>45325</v>
      </c>
      <c r="C1108" s="2" t="s">
        <v>2012</v>
      </c>
      <c r="D1108" t="s">
        <v>2017</v>
      </c>
      <c r="E1108">
        <v>1813.03</v>
      </c>
      <c r="F1108">
        <f>Cleaned[[#This Row],[Debit]] * Cleaned[[#This Row],[FX_rates]]</f>
        <v>159546.63999999998</v>
      </c>
      <c r="G1108">
        <v>0</v>
      </c>
      <c r="H1108">
        <f>Cleaned[[#This Row],[Credit]] *  Cleaned[[#This Row],[FX_rates]]</f>
        <v>0</v>
      </c>
      <c r="I1108" t="s">
        <v>2024</v>
      </c>
      <c r="J1108" t="s">
        <v>2030</v>
      </c>
      <c r="K1108" t="s">
        <v>3137</v>
      </c>
      <c r="L1108" t="s">
        <v>4032</v>
      </c>
      <c r="M1108">
        <f>Cleaned[[#This Row],[Credit]]-Cleaned[[#This Row],[Debit]]</f>
        <v>-1813.03</v>
      </c>
      <c r="N1108" t="str">
        <f>_xlfn.XLOOKUP(Cleaned[[#This Row],[AccountName]], Account_Mapping!A:A, Account_Mapping!B:B,"Unmapped")</f>
        <v>Operating Expense</v>
      </c>
      <c r="O1108" cm="1">
        <f t="array" ref="O1108">_xlfn.XLOOKUP(
  1,
  (FX_Rates[Currency]=Cleaned[[#This Row],[Currency]])*
  (FX_Rates[RateDate]&lt;=Cleaned[[#This Row],[TxnDate]]),
  FX_Rates[Rate_To_INR],
  ,
  -1
)</f>
        <v>88</v>
      </c>
      <c r="P1108" s="2">
        <f>Cleaned[[#This Row],[Net Amount]] *  Cleaned[[#This Row],[FX_rates]]</f>
        <v>-159546.63999999998</v>
      </c>
    </row>
    <row r="1109" spans="1:16" x14ac:dyDescent="0.45">
      <c r="A1109" t="s">
        <v>1117</v>
      </c>
      <c r="B1109" s="1">
        <v>45338</v>
      </c>
      <c r="C1109" s="2" t="s">
        <v>2010</v>
      </c>
      <c r="D1109" t="s">
        <v>2015</v>
      </c>
      <c r="E1109">
        <v>0</v>
      </c>
      <c r="F1109">
        <f>Cleaned[[#This Row],[Debit]] * Cleaned[[#This Row],[FX_rates]]</f>
        <v>0</v>
      </c>
      <c r="G1109">
        <v>2019.11</v>
      </c>
      <c r="H1109">
        <f>Cleaned[[#This Row],[Credit]] *  Cleaned[[#This Row],[FX_rates]]</f>
        <v>113070.15999999999</v>
      </c>
      <c r="I1109" t="s">
        <v>2021</v>
      </c>
      <c r="J1109" t="s">
        <v>2027</v>
      </c>
      <c r="K1109" t="s">
        <v>3138</v>
      </c>
      <c r="L1109" t="s">
        <v>4033</v>
      </c>
      <c r="M1109">
        <f>Cleaned[[#This Row],[Credit]]-Cleaned[[#This Row],[Debit]]</f>
        <v>2019.11</v>
      </c>
      <c r="N1109" t="str">
        <f>_xlfn.XLOOKUP(Cleaned[[#This Row],[AccountName]], Account_Mapping!A:A, Account_Mapping!B:B,"Unmapped")</f>
        <v>Revenue</v>
      </c>
      <c r="O1109" cm="1">
        <f t="array" ref="O1109">_xlfn.XLOOKUP(
  1,
  (FX_Rates[Currency]=Cleaned[[#This Row],[Currency]])*
  (FX_Rates[RateDate]&lt;=Cleaned[[#This Row],[TxnDate]]),
  FX_Rates[Rate_To_INR],
  ,
  -1
)</f>
        <v>56</v>
      </c>
      <c r="P1109" s="2">
        <f>Cleaned[[#This Row],[Net Amount]] *  Cleaned[[#This Row],[FX_rates]]</f>
        <v>113070.15999999999</v>
      </c>
    </row>
    <row r="1110" spans="1:16" x14ac:dyDescent="0.45">
      <c r="A1110" t="s">
        <v>1118</v>
      </c>
      <c r="B1110" s="1">
        <v>45359</v>
      </c>
      <c r="C1110" s="2" t="s">
        <v>2012</v>
      </c>
      <c r="D1110" t="s">
        <v>2017</v>
      </c>
      <c r="E1110">
        <v>1278.3800000000001</v>
      </c>
      <c r="F1110">
        <f>Cleaned[[#This Row],[Debit]] * Cleaned[[#This Row],[FX_rates]]</f>
        <v>112497.44</v>
      </c>
      <c r="G1110">
        <v>0</v>
      </c>
      <c r="H1110">
        <f>Cleaned[[#This Row],[Credit]] *  Cleaned[[#This Row],[FX_rates]]</f>
        <v>0</v>
      </c>
      <c r="I1110" t="s">
        <v>2021</v>
      </c>
      <c r="J1110" t="s">
        <v>2029</v>
      </c>
      <c r="K1110" t="s">
        <v>3139</v>
      </c>
      <c r="L1110" t="s">
        <v>4032</v>
      </c>
      <c r="M1110">
        <f>Cleaned[[#This Row],[Credit]]-Cleaned[[#This Row],[Debit]]</f>
        <v>-1278.3800000000001</v>
      </c>
      <c r="N1110" t="str">
        <f>_xlfn.XLOOKUP(Cleaned[[#This Row],[AccountName]], Account_Mapping!A:A, Account_Mapping!B:B,"Unmapped")</f>
        <v>Operating Expense</v>
      </c>
      <c r="O1110" cm="1">
        <f t="array" ref="O1110">_xlfn.XLOOKUP(
  1,
  (FX_Rates[Currency]=Cleaned[[#This Row],[Currency]])*
  (FX_Rates[RateDate]&lt;=Cleaned[[#This Row],[TxnDate]]),
  FX_Rates[Rate_To_INR],
  ,
  -1
)</f>
        <v>88</v>
      </c>
      <c r="P1110" s="2">
        <f>Cleaned[[#This Row],[Net Amount]] *  Cleaned[[#This Row],[FX_rates]]</f>
        <v>-112497.44</v>
      </c>
    </row>
    <row r="1111" spans="1:16" x14ac:dyDescent="0.45">
      <c r="A1111" t="s">
        <v>1119</v>
      </c>
      <c r="B1111" s="1">
        <v>45023</v>
      </c>
      <c r="C1111" s="2" t="s">
        <v>2010</v>
      </c>
      <c r="D1111" t="s">
        <v>2015</v>
      </c>
      <c r="E1111">
        <v>0</v>
      </c>
      <c r="F1111">
        <f>Cleaned[[#This Row],[Debit]] * Cleaned[[#This Row],[FX_rates]]</f>
        <v>0</v>
      </c>
      <c r="G1111">
        <v>2058.58</v>
      </c>
      <c r="H1111">
        <f>Cleaned[[#This Row],[Credit]] *  Cleaned[[#This Row],[FX_rates]]</f>
        <v>125573.37999999999</v>
      </c>
      <c r="I1111" t="s">
        <v>2024</v>
      </c>
      <c r="J1111" t="s">
        <v>2027</v>
      </c>
      <c r="K1111" t="s">
        <v>3140</v>
      </c>
      <c r="L1111" t="s">
        <v>4035</v>
      </c>
      <c r="M1111">
        <f>Cleaned[[#This Row],[Credit]]-Cleaned[[#This Row],[Debit]]</f>
        <v>2058.58</v>
      </c>
      <c r="N1111" t="str">
        <f>_xlfn.XLOOKUP(Cleaned[[#This Row],[AccountName]], Account_Mapping!A:A, Account_Mapping!B:B,"Unmapped")</f>
        <v>Revenue</v>
      </c>
      <c r="O1111" cm="1">
        <f t="array" ref="O1111">_xlfn.XLOOKUP(
  1,
  (FX_Rates[Currency]=Cleaned[[#This Row],[Currency]])*
  (FX_Rates[RateDate]&lt;=Cleaned[[#This Row],[TxnDate]]),
  FX_Rates[Rate_To_INR],
  ,
  -1
)</f>
        <v>61</v>
      </c>
      <c r="P1111" s="2">
        <f>Cleaned[[#This Row],[Net Amount]] *  Cleaned[[#This Row],[FX_rates]]</f>
        <v>125573.37999999999</v>
      </c>
    </row>
    <row r="1112" spans="1:16" x14ac:dyDescent="0.45">
      <c r="A1112" t="s">
        <v>1120</v>
      </c>
      <c r="B1112" s="1">
        <v>45532</v>
      </c>
      <c r="C1112" s="2" t="s">
        <v>2012</v>
      </c>
      <c r="D1112" t="s">
        <v>2017</v>
      </c>
      <c r="E1112">
        <v>1453.63</v>
      </c>
      <c r="F1112">
        <f>Cleaned[[#This Row],[Debit]] * Cleaned[[#This Row],[FX_rates]]</f>
        <v>81403.28</v>
      </c>
      <c r="G1112">
        <v>0</v>
      </c>
      <c r="H1112">
        <f>Cleaned[[#This Row],[Credit]] *  Cleaned[[#This Row],[FX_rates]]</f>
        <v>0</v>
      </c>
      <c r="I1112" t="s">
        <v>2020</v>
      </c>
      <c r="J1112" t="s">
        <v>2028</v>
      </c>
      <c r="K1112" t="s">
        <v>3141</v>
      </c>
      <c r="L1112" t="s">
        <v>4033</v>
      </c>
      <c r="M1112">
        <f>Cleaned[[#This Row],[Credit]]-Cleaned[[#This Row],[Debit]]</f>
        <v>-1453.63</v>
      </c>
      <c r="N1112" t="str">
        <f>_xlfn.XLOOKUP(Cleaned[[#This Row],[AccountName]], Account_Mapping!A:A, Account_Mapping!B:B,"Unmapped")</f>
        <v>Operating Expense</v>
      </c>
      <c r="O1112" cm="1">
        <f t="array" ref="O1112">_xlfn.XLOOKUP(
  1,
  (FX_Rates[Currency]=Cleaned[[#This Row],[Currency]])*
  (FX_Rates[RateDate]&lt;=Cleaned[[#This Row],[TxnDate]]),
  FX_Rates[Rate_To_INR],
  ,
  -1
)</f>
        <v>56</v>
      </c>
      <c r="P1112" s="2">
        <f>Cleaned[[#This Row],[Net Amount]] *  Cleaned[[#This Row],[FX_rates]]</f>
        <v>-81403.28</v>
      </c>
    </row>
    <row r="1113" spans="1:16" x14ac:dyDescent="0.45">
      <c r="A1113" t="s">
        <v>1121</v>
      </c>
      <c r="B1113" s="1">
        <v>45173</v>
      </c>
      <c r="C1113" s="2" t="s">
        <v>2010</v>
      </c>
      <c r="D1113" t="s">
        <v>2015</v>
      </c>
      <c r="E1113">
        <v>0</v>
      </c>
      <c r="F1113">
        <f>Cleaned[[#This Row],[Debit]] * Cleaned[[#This Row],[FX_rates]]</f>
        <v>0</v>
      </c>
      <c r="G1113">
        <v>2233.0500000000002</v>
      </c>
      <c r="H1113">
        <f>Cleaned[[#This Row],[Credit]] *  Cleaned[[#This Row],[FX_rates]]</f>
        <v>125050.80000000002</v>
      </c>
      <c r="I1113" t="s">
        <v>2024</v>
      </c>
      <c r="J1113" t="s">
        <v>2027</v>
      </c>
      <c r="K1113" t="s">
        <v>3142</v>
      </c>
      <c r="L1113" t="s">
        <v>4033</v>
      </c>
      <c r="M1113">
        <f>Cleaned[[#This Row],[Credit]]-Cleaned[[#This Row],[Debit]]</f>
        <v>2233.0500000000002</v>
      </c>
      <c r="N1113" t="str">
        <f>_xlfn.XLOOKUP(Cleaned[[#This Row],[AccountName]], Account_Mapping!A:A, Account_Mapping!B:B,"Unmapped")</f>
        <v>Revenue</v>
      </c>
      <c r="O1113" cm="1">
        <f t="array" ref="O1113">_xlfn.XLOOKUP(
  1,
  (FX_Rates[Currency]=Cleaned[[#This Row],[Currency]])*
  (FX_Rates[RateDate]&lt;=Cleaned[[#This Row],[TxnDate]]),
  FX_Rates[Rate_To_INR],
  ,
  -1
)</f>
        <v>56</v>
      </c>
      <c r="P1113" s="2">
        <f>Cleaned[[#This Row],[Net Amount]] *  Cleaned[[#This Row],[FX_rates]]</f>
        <v>125050.80000000002</v>
      </c>
    </row>
    <row r="1114" spans="1:16" x14ac:dyDescent="0.45">
      <c r="A1114" t="s">
        <v>1122</v>
      </c>
      <c r="B1114" s="1">
        <v>45191</v>
      </c>
      <c r="C1114" s="2" t="s">
        <v>2013</v>
      </c>
      <c r="D1114" t="s">
        <v>2018</v>
      </c>
      <c r="E1114">
        <v>836.69</v>
      </c>
      <c r="F1114">
        <f>Cleaned[[#This Row],[Debit]] * Cleaned[[#This Row],[FX_rates]]</f>
        <v>46854.64</v>
      </c>
      <c r="G1114">
        <v>0</v>
      </c>
      <c r="H1114">
        <f>Cleaned[[#This Row],[Credit]] *  Cleaned[[#This Row],[FX_rates]]</f>
        <v>0</v>
      </c>
      <c r="I1114" t="s">
        <v>2020</v>
      </c>
      <c r="J1114" t="s">
        <v>2027</v>
      </c>
      <c r="K1114" t="s">
        <v>3143</v>
      </c>
      <c r="L1114" t="s">
        <v>4033</v>
      </c>
      <c r="M1114">
        <f>Cleaned[[#This Row],[Credit]]-Cleaned[[#This Row],[Debit]]</f>
        <v>-836.69</v>
      </c>
      <c r="N1114" t="str">
        <f>_xlfn.XLOOKUP(Cleaned[[#This Row],[AccountName]], Account_Mapping!A:A, Account_Mapping!B:B,"Unmapped")</f>
        <v>Operating Expense</v>
      </c>
      <c r="O1114" cm="1">
        <f t="array" ref="O1114">_xlfn.XLOOKUP(
  1,
  (FX_Rates[Currency]=Cleaned[[#This Row],[Currency]])*
  (FX_Rates[RateDate]&lt;=Cleaned[[#This Row],[TxnDate]]),
  FX_Rates[Rate_To_INR],
  ,
  -1
)</f>
        <v>56</v>
      </c>
      <c r="P1114" s="2">
        <f>Cleaned[[#This Row],[Net Amount]] *  Cleaned[[#This Row],[FX_rates]]</f>
        <v>-46854.64</v>
      </c>
    </row>
    <row r="1115" spans="1:16" x14ac:dyDescent="0.45">
      <c r="A1115" t="s">
        <v>1123</v>
      </c>
      <c r="B1115" s="1">
        <v>44928</v>
      </c>
      <c r="C1115" s="2" t="s">
        <v>2010</v>
      </c>
      <c r="D1115" t="s">
        <v>2015</v>
      </c>
      <c r="E1115">
        <v>0</v>
      </c>
      <c r="F1115">
        <f>Cleaned[[#This Row],[Debit]] * Cleaned[[#This Row],[FX_rates]]</f>
        <v>0</v>
      </c>
      <c r="G1115">
        <v>2173.0100000000002</v>
      </c>
      <c r="H1115">
        <f>Cleaned[[#This Row],[Credit]] *  Cleaned[[#This Row],[FX_rates]]</f>
        <v>223820.03000000003</v>
      </c>
      <c r="I1115" t="s">
        <v>2023</v>
      </c>
      <c r="J1115" t="s">
        <v>2029</v>
      </c>
      <c r="K1115" t="s">
        <v>3144</v>
      </c>
      <c r="L1115" t="s">
        <v>4031</v>
      </c>
      <c r="M1115">
        <f>Cleaned[[#This Row],[Credit]]-Cleaned[[#This Row],[Debit]]</f>
        <v>2173.0100000000002</v>
      </c>
      <c r="N1115" t="str">
        <f>_xlfn.XLOOKUP(Cleaned[[#This Row],[AccountName]], Account_Mapping!A:A, Account_Mapping!B:B,"Unmapped")</f>
        <v>Revenue</v>
      </c>
      <c r="O1115" cm="1">
        <f t="array" ref="O1115">_xlfn.XLOOKUP(
  1,
  (FX_Rates[Currency]=Cleaned[[#This Row],[Currency]])*
  (FX_Rates[RateDate]&lt;=Cleaned[[#This Row],[TxnDate]]),
  FX_Rates[Rate_To_INR],
  ,
  -1
)</f>
        <v>103</v>
      </c>
      <c r="P1115" s="2">
        <f>Cleaned[[#This Row],[Net Amount]] *  Cleaned[[#This Row],[FX_rates]]</f>
        <v>223820.03000000003</v>
      </c>
    </row>
    <row r="1116" spans="1:16" x14ac:dyDescent="0.45">
      <c r="A1116" t="s">
        <v>1124</v>
      </c>
      <c r="B1116" s="1">
        <v>45334</v>
      </c>
      <c r="C1116" s="2" t="s">
        <v>2010</v>
      </c>
      <c r="D1116" t="s">
        <v>2015</v>
      </c>
      <c r="E1116">
        <v>0</v>
      </c>
      <c r="F1116">
        <f>Cleaned[[#This Row],[Debit]] * Cleaned[[#This Row],[FX_rates]]</f>
        <v>0</v>
      </c>
      <c r="G1116">
        <v>3592.24</v>
      </c>
      <c r="H1116">
        <f>Cleaned[[#This Row],[Credit]] *  Cleaned[[#This Row],[FX_rates]]</f>
        <v>201165.44</v>
      </c>
      <c r="I1116" t="s">
        <v>2024</v>
      </c>
      <c r="J1116" t="s">
        <v>2028</v>
      </c>
      <c r="K1116" t="s">
        <v>3145</v>
      </c>
      <c r="L1116" t="s">
        <v>4033</v>
      </c>
      <c r="M1116">
        <f>Cleaned[[#This Row],[Credit]]-Cleaned[[#This Row],[Debit]]</f>
        <v>3592.24</v>
      </c>
      <c r="N1116" t="str">
        <f>_xlfn.XLOOKUP(Cleaned[[#This Row],[AccountName]], Account_Mapping!A:A, Account_Mapping!B:B,"Unmapped")</f>
        <v>Revenue</v>
      </c>
      <c r="O1116" cm="1">
        <f t="array" ref="O1116">_xlfn.XLOOKUP(
  1,
  (FX_Rates[Currency]=Cleaned[[#This Row],[Currency]])*
  (FX_Rates[RateDate]&lt;=Cleaned[[#This Row],[TxnDate]]),
  FX_Rates[Rate_To_INR],
  ,
  -1
)</f>
        <v>56</v>
      </c>
      <c r="P1116" s="2">
        <f>Cleaned[[#This Row],[Net Amount]] *  Cleaned[[#This Row],[FX_rates]]</f>
        <v>201165.44</v>
      </c>
    </row>
    <row r="1117" spans="1:16" x14ac:dyDescent="0.45">
      <c r="A1117" t="s">
        <v>1125</v>
      </c>
      <c r="B1117" s="1">
        <v>45551</v>
      </c>
      <c r="C1117" s="2" t="s">
        <v>2013</v>
      </c>
      <c r="D1117" t="s">
        <v>2018</v>
      </c>
      <c r="E1117">
        <v>412.97</v>
      </c>
      <c r="F1117">
        <f>Cleaned[[#This Row],[Debit]] * Cleaned[[#This Row],[FX_rates]]</f>
        <v>23126.32</v>
      </c>
      <c r="G1117">
        <v>0</v>
      </c>
      <c r="H1117">
        <f>Cleaned[[#This Row],[Credit]] *  Cleaned[[#This Row],[FX_rates]]</f>
        <v>0</v>
      </c>
      <c r="I1117" t="s">
        <v>2025</v>
      </c>
      <c r="J1117" t="s">
        <v>2028</v>
      </c>
      <c r="K1117" t="s">
        <v>3146</v>
      </c>
      <c r="L1117" t="s">
        <v>4033</v>
      </c>
      <c r="M1117">
        <f>Cleaned[[#This Row],[Credit]]-Cleaned[[#This Row],[Debit]]</f>
        <v>-412.97</v>
      </c>
      <c r="N1117" t="str">
        <f>_xlfn.XLOOKUP(Cleaned[[#This Row],[AccountName]], Account_Mapping!A:A, Account_Mapping!B:B,"Unmapped")</f>
        <v>Operating Expense</v>
      </c>
      <c r="O1117" cm="1">
        <f t="array" ref="O1117">_xlfn.XLOOKUP(
  1,
  (FX_Rates[Currency]=Cleaned[[#This Row],[Currency]])*
  (FX_Rates[RateDate]&lt;=Cleaned[[#This Row],[TxnDate]]),
  FX_Rates[Rate_To_INR],
  ,
  -1
)</f>
        <v>56</v>
      </c>
      <c r="P1117" s="2">
        <f>Cleaned[[#This Row],[Net Amount]] *  Cleaned[[#This Row],[FX_rates]]</f>
        <v>-23126.32</v>
      </c>
    </row>
    <row r="1118" spans="1:16" x14ac:dyDescent="0.45">
      <c r="A1118" t="s">
        <v>1126</v>
      </c>
      <c r="B1118" s="1">
        <v>45370</v>
      </c>
      <c r="C1118" s="2" t="s">
        <v>2012</v>
      </c>
      <c r="D1118" t="s">
        <v>2017</v>
      </c>
      <c r="E1118">
        <v>732.61</v>
      </c>
      <c r="F1118">
        <f>Cleaned[[#This Row],[Debit]] * Cleaned[[#This Row],[FX_rates]]</f>
        <v>41026.160000000003</v>
      </c>
      <c r="G1118">
        <v>0</v>
      </c>
      <c r="H1118">
        <f>Cleaned[[#This Row],[Credit]] *  Cleaned[[#This Row],[FX_rates]]</f>
        <v>0</v>
      </c>
      <c r="I1118" t="s">
        <v>2024</v>
      </c>
      <c r="J1118" t="s">
        <v>2027</v>
      </c>
      <c r="K1118" t="s">
        <v>3147</v>
      </c>
      <c r="L1118" t="s">
        <v>4033</v>
      </c>
      <c r="M1118">
        <f>Cleaned[[#This Row],[Credit]]-Cleaned[[#This Row],[Debit]]</f>
        <v>-732.61</v>
      </c>
      <c r="N1118" t="str">
        <f>_xlfn.XLOOKUP(Cleaned[[#This Row],[AccountName]], Account_Mapping!A:A, Account_Mapping!B:B,"Unmapped")</f>
        <v>Operating Expense</v>
      </c>
      <c r="O1118" cm="1">
        <f t="array" ref="O1118">_xlfn.XLOOKUP(
  1,
  (FX_Rates[Currency]=Cleaned[[#This Row],[Currency]])*
  (FX_Rates[RateDate]&lt;=Cleaned[[#This Row],[TxnDate]]),
  FX_Rates[Rate_To_INR],
  ,
  -1
)</f>
        <v>56</v>
      </c>
      <c r="P1118" s="2">
        <f>Cleaned[[#This Row],[Net Amount]] *  Cleaned[[#This Row],[FX_rates]]</f>
        <v>-41026.160000000003</v>
      </c>
    </row>
    <row r="1119" spans="1:16" x14ac:dyDescent="0.45">
      <c r="A1119" t="s">
        <v>1127</v>
      </c>
      <c r="B1119" s="1">
        <v>45219</v>
      </c>
      <c r="C1119" s="2" t="s">
        <v>2014</v>
      </c>
      <c r="D1119" t="s">
        <v>2019</v>
      </c>
      <c r="E1119">
        <v>0</v>
      </c>
      <c r="F1119">
        <f>Cleaned[[#This Row],[Debit]] * Cleaned[[#This Row],[FX_rates]]</f>
        <v>0</v>
      </c>
      <c r="G1119">
        <v>2538.6999999999998</v>
      </c>
      <c r="H1119">
        <f>Cleaned[[#This Row],[Credit]] *  Cleaned[[#This Row],[FX_rates]]</f>
        <v>261486.09999999998</v>
      </c>
      <c r="I1119" t="s">
        <v>2020</v>
      </c>
      <c r="J1119" t="s">
        <v>2030</v>
      </c>
      <c r="K1119" t="s">
        <v>3148</v>
      </c>
      <c r="L1119" t="s">
        <v>4031</v>
      </c>
      <c r="M1119">
        <f>Cleaned[[#This Row],[Credit]]-Cleaned[[#This Row],[Debit]]</f>
        <v>2538.6999999999998</v>
      </c>
      <c r="N1119" t="str">
        <f>_xlfn.XLOOKUP(Cleaned[[#This Row],[AccountName]], Account_Mapping!A:A, Account_Mapping!B:B,"Unmapped")</f>
        <v>Revenue</v>
      </c>
      <c r="O1119" cm="1">
        <f t="array" ref="O1119">_xlfn.XLOOKUP(
  1,
  (FX_Rates[Currency]=Cleaned[[#This Row],[Currency]])*
  (FX_Rates[RateDate]&lt;=Cleaned[[#This Row],[TxnDate]]),
  FX_Rates[Rate_To_INR],
  ,
  -1
)</f>
        <v>103</v>
      </c>
      <c r="P1119" s="2">
        <f>Cleaned[[#This Row],[Net Amount]] *  Cleaned[[#This Row],[FX_rates]]</f>
        <v>261486.09999999998</v>
      </c>
    </row>
    <row r="1120" spans="1:16" x14ac:dyDescent="0.45">
      <c r="A1120" t="s">
        <v>1128</v>
      </c>
      <c r="B1120" s="1">
        <v>45539</v>
      </c>
      <c r="C1120" s="2" t="s">
        <v>2013</v>
      </c>
      <c r="D1120" t="s">
        <v>2018</v>
      </c>
      <c r="E1120">
        <v>436.55</v>
      </c>
      <c r="F1120">
        <f>Cleaned[[#This Row],[Debit]] * Cleaned[[#This Row],[FX_rates]]</f>
        <v>44964.65</v>
      </c>
      <c r="G1120">
        <v>0</v>
      </c>
      <c r="H1120">
        <f>Cleaned[[#This Row],[Credit]] *  Cleaned[[#This Row],[FX_rates]]</f>
        <v>0</v>
      </c>
      <c r="I1120" t="s">
        <v>2020</v>
      </c>
      <c r="J1120" t="s">
        <v>2027</v>
      </c>
      <c r="K1120" t="s">
        <v>3149</v>
      </c>
      <c r="L1120" t="s">
        <v>4031</v>
      </c>
      <c r="M1120">
        <f>Cleaned[[#This Row],[Credit]]-Cleaned[[#This Row],[Debit]]</f>
        <v>-436.55</v>
      </c>
      <c r="N1120" t="str">
        <f>_xlfn.XLOOKUP(Cleaned[[#This Row],[AccountName]], Account_Mapping!A:A, Account_Mapping!B:B,"Unmapped")</f>
        <v>Operating Expense</v>
      </c>
      <c r="O1120" cm="1">
        <f t="array" ref="O1120">_xlfn.XLOOKUP(
  1,
  (FX_Rates[Currency]=Cleaned[[#This Row],[Currency]])*
  (FX_Rates[RateDate]&lt;=Cleaned[[#This Row],[TxnDate]]),
  FX_Rates[Rate_To_INR],
  ,
  -1
)</f>
        <v>103</v>
      </c>
      <c r="P1120" s="2">
        <f>Cleaned[[#This Row],[Net Amount]] *  Cleaned[[#This Row],[FX_rates]]</f>
        <v>-44964.65</v>
      </c>
    </row>
    <row r="1121" spans="1:16" x14ac:dyDescent="0.45">
      <c r="A1121" t="s">
        <v>1129</v>
      </c>
      <c r="B1121" s="1">
        <v>45135</v>
      </c>
      <c r="C1121" s="2" t="s">
        <v>2013</v>
      </c>
      <c r="D1121" t="s">
        <v>2018</v>
      </c>
      <c r="E1121">
        <v>1687.08</v>
      </c>
      <c r="F1121">
        <f>Cleaned[[#This Row],[Debit]] * Cleaned[[#This Row],[FX_rates]]</f>
        <v>102911.87999999999</v>
      </c>
      <c r="G1121">
        <v>0</v>
      </c>
      <c r="H1121">
        <f>Cleaned[[#This Row],[Credit]] *  Cleaned[[#This Row],[FX_rates]]</f>
        <v>0</v>
      </c>
      <c r="I1121" t="s">
        <v>2025</v>
      </c>
      <c r="J1121" t="s">
        <v>2029</v>
      </c>
      <c r="K1121" t="s">
        <v>3150</v>
      </c>
      <c r="L1121" t="s">
        <v>4035</v>
      </c>
      <c r="M1121">
        <f>Cleaned[[#This Row],[Credit]]-Cleaned[[#This Row],[Debit]]</f>
        <v>-1687.08</v>
      </c>
      <c r="N1121" t="str">
        <f>_xlfn.XLOOKUP(Cleaned[[#This Row],[AccountName]], Account_Mapping!A:A, Account_Mapping!B:B,"Unmapped")</f>
        <v>Operating Expense</v>
      </c>
      <c r="O1121" cm="1">
        <f t="array" ref="O1121">_xlfn.XLOOKUP(
  1,
  (FX_Rates[Currency]=Cleaned[[#This Row],[Currency]])*
  (FX_Rates[RateDate]&lt;=Cleaned[[#This Row],[TxnDate]]),
  FX_Rates[Rate_To_INR],
  ,
  -1
)</f>
        <v>61</v>
      </c>
      <c r="P1121" s="2">
        <f>Cleaned[[#This Row],[Net Amount]] *  Cleaned[[#This Row],[FX_rates]]</f>
        <v>-102911.87999999999</v>
      </c>
    </row>
    <row r="1122" spans="1:16" x14ac:dyDescent="0.45">
      <c r="A1122" t="s">
        <v>1130</v>
      </c>
      <c r="B1122" s="1">
        <v>45342</v>
      </c>
      <c r="C1122" s="2" t="s">
        <v>2011</v>
      </c>
      <c r="D1122" t="s">
        <v>2016</v>
      </c>
      <c r="E1122">
        <v>1337.28</v>
      </c>
      <c r="F1122">
        <f>Cleaned[[#This Row],[Debit]] * Cleaned[[#This Row],[FX_rates]]</f>
        <v>137739.84</v>
      </c>
      <c r="G1122">
        <v>0</v>
      </c>
      <c r="H1122">
        <f>Cleaned[[#This Row],[Credit]] *  Cleaned[[#This Row],[FX_rates]]</f>
        <v>0</v>
      </c>
      <c r="I1122" t="s">
        <v>2021</v>
      </c>
      <c r="J1122" t="s">
        <v>2028</v>
      </c>
      <c r="K1122" t="s">
        <v>3151</v>
      </c>
      <c r="L1122" t="s">
        <v>4031</v>
      </c>
      <c r="M1122">
        <f>Cleaned[[#This Row],[Credit]]-Cleaned[[#This Row],[Debit]]</f>
        <v>-1337.28</v>
      </c>
      <c r="N1122" t="str">
        <f>_xlfn.XLOOKUP(Cleaned[[#This Row],[AccountName]], Account_Mapping!A:A, Account_Mapping!B:B,"Unmapped")</f>
        <v>COGS</v>
      </c>
      <c r="O1122" cm="1">
        <f t="array" ref="O1122">_xlfn.XLOOKUP(
  1,
  (FX_Rates[Currency]=Cleaned[[#This Row],[Currency]])*
  (FX_Rates[RateDate]&lt;=Cleaned[[#This Row],[TxnDate]]),
  FX_Rates[Rate_To_INR],
  ,
  -1
)</f>
        <v>103</v>
      </c>
      <c r="P1122" s="2">
        <f>Cleaned[[#This Row],[Net Amount]] *  Cleaned[[#This Row],[FX_rates]]</f>
        <v>-137739.84</v>
      </c>
    </row>
    <row r="1123" spans="1:16" x14ac:dyDescent="0.45">
      <c r="A1123" t="s">
        <v>1131</v>
      </c>
      <c r="B1123" s="1">
        <v>45712</v>
      </c>
      <c r="C1123" s="2" t="s">
        <v>2014</v>
      </c>
      <c r="D1123" t="s">
        <v>2019</v>
      </c>
      <c r="E1123">
        <v>0</v>
      </c>
      <c r="F1123">
        <f>Cleaned[[#This Row],[Debit]] * Cleaned[[#This Row],[FX_rates]]</f>
        <v>0</v>
      </c>
      <c r="G1123">
        <v>2049.4499999999998</v>
      </c>
      <c r="H1123">
        <f>Cleaned[[#This Row],[Credit]] *  Cleaned[[#This Row],[FX_rates]]</f>
        <v>125016.44999999998</v>
      </c>
      <c r="I1123" t="s">
        <v>2024</v>
      </c>
      <c r="J1123" t="s">
        <v>2027</v>
      </c>
      <c r="K1123" t="s">
        <v>3152</v>
      </c>
      <c r="L1123" t="s">
        <v>4035</v>
      </c>
      <c r="M1123">
        <f>Cleaned[[#This Row],[Credit]]-Cleaned[[#This Row],[Debit]]</f>
        <v>2049.4499999999998</v>
      </c>
      <c r="N1123" t="str">
        <f>_xlfn.XLOOKUP(Cleaned[[#This Row],[AccountName]], Account_Mapping!A:A, Account_Mapping!B:B,"Unmapped")</f>
        <v>Revenue</v>
      </c>
      <c r="O1123" cm="1">
        <f t="array" ref="O1123">_xlfn.XLOOKUP(
  1,
  (FX_Rates[Currency]=Cleaned[[#This Row],[Currency]])*
  (FX_Rates[RateDate]&lt;=Cleaned[[#This Row],[TxnDate]]),
  FX_Rates[Rate_To_INR],
  ,
  -1
)</f>
        <v>61</v>
      </c>
      <c r="P1123" s="2">
        <f>Cleaned[[#This Row],[Net Amount]] *  Cleaned[[#This Row],[FX_rates]]</f>
        <v>125016.44999999998</v>
      </c>
    </row>
    <row r="1124" spans="1:16" x14ac:dyDescent="0.45">
      <c r="A1124" t="s">
        <v>1132</v>
      </c>
      <c r="B1124" s="1">
        <v>45122</v>
      </c>
      <c r="C1124" s="2" t="s">
        <v>2014</v>
      </c>
      <c r="D1124" t="s">
        <v>2019</v>
      </c>
      <c r="E1124">
        <v>0</v>
      </c>
      <c r="F1124">
        <f>Cleaned[[#This Row],[Debit]] * Cleaned[[#This Row],[FX_rates]]</f>
        <v>0</v>
      </c>
      <c r="G1124">
        <v>760.5</v>
      </c>
      <c r="H1124">
        <f>Cleaned[[#This Row],[Credit]] *  Cleaned[[#This Row],[FX_rates]]</f>
        <v>46390.5</v>
      </c>
      <c r="I1124" t="s">
        <v>2023</v>
      </c>
      <c r="J1124" t="s">
        <v>2028</v>
      </c>
      <c r="K1124" t="s">
        <v>3153</v>
      </c>
      <c r="L1124" t="s">
        <v>4035</v>
      </c>
      <c r="M1124">
        <f>Cleaned[[#This Row],[Credit]]-Cleaned[[#This Row],[Debit]]</f>
        <v>760.5</v>
      </c>
      <c r="N1124" t="str">
        <f>_xlfn.XLOOKUP(Cleaned[[#This Row],[AccountName]], Account_Mapping!A:A, Account_Mapping!B:B,"Unmapped")</f>
        <v>Revenue</v>
      </c>
      <c r="O1124" cm="1">
        <f t="array" ref="O1124">_xlfn.XLOOKUP(
  1,
  (FX_Rates[Currency]=Cleaned[[#This Row],[Currency]])*
  (FX_Rates[RateDate]&lt;=Cleaned[[#This Row],[TxnDate]]),
  FX_Rates[Rate_To_INR],
  ,
  -1
)</f>
        <v>61</v>
      </c>
      <c r="P1124" s="2">
        <f>Cleaned[[#This Row],[Net Amount]] *  Cleaned[[#This Row],[FX_rates]]</f>
        <v>46390.5</v>
      </c>
    </row>
    <row r="1125" spans="1:16" x14ac:dyDescent="0.45">
      <c r="A1125" t="s">
        <v>1133</v>
      </c>
      <c r="B1125" s="1">
        <v>45582</v>
      </c>
      <c r="C1125" s="2" t="s">
        <v>2012</v>
      </c>
      <c r="D1125" t="s">
        <v>2017</v>
      </c>
      <c r="E1125">
        <v>239.34</v>
      </c>
      <c r="F1125">
        <f>Cleaned[[#This Row],[Debit]] * Cleaned[[#This Row],[FX_rates]]</f>
        <v>24652.02</v>
      </c>
      <c r="G1125">
        <v>0</v>
      </c>
      <c r="H1125">
        <f>Cleaned[[#This Row],[Credit]] *  Cleaned[[#This Row],[FX_rates]]</f>
        <v>0</v>
      </c>
      <c r="I1125" t="s">
        <v>2021</v>
      </c>
      <c r="J1125" t="s">
        <v>2030</v>
      </c>
      <c r="K1125" t="s">
        <v>3154</v>
      </c>
      <c r="L1125" t="s">
        <v>4031</v>
      </c>
      <c r="M1125">
        <f>Cleaned[[#This Row],[Credit]]-Cleaned[[#This Row],[Debit]]</f>
        <v>-239.34</v>
      </c>
      <c r="N1125" t="str">
        <f>_xlfn.XLOOKUP(Cleaned[[#This Row],[AccountName]], Account_Mapping!A:A, Account_Mapping!B:B,"Unmapped")</f>
        <v>Operating Expense</v>
      </c>
      <c r="O1125" cm="1">
        <f t="array" ref="O1125">_xlfn.XLOOKUP(
  1,
  (FX_Rates[Currency]=Cleaned[[#This Row],[Currency]])*
  (FX_Rates[RateDate]&lt;=Cleaned[[#This Row],[TxnDate]]),
  FX_Rates[Rate_To_INR],
  ,
  -1
)</f>
        <v>103</v>
      </c>
      <c r="P1125" s="2">
        <f>Cleaned[[#This Row],[Net Amount]] *  Cleaned[[#This Row],[FX_rates]]</f>
        <v>-24652.02</v>
      </c>
    </row>
    <row r="1126" spans="1:16" x14ac:dyDescent="0.45">
      <c r="A1126" t="s">
        <v>1134</v>
      </c>
      <c r="B1126" s="1">
        <v>45722</v>
      </c>
      <c r="C1126" s="2" t="s">
        <v>2012</v>
      </c>
      <c r="D1126" t="s">
        <v>2017</v>
      </c>
      <c r="E1126">
        <v>882.43</v>
      </c>
      <c r="F1126">
        <f>Cleaned[[#This Row],[Debit]] * Cleaned[[#This Row],[FX_rates]]</f>
        <v>77653.84</v>
      </c>
      <c r="G1126">
        <v>0</v>
      </c>
      <c r="H1126">
        <f>Cleaned[[#This Row],[Credit]] *  Cleaned[[#This Row],[FX_rates]]</f>
        <v>0</v>
      </c>
      <c r="I1126" t="s">
        <v>2020</v>
      </c>
      <c r="J1126" t="s">
        <v>2026</v>
      </c>
      <c r="K1126" t="s">
        <v>3155</v>
      </c>
      <c r="L1126" t="s">
        <v>4032</v>
      </c>
      <c r="M1126">
        <f>Cleaned[[#This Row],[Credit]]-Cleaned[[#This Row],[Debit]]</f>
        <v>-882.43</v>
      </c>
      <c r="N1126" t="str">
        <f>_xlfn.XLOOKUP(Cleaned[[#This Row],[AccountName]], Account_Mapping!A:A, Account_Mapping!B:B,"Unmapped")</f>
        <v>Operating Expense</v>
      </c>
      <c r="O1126" cm="1">
        <f t="array" ref="O1126">_xlfn.XLOOKUP(
  1,
  (FX_Rates[Currency]=Cleaned[[#This Row],[Currency]])*
  (FX_Rates[RateDate]&lt;=Cleaned[[#This Row],[TxnDate]]),
  FX_Rates[Rate_To_INR],
  ,
  -1
)</f>
        <v>88</v>
      </c>
      <c r="P1126" s="2">
        <f>Cleaned[[#This Row],[Net Amount]] *  Cleaned[[#This Row],[FX_rates]]</f>
        <v>-77653.84</v>
      </c>
    </row>
    <row r="1127" spans="1:16" x14ac:dyDescent="0.45">
      <c r="A1127" t="s">
        <v>1135</v>
      </c>
      <c r="B1127" s="1">
        <v>45451</v>
      </c>
      <c r="C1127" s="2" t="s">
        <v>2014</v>
      </c>
      <c r="D1127" t="s">
        <v>2019</v>
      </c>
      <c r="E1127">
        <v>0</v>
      </c>
      <c r="F1127">
        <f>Cleaned[[#This Row],[Debit]] * Cleaned[[#This Row],[FX_rates]]</f>
        <v>0</v>
      </c>
      <c r="G1127">
        <v>4016.46</v>
      </c>
      <c r="H1127">
        <f>Cleaned[[#This Row],[Credit]] *  Cleaned[[#This Row],[FX_rates]]</f>
        <v>353448.48</v>
      </c>
      <c r="I1127" t="s">
        <v>2024</v>
      </c>
      <c r="J1127" t="s">
        <v>2027</v>
      </c>
      <c r="K1127" t="s">
        <v>3156</v>
      </c>
      <c r="L1127" t="s">
        <v>4032</v>
      </c>
      <c r="M1127">
        <f>Cleaned[[#This Row],[Credit]]-Cleaned[[#This Row],[Debit]]</f>
        <v>4016.46</v>
      </c>
      <c r="N1127" t="str">
        <f>_xlfn.XLOOKUP(Cleaned[[#This Row],[AccountName]], Account_Mapping!A:A, Account_Mapping!B:B,"Unmapped")</f>
        <v>Revenue</v>
      </c>
      <c r="O1127" cm="1">
        <f t="array" ref="O1127">_xlfn.XLOOKUP(
  1,
  (FX_Rates[Currency]=Cleaned[[#This Row],[Currency]])*
  (FX_Rates[RateDate]&lt;=Cleaned[[#This Row],[TxnDate]]),
  FX_Rates[Rate_To_INR],
  ,
  -1
)</f>
        <v>88</v>
      </c>
      <c r="P1127" s="2">
        <f>Cleaned[[#This Row],[Net Amount]] *  Cleaned[[#This Row],[FX_rates]]</f>
        <v>353448.48</v>
      </c>
    </row>
    <row r="1128" spans="1:16" x14ac:dyDescent="0.45">
      <c r="A1128" t="s">
        <v>1136</v>
      </c>
      <c r="B1128" s="1">
        <v>45027</v>
      </c>
      <c r="C1128" s="2" t="s">
        <v>2012</v>
      </c>
      <c r="D1128" t="s">
        <v>2017</v>
      </c>
      <c r="E1128">
        <v>1217.1199999999999</v>
      </c>
      <c r="F1128">
        <f>Cleaned[[#This Row],[Debit]] * Cleaned[[#This Row],[FX_rates]]</f>
        <v>68158.720000000001</v>
      </c>
      <c r="G1128">
        <v>0</v>
      </c>
      <c r="H1128">
        <f>Cleaned[[#This Row],[Credit]] *  Cleaned[[#This Row],[FX_rates]]</f>
        <v>0</v>
      </c>
      <c r="I1128" t="s">
        <v>2024</v>
      </c>
      <c r="J1128" t="s">
        <v>2026</v>
      </c>
      <c r="K1128" t="s">
        <v>3157</v>
      </c>
      <c r="L1128" t="s">
        <v>4033</v>
      </c>
      <c r="M1128">
        <f>Cleaned[[#This Row],[Credit]]-Cleaned[[#This Row],[Debit]]</f>
        <v>-1217.1199999999999</v>
      </c>
      <c r="N1128" t="str">
        <f>_xlfn.XLOOKUP(Cleaned[[#This Row],[AccountName]], Account_Mapping!A:A, Account_Mapping!B:B,"Unmapped")</f>
        <v>Operating Expense</v>
      </c>
      <c r="O1128" cm="1">
        <f t="array" ref="O1128">_xlfn.XLOOKUP(
  1,
  (FX_Rates[Currency]=Cleaned[[#This Row],[Currency]])*
  (FX_Rates[RateDate]&lt;=Cleaned[[#This Row],[TxnDate]]),
  FX_Rates[Rate_To_INR],
  ,
  -1
)</f>
        <v>56</v>
      </c>
      <c r="P1128" s="2">
        <f>Cleaned[[#This Row],[Net Amount]] *  Cleaned[[#This Row],[FX_rates]]</f>
        <v>-68158.720000000001</v>
      </c>
    </row>
    <row r="1129" spans="1:16" x14ac:dyDescent="0.45">
      <c r="A1129" t="s">
        <v>1137</v>
      </c>
      <c r="B1129" s="1">
        <v>45570</v>
      </c>
      <c r="C1129" s="2" t="s">
        <v>2010</v>
      </c>
      <c r="D1129" t="s">
        <v>2015</v>
      </c>
      <c r="E1129">
        <v>0</v>
      </c>
      <c r="F1129">
        <f>Cleaned[[#This Row],[Debit]] * Cleaned[[#This Row],[FX_rates]]</f>
        <v>0</v>
      </c>
      <c r="G1129">
        <v>396.28</v>
      </c>
      <c r="H1129">
        <f>Cleaned[[#This Row],[Credit]] *  Cleaned[[#This Row],[FX_rates]]</f>
        <v>22191.68</v>
      </c>
      <c r="I1129" t="s">
        <v>2020</v>
      </c>
      <c r="J1129" t="s">
        <v>2029</v>
      </c>
      <c r="K1129" t="s">
        <v>3158</v>
      </c>
      <c r="L1129" t="s">
        <v>4033</v>
      </c>
      <c r="M1129">
        <f>Cleaned[[#This Row],[Credit]]-Cleaned[[#This Row],[Debit]]</f>
        <v>396.28</v>
      </c>
      <c r="N1129" t="str">
        <f>_xlfn.XLOOKUP(Cleaned[[#This Row],[AccountName]], Account_Mapping!A:A, Account_Mapping!B:B,"Unmapped")</f>
        <v>Revenue</v>
      </c>
      <c r="O1129" cm="1">
        <f t="array" ref="O1129">_xlfn.XLOOKUP(
  1,
  (FX_Rates[Currency]=Cleaned[[#This Row],[Currency]])*
  (FX_Rates[RateDate]&lt;=Cleaned[[#This Row],[TxnDate]]),
  FX_Rates[Rate_To_INR],
  ,
  -1
)</f>
        <v>56</v>
      </c>
      <c r="P1129" s="2">
        <f>Cleaned[[#This Row],[Net Amount]] *  Cleaned[[#This Row],[FX_rates]]</f>
        <v>22191.68</v>
      </c>
    </row>
    <row r="1130" spans="1:16" x14ac:dyDescent="0.45">
      <c r="A1130" t="s">
        <v>1138</v>
      </c>
      <c r="B1130" s="1">
        <v>45060</v>
      </c>
      <c r="C1130" s="2" t="s">
        <v>2013</v>
      </c>
      <c r="D1130" t="s">
        <v>2018</v>
      </c>
      <c r="E1130">
        <v>682.65</v>
      </c>
      <c r="F1130">
        <f>Cleaned[[#This Row],[Debit]] * Cleaned[[#This Row],[FX_rates]]</f>
        <v>70312.95</v>
      </c>
      <c r="G1130">
        <v>0</v>
      </c>
      <c r="H1130">
        <f>Cleaned[[#This Row],[Credit]] *  Cleaned[[#This Row],[FX_rates]]</f>
        <v>0</v>
      </c>
      <c r="I1130" t="s">
        <v>2020</v>
      </c>
      <c r="J1130" t="s">
        <v>2028</v>
      </c>
      <c r="K1130" t="s">
        <v>3159</v>
      </c>
      <c r="L1130" t="s">
        <v>4031</v>
      </c>
      <c r="M1130">
        <f>Cleaned[[#This Row],[Credit]]-Cleaned[[#This Row],[Debit]]</f>
        <v>-682.65</v>
      </c>
      <c r="N1130" t="str">
        <f>_xlfn.XLOOKUP(Cleaned[[#This Row],[AccountName]], Account_Mapping!A:A, Account_Mapping!B:B,"Unmapped")</f>
        <v>Operating Expense</v>
      </c>
      <c r="O1130" cm="1">
        <f t="array" ref="O1130">_xlfn.XLOOKUP(
  1,
  (FX_Rates[Currency]=Cleaned[[#This Row],[Currency]])*
  (FX_Rates[RateDate]&lt;=Cleaned[[#This Row],[TxnDate]]),
  FX_Rates[Rate_To_INR],
  ,
  -1
)</f>
        <v>103</v>
      </c>
      <c r="P1130" s="2">
        <f>Cleaned[[#This Row],[Net Amount]] *  Cleaned[[#This Row],[FX_rates]]</f>
        <v>-70312.95</v>
      </c>
    </row>
    <row r="1131" spans="1:16" x14ac:dyDescent="0.45">
      <c r="A1131" t="s">
        <v>1139</v>
      </c>
      <c r="B1131" s="1">
        <v>45039</v>
      </c>
      <c r="C1131" s="2" t="s">
        <v>2011</v>
      </c>
      <c r="D1131" t="s">
        <v>2016</v>
      </c>
      <c r="E1131">
        <v>959.31</v>
      </c>
      <c r="F1131">
        <f>Cleaned[[#This Row],[Debit]] * Cleaned[[#This Row],[FX_rates]]</f>
        <v>98808.93</v>
      </c>
      <c r="G1131">
        <v>0</v>
      </c>
      <c r="H1131">
        <f>Cleaned[[#This Row],[Credit]] *  Cleaned[[#This Row],[FX_rates]]</f>
        <v>0</v>
      </c>
      <c r="I1131" t="s">
        <v>2020</v>
      </c>
      <c r="J1131" t="s">
        <v>2027</v>
      </c>
      <c r="K1131" t="s">
        <v>3160</v>
      </c>
      <c r="L1131" t="s">
        <v>4031</v>
      </c>
      <c r="M1131">
        <f>Cleaned[[#This Row],[Credit]]-Cleaned[[#This Row],[Debit]]</f>
        <v>-959.31</v>
      </c>
      <c r="N1131" t="str">
        <f>_xlfn.XLOOKUP(Cleaned[[#This Row],[AccountName]], Account_Mapping!A:A, Account_Mapping!B:B,"Unmapped")</f>
        <v>COGS</v>
      </c>
      <c r="O1131" cm="1">
        <f t="array" ref="O1131">_xlfn.XLOOKUP(
  1,
  (FX_Rates[Currency]=Cleaned[[#This Row],[Currency]])*
  (FX_Rates[RateDate]&lt;=Cleaned[[#This Row],[TxnDate]]),
  FX_Rates[Rate_To_INR],
  ,
  -1
)</f>
        <v>103</v>
      </c>
      <c r="P1131" s="2">
        <f>Cleaned[[#This Row],[Net Amount]] *  Cleaned[[#This Row],[FX_rates]]</f>
        <v>-98808.93</v>
      </c>
    </row>
    <row r="1132" spans="1:16" x14ac:dyDescent="0.45">
      <c r="A1132" t="s">
        <v>1140</v>
      </c>
      <c r="B1132" s="1">
        <v>45371</v>
      </c>
      <c r="C1132" s="2" t="s">
        <v>2012</v>
      </c>
      <c r="D1132" t="s">
        <v>2017</v>
      </c>
      <c r="E1132">
        <v>431.95</v>
      </c>
      <c r="F1132">
        <f>Cleaned[[#This Row],[Debit]] * Cleaned[[#This Row],[FX_rates]]</f>
        <v>35419.9</v>
      </c>
      <c r="G1132">
        <v>0</v>
      </c>
      <c r="H1132">
        <f>Cleaned[[#This Row],[Credit]] *  Cleaned[[#This Row],[FX_rates]]</f>
        <v>0</v>
      </c>
      <c r="I1132" t="s">
        <v>2023</v>
      </c>
      <c r="J1132" t="s">
        <v>2028</v>
      </c>
      <c r="K1132" t="s">
        <v>3161</v>
      </c>
      <c r="L1132" t="s">
        <v>4034</v>
      </c>
      <c r="M1132">
        <f>Cleaned[[#This Row],[Credit]]-Cleaned[[#This Row],[Debit]]</f>
        <v>-431.95</v>
      </c>
      <c r="N1132" t="str">
        <f>_xlfn.XLOOKUP(Cleaned[[#This Row],[AccountName]], Account_Mapping!A:A, Account_Mapping!B:B,"Unmapped")</f>
        <v>Operating Expense</v>
      </c>
      <c r="O1132" cm="1">
        <f t="array" ref="O1132">_xlfn.XLOOKUP(
  1,
  (FX_Rates[Currency]=Cleaned[[#This Row],[Currency]])*
  (FX_Rates[RateDate]&lt;=Cleaned[[#This Row],[TxnDate]]),
  FX_Rates[Rate_To_INR],
  ,
  -1
)</f>
        <v>82</v>
      </c>
      <c r="P1132" s="2">
        <f>Cleaned[[#This Row],[Net Amount]] *  Cleaned[[#This Row],[FX_rates]]</f>
        <v>-35419.9</v>
      </c>
    </row>
    <row r="1133" spans="1:16" x14ac:dyDescent="0.45">
      <c r="A1133" t="s">
        <v>1141</v>
      </c>
      <c r="B1133" s="1">
        <v>45817</v>
      </c>
      <c r="C1133" s="2" t="s">
        <v>2011</v>
      </c>
      <c r="D1133" t="s">
        <v>2016</v>
      </c>
      <c r="E1133">
        <v>274.33</v>
      </c>
      <c r="F1133">
        <f>Cleaned[[#This Row],[Debit]] * Cleaned[[#This Row],[FX_rates]]</f>
        <v>16734.129999999997</v>
      </c>
      <c r="G1133">
        <v>0</v>
      </c>
      <c r="H1133">
        <f>Cleaned[[#This Row],[Credit]] *  Cleaned[[#This Row],[FX_rates]]</f>
        <v>0</v>
      </c>
      <c r="I1133" t="s">
        <v>2024</v>
      </c>
      <c r="J1133" t="s">
        <v>2028</v>
      </c>
      <c r="K1133" t="s">
        <v>3162</v>
      </c>
      <c r="L1133" t="s">
        <v>4035</v>
      </c>
      <c r="M1133">
        <f>Cleaned[[#This Row],[Credit]]-Cleaned[[#This Row],[Debit]]</f>
        <v>-274.33</v>
      </c>
      <c r="N1133" t="str">
        <f>_xlfn.XLOOKUP(Cleaned[[#This Row],[AccountName]], Account_Mapping!A:A, Account_Mapping!B:B,"Unmapped")</f>
        <v>COGS</v>
      </c>
      <c r="O1133" cm="1">
        <f t="array" ref="O1133">_xlfn.XLOOKUP(
  1,
  (FX_Rates[Currency]=Cleaned[[#This Row],[Currency]])*
  (FX_Rates[RateDate]&lt;=Cleaned[[#This Row],[TxnDate]]),
  FX_Rates[Rate_To_INR],
  ,
  -1
)</f>
        <v>61</v>
      </c>
      <c r="P1133" s="2">
        <f>Cleaned[[#This Row],[Net Amount]] *  Cleaned[[#This Row],[FX_rates]]</f>
        <v>-16734.129999999997</v>
      </c>
    </row>
    <row r="1134" spans="1:16" x14ac:dyDescent="0.45">
      <c r="A1134" t="s">
        <v>1142</v>
      </c>
      <c r="B1134" s="1">
        <v>45544</v>
      </c>
      <c r="C1134" s="2" t="s">
        <v>2010</v>
      </c>
      <c r="D1134" t="s">
        <v>2015</v>
      </c>
      <c r="E1134">
        <v>0</v>
      </c>
      <c r="F1134">
        <f>Cleaned[[#This Row],[Debit]] * Cleaned[[#This Row],[FX_rates]]</f>
        <v>0</v>
      </c>
      <c r="G1134">
        <v>4439.8900000000003</v>
      </c>
      <c r="H1134">
        <f>Cleaned[[#This Row],[Credit]] *  Cleaned[[#This Row],[FX_rates]]</f>
        <v>390710.32</v>
      </c>
      <c r="I1134" t="s">
        <v>2020</v>
      </c>
      <c r="J1134" t="s">
        <v>2028</v>
      </c>
      <c r="K1134" t="s">
        <v>3163</v>
      </c>
      <c r="L1134" t="s">
        <v>4032</v>
      </c>
      <c r="M1134">
        <f>Cleaned[[#This Row],[Credit]]-Cleaned[[#This Row],[Debit]]</f>
        <v>4439.8900000000003</v>
      </c>
      <c r="N1134" t="str">
        <f>_xlfn.XLOOKUP(Cleaned[[#This Row],[AccountName]], Account_Mapping!A:A, Account_Mapping!B:B,"Unmapped")</f>
        <v>Revenue</v>
      </c>
      <c r="O1134" cm="1">
        <f t="array" ref="O1134">_xlfn.XLOOKUP(
  1,
  (FX_Rates[Currency]=Cleaned[[#This Row],[Currency]])*
  (FX_Rates[RateDate]&lt;=Cleaned[[#This Row],[TxnDate]]),
  FX_Rates[Rate_To_INR],
  ,
  -1
)</f>
        <v>88</v>
      </c>
      <c r="P1134" s="2">
        <f>Cleaned[[#This Row],[Net Amount]] *  Cleaned[[#This Row],[FX_rates]]</f>
        <v>390710.32</v>
      </c>
    </row>
    <row r="1135" spans="1:16" x14ac:dyDescent="0.45">
      <c r="A1135" t="s">
        <v>1143</v>
      </c>
      <c r="B1135" s="1">
        <v>45490</v>
      </c>
      <c r="C1135" s="2" t="s">
        <v>2014</v>
      </c>
      <c r="D1135" t="s">
        <v>2019</v>
      </c>
      <c r="E1135">
        <v>0</v>
      </c>
      <c r="F1135">
        <f>Cleaned[[#This Row],[Debit]] * Cleaned[[#This Row],[FX_rates]]</f>
        <v>0</v>
      </c>
      <c r="G1135">
        <v>1093.95</v>
      </c>
      <c r="H1135">
        <f>Cleaned[[#This Row],[Credit]] *  Cleaned[[#This Row],[FX_rates]]</f>
        <v>89703.900000000009</v>
      </c>
      <c r="I1135" t="s">
        <v>2024</v>
      </c>
      <c r="J1135" t="s">
        <v>2030</v>
      </c>
      <c r="K1135" t="s">
        <v>3164</v>
      </c>
      <c r="L1135" t="s">
        <v>4034</v>
      </c>
      <c r="M1135">
        <f>Cleaned[[#This Row],[Credit]]-Cleaned[[#This Row],[Debit]]</f>
        <v>1093.95</v>
      </c>
      <c r="N1135" t="str">
        <f>_xlfn.XLOOKUP(Cleaned[[#This Row],[AccountName]], Account_Mapping!A:A, Account_Mapping!B:B,"Unmapped")</f>
        <v>Revenue</v>
      </c>
      <c r="O1135" cm="1">
        <f t="array" ref="O1135">_xlfn.XLOOKUP(
  1,
  (FX_Rates[Currency]=Cleaned[[#This Row],[Currency]])*
  (FX_Rates[RateDate]&lt;=Cleaned[[#This Row],[TxnDate]]),
  FX_Rates[Rate_To_INR],
  ,
  -1
)</f>
        <v>82</v>
      </c>
      <c r="P1135" s="2">
        <f>Cleaned[[#This Row],[Net Amount]] *  Cleaned[[#This Row],[FX_rates]]</f>
        <v>89703.900000000009</v>
      </c>
    </row>
    <row r="1136" spans="1:16" x14ac:dyDescent="0.45">
      <c r="A1136" t="s">
        <v>1144</v>
      </c>
      <c r="B1136" s="1">
        <v>45614</v>
      </c>
      <c r="C1136" s="2" t="s">
        <v>2011</v>
      </c>
      <c r="D1136" t="s">
        <v>2016</v>
      </c>
      <c r="E1136">
        <v>900.67</v>
      </c>
      <c r="F1136">
        <f>Cleaned[[#This Row],[Debit]] * Cleaned[[#This Row],[FX_rates]]</f>
        <v>50437.52</v>
      </c>
      <c r="G1136">
        <v>0</v>
      </c>
      <c r="H1136">
        <f>Cleaned[[#This Row],[Credit]] *  Cleaned[[#This Row],[FX_rates]]</f>
        <v>0</v>
      </c>
      <c r="I1136" t="s">
        <v>2023</v>
      </c>
      <c r="J1136" t="s">
        <v>2029</v>
      </c>
      <c r="K1136" t="s">
        <v>3165</v>
      </c>
      <c r="L1136" t="s">
        <v>4033</v>
      </c>
      <c r="M1136">
        <f>Cleaned[[#This Row],[Credit]]-Cleaned[[#This Row],[Debit]]</f>
        <v>-900.67</v>
      </c>
      <c r="N1136" t="str">
        <f>_xlfn.XLOOKUP(Cleaned[[#This Row],[AccountName]], Account_Mapping!A:A, Account_Mapping!B:B,"Unmapped")</f>
        <v>COGS</v>
      </c>
      <c r="O1136" cm="1">
        <f t="array" ref="O1136">_xlfn.XLOOKUP(
  1,
  (FX_Rates[Currency]=Cleaned[[#This Row],[Currency]])*
  (FX_Rates[RateDate]&lt;=Cleaned[[#This Row],[TxnDate]]),
  FX_Rates[Rate_To_INR],
  ,
  -1
)</f>
        <v>56</v>
      </c>
      <c r="P1136" s="2">
        <f>Cleaned[[#This Row],[Net Amount]] *  Cleaned[[#This Row],[FX_rates]]</f>
        <v>-50437.52</v>
      </c>
    </row>
    <row r="1137" spans="1:16" x14ac:dyDescent="0.45">
      <c r="A1137" t="s">
        <v>1145</v>
      </c>
      <c r="B1137" s="1">
        <v>45242</v>
      </c>
      <c r="C1137" s="2" t="s">
        <v>2010</v>
      </c>
      <c r="D1137" t="s">
        <v>2015</v>
      </c>
      <c r="E1137">
        <v>0</v>
      </c>
      <c r="F1137">
        <f>Cleaned[[#This Row],[Debit]] * Cleaned[[#This Row],[FX_rates]]</f>
        <v>0</v>
      </c>
      <c r="G1137">
        <v>2284.31</v>
      </c>
      <c r="H1137">
        <f>Cleaned[[#This Row],[Credit]] *  Cleaned[[#This Row],[FX_rates]]</f>
        <v>127921.36</v>
      </c>
      <c r="I1137" t="s">
        <v>2022</v>
      </c>
      <c r="J1137" t="s">
        <v>2026</v>
      </c>
      <c r="K1137" t="s">
        <v>3166</v>
      </c>
      <c r="L1137" t="s">
        <v>4033</v>
      </c>
      <c r="M1137">
        <f>Cleaned[[#This Row],[Credit]]-Cleaned[[#This Row],[Debit]]</f>
        <v>2284.31</v>
      </c>
      <c r="N1137" t="str">
        <f>_xlfn.XLOOKUP(Cleaned[[#This Row],[AccountName]], Account_Mapping!A:A, Account_Mapping!B:B,"Unmapped")</f>
        <v>Revenue</v>
      </c>
      <c r="O1137" cm="1">
        <f t="array" ref="O1137">_xlfn.XLOOKUP(
  1,
  (FX_Rates[Currency]=Cleaned[[#This Row],[Currency]])*
  (FX_Rates[RateDate]&lt;=Cleaned[[#This Row],[TxnDate]]),
  FX_Rates[Rate_To_INR],
  ,
  -1
)</f>
        <v>56</v>
      </c>
      <c r="P1137" s="2">
        <f>Cleaned[[#This Row],[Net Amount]] *  Cleaned[[#This Row],[FX_rates]]</f>
        <v>127921.36</v>
      </c>
    </row>
    <row r="1138" spans="1:16" x14ac:dyDescent="0.45">
      <c r="A1138" t="s">
        <v>1146</v>
      </c>
      <c r="B1138" s="1">
        <v>45280</v>
      </c>
      <c r="C1138" s="2" t="s">
        <v>2011</v>
      </c>
      <c r="D1138" t="s">
        <v>2016</v>
      </c>
      <c r="E1138">
        <v>1994.11</v>
      </c>
      <c r="F1138">
        <f>Cleaned[[#This Row],[Debit]] * Cleaned[[#This Row],[FX_rates]]</f>
        <v>111670.15999999999</v>
      </c>
      <c r="G1138">
        <v>0</v>
      </c>
      <c r="H1138">
        <f>Cleaned[[#This Row],[Credit]] *  Cleaned[[#This Row],[FX_rates]]</f>
        <v>0</v>
      </c>
      <c r="I1138" t="s">
        <v>2025</v>
      </c>
      <c r="J1138" t="s">
        <v>2028</v>
      </c>
      <c r="K1138" t="s">
        <v>3167</v>
      </c>
      <c r="L1138" t="s">
        <v>4033</v>
      </c>
      <c r="M1138">
        <f>Cleaned[[#This Row],[Credit]]-Cleaned[[#This Row],[Debit]]</f>
        <v>-1994.11</v>
      </c>
      <c r="N1138" t="str">
        <f>_xlfn.XLOOKUP(Cleaned[[#This Row],[AccountName]], Account_Mapping!A:A, Account_Mapping!B:B,"Unmapped")</f>
        <v>COGS</v>
      </c>
      <c r="O1138" cm="1">
        <f t="array" ref="O1138">_xlfn.XLOOKUP(
  1,
  (FX_Rates[Currency]=Cleaned[[#This Row],[Currency]])*
  (FX_Rates[RateDate]&lt;=Cleaned[[#This Row],[TxnDate]]),
  FX_Rates[Rate_To_INR],
  ,
  -1
)</f>
        <v>56</v>
      </c>
      <c r="P1138" s="2">
        <f>Cleaned[[#This Row],[Net Amount]] *  Cleaned[[#This Row],[FX_rates]]</f>
        <v>-111670.15999999999</v>
      </c>
    </row>
    <row r="1139" spans="1:16" x14ac:dyDescent="0.45">
      <c r="A1139" t="s">
        <v>1147</v>
      </c>
      <c r="B1139" s="1">
        <v>45083</v>
      </c>
      <c r="C1139" s="2" t="s">
        <v>2011</v>
      </c>
      <c r="D1139" t="s">
        <v>2016</v>
      </c>
      <c r="E1139">
        <v>286.3</v>
      </c>
      <c r="F1139">
        <f>Cleaned[[#This Row],[Debit]] * Cleaned[[#This Row],[FX_rates]]</f>
        <v>17464.3</v>
      </c>
      <c r="G1139">
        <v>0</v>
      </c>
      <c r="H1139">
        <f>Cleaned[[#This Row],[Credit]] *  Cleaned[[#This Row],[FX_rates]]</f>
        <v>0</v>
      </c>
      <c r="I1139" t="s">
        <v>2023</v>
      </c>
      <c r="J1139" t="s">
        <v>2029</v>
      </c>
      <c r="K1139" t="s">
        <v>3168</v>
      </c>
      <c r="L1139" t="s">
        <v>4035</v>
      </c>
      <c r="M1139">
        <f>Cleaned[[#This Row],[Credit]]-Cleaned[[#This Row],[Debit]]</f>
        <v>-286.3</v>
      </c>
      <c r="N1139" t="str">
        <f>_xlfn.XLOOKUP(Cleaned[[#This Row],[AccountName]], Account_Mapping!A:A, Account_Mapping!B:B,"Unmapped")</f>
        <v>COGS</v>
      </c>
      <c r="O1139" cm="1">
        <f t="array" ref="O1139">_xlfn.XLOOKUP(
  1,
  (FX_Rates[Currency]=Cleaned[[#This Row],[Currency]])*
  (FX_Rates[RateDate]&lt;=Cleaned[[#This Row],[TxnDate]]),
  FX_Rates[Rate_To_INR],
  ,
  -1
)</f>
        <v>61</v>
      </c>
      <c r="P1139" s="2">
        <f>Cleaned[[#This Row],[Net Amount]] *  Cleaned[[#This Row],[FX_rates]]</f>
        <v>-17464.3</v>
      </c>
    </row>
    <row r="1140" spans="1:16" x14ac:dyDescent="0.45">
      <c r="A1140" t="s">
        <v>1148</v>
      </c>
      <c r="B1140" s="1">
        <v>44953</v>
      </c>
      <c r="C1140" s="2" t="s">
        <v>2012</v>
      </c>
      <c r="D1140" t="s">
        <v>2017</v>
      </c>
      <c r="E1140">
        <v>1069.23</v>
      </c>
      <c r="F1140">
        <f>Cleaned[[#This Row],[Debit]] * Cleaned[[#This Row],[FX_rates]]</f>
        <v>65223.03</v>
      </c>
      <c r="G1140">
        <v>0</v>
      </c>
      <c r="H1140">
        <f>Cleaned[[#This Row],[Credit]] *  Cleaned[[#This Row],[FX_rates]]</f>
        <v>0</v>
      </c>
      <c r="I1140" t="s">
        <v>2025</v>
      </c>
      <c r="J1140" t="s">
        <v>2028</v>
      </c>
      <c r="K1140" t="s">
        <v>3169</v>
      </c>
      <c r="L1140" t="s">
        <v>4035</v>
      </c>
      <c r="M1140">
        <f>Cleaned[[#This Row],[Credit]]-Cleaned[[#This Row],[Debit]]</f>
        <v>-1069.23</v>
      </c>
      <c r="N1140" t="str">
        <f>_xlfn.XLOOKUP(Cleaned[[#This Row],[AccountName]], Account_Mapping!A:A, Account_Mapping!B:B,"Unmapped")</f>
        <v>Operating Expense</v>
      </c>
      <c r="O1140" cm="1">
        <f t="array" ref="O1140">_xlfn.XLOOKUP(
  1,
  (FX_Rates[Currency]=Cleaned[[#This Row],[Currency]])*
  (FX_Rates[RateDate]&lt;=Cleaned[[#This Row],[TxnDate]]),
  FX_Rates[Rate_To_INR],
  ,
  -1
)</f>
        <v>61</v>
      </c>
      <c r="P1140" s="2">
        <f>Cleaned[[#This Row],[Net Amount]] *  Cleaned[[#This Row],[FX_rates]]</f>
        <v>-65223.03</v>
      </c>
    </row>
    <row r="1141" spans="1:16" x14ac:dyDescent="0.45">
      <c r="A1141" t="s">
        <v>1149</v>
      </c>
      <c r="B1141" s="1">
        <v>45547</v>
      </c>
      <c r="C1141" s="2" t="s">
        <v>2012</v>
      </c>
      <c r="D1141" t="s">
        <v>2017</v>
      </c>
      <c r="E1141">
        <v>901.69</v>
      </c>
      <c r="F1141">
        <f>Cleaned[[#This Row],[Debit]] * Cleaned[[#This Row],[FX_rates]]</f>
        <v>50494.64</v>
      </c>
      <c r="G1141">
        <v>0</v>
      </c>
      <c r="H1141">
        <f>Cleaned[[#This Row],[Credit]] *  Cleaned[[#This Row],[FX_rates]]</f>
        <v>0</v>
      </c>
      <c r="I1141" t="s">
        <v>2021</v>
      </c>
      <c r="J1141" t="s">
        <v>2026</v>
      </c>
      <c r="K1141" t="s">
        <v>3170</v>
      </c>
      <c r="L1141" t="s">
        <v>4033</v>
      </c>
      <c r="M1141">
        <f>Cleaned[[#This Row],[Credit]]-Cleaned[[#This Row],[Debit]]</f>
        <v>-901.69</v>
      </c>
      <c r="N1141" t="str">
        <f>_xlfn.XLOOKUP(Cleaned[[#This Row],[AccountName]], Account_Mapping!A:A, Account_Mapping!B:B,"Unmapped")</f>
        <v>Operating Expense</v>
      </c>
      <c r="O1141" cm="1">
        <f t="array" ref="O1141">_xlfn.XLOOKUP(
  1,
  (FX_Rates[Currency]=Cleaned[[#This Row],[Currency]])*
  (FX_Rates[RateDate]&lt;=Cleaned[[#This Row],[TxnDate]]),
  FX_Rates[Rate_To_INR],
  ,
  -1
)</f>
        <v>56</v>
      </c>
      <c r="P1141" s="2">
        <f>Cleaned[[#This Row],[Net Amount]] *  Cleaned[[#This Row],[FX_rates]]</f>
        <v>-50494.64</v>
      </c>
    </row>
    <row r="1142" spans="1:16" x14ac:dyDescent="0.45">
      <c r="A1142" t="s">
        <v>1150</v>
      </c>
      <c r="B1142" s="1">
        <v>45251</v>
      </c>
      <c r="C1142" s="2" t="s">
        <v>2012</v>
      </c>
      <c r="D1142" t="s">
        <v>2017</v>
      </c>
      <c r="E1142">
        <v>1692.4</v>
      </c>
      <c r="F1142">
        <f>Cleaned[[#This Row],[Debit]] * Cleaned[[#This Row],[FX_rates]]</f>
        <v>103236.40000000001</v>
      </c>
      <c r="G1142">
        <v>0</v>
      </c>
      <c r="H1142">
        <f>Cleaned[[#This Row],[Credit]] *  Cleaned[[#This Row],[FX_rates]]</f>
        <v>0</v>
      </c>
      <c r="I1142" t="s">
        <v>2022</v>
      </c>
      <c r="J1142" t="s">
        <v>2029</v>
      </c>
      <c r="K1142" t="s">
        <v>3171</v>
      </c>
      <c r="L1142" t="s">
        <v>4035</v>
      </c>
      <c r="M1142">
        <f>Cleaned[[#This Row],[Credit]]-Cleaned[[#This Row],[Debit]]</f>
        <v>-1692.4</v>
      </c>
      <c r="N1142" t="str">
        <f>_xlfn.XLOOKUP(Cleaned[[#This Row],[AccountName]], Account_Mapping!A:A, Account_Mapping!B:B,"Unmapped")</f>
        <v>Operating Expense</v>
      </c>
      <c r="O1142" cm="1">
        <f t="array" ref="O1142">_xlfn.XLOOKUP(
  1,
  (FX_Rates[Currency]=Cleaned[[#This Row],[Currency]])*
  (FX_Rates[RateDate]&lt;=Cleaned[[#This Row],[TxnDate]]),
  FX_Rates[Rate_To_INR],
  ,
  -1
)</f>
        <v>61</v>
      </c>
      <c r="P1142" s="2">
        <f>Cleaned[[#This Row],[Net Amount]] *  Cleaned[[#This Row],[FX_rates]]</f>
        <v>-103236.40000000001</v>
      </c>
    </row>
    <row r="1143" spans="1:16" x14ac:dyDescent="0.45">
      <c r="A1143" t="s">
        <v>1151</v>
      </c>
      <c r="B1143" s="1">
        <v>45504</v>
      </c>
      <c r="C1143" s="2" t="s">
        <v>2014</v>
      </c>
      <c r="D1143" t="s">
        <v>2019</v>
      </c>
      <c r="E1143">
        <v>0</v>
      </c>
      <c r="F1143">
        <f>Cleaned[[#This Row],[Debit]] * Cleaned[[#This Row],[FX_rates]]</f>
        <v>0</v>
      </c>
      <c r="G1143">
        <v>4894.3999999999996</v>
      </c>
      <c r="H1143">
        <f>Cleaned[[#This Row],[Credit]] *  Cleaned[[#This Row],[FX_rates]]</f>
        <v>401340.8</v>
      </c>
      <c r="I1143" t="s">
        <v>2020</v>
      </c>
      <c r="J1143" t="s">
        <v>2026</v>
      </c>
      <c r="K1143" t="s">
        <v>3172</v>
      </c>
      <c r="L1143" t="s">
        <v>4034</v>
      </c>
      <c r="M1143">
        <f>Cleaned[[#This Row],[Credit]]-Cleaned[[#This Row],[Debit]]</f>
        <v>4894.3999999999996</v>
      </c>
      <c r="N1143" t="str">
        <f>_xlfn.XLOOKUP(Cleaned[[#This Row],[AccountName]], Account_Mapping!A:A, Account_Mapping!B:B,"Unmapped")</f>
        <v>Revenue</v>
      </c>
      <c r="O1143" cm="1">
        <f t="array" ref="O1143">_xlfn.XLOOKUP(
  1,
  (FX_Rates[Currency]=Cleaned[[#This Row],[Currency]])*
  (FX_Rates[RateDate]&lt;=Cleaned[[#This Row],[TxnDate]]),
  FX_Rates[Rate_To_INR],
  ,
  -1
)</f>
        <v>82</v>
      </c>
      <c r="P1143" s="2">
        <f>Cleaned[[#This Row],[Net Amount]] *  Cleaned[[#This Row],[FX_rates]]</f>
        <v>401340.8</v>
      </c>
    </row>
    <row r="1144" spans="1:16" x14ac:dyDescent="0.45">
      <c r="A1144" t="s">
        <v>1152</v>
      </c>
      <c r="B1144" s="1">
        <v>45290</v>
      </c>
      <c r="C1144" s="2" t="s">
        <v>2011</v>
      </c>
      <c r="D1144" t="s">
        <v>2016</v>
      </c>
      <c r="E1144">
        <v>535.66999999999996</v>
      </c>
      <c r="F1144">
        <f>Cleaned[[#This Row],[Debit]] * Cleaned[[#This Row],[FX_rates]]</f>
        <v>32675.87</v>
      </c>
      <c r="G1144">
        <v>0</v>
      </c>
      <c r="H1144">
        <f>Cleaned[[#This Row],[Credit]] *  Cleaned[[#This Row],[FX_rates]]</f>
        <v>0</v>
      </c>
      <c r="I1144" t="s">
        <v>2020</v>
      </c>
      <c r="J1144" t="s">
        <v>2026</v>
      </c>
      <c r="K1144" t="s">
        <v>3173</v>
      </c>
      <c r="L1144" t="s">
        <v>4035</v>
      </c>
      <c r="M1144">
        <f>Cleaned[[#This Row],[Credit]]-Cleaned[[#This Row],[Debit]]</f>
        <v>-535.66999999999996</v>
      </c>
      <c r="N1144" t="str">
        <f>_xlfn.XLOOKUP(Cleaned[[#This Row],[AccountName]], Account_Mapping!A:A, Account_Mapping!B:B,"Unmapped")</f>
        <v>COGS</v>
      </c>
      <c r="O1144" cm="1">
        <f t="array" ref="O1144">_xlfn.XLOOKUP(
  1,
  (FX_Rates[Currency]=Cleaned[[#This Row],[Currency]])*
  (FX_Rates[RateDate]&lt;=Cleaned[[#This Row],[TxnDate]]),
  FX_Rates[Rate_To_INR],
  ,
  -1
)</f>
        <v>61</v>
      </c>
      <c r="P1144" s="2">
        <f>Cleaned[[#This Row],[Net Amount]] *  Cleaned[[#This Row],[FX_rates]]</f>
        <v>-32675.87</v>
      </c>
    </row>
    <row r="1145" spans="1:16" x14ac:dyDescent="0.45">
      <c r="A1145" t="s">
        <v>1153</v>
      </c>
      <c r="B1145" s="1">
        <v>45512</v>
      </c>
      <c r="C1145" s="2" t="s">
        <v>2012</v>
      </c>
      <c r="D1145" t="s">
        <v>2017</v>
      </c>
      <c r="E1145">
        <v>1153.45</v>
      </c>
      <c r="F1145">
        <f>Cleaned[[#This Row],[Debit]] * Cleaned[[#This Row],[FX_rates]]</f>
        <v>118805.35</v>
      </c>
      <c r="G1145">
        <v>0</v>
      </c>
      <c r="H1145">
        <f>Cleaned[[#This Row],[Credit]] *  Cleaned[[#This Row],[FX_rates]]</f>
        <v>0</v>
      </c>
      <c r="I1145" t="s">
        <v>2025</v>
      </c>
      <c r="J1145" t="s">
        <v>2028</v>
      </c>
      <c r="K1145" t="s">
        <v>3174</v>
      </c>
      <c r="L1145" t="s">
        <v>4031</v>
      </c>
      <c r="M1145">
        <f>Cleaned[[#This Row],[Credit]]-Cleaned[[#This Row],[Debit]]</f>
        <v>-1153.45</v>
      </c>
      <c r="N1145" t="str">
        <f>_xlfn.XLOOKUP(Cleaned[[#This Row],[AccountName]], Account_Mapping!A:A, Account_Mapping!B:B,"Unmapped")</f>
        <v>Operating Expense</v>
      </c>
      <c r="O1145" cm="1">
        <f t="array" ref="O1145">_xlfn.XLOOKUP(
  1,
  (FX_Rates[Currency]=Cleaned[[#This Row],[Currency]])*
  (FX_Rates[RateDate]&lt;=Cleaned[[#This Row],[TxnDate]]),
  FX_Rates[Rate_To_INR],
  ,
  -1
)</f>
        <v>103</v>
      </c>
      <c r="P1145" s="2">
        <f>Cleaned[[#This Row],[Net Amount]] *  Cleaned[[#This Row],[FX_rates]]</f>
        <v>-118805.35</v>
      </c>
    </row>
    <row r="1146" spans="1:16" x14ac:dyDescent="0.45">
      <c r="A1146" t="s">
        <v>1154</v>
      </c>
      <c r="B1146" s="1">
        <v>45139</v>
      </c>
      <c r="C1146" s="2" t="s">
        <v>2014</v>
      </c>
      <c r="D1146" t="s">
        <v>2019</v>
      </c>
      <c r="E1146">
        <v>0</v>
      </c>
      <c r="F1146">
        <f>Cleaned[[#This Row],[Debit]] * Cleaned[[#This Row],[FX_rates]]</f>
        <v>0</v>
      </c>
      <c r="G1146">
        <v>2523.88</v>
      </c>
      <c r="H1146">
        <f>Cleaned[[#This Row],[Credit]] *  Cleaned[[#This Row],[FX_rates]]</f>
        <v>141337.28</v>
      </c>
      <c r="I1146" t="s">
        <v>2021</v>
      </c>
      <c r="J1146" t="s">
        <v>2027</v>
      </c>
      <c r="K1146" t="s">
        <v>3175</v>
      </c>
      <c r="L1146" t="s">
        <v>4033</v>
      </c>
      <c r="M1146">
        <f>Cleaned[[#This Row],[Credit]]-Cleaned[[#This Row],[Debit]]</f>
        <v>2523.88</v>
      </c>
      <c r="N1146" t="str">
        <f>_xlfn.XLOOKUP(Cleaned[[#This Row],[AccountName]], Account_Mapping!A:A, Account_Mapping!B:B,"Unmapped")</f>
        <v>Revenue</v>
      </c>
      <c r="O1146" cm="1">
        <f t="array" ref="O1146">_xlfn.XLOOKUP(
  1,
  (FX_Rates[Currency]=Cleaned[[#This Row],[Currency]])*
  (FX_Rates[RateDate]&lt;=Cleaned[[#This Row],[TxnDate]]),
  FX_Rates[Rate_To_INR],
  ,
  -1
)</f>
        <v>56</v>
      </c>
      <c r="P1146" s="2">
        <f>Cleaned[[#This Row],[Net Amount]] *  Cleaned[[#This Row],[FX_rates]]</f>
        <v>141337.28</v>
      </c>
    </row>
    <row r="1147" spans="1:16" x14ac:dyDescent="0.45">
      <c r="A1147" t="s">
        <v>1155</v>
      </c>
      <c r="B1147" s="1">
        <v>45216</v>
      </c>
      <c r="C1147" s="2" t="s">
        <v>2012</v>
      </c>
      <c r="D1147" t="s">
        <v>2017</v>
      </c>
      <c r="E1147">
        <v>621.37</v>
      </c>
      <c r="F1147">
        <f>Cleaned[[#This Row],[Debit]] * Cleaned[[#This Row],[FX_rates]]</f>
        <v>54680.56</v>
      </c>
      <c r="G1147">
        <v>0</v>
      </c>
      <c r="H1147">
        <f>Cleaned[[#This Row],[Credit]] *  Cleaned[[#This Row],[FX_rates]]</f>
        <v>0</v>
      </c>
      <c r="I1147" t="s">
        <v>2023</v>
      </c>
      <c r="J1147" t="s">
        <v>2027</v>
      </c>
      <c r="K1147" t="s">
        <v>3176</v>
      </c>
      <c r="L1147" t="s">
        <v>4032</v>
      </c>
      <c r="M1147">
        <f>Cleaned[[#This Row],[Credit]]-Cleaned[[#This Row],[Debit]]</f>
        <v>-621.37</v>
      </c>
      <c r="N1147" t="str">
        <f>_xlfn.XLOOKUP(Cleaned[[#This Row],[AccountName]], Account_Mapping!A:A, Account_Mapping!B:B,"Unmapped")</f>
        <v>Operating Expense</v>
      </c>
      <c r="O1147" cm="1">
        <f t="array" ref="O1147">_xlfn.XLOOKUP(
  1,
  (FX_Rates[Currency]=Cleaned[[#This Row],[Currency]])*
  (FX_Rates[RateDate]&lt;=Cleaned[[#This Row],[TxnDate]]),
  FX_Rates[Rate_To_INR],
  ,
  -1
)</f>
        <v>88</v>
      </c>
      <c r="P1147" s="2">
        <f>Cleaned[[#This Row],[Net Amount]] *  Cleaned[[#This Row],[FX_rates]]</f>
        <v>-54680.56</v>
      </c>
    </row>
    <row r="1148" spans="1:16" x14ac:dyDescent="0.45">
      <c r="A1148" t="s">
        <v>1156</v>
      </c>
      <c r="B1148" s="1">
        <v>45681</v>
      </c>
      <c r="C1148" s="2" t="s">
        <v>2013</v>
      </c>
      <c r="D1148" t="s">
        <v>2018</v>
      </c>
      <c r="E1148">
        <v>991.7</v>
      </c>
      <c r="F1148">
        <f>Cleaned[[#This Row],[Debit]] * Cleaned[[#This Row],[FX_rates]]</f>
        <v>87269.6</v>
      </c>
      <c r="G1148">
        <v>0</v>
      </c>
      <c r="H1148">
        <f>Cleaned[[#This Row],[Credit]] *  Cleaned[[#This Row],[FX_rates]]</f>
        <v>0</v>
      </c>
      <c r="I1148" t="s">
        <v>2021</v>
      </c>
      <c r="J1148" t="s">
        <v>2026</v>
      </c>
      <c r="K1148" t="s">
        <v>3177</v>
      </c>
      <c r="L1148" t="s">
        <v>4032</v>
      </c>
      <c r="M1148">
        <f>Cleaned[[#This Row],[Credit]]-Cleaned[[#This Row],[Debit]]</f>
        <v>-991.7</v>
      </c>
      <c r="N1148" t="str">
        <f>_xlfn.XLOOKUP(Cleaned[[#This Row],[AccountName]], Account_Mapping!A:A, Account_Mapping!B:B,"Unmapped")</f>
        <v>Operating Expense</v>
      </c>
      <c r="O1148" cm="1">
        <f t="array" ref="O1148">_xlfn.XLOOKUP(
  1,
  (FX_Rates[Currency]=Cleaned[[#This Row],[Currency]])*
  (FX_Rates[RateDate]&lt;=Cleaned[[#This Row],[TxnDate]]),
  FX_Rates[Rate_To_INR],
  ,
  -1
)</f>
        <v>88</v>
      </c>
      <c r="P1148" s="2">
        <f>Cleaned[[#This Row],[Net Amount]] *  Cleaned[[#This Row],[FX_rates]]</f>
        <v>-87269.6</v>
      </c>
    </row>
    <row r="1149" spans="1:16" x14ac:dyDescent="0.45">
      <c r="A1149" t="s">
        <v>1157</v>
      </c>
      <c r="B1149" s="1">
        <v>45800</v>
      </c>
      <c r="C1149" s="2" t="s">
        <v>2012</v>
      </c>
      <c r="D1149" t="s">
        <v>2017</v>
      </c>
      <c r="E1149">
        <v>1727.08</v>
      </c>
      <c r="F1149">
        <f>Cleaned[[#This Row],[Debit]] * Cleaned[[#This Row],[FX_rates]]</f>
        <v>96716.479999999996</v>
      </c>
      <c r="G1149">
        <v>0</v>
      </c>
      <c r="H1149">
        <f>Cleaned[[#This Row],[Credit]] *  Cleaned[[#This Row],[FX_rates]]</f>
        <v>0</v>
      </c>
      <c r="I1149" t="s">
        <v>2022</v>
      </c>
      <c r="J1149" t="s">
        <v>2027</v>
      </c>
      <c r="K1149" t="s">
        <v>3178</v>
      </c>
      <c r="L1149" t="s">
        <v>4033</v>
      </c>
      <c r="M1149">
        <f>Cleaned[[#This Row],[Credit]]-Cleaned[[#This Row],[Debit]]</f>
        <v>-1727.08</v>
      </c>
      <c r="N1149" t="str">
        <f>_xlfn.XLOOKUP(Cleaned[[#This Row],[AccountName]], Account_Mapping!A:A, Account_Mapping!B:B,"Unmapped")</f>
        <v>Operating Expense</v>
      </c>
      <c r="O1149" cm="1">
        <f t="array" ref="O1149">_xlfn.XLOOKUP(
  1,
  (FX_Rates[Currency]=Cleaned[[#This Row],[Currency]])*
  (FX_Rates[RateDate]&lt;=Cleaned[[#This Row],[TxnDate]]),
  FX_Rates[Rate_To_INR],
  ,
  -1
)</f>
        <v>56</v>
      </c>
      <c r="P1149" s="2">
        <f>Cleaned[[#This Row],[Net Amount]] *  Cleaned[[#This Row],[FX_rates]]</f>
        <v>-96716.479999999996</v>
      </c>
    </row>
    <row r="1150" spans="1:16" x14ac:dyDescent="0.45">
      <c r="A1150" t="s">
        <v>1158</v>
      </c>
      <c r="B1150" s="1">
        <v>45236</v>
      </c>
      <c r="C1150" s="2" t="s">
        <v>2012</v>
      </c>
      <c r="D1150" t="s">
        <v>2017</v>
      </c>
      <c r="E1150">
        <v>1518.91</v>
      </c>
      <c r="F1150">
        <f>Cleaned[[#This Row],[Debit]] * Cleaned[[#This Row],[FX_rates]]</f>
        <v>85058.96</v>
      </c>
      <c r="G1150">
        <v>0</v>
      </c>
      <c r="H1150">
        <f>Cleaned[[#This Row],[Credit]] *  Cleaned[[#This Row],[FX_rates]]</f>
        <v>0</v>
      </c>
      <c r="I1150" t="s">
        <v>2020</v>
      </c>
      <c r="J1150" t="s">
        <v>2030</v>
      </c>
      <c r="K1150" t="s">
        <v>3179</v>
      </c>
      <c r="L1150" t="s">
        <v>4033</v>
      </c>
      <c r="M1150">
        <f>Cleaned[[#This Row],[Credit]]-Cleaned[[#This Row],[Debit]]</f>
        <v>-1518.91</v>
      </c>
      <c r="N1150" t="str">
        <f>_xlfn.XLOOKUP(Cleaned[[#This Row],[AccountName]], Account_Mapping!A:A, Account_Mapping!B:B,"Unmapped")</f>
        <v>Operating Expense</v>
      </c>
      <c r="O1150" cm="1">
        <f t="array" ref="O1150">_xlfn.XLOOKUP(
  1,
  (FX_Rates[Currency]=Cleaned[[#This Row],[Currency]])*
  (FX_Rates[RateDate]&lt;=Cleaned[[#This Row],[TxnDate]]),
  FX_Rates[Rate_To_INR],
  ,
  -1
)</f>
        <v>56</v>
      </c>
      <c r="P1150" s="2">
        <f>Cleaned[[#This Row],[Net Amount]] *  Cleaned[[#This Row],[FX_rates]]</f>
        <v>-85058.96</v>
      </c>
    </row>
    <row r="1151" spans="1:16" x14ac:dyDescent="0.45">
      <c r="A1151" t="s">
        <v>1159</v>
      </c>
      <c r="B1151" s="1">
        <v>45338</v>
      </c>
      <c r="C1151" s="2" t="s">
        <v>2010</v>
      </c>
      <c r="D1151" t="s">
        <v>2015</v>
      </c>
      <c r="E1151">
        <v>0</v>
      </c>
      <c r="F1151">
        <f>Cleaned[[#This Row],[Debit]] * Cleaned[[#This Row],[FX_rates]]</f>
        <v>0</v>
      </c>
      <c r="G1151">
        <v>1266.3499999999999</v>
      </c>
      <c r="H1151">
        <f>Cleaned[[#This Row],[Credit]] *  Cleaned[[#This Row],[FX_rates]]</f>
        <v>77247.349999999991</v>
      </c>
      <c r="I1151" t="s">
        <v>2025</v>
      </c>
      <c r="J1151" t="s">
        <v>2027</v>
      </c>
      <c r="K1151" t="s">
        <v>3180</v>
      </c>
      <c r="L1151" t="s">
        <v>4035</v>
      </c>
      <c r="M1151">
        <f>Cleaned[[#This Row],[Credit]]-Cleaned[[#This Row],[Debit]]</f>
        <v>1266.3499999999999</v>
      </c>
      <c r="N1151" t="str">
        <f>_xlfn.XLOOKUP(Cleaned[[#This Row],[AccountName]], Account_Mapping!A:A, Account_Mapping!B:B,"Unmapped")</f>
        <v>Revenue</v>
      </c>
      <c r="O1151" cm="1">
        <f t="array" ref="O1151">_xlfn.XLOOKUP(
  1,
  (FX_Rates[Currency]=Cleaned[[#This Row],[Currency]])*
  (FX_Rates[RateDate]&lt;=Cleaned[[#This Row],[TxnDate]]),
  FX_Rates[Rate_To_INR],
  ,
  -1
)</f>
        <v>61</v>
      </c>
      <c r="P1151" s="2">
        <f>Cleaned[[#This Row],[Net Amount]] *  Cleaned[[#This Row],[FX_rates]]</f>
        <v>77247.349999999991</v>
      </c>
    </row>
    <row r="1152" spans="1:16" x14ac:dyDescent="0.45">
      <c r="A1152" t="s">
        <v>1160</v>
      </c>
      <c r="B1152" s="1">
        <v>45654</v>
      </c>
      <c r="C1152" s="2" t="s">
        <v>2010</v>
      </c>
      <c r="D1152" t="s">
        <v>2015</v>
      </c>
      <c r="E1152">
        <v>0</v>
      </c>
      <c r="F1152">
        <f>Cleaned[[#This Row],[Debit]] * Cleaned[[#This Row],[FX_rates]]</f>
        <v>0</v>
      </c>
      <c r="G1152">
        <v>3886.29</v>
      </c>
      <c r="H1152">
        <f>Cleaned[[#This Row],[Credit]] *  Cleaned[[#This Row],[FX_rates]]</f>
        <v>400287.87</v>
      </c>
      <c r="I1152" t="s">
        <v>2022</v>
      </c>
      <c r="J1152" t="s">
        <v>2027</v>
      </c>
      <c r="K1152" t="s">
        <v>3181</v>
      </c>
      <c r="L1152" t="s">
        <v>4031</v>
      </c>
      <c r="M1152">
        <f>Cleaned[[#This Row],[Credit]]-Cleaned[[#This Row],[Debit]]</f>
        <v>3886.29</v>
      </c>
      <c r="N1152" t="str">
        <f>_xlfn.XLOOKUP(Cleaned[[#This Row],[AccountName]], Account_Mapping!A:A, Account_Mapping!B:B,"Unmapped")</f>
        <v>Revenue</v>
      </c>
      <c r="O1152" cm="1">
        <f t="array" ref="O1152">_xlfn.XLOOKUP(
  1,
  (FX_Rates[Currency]=Cleaned[[#This Row],[Currency]])*
  (FX_Rates[RateDate]&lt;=Cleaned[[#This Row],[TxnDate]]),
  FX_Rates[Rate_To_INR],
  ,
  -1
)</f>
        <v>103</v>
      </c>
      <c r="P1152" s="2">
        <f>Cleaned[[#This Row],[Net Amount]] *  Cleaned[[#This Row],[FX_rates]]</f>
        <v>400287.87</v>
      </c>
    </row>
    <row r="1153" spans="1:16" x14ac:dyDescent="0.45">
      <c r="A1153" t="s">
        <v>1161</v>
      </c>
      <c r="B1153" s="1">
        <v>44962</v>
      </c>
      <c r="C1153" s="2" t="s">
        <v>2012</v>
      </c>
      <c r="D1153" t="s">
        <v>2017</v>
      </c>
      <c r="E1153">
        <v>584.9</v>
      </c>
      <c r="F1153">
        <f>Cleaned[[#This Row],[Debit]] * Cleaned[[#This Row],[FX_rates]]</f>
        <v>51471.199999999997</v>
      </c>
      <c r="G1153">
        <v>0</v>
      </c>
      <c r="H1153">
        <f>Cleaned[[#This Row],[Credit]] *  Cleaned[[#This Row],[FX_rates]]</f>
        <v>0</v>
      </c>
      <c r="I1153" t="s">
        <v>2022</v>
      </c>
      <c r="J1153" t="s">
        <v>2028</v>
      </c>
      <c r="K1153" t="s">
        <v>3182</v>
      </c>
      <c r="L1153" t="s">
        <v>4032</v>
      </c>
      <c r="M1153">
        <f>Cleaned[[#This Row],[Credit]]-Cleaned[[#This Row],[Debit]]</f>
        <v>-584.9</v>
      </c>
      <c r="N1153" t="str">
        <f>_xlfn.XLOOKUP(Cleaned[[#This Row],[AccountName]], Account_Mapping!A:A, Account_Mapping!B:B,"Unmapped")</f>
        <v>Operating Expense</v>
      </c>
      <c r="O1153" cm="1">
        <f t="array" ref="O1153">_xlfn.XLOOKUP(
  1,
  (FX_Rates[Currency]=Cleaned[[#This Row],[Currency]])*
  (FX_Rates[RateDate]&lt;=Cleaned[[#This Row],[TxnDate]]),
  FX_Rates[Rate_To_INR],
  ,
  -1
)</f>
        <v>88</v>
      </c>
      <c r="P1153" s="2">
        <f>Cleaned[[#This Row],[Net Amount]] *  Cleaned[[#This Row],[FX_rates]]</f>
        <v>-51471.199999999997</v>
      </c>
    </row>
    <row r="1154" spans="1:16" x14ac:dyDescent="0.45">
      <c r="A1154" t="s">
        <v>1162</v>
      </c>
      <c r="B1154" s="1">
        <v>45332</v>
      </c>
      <c r="C1154" s="2" t="s">
        <v>2011</v>
      </c>
      <c r="D1154" t="s">
        <v>2016</v>
      </c>
      <c r="E1154">
        <v>1212.48</v>
      </c>
      <c r="F1154">
        <f>Cleaned[[#This Row],[Debit]] * Cleaned[[#This Row],[FX_rates]]</f>
        <v>106698.24000000001</v>
      </c>
      <c r="G1154">
        <v>0</v>
      </c>
      <c r="H1154">
        <f>Cleaned[[#This Row],[Credit]] *  Cleaned[[#This Row],[FX_rates]]</f>
        <v>0</v>
      </c>
      <c r="I1154" t="s">
        <v>2024</v>
      </c>
      <c r="J1154" t="s">
        <v>2027</v>
      </c>
      <c r="K1154" t="s">
        <v>3183</v>
      </c>
      <c r="L1154" t="s">
        <v>4032</v>
      </c>
      <c r="M1154">
        <f>Cleaned[[#This Row],[Credit]]-Cleaned[[#This Row],[Debit]]</f>
        <v>-1212.48</v>
      </c>
      <c r="N1154" t="str">
        <f>_xlfn.XLOOKUP(Cleaned[[#This Row],[AccountName]], Account_Mapping!A:A, Account_Mapping!B:B,"Unmapped")</f>
        <v>COGS</v>
      </c>
      <c r="O1154" cm="1">
        <f t="array" ref="O1154">_xlfn.XLOOKUP(
  1,
  (FX_Rates[Currency]=Cleaned[[#This Row],[Currency]])*
  (FX_Rates[RateDate]&lt;=Cleaned[[#This Row],[TxnDate]]),
  FX_Rates[Rate_To_INR],
  ,
  -1
)</f>
        <v>88</v>
      </c>
      <c r="P1154" s="2">
        <f>Cleaned[[#This Row],[Net Amount]] *  Cleaned[[#This Row],[FX_rates]]</f>
        <v>-106698.24000000001</v>
      </c>
    </row>
    <row r="1155" spans="1:16" x14ac:dyDescent="0.45">
      <c r="A1155" t="s">
        <v>1163</v>
      </c>
      <c r="B1155" s="1">
        <v>45405</v>
      </c>
      <c r="C1155" s="2" t="s">
        <v>2012</v>
      </c>
      <c r="D1155" t="s">
        <v>2017</v>
      </c>
      <c r="E1155">
        <v>1084.73</v>
      </c>
      <c r="F1155">
        <f>Cleaned[[#This Row],[Debit]] * Cleaned[[#This Row],[FX_rates]]</f>
        <v>66168.53</v>
      </c>
      <c r="G1155">
        <v>0</v>
      </c>
      <c r="H1155">
        <f>Cleaned[[#This Row],[Credit]] *  Cleaned[[#This Row],[FX_rates]]</f>
        <v>0</v>
      </c>
      <c r="I1155" t="s">
        <v>2020</v>
      </c>
      <c r="J1155" t="s">
        <v>2030</v>
      </c>
      <c r="K1155" t="s">
        <v>3184</v>
      </c>
      <c r="L1155" t="s">
        <v>4035</v>
      </c>
      <c r="M1155">
        <f>Cleaned[[#This Row],[Credit]]-Cleaned[[#This Row],[Debit]]</f>
        <v>-1084.73</v>
      </c>
      <c r="N1155" t="str">
        <f>_xlfn.XLOOKUP(Cleaned[[#This Row],[AccountName]], Account_Mapping!A:A, Account_Mapping!B:B,"Unmapped")</f>
        <v>Operating Expense</v>
      </c>
      <c r="O1155" cm="1">
        <f t="array" ref="O1155">_xlfn.XLOOKUP(
  1,
  (FX_Rates[Currency]=Cleaned[[#This Row],[Currency]])*
  (FX_Rates[RateDate]&lt;=Cleaned[[#This Row],[TxnDate]]),
  FX_Rates[Rate_To_INR],
  ,
  -1
)</f>
        <v>61</v>
      </c>
      <c r="P1155" s="2">
        <f>Cleaned[[#This Row],[Net Amount]] *  Cleaned[[#This Row],[FX_rates]]</f>
        <v>-66168.53</v>
      </c>
    </row>
    <row r="1156" spans="1:16" x14ac:dyDescent="0.45">
      <c r="A1156" t="s">
        <v>1164</v>
      </c>
      <c r="B1156" s="1">
        <v>45274</v>
      </c>
      <c r="C1156" s="2" t="s">
        <v>2012</v>
      </c>
      <c r="D1156" t="s">
        <v>2017</v>
      </c>
      <c r="E1156">
        <v>1218.47</v>
      </c>
      <c r="F1156">
        <f>Cleaned[[#This Row],[Debit]] * Cleaned[[#This Row],[FX_rates]]</f>
        <v>125502.41</v>
      </c>
      <c r="G1156">
        <v>0</v>
      </c>
      <c r="H1156">
        <f>Cleaned[[#This Row],[Credit]] *  Cleaned[[#This Row],[FX_rates]]</f>
        <v>0</v>
      </c>
      <c r="I1156" t="s">
        <v>2021</v>
      </c>
      <c r="J1156" t="s">
        <v>2029</v>
      </c>
      <c r="K1156" t="s">
        <v>3185</v>
      </c>
      <c r="L1156" t="s">
        <v>4031</v>
      </c>
      <c r="M1156">
        <f>Cleaned[[#This Row],[Credit]]-Cleaned[[#This Row],[Debit]]</f>
        <v>-1218.47</v>
      </c>
      <c r="N1156" t="str">
        <f>_xlfn.XLOOKUP(Cleaned[[#This Row],[AccountName]], Account_Mapping!A:A, Account_Mapping!B:B,"Unmapped")</f>
        <v>Operating Expense</v>
      </c>
      <c r="O1156" cm="1">
        <f t="array" ref="O1156">_xlfn.XLOOKUP(
  1,
  (FX_Rates[Currency]=Cleaned[[#This Row],[Currency]])*
  (FX_Rates[RateDate]&lt;=Cleaned[[#This Row],[TxnDate]]),
  FX_Rates[Rate_To_INR],
  ,
  -1
)</f>
        <v>103</v>
      </c>
      <c r="P1156" s="2">
        <f>Cleaned[[#This Row],[Net Amount]] *  Cleaned[[#This Row],[FX_rates]]</f>
        <v>-125502.41</v>
      </c>
    </row>
    <row r="1157" spans="1:16" x14ac:dyDescent="0.45">
      <c r="A1157" t="s">
        <v>1165</v>
      </c>
      <c r="B1157" s="1">
        <v>45370</v>
      </c>
      <c r="C1157" s="2" t="s">
        <v>2012</v>
      </c>
      <c r="D1157" t="s">
        <v>2017</v>
      </c>
      <c r="E1157">
        <v>134.03</v>
      </c>
      <c r="F1157">
        <f>Cleaned[[#This Row],[Debit]] * Cleaned[[#This Row],[FX_rates]]</f>
        <v>8175.83</v>
      </c>
      <c r="G1157">
        <v>0</v>
      </c>
      <c r="H1157">
        <f>Cleaned[[#This Row],[Credit]] *  Cleaned[[#This Row],[FX_rates]]</f>
        <v>0</v>
      </c>
      <c r="I1157" t="s">
        <v>2024</v>
      </c>
      <c r="J1157" t="s">
        <v>2026</v>
      </c>
      <c r="K1157" t="s">
        <v>3186</v>
      </c>
      <c r="L1157" t="s">
        <v>4035</v>
      </c>
      <c r="M1157">
        <f>Cleaned[[#This Row],[Credit]]-Cleaned[[#This Row],[Debit]]</f>
        <v>-134.03</v>
      </c>
      <c r="N1157" t="str">
        <f>_xlfn.XLOOKUP(Cleaned[[#This Row],[AccountName]], Account_Mapping!A:A, Account_Mapping!B:B,"Unmapped")</f>
        <v>Operating Expense</v>
      </c>
      <c r="O1157" cm="1">
        <f t="array" ref="O1157">_xlfn.XLOOKUP(
  1,
  (FX_Rates[Currency]=Cleaned[[#This Row],[Currency]])*
  (FX_Rates[RateDate]&lt;=Cleaned[[#This Row],[TxnDate]]),
  FX_Rates[Rate_To_INR],
  ,
  -1
)</f>
        <v>61</v>
      </c>
      <c r="P1157" s="2">
        <f>Cleaned[[#This Row],[Net Amount]] *  Cleaned[[#This Row],[FX_rates]]</f>
        <v>-8175.83</v>
      </c>
    </row>
    <row r="1158" spans="1:16" x14ac:dyDescent="0.45">
      <c r="A1158" t="s">
        <v>1166</v>
      </c>
      <c r="B1158" s="1">
        <v>45057</v>
      </c>
      <c r="C1158" s="2" t="s">
        <v>2013</v>
      </c>
      <c r="D1158" t="s">
        <v>2018</v>
      </c>
      <c r="E1158">
        <v>1961.58</v>
      </c>
      <c r="F1158">
        <f>Cleaned[[#This Row],[Debit]] * Cleaned[[#This Row],[FX_rates]]</f>
        <v>160849.56</v>
      </c>
      <c r="G1158">
        <v>0</v>
      </c>
      <c r="H1158">
        <f>Cleaned[[#This Row],[Credit]] *  Cleaned[[#This Row],[FX_rates]]</f>
        <v>0</v>
      </c>
      <c r="I1158" t="s">
        <v>2024</v>
      </c>
      <c r="J1158" t="s">
        <v>2027</v>
      </c>
      <c r="K1158" t="s">
        <v>3187</v>
      </c>
      <c r="L1158" t="s">
        <v>4034</v>
      </c>
      <c r="M1158">
        <f>Cleaned[[#This Row],[Credit]]-Cleaned[[#This Row],[Debit]]</f>
        <v>-1961.58</v>
      </c>
      <c r="N1158" t="str">
        <f>_xlfn.XLOOKUP(Cleaned[[#This Row],[AccountName]], Account_Mapping!A:A, Account_Mapping!B:B,"Unmapped")</f>
        <v>Operating Expense</v>
      </c>
      <c r="O1158" cm="1">
        <f t="array" ref="O1158">_xlfn.XLOOKUP(
  1,
  (FX_Rates[Currency]=Cleaned[[#This Row],[Currency]])*
  (FX_Rates[RateDate]&lt;=Cleaned[[#This Row],[TxnDate]]),
  FX_Rates[Rate_To_INR],
  ,
  -1
)</f>
        <v>82</v>
      </c>
      <c r="P1158" s="2">
        <f>Cleaned[[#This Row],[Net Amount]] *  Cleaned[[#This Row],[FX_rates]]</f>
        <v>-160849.56</v>
      </c>
    </row>
    <row r="1159" spans="1:16" x14ac:dyDescent="0.45">
      <c r="A1159" t="s">
        <v>1167</v>
      </c>
      <c r="B1159" s="1">
        <v>44953</v>
      </c>
      <c r="C1159" s="2" t="s">
        <v>2012</v>
      </c>
      <c r="D1159" t="s">
        <v>2017</v>
      </c>
      <c r="E1159">
        <v>320.36</v>
      </c>
      <c r="F1159">
        <f>Cleaned[[#This Row],[Debit]] * Cleaned[[#This Row],[FX_rates]]</f>
        <v>26269.52</v>
      </c>
      <c r="G1159">
        <v>0</v>
      </c>
      <c r="H1159">
        <f>Cleaned[[#This Row],[Credit]] *  Cleaned[[#This Row],[FX_rates]]</f>
        <v>0</v>
      </c>
      <c r="I1159" t="s">
        <v>2025</v>
      </c>
      <c r="J1159" t="s">
        <v>2029</v>
      </c>
      <c r="K1159" t="s">
        <v>3188</v>
      </c>
      <c r="L1159" t="s">
        <v>4034</v>
      </c>
      <c r="M1159">
        <f>Cleaned[[#This Row],[Credit]]-Cleaned[[#This Row],[Debit]]</f>
        <v>-320.36</v>
      </c>
      <c r="N1159" t="str">
        <f>_xlfn.XLOOKUP(Cleaned[[#This Row],[AccountName]], Account_Mapping!A:A, Account_Mapping!B:B,"Unmapped")</f>
        <v>Operating Expense</v>
      </c>
      <c r="O1159" cm="1">
        <f t="array" ref="O1159">_xlfn.XLOOKUP(
  1,
  (FX_Rates[Currency]=Cleaned[[#This Row],[Currency]])*
  (FX_Rates[RateDate]&lt;=Cleaned[[#This Row],[TxnDate]]),
  FX_Rates[Rate_To_INR],
  ,
  -1
)</f>
        <v>82</v>
      </c>
      <c r="P1159" s="2">
        <f>Cleaned[[#This Row],[Net Amount]] *  Cleaned[[#This Row],[FX_rates]]</f>
        <v>-26269.52</v>
      </c>
    </row>
    <row r="1160" spans="1:16" x14ac:dyDescent="0.45">
      <c r="A1160" t="s">
        <v>1168</v>
      </c>
      <c r="B1160" s="1">
        <v>45541</v>
      </c>
      <c r="C1160" s="2" t="s">
        <v>2013</v>
      </c>
      <c r="D1160" t="s">
        <v>2018</v>
      </c>
      <c r="E1160">
        <v>727.24</v>
      </c>
      <c r="F1160">
        <f>Cleaned[[#This Row],[Debit]] * Cleaned[[#This Row],[FX_rates]]</f>
        <v>63997.120000000003</v>
      </c>
      <c r="G1160">
        <v>0</v>
      </c>
      <c r="H1160">
        <f>Cleaned[[#This Row],[Credit]] *  Cleaned[[#This Row],[FX_rates]]</f>
        <v>0</v>
      </c>
      <c r="I1160" t="s">
        <v>2023</v>
      </c>
      <c r="J1160" t="s">
        <v>2030</v>
      </c>
      <c r="K1160" t="s">
        <v>3189</v>
      </c>
      <c r="L1160" t="s">
        <v>4032</v>
      </c>
      <c r="M1160">
        <f>Cleaned[[#This Row],[Credit]]-Cleaned[[#This Row],[Debit]]</f>
        <v>-727.24</v>
      </c>
      <c r="N1160" t="str">
        <f>_xlfn.XLOOKUP(Cleaned[[#This Row],[AccountName]], Account_Mapping!A:A, Account_Mapping!B:B,"Unmapped")</f>
        <v>Operating Expense</v>
      </c>
      <c r="O1160" cm="1">
        <f t="array" ref="O1160">_xlfn.XLOOKUP(
  1,
  (FX_Rates[Currency]=Cleaned[[#This Row],[Currency]])*
  (FX_Rates[RateDate]&lt;=Cleaned[[#This Row],[TxnDate]]),
  FX_Rates[Rate_To_INR],
  ,
  -1
)</f>
        <v>88</v>
      </c>
      <c r="P1160" s="2">
        <f>Cleaned[[#This Row],[Net Amount]] *  Cleaned[[#This Row],[FX_rates]]</f>
        <v>-63997.120000000003</v>
      </c>
    </row>
    <row r="1161" spans="1:16" x14ac:dyDescent="0.45">
      <c r="A1161" t="s">
        <v>1169</v>
      </c>
      <c r="B1161" s="1">
        <v>45030</v>
      </c>
      <c r="C1161" s="2" t="s">
        <v>2011</v>
      </c>
      <c r="D1161" t="s">
        <v>2016</v>
      </c>
      <c r="E1161">
        <v>334.7</v>
      </c>
      <c r="F1161">
        <f>Cleaned[[#This Row],[Debit]] * Cleaned[[#This Row],[FX_rates]]</f>
        <v>29453.599999999999</v>
      </c>
      <c r="G1161">
        <v>0</v>
      </c>
      <c r="H1161">
        <f>Cleaned[[#This Row],[Credit]] *  Cleaned[[#This Row],[FX_rates]]</f>
        <v>0</v>
      </c>
      <c r="I1161" t="s">
        <v>2025</v>
      </c>
      <c r="J1161" t="s">
        <v>2028</v>
      </c>
      <c r="K1161" t="s">
        <v>3190</v>
      </c>
      <c r="L1161" t="s">
        <v>4032</v>
      </c>
      <c r="M1161">
        <f>Cleaned[[#This Row],[Credit]]-Cleaned[[#This Row],[Debit]]</f>
        <v>-334.7</v>
      </c>
      <c r="N1161" t="str">
        <f>_xlfn.XLOOKUP(Cleaned[[#This Row],[AccountName]], Account_Mapping!A:A, Account_Mapping!B:B,"Unmapped")</f>
        <v>COGS</v>
      </c>
      <c r="O1161" cm="1">
        <f t="array" ref="O1161">_xlfn.XLOOKUP(
  1,
  (FX_Rates[Currency]=Cleaned[[#This Row],[Currency]])*
  (FX_Rates[RateDate]&lt;=Cleaned[[#This Row],[TxnDate]]),
  FX_Rates[Rate_To_INR],
  ,
  -1
)</f>
        <v>88</v>
      </c>
      <c r="P1161" s="2">
        <f>Cleaned[[#This Row],[Net Amount]] *  Cleaned[[#This Row],[FX_rates]]</f>
        <v>-29453.599999999999</v>
      </c>
    </row>
    <row r="1162" spans="1:16" x14ac:dyDescent="0.45">
      <c r="A1162" t="s">
        <v>1170</v>
      </c>
      <c r="B1162" s="1">
        <v>45021</v>
      </c>
      <c r="C1162" s="2" t="s">
        <v>2012</v>
      </c>
      <c r="D1162" t="s">
        <v>2017</v>
      </c>
      <c r="E1162">
        <v>620.16999999999996</v>
      </c>
      <c r="F1162">
        <f>Cleaned[[#This Row],[Debit]] * Cleaned[[#This Row],[FX_rates]]</f>
        <v>34729.519999999997</v>
      </c>
      <c r="G1162">
        <v>0</v>
      </c>
      <c r="H1162">
        <f>Cleaned[[#This Row],[Credit]] *  Cleaned[[#This Row],[FX_rates]]</f>
        <v>0</v>
      </c>
      <c r="I1162" t="s">
        <v>2020</v>
      </c>
      <c r="J1162" t="s">
        <v>2029</v>
      </c>
      <c r="K1162" t="s">
        <v>3191</v>
      </c>
      <c r="L1162" t="s">
        <v>4033</v>
      </c>
      <c r="M1162">
        <f>Cleaned[[#This Row],[Credit]]-Cleaned[[#This Row],[Debit]]</f>
        <v>-620.16999999999996</v>
      </c>
      <c r="N1162" t="str">
        <f>_xlfn.XLOOKUP(Cleaned[[#This Row],[AccountName]], Account_Mapping!A:A, Account_Mapping!B:B,"Unmapped")</f>
        <v>Operating Expense</v>
      </c>
      <c r="O1162" cm="1">
        <f t="array" ref="O1162">_xlfn.XLOOKUP(
  1,
  (FX_Rates[Currency]=Cleaned[[#This Row],[Currency]])*
  (FX_Rates[RateDate]&lt;=Cleaned[[#This Row],[TxnDate]]),
  FX_Rates[Rate_To_INR],
  ,
  -1
)</f>
        <v>56</v>
      </c>
      <c r="P1162" s="2">
        <f>Cleaned[[#This Row],[Net Amount]] *  Cleaned[[#This Row],[FX_rates]]</f>
        <v>-34729.519999999997</v>
      </c>
    </row>
    <row r="1163" spans="1:16" x14ac:dyDescent="0.45">
      <c r="A1163" t="s">
        <v>1171</v>
      </c>
      <c r="B1163" s="1">
        <v>45475</v>
      </c>
      <c r="C1163" s="2" t="s">
        <v>2014</v>
      </c>
      <c r="D1163" t="s">
        <v>2019</v>
      </c>
      <c r="E1163">
        <v>0</v>
      </c>
      <c r="F1163">
        <f>Cleaned[[#This Row],[Debit]] * Cleaned[[#This Row],[FX_rates]]</f>
        <v>0</v>
      </c>
      <c r="G1163">
        <v>2933.41</v>
      </c>
      <c r="H1163">
        <f>Cleaned[[#This Row],[Credit]] *  Cleaned[[#This Row],[FX_rates]]</f>
        <v>302141.23</v>
      </c>
      <c r="I1163" t="s">
        <v>2020</v>
      </c>
      <c r="J1163" t="s">
        <v>2026</v>
      </c>
      <c r="K1163" t="s">
        <v>3192</v>
      </c>
      <c r="L1163" t="s">
        <v>4031</v>
      </c>
      <c r="M1163">
        <f>Cleaned[[#This Row],[Credit]]-Cleaned[[#This Row],[Debit]]</f>
        <v>2933.41</v>
      </c>
      <c r="N1163" t="str">
        <f>_xlfn.XLOOKUP(Cleaned[[#This Row],[AccountName]], Account_Mapping!A:A, Account_Mapping!B:B,"Unmapped")</f>
        <v>Revenue</v>
      </c>
      <c r="O1163" cm="1">
        <f t="array" ref="O1163">_xlfn.XLOOKUP(
  1,
  (FX_Rates[Currency]=Cleaned[[#This Row],[Currency]])*
  (FX_Rates[RateDate]&lt;=Cleaned[[#This Row],[TxnDate]]),
  FX_Rates[Rate_To_INR],
  ,
  -1
)</f>
        <v>103</v>
      </c>
      <c r="P1163" s="2">
        <f>Cleaned[[#This Row],[Net Amount]] *  Cleaned[[#This Row],[FX_rates]]</f>
        <v>302141.23</v>
      </c>
    </row>
    <row r="1164" spans="1:16" x14ac:dyDescent="0.45">
      <c r="A1164" t="s">
        <v>1172</v>
      </c>
      <c r="B1164" s="1">
        <v>45093</v>
      </c>
      <c r="C1164" s="2" t="s">
        <v>2014</v>
      </c>
      <c r="D1164" t="s">
        <v>2019</v>
      </c>
      <c r="E1164">
        <v>0</v>
      </c>
      <c r="F1164">
        <f>Cleaned[[#This Row],[Debit]] * Cleaned[[#This Row],[FX_rates]]</f>
        <v>0</v>
      </c>
      <c r="G1164">
        <v>2103.91</v>
      </c>
      <c r="H1164">
        <f>Cleaned[[#This Row],[Credit]] *  Cleaned[[#This Row],[FX_rates]]</f>
        <v>128338.51</v>
      </c>
      <c r="I1164" t="s">
        <v>2020</v>
      </c>
      <c r="J1164" t="s">
        <v>2028</v>
      </c>
      <c r="K1164" t="s">
        <v>3193</v>
      </c>
      <c r="L1164" t="s">
        <v>4035</v>
      </c>
      <c r="M1164">
        <f>Cleaned[[#This Row],[Credit]]-Cleaned[[#This Row],[Debit]]</f>
        <v>2103.91</v>
      </c>
      <c r="N1164" t="str">
        <f>_xlfn.XLOOKUP(Cleaned[[#This Row],[AccountName]], Account_Mapping!A:A, Account_Mapping!B:B,"Unmapped")</f>
        <v>Revenue</v>
      </c>
      <c r="O1164" cm="1">
        <f t="array" ref="O1164">_xlfn.XLOOKUP(
  1,
  (FX_Rates[Currency]=Cleaned[[#This Row],[Currency]])*
  (FX_Rates[RateDate]&lt;=Cleaned[[#This Row],[TxnDate]]),
  FX_Rates[Rate_To_INR],
  ,
  -1
)</f>
        <v>61</v>
      </c>
      <c r="P1164" s="2">
        <f>Cleaned[[#This Row],[Net Amount]] *  Cleaned[[#This Row],[FX_rates]]</f>
        <v>128338.51</v>
      </c>
    </row>
    <row r="1165" spans="1:16" x14ac:dyDescent="0.45">
      <c r="A1165" t="s">
        <v>1173</v>
      </c>
      <c r="B1165" s="1">
        <v>45121</v>
      </c>
      <c r="C1165" s="2" t="s">
        <v>2012</v>
      </c>
      <c r="D1165" t="s">
        <v>2017</v>
      </c>
      <c r="E1165">
        <v>626.96</v>
      </c>
      <c r="F1165">
        <f>Cleaned[[#This Row],[Debit]] * Cleaned[[#This Row],[FX_rates]]</f>
        <v>64576.880000000005</v>
      </c>
      <c r="G1165">
        <v>0</v>
      </c>
      <c r="H1165">
        <f>Cleaned[[#This Row],[Credit]] *  Cleaned[[#This Row],[FX_rates]]</f>
        <v>0</v>
      </c>
      <c r="I1165" t="s">
        <v>2025</v>
      </c>
      <c r="J1165" t="s">
        <v>2030</v>
      </c>
      <c r="K1165" t="s">
        <v>3194</v>
      </c>
      <c r="L1165" t="s">
        <v>4031</v>
      </c>
      <c r="M1165">
        <f>Cleaned[[#This Row],[Credit]]-Cleaned[[#This Row],[Debit]]</f>
        <v>-626.96</v>
      </c>
      <c r="N1165" t="str">
        <f>_xlfn.XLOOKUP(Cleaned[[#This Row],[AccountName]], Account_Mapping!A:A, Account_Mapping!B:B,"Unmapped")</f>
        <v>Operating Expense</v>
      </c>
      <c r="O1165" cm="1">
        <f t="array" ref="O1165">_xlfn.XLOOKUP(
  1,
  (FX_Rates[Currency]=Cleaned[[#This Row],[Currency]])*
  (FX_Rates[RateDate]&lt;=Cleaned[[#This Row],[TxnDate]]),
  FX_Rates[Rate_To_INR],
  ,
  -1
)</f>
        <v>103</v>
      </c>
      <c r="P1165" s="2">
        <f>Cleaned[[#This Row],[Net Amount]] *  Cleaned[[#This Row],[FX_rates]]</f>
        <v>-64576.880000000005</v>
      </c>
    </row>
    <row r="1166" spans="1:16" x14ac:dyDescent="0.45">
      <c r="A1166" t="s">
        <v>1174</v>
      </c>
      <c r="B1166" s="1">
        <v>45480</v>
      </c>
      <c r="C1166" s="2" t="s">
        <v>2010</v>
      </c>
      <c r="D1166" t="s">
        <v>2015</v>
      </c>
      <c r="E1166">
        <v>0</v>
      </c>
      <c r="F1166">
        <f>Cleaned[[#This Row],[Debit]] * Cleaned[[#This Row],[FX_rates]]</f>
        <v>0</v>
      </c>
      <c r="G1166">
        <v>3001.97</v>
      </c>
      <c r="H1166">
        <f>Cleaned[[#This Row],[Credit]] *  Cleaned[[#This Row],[FX_rates]]</f>
        <v>246161.53999999998</v>
      </c>
      <c r="I1166" t="s">
        <v>2022</v>
      </c>
      <c r="J1166" t="s">
        <v>2029</v>
      </c>
      <c r="K1166" t="s">
        <v>3195</v>
      </c>
      <c r="L1166" t="s">
        <v>4034</v>
      </c>
      <c r="M1166">
        <f>Cleaned[[#This Row],[Credit]]-Cleaned[[#This Row],[Debit]]</f>
        <v>3001.97</v>
      </c>
      <c r="N1166" t="str">
        <f>_xlfn.XLOOKUP(Cleaned[[#This Row],[AccountName]], Account_Mapping!A:A, Account_Mapping!B:B,"Unmapped")</f>
        <v>Revenue</v>
      </c>
      <c r="O1166" cm="1">
        <f t="array" ref="O1166">_xlfn.XLOOKUP(
  1,
  (FX_Rates[Currency]=Cleaned[[#This Row],[Currency]])*
  (FX_Rates[RateDate]&lt;=Cleaned[[#This Row],[TxnDate]]),
  FX_Rates[Rate_To_INR],
  ,
  -1
)</f>
        <v>82</v>
      </c>
      <c r="P1166" s="2">
        <f>Cleaned[[#This Row],[Net Amount]] *  Cleaned[[#This Row],[FX_rates]]</f>
        <v>246161.53999999998</v>
      </c>
    </row>
    <row r="1167" spans="1:16" x14ac:dyDescent="0.45">
      <c r="A1167" t="s">
        <v>1175</v>
      </c>
      <c r="B1167" s="1">
        <v>45668</v>
      </c>
      <c r="C1167" s="2" t="s">
        <v>2011</v>
      </c>
      <c r="D1167" t="s">
        <v>2016</v>
      </c>
      <c r="E1167">
        <v>1130.18</v>
      </c>
      <c r="F1167">
        <f>Cleaned[[#This Row],[Debit]] * Cleaned[[#This Row],[FX_rates]]</f>
        <v>116408.54000000001</v>
      </c>
      <c r="G1167">
        <v>0</v>
      </c>
      <c r="H1167">
        <f>Cleaned[[#This Row],[Credit]] *  Cleaned[[#This Row],[FX_rates]]</f>
        <v>0</v>
      </c>
      <c r="I1167" t="s">
        <v>2025</v>
      </c>
      <c r="J1167" t="s">
        <v>2029</v>
      </c>
      <c r="K1167" t="s">
        <v>3196</v>
      </c>
      <c r="L1167" t="s">
        <v>4031</v>
      </c>
      <c r="M1167">
        <f>Cleaned[[#This Row],[Credit]]-Cleaned[[#This Row],[Debit]]</f>
        <v>-1130.18</v>
      </c>
      <c r="N1167" t="str">
        <f>_xlfn.XLOOKUP(Cleaned[[#This Row],[AccountName]], Account_Mapping!A:A, Account_Mapping!B:B,"Unmapped")</f>
        <v>COGS</v>
      </c>
      <c r="O1167" cm="1">
        <f t="array" ref="O1167">_xlfn.XLOOKUP(
  1,
  (FX_Rates[Currency]=Cleaned[[#This Row],[Currency]])*
  (FX_Rates[RateDate]&lt;=Cleaned[[#This Row],[TxnDate]]),
  FX_Rates[Rate_To_INR],
  ,
  -1
)</f>
        <v>103</v>
      </c>
      <c r="P1167" s="2">
        <f>Cleaned[[#This Row],[Net Amount]] *  Cleaned[[#This Row],[FX_rates]]</f>
        <v>-116408.54000000001</v>
      </c>
    </row>
    <row r="1168" spans="1:16" x14ac:dyDescent="0.45">
      <c r="A1168" t="s">
        <v>1176</v>
      </c>
      <c r="B1168" s="1">
        <v>45261</v>
      </c>
      <c r="C1168" s="2" t="s">
        <v>2013</v>
      </c>
      <c r="D1168" t="s">
        <v>2018</v>
      </c>
      <c r="E1168">
        <v>1772.72</v>
      </c>
      <c r="F1168">
        <f>Cleaned[[#This Row],[Debit]] * Cleaned[[#This Row],[FX_rates]]</f>
        <v>108135.92</v>
      </c>
      <c r="G1168">
        <v>0</v>
      </c>
      <c r="H1168">
        <f>Cleaned[[#This Row],[Credit]] *  Cleaned[[#This Row],[FX_rates]]</f>
        <v>0</v>
      </c>
      <c r="I1168" t="s">
        <v>2023</v>
      </c>
      <c r="J1168" t="s">
        <v>2026</v>
      </c>
      <c r="K1168" t="s">
        <v>3197</v>
      </c>
      <c r="L1168" t="s">
        <v>4035</v>
      </c>
      <c r="M1168">
        <f>Cleaned[[#This Row],[Credit]]-Cleaned[[#This Row],[Debit]]</f>
        <v>-1772.72</v>
      </c>
      <c r="N1168" t="str">
        <f>_xlfn.XLOOKUP(Cleaned[[#This Row],[AccountName]], Account_Mapping!A:A, Account_Mapping!B:B,"Unmapped")</f>
        <v>Operating Expense</v>
      </c>
      <c r="O1168" cm="1">
        <f t="array" ref="O1168">_xlfn.XLOOKUP(
  1,
  (FX_Rates[Currency]=Cleaned[[#This Row],[Currency]])*
  (FX_Rates[RateDate]&lt;=Cleaned[[#This Row],[TxnDate]]),
  FX_Rates[Rate_To_INR],
  ,
  -1
)</f>
        <v>61</v>
      </c>
      <c r="P1168" s="2">
        <f>Cleaned[[#This Row],[Net Amount]] *  Cleaned[[#This Row],[FX_rates]]</f>
        <v>-108135.92</v>
      </c>
    </row>
    <row r="1169" spans="1:16" x14ac:dyDescent="0.45">
      <c r="A1169" t="s">
        <v>1177</v>
      </c>
      <c r="B1169" s="1">
        <v>45332</v>
      </c>
      <c r="C1169" s="2" t="s">
        <v>2013</v>
      </c>
      <c r="D1169" t="s">
        <v>2018</v>
      </c>
      <c r="E1169">
        <v>152.83000000000001</v>
      </c>
      <c r="F1169">
        <f>Cleaned[[#This Row],[Debit]] * Cleaned[[#This Row],[FX_rates]]</f>
        <v>9322.630000000001</v>
      </c>
      <c r="G1169">
        <v>0</v>
      </c>
      <c r="H1169">
        <f>Cleaned[[#This Row],[Credit]] *  Cleaned[[#This Row],[FX_rates]]</f>
        <v>0</v>
      </c>
      <c r="I1169" t="s">
        <v>2020</v>
      </c>
      <c r="J1169" t="s">
        <v>2029</v>
      </c>
      <c r="K1169" t="s">
        <v>3198</v>
      </c>
      <c r="L1169" t="s">
        <v>4035</v>
      </c>
      <c r="M1169">
        <f>Cleaned[[#This Row],[Credit]]-Cleaned[[#This Row],[Debit]]</f>
        <v>-152.83000000000001</v>
      </c>
      <c r="N1169" t="str">
        <f>_xlfn.XLOOKUP(Cleaned[[#This Row],[AccountName]], Account_Mapping!A:A, Account_Mapping!B:B,"Unmapped")</f>
        <v>Operating Expense</v>
      </c>
      <c r="O1169" cm="1">
        <f t="array" ref="O1169">_xlfn.XLOOKUP(
  1,
  (FX_Rates[Currency]=Cleaned[[#This Row],[Currency]])*
  (FX_Rates[RateDate]&lt;=Cleaned[[#This Row],[TxnDate]]),
  FX_Rates[Rate_To_INR],
  ,
  -1
)</f>
        <v>61</v>
      </c>
      <c r="P1169" s="2">
        <f>Cleaned[[#This Row],[Net Amount]] *  Cleaned[[#This Row],[FX_rates]]</f>
        <v>-9322.630000000001</v>
      </c>
    </row>
    <row r="1170" spans="1:16" x14ac:dyDescent="0.45">
      <c r="A1170" t="s">
        <v>1178</v>
      </c>
      <c r="B1170" s="1">
        <v>44928</v>
      </c>
      <c r="C1170" s="2" t="s">
        <v>2011</v>
      </c>
      <c r="D1170" t="s">
        <v>2016</v>
      </c>
      <c r="E1170">
        <v>954.94</v>
      </c>
      <c r="F1170">
        <f>Cleaned[[#This Row],[Debit]] * Cleaned[[#This Row],[FX_rates]]</f>
        <v>84034.72</v>
      </c>
      <c r="G1170">
        <v>0</v>
      </c>
      <c r="H1170">
        <f>Cleaned[[#This Row],[Credit]] *  Cleaned[[#This Row],[FX_rates]]</f>
        <v>0</v>
      </c>
      <c r="I1170" t="s">
        <v>2021</v>
      </c>
      <c r="J1170" t="s">
        <v>2029</v>
      </c>
      <c r="K1170" t="s">
        <v>3199</v>
      </c>
      <c r="L1170" t="s">
        <v>4032</v>
      </c>
      <c r="M1170">
        <f>Cleaned[[#This Row],[Credit]]-Cleaned[[#This Row],[Debit]]</f>
        <v>-954.94</v>
      </c>
      <c r="N1170" t="str">
        <f>_xlfn.XLOOKUP(Cleaned[[#This Row],[AccountName]], Account_Mapping!A:A, Account_Mapping!B:B,"Unmapped")</f>
        <v>COGS</v>
      </c>
      <c r="O1170" cm="1">
        <f t="array" ref="O1170">_xlfn.XLOOKUP(
  1,
  (FX_Rates[Currency]=Cleaned[[#This Row],[Currency]])*
  (FX_Rates[RateDate]&lt;=Cleaned[[#This Row],[TxnDate]]),
  FX_Rates[Rate_To_INR],
  ,
  -1
)</f>
        <v>88</v>
      </c>
      <c r="P1170" s="2">
        <f>Cleaned[[#This Row],[Net Amount]] *  Cleaned[[#This Row],[FX_rates]]</f>
        <v>-84034.72</v>
      </c>
    </row>
    <row r="1171" spans="1:16" x14ac:dyDescent="0.45">
      <c r="A1171" t="s">
        <v>1179</v>
      </c>
      <c r="B1171" s="1">
        <v>45826</v>
      </c>
      <c r="C1171" s="2" t="s">
        <v>2014</v>
      </c>
      <c r="D1171" t="s">
        <v>2019</v>
      </c>
      <c r="E1171">
        <v>0</v>
      </c>
      <c r="F1171">
        <f>Cleaned[[#This Row],[Debit]] * Cleaned[[#This Row],[FX_rates]]</f>
        <v>0</v>
      </c>
      <c r="G1171">
        <v>4418.1899999999996</v>
      </c>
      <c r="H1171">
        <f>Cleaned[[#This Row],[Credit]] *  Cleaned[[#This Row],[FX_rates]]</f>
        <v>269509.58999999997</v>
      </c>
      <c r="I1171" t="s">
        <v>2022</v>
      </c>
      <c r="J1171" t="s">
        <v>2028</v>
      </c>
      <c r="K1171" t="s">
        <v>3200</v>
      </c>
      <c r="L1171" t="s">
        <v>4035</v>
      </c>
      <c r="M1171">
        <f>Cleaned[[#This Row],[Credit]]-Cleaned[[#This Row],[Debit]]</f>
        <v>4418.1899999999996</v>
      </c>
      <c r="N1171" t="str">
        <f>_xlfn.XLOOKUP(Cleaned[[#This Row],[AccountName]], Account_Mapping!A:A, Account_Mapping!B:B,"Unmapped")</f>
        <v>Revenue</v>
      </c>
      <c r="O1171" cm="1">
        <f t="array" ref="O1171">_xlfn.XLOOKUP(
  1,
  (FX_Rates[Currency]=Cleaned[[#This Row],[Currency]])*
  (FX_Rates[RateDate]&lt;=Cleaned[[#This Row],[TxnDate]]),
  FX_Rates[Rate_To_INR],
  ,
  -1
)</f>
        <v>61</v>
      </c>
      <c r="P1171" s="2">
        <f>Cleaned[[#This Row],[Net Amount]] *  Cleaned[[#This Row],[FX_rates]]</f>
        <v>269509.58999999997</v>
      </c>
    </row>
    <row r="1172" spans="1:16" x14ac:dyDescent="0.45">
      <c r="A1172" t="s">
        <v>1180</v>
      </c>
      <c r="B1172" s="1">
        <v>45363</v>
      </c>
      <c r="C1172" s="2" t="s">
        <v>2013</v>
      </c>
      <c r="D1172" t="s">
        <v>2018</v>
      </c>
      <c r="E1172">
        <v>1814.27</v>
      </c>
      <c r="F1172">
        <f>Cleaned[[#This Row],[Debit]] * Cleaned[[#This Row],[FX_rates]]</f>
        <v>148770.13999999998</v>
      </c>
      <c r="G1172">
        <v>0</v>
      </c>
      <c r="H1172">
        <f>Cleaned[[#This Row],[Credit]] *  Cleaned[[#This Row],[FX_rates]]</f>
        <v>0</v>
      </c>
      <c r="I1172" t="s">
        <v>2020</v>
      </c>
      <c r="J1172" t="s">
        <v>2030</v>
      </c>
      <c r="K1172" t="s">
        <v>3201</v>
      </c>
      <c r="L1172" t="s">
        <v>4034</v>
      </c>
      <c r="M1172">
        <f>Cleaned[[#This Row],[Credit]]-Cleaned[[#This Row],[Debit]]</f>
        <v>-1814.27</v>
      </c>
      <c r="N1172" t="str">
        <f>_xlfn.XLOOKUP(Cleaned[[#This Row],[AccountName]], Account_Mapping!A:A, Account_Mapping!B:B,"Unmapped")</f>
        <v>Operating Expense</v>
      </c>
      <c r="O1172" cm="1">
        <f t="array" ref="O1172">_xlfn.XLOOKUP(
  1,
  (FX_Rates[Currency]=Cleaned[[#This Row],[Currency]])*
  (FX_Rates[RateDate]&lt;=Cleaned[[#This Row],[TxnDate]]),
  FX_Rates[Rate_To_INR],
  ,
  -1
)</f>
        <v>82</v>
      </c>
      <c r="P1172" s="2">
        <f>Cleaned[[#This Row],[Net Amount]] *  Cleaned[[#This Row],[FX_rates]]</f>
        <v>-148770.13999999998</v>
      </c>
    </row>
    <row r="1173" spans="1:16" x14ac:dyDescent="0.45">
      <c r="A1173" t="s">
        <v>1181</v>
      </c>
      <c r="B1173" s="1">
        <v>45408</v>
      </c>
      <c r="C1173" s="2" t="s">
        <v>2010</v>
      </c>
      <c r="D1173" t="s">
        <v>2015</v>
      </c>
      <c r="E1173">
        <v>0</v>
      </c>
      <c r="F1173">
        <f>Cleaned[[#This Row],[Debit]] * Cleaned[[#This Row],[FX_rates]]</f>
        <v>0</v>
      </c>
      <c r="G1173">
        <v>815.4</v>
      </c>
      <c r="H1173">
        <f>Cleaned[[#This Row],[Credit]] *  Cleaned[[#This Row],[FX_rates]]</f>
        <v>71755.199999999997</v>
      </c>
      <c r="I1173" t="s">
        <v>2025</v>
      </c>
      <c r="J1173" t="s">
        <v>2030</v>
      </c>
      <c r="K1173" t="s">
        <v>3202</v>
      </c>
      <c r="L1173" t="s">
        <v>4032</v>
      </c>
      <c r="M1173">
        <f>Cleaned[[#This Row],[Credit]]-Cleaned[[#This Row],[Debit]]</f>
        <v>815.4</v>
      </c>
      <c r="N1173" t="str">
        <f>_xlfn.XLOOKUP(Cleaned[[#This Row],[AccountName]], Account_Mapping!A:A, Account_Mapping!B:B,"Unmapped")</f>
        <v>Revenue</v>
      </c>
      <c r="O1173" cm="1">
        <f t="array" ref="O1173">_xlfn.XLOOKUP(
  1,
  (FX_Rates[Currency]=Cleaned[[#This Row],[Currency]])*
  (FX_Rates[RateDate]&lt;=Cleaned[[#This Row],[TxnDate]]),
  FX_Rates[Rate_To_INR],
  ,
  -1
)</f>
        <v>88</v>
      </c>
      <c r="P1173" s="2">
        <f>Cleaned[[#This Row],[Net Amount]] *  Cleaned[[#This Row],[FX_rates]]</f>
        <v>71755.199999999997</v>
      </c>
    </row>
    <row r="1174" spans="1:16" x14ac:dyDescent="0.45">
      <c r="A1174" t="s">
        <v>1182</v>
      </c>
      <c r="B1174" s="1">
        <v>45513</v>
      </c>
      <c r="C1174" s="2" t="s">
        <v>2011</v>
      </c>
      <c r="D1174" t="s">
        <v>2016</v>
      </c>
      <c r="E1174">
        <v>290.05</v>
      </c>
      <c r="F1174">
        <f>Cleaned[[#This Row],[Debit]] * Cleaned[[#This Row],[FX_rates]]</f>
        <v>17693.05</v>
      </c>
      <c r="G1174">
        <v>0</v>
      </c>
      <c r="H1174">
        <f>Cleaned[[#This Row],[Credit]] *  Cleaned[[#This Row],[FX_rates]]</f>
        <v>0</v>
      </c>
      <c r="I1174" t="s">
        <v>2023</v>
      </c>
      <c r="J1174" t="s">
        <v>2028</v>
      </c>
      <c r="K1174" t="s">
        <v>3203</v>
      </c>
      <c r="L1174" t="s">
        <v>4035</v>
      </c>
      <c r="M1174">
        <f>Cleaned[[#This Row],[Credit]]-Cleaned[[#This Row],[Debit]]</f>
        <v>-290.05</v>
      </c>
      <c r="N1174" t="str">
        <f>_xlfn.XLOOKUP(Cleaned[[#This Row],[AccountName]], Account_Mapping!A:A, Account_Mapping!B:B,"Unmapped")</f>
        <v>COGS</v>
      </c>
      <c r="O1174" cm="1">
        <f t="array" ref="O1174">_xlfn.XLOOKUP(
  1,
  (FX_Rates[Currency]=Cleaned[[#This Row],[Currency]])*
  (FX_Rates[RateDate]&lt;=Cleaned[[#This Row],[TxnDate]]),
  FX_Rates[Rate_To_INR],
  ,
  -1
)</f>
        <v>61</v>
      </c>
      <c r="P1174" s="2">
        <f>Cleaned[[#This Row],[Net Amount]] *  Cleaned[[#This Row],[FX_rates]]</f>
        <v>-17693.05</v>
      </c>
    </row>
    <row r="1175" spans="1:16" x14ac:dyDescent="0.45">
      <c r="A1175" t="s">
        <v>1183</v>
      </c>
      <c r="B1175" s="1">
        <v>45781</v>
      </c>
      <c r="C1175" s="2" t="s">
        <v>2012</v>
      </c>
      <c r="D1175" t="s">
        <v>2017</v>
      </c>
      <c r="E1175">
        <v>1726.68</v>
      </c>
      <c r="F1175">
        <f>Cleaned[[#This Row],[Debit]] * Cleaned[[#This Row],[FX_rates]]</f>
        <v>96694.080000000002</v>
      </c>
      <c r="G1175">
        <v>0</v>
      </c>
      <c r="H1175">
        <f>Cleaned[[#This Row],[Credit]] *  Cleaned[[#This Row],[FX_rates]]</f>
        <v>0</v>
      </c>
      <c r="I1175" t="s">
        <v>2024</v>
      </c>
      <c r="J1175" t="s">
        <v>2027</v>
      </c>
      <c r="K1175" t="s">
        <v>3204</v>
      </c>
      <c r="L1175" t="s">
        <v>4033</v>
      </c>
      <c r="M1175">
        <f>Cleaned[[#This Row],[Credit]]-Cleaned[[#This Row],[Debit]]</f>
        <v>-1726.68</v>
      </c>
      <c r="N1175" t="str">
        <f>_xlfn.XLOOKUP(Cleaned[[#This Row],[AccountName]], Account_Mapping!A:A, Account_Mapping!B:B,"Unmapped")</f>
        <v>Operating Expense</v>
      </c>
      <c r="O1175" cm="1">
        <f t="array" ref="O1175">_xlfn.XLOOKUP(
  1,
  (FX_Rates[Currency]=Cleaned[[#This Row],[Currency]])*
  (FX_Rates[RateDate]&lt;=Cleaned[[#This Row],[TxnDate]]),
  FX_Rates[Rate_To_INR],
  ,
  -1
)</f>
        <v>56</v>
      </c>
      <c r="P1175" s="2">
        <f>Cleaned[[#This Row],[Net Amount]] *  Cleaned[[#This Row],[FX_rates]]</f>
        <v>-96694.080000000002</v>
      </c>
    </row>
    <row r="1176" spans="1:16" x14ac:dyDescent="0.45">
      <c r="A1176" t="s">
        <v>1184</v>
      </c>
      <c r="B1176" s="1">
        <v>45772</v>
      </c>
      <c r="C1176" s="2" t="s">
        <v>2014</v>
      </c>
      <c r="D1176" t="s">
        <v>2019</v>
      </c>
      <c r="E1176">
        <v>0</v>
      </c>
      <c r="F1176">
        <f>Cleaned[[#This Row],[Debit]] * Cleaned[[#This Row],[FX_rates]]</f>
        <v>0</v>
      </c>
      <c r="G1176">
        <v>2724.33</v>
      </c>
      <c r="H1176">
        <f>Cleaned[[#This Row],[Credit]] *  Cleaned[[#This Row],[FX_rates]]</f>
        <v>280605.99</v>
      </c>
      <c r="I1176" t="s">
        <v>2024</v>
      </c>
      <c r="J1176" t="s">
        <v>2026</v>
      </c>
      <c r="K1176" t="s">
        <v>3205</v>
      </c>
      <c r="L1176" t="s">
        <v>4031</v>
      </c>
      <c r="M1176">
        <f>Cleaned[[#This Row],[Credit]]-Cleaned[[#This Row],[Debit]]</f>
        <v>2724.33</v>
      </c>
      <c r="N1176" t="str">
        <f>_xlfn.XLOOKUP(Cleaned[[#This Row],[AccountName]], Account_Mapping!A:A, Account_Mapping!B:B,"Unmapped")</f>
        <v>Revenue</v>
      </c>
      <c r="O1176" cm="1">
        <f t="array" ref="O1176">_xlfn.XLOOKUP(
  1,
  (FX_Rates[Currency]=Cleaned[[#This Row],[Currency]])*
  (FX_Rates[RateDate]&lt;=Cleaned[[#This Row],[TxnDate]]),
  FX_Rates[Rate_To_INR],
  ,
  -1
)</f>
        <v>103</v>
      </c>
      <c r="P1176" s="2">
        <f>Cleaned[[#This Row],[Net Amount]] *  Cleaned[[#This Row],[FX_rates]]</f>
        <v>280605.99</v>
      </c>
    </row>
    <row r="1177" spans="1:16" x14ac:dyDescent="0.45">
      <c r="A1177" t="s">
        <v>1185</v>
      </c>
      <c r="B1177" s="1">
        <v>45018</v>
      </c>
      <c r="C1177" s="2" t="s">
        <v>2014</v>
      </c>
      <c r="D1177" t="s">
        <v>2019</v>
      </c>
      <c r="E1177">
        <v>0</v>
      </c>
      <c r="F1177">
        <f>Cleaned[[#This Row],[Debit]] * Cleaned[[#This Row],[FX_rates]]</f>
        <v>0</v>
      </c>
      <c r="G1177">
        <v>517.76</v>
      </c>
      <c r="H1177">
        <f>Cleaned[[#This Row],[Credit]] *  Cleaned[[#This Row],[FX_rates]]</f>
        <v>31583.360000000001</v>
      </c>
      <c r="I1177" t="s">
        <v>2023</v>
      </c>
      <c r="J1177" t="s">
        <v>2030</v>
      </c>
      <c r="K1177" t="s">
        <v>3206</v>
      </c>
      <c r="L1177" t="s">
        <v>4035</v>
      </c>
      <c r="M1177">
        <f>Cleaned[[#This Row],[Credit]]-Cleaned[[#This Row],[Debit]]</f>
        <v>517.76</v>
      </c>
      <c r="N1177" t="str">
        <f>_xlfn.XLOOKUP(Cleaned[[#This Row],[AccountName]], Account_Mapping!A:A, Account_Mapping!B:B,"Unmapped")</f>
        <v>Revenue</v>
      </c>
      <c r="O1177" cm="1">
        <f t="array" ref="O1177">_xlfn.XLOOKUP(
  1,
  (FX_Rates[Currency]=Cleaned[[#This Row],[Currency]])*
  (FX_Rates[RateDate]&lt;=Cleaned[[#This Row],[TxnDate]]),
  FX_Rates[Rate_To_INR],
  ,
  -1
)</f>
        <v>61</v>
      </c>
      <c r="P1177" s="2">
        <f>Cleaned[[#This Row],[Net Amount]] *  Cleaned[[#This Row],[FX_rates]]</f>
        <v>31583.360000000001</v>
      </c>
    </row>
    <row r="1178" spans="1:16" x14ac:dyDescent="0.45">
      <c r="A1178" t="s">
        <v>1186</v>
      </c>
      <c r="B1178" s="1">
        <v>45155</v>
      </c>
      <c r="C1178" s="2" t="s">
        <v>2013</v>
      </c>
      <c r="D1178" t="s">
        <v>2018</v>
      </c>
      <c r="E1178">
        <v>1718.84</v>
      </c>
      <c r="F1178">
        <f>Cleaned[[#This Row],[Debit]] * Cleaned[[#This Row],[FX_rates]]</f>
        <v>96255.039999999994</v>
      </c>
      <c r="G1178">
        <v>0</v>
      </c>
      <c r="H1178">
        <f>Cleaned[[#This Row],[Credit]] *  Cleaned[[#This Row],[FX_rates]]</f>
        <v>0</v>
      </c>
      <c r="I1178" t="s">
        <v>2022</v>
      </c>
      <c r="J1178" t="s">
        <v>2029</v>
      </c>
      <c r="K1178" t="s">
        <v>3207</v>
      </c>
      <c r="L1178" t="s">
        <v>4033</v>
      </c>
      <c r="M1178">
        <f>Cleaned[[#This Row],[Credit]]-Cleaned[[#This Row],[Debit]]</f>
        <v>-1718.84</v>
      </c>
      <c r="N1178" t="str">
        <f>_xlfn.XLOOKUP(Cleaned[[#This Row],[AccountName]], Account_Mapping!A:A, Account_Mapping!B:B,"Unmapped")</f>
        <v>Operating Expense</v>
      </c>
      <c r="O1178" cm="1">
        <f t="array" ref="O1178">_xlfn.XLOOKUP(
  1,
  (FX_Rates[Currency]=Cleaned[[#This Row],[Currency]])*
  (FX_Rates[RateDate]&lt;=Cleaned[[#This Row],[TxnDate]]),
  FX_Rates[Rate_To_INR],
  ,
  -1
)</f>
        <v>56</v>
      </c>
      <c r="P1178" s="2">
        <f>Cleaned[[#This Row],[Net Amount]] *  Cleaned[[#This Row],[FX_rates]]</f>
        <v>-96255.039999999994</v>
      </c>
    </row>
    <row r="1179" spans="1:16" x14ac:dyDescent="0.45">
      <c r="A1179" t="s">
        <v>1187</v>
      </c>
      <c r="B1179" s="1">
        <v>45447</v>
      </c>
      <c r="C1179" s="2" t="s">
        <v>2010</v>
      </c>
      <c r="D1179" t="s">
        <v>2015</v>
      </c>
      <c r="E1179">
        <v>0</v>
      </c>
      <c r="F1179">
        <f>Cleaned[[#This Row],[Debit]] * Cleaned[[#This Row],[FX_rates]]</f>
        <v>0</v>
      </c>
      <c r="G1179">
        <v>3902.53</v>
      </c>
      <c r="H1179">
        <f>Cleaned[[#This Row],[Credit]] *  Cleaned[[#This Row],[FX_rates]]</f>
        <v>320007.46000000002</v>
      </c>
      <c r="I1179" t="s">
        <v>2022</v>
      </c>
      <c r="J1179" t="s">
        <v>2026</v>
      </c>
      <c r="K1179" t="s">
        <v>3208</v>
      </c>
      <c r="L1179" t="s">
        <v>4034</v>
      </c>
      <c r="M1179">
        <f>Cleaned[[#This Row],[Credit]]-Cleaned[[#This Row],[Debit]]</f>
        <v>3902.53</v>
      </c>
      <c r="N1179" t="str">
        <f>_xlfn.XLOOKUP(Cleaned[[#This Row],[AccountName]], Account_Mapping!A:A, Account_Mapping!B:B,"Unmapped")</f>
        <v>Revenue</v>
      </c>
      <c r="O1179" cm="1">
        <f t="array" ref="O1179">_xlfn.XLOOKUP(
  1,
  (FX_Rates[Currency]=Cleaned[[#This Row],[Currency]])*
  (FX_Rates[RateDate]&lt;=Cleaned[[#This Row],[TxnDate]]),
  FX_Rates[Rate_To_INR],
  ,
  -1
)</f>
        <v>82</v>
      </c>
      <c r="P1179" s="2">
        <f>Cleaned[[#This Row],[Net Amount]] *  Cleaned[[#This Row],[FX_rates]]</f>
        <v>320007.46000000002</v>
      </c>
    </row>
    <row r="1180" spans="1:16" x14ac:dyDescent="0.45">
      <c r="A1180" t="s">
        <v>1188</v>
      </c>
      <c r="B1180" s="1">
        <v>45244</v>
      </c>
      <c r="C1180" s="2" t="s">
        <v>2011</v>
      </c>
      <c r="D1180" t="s">
        <v>2016</v>
      </c>
      <c r="E1180">
        <v>820.59</v>
      </c>
      <c r="F1180">
        <f>Cleaned[[#This Row],[Debit]] * Cleaned[[#This Row],[FX_rates]]</f>
        <v>72211.92</v>
      </c>
      <c r="G1180">
        <v>0</v>
      </c>
      <c r="H1180">
        <f>Cleaned[[#This Row],[Credit]] *  Cleaned[[#This Row],[FX_rates]]</f>
        <v>0</v>
      </c>
      <c r="I1180" t="s">
        <v>2025</v>
      </c>
      <c r="J1180" t="s">
        <v>2030</v>
      </c>
      <c r="K1180" t="s">
        <v>3209</v>
      </c>
      <c r="L1180" t="s">
        <v>4032</v>
      </c>
      <c r="M1180">
        <f>Cleaned[[#This Row],[Credit]]-Cleaned[[#This Row],[Debit]]</f>
        <v>-820.59</v>
      </c>
      <c r="N1180" t="str">
        <f>_xlfn.XLOOKUP(Cleaned[[#This Row],[AccountName]], Account_Mapping!A:A, Account_Mapping!B:B,"Unmapped")</f>
        <v>COGS</v>
      </c>
      <c r="O1180" cm="1">
        <f t="array" ref="O1180">_xlfn.XLOOKUP(
  1,
  (FX_Rates[Currency]=Cleaned[[#This Row],[Currency]])*
  (FX_Rates[RateDate]&lt;=Cleaned[[#This Row],[TxnDate]]),
  FX_Rates[Rate_To_INR],
  ,
  -1
)</f>
        <v>88</v>
      </c>
      <c r="P1180" s="2">
        <f>Cleaned[[#This Row],[Net Amount]] *  Cleaned[[#This Row],[FX_rates]]</f>
        <v>-72211.92</v>
      </c>
    </row>
    <row r="1181" spans="1:16" x14ac:dyDescent="0.45">
      <c r="A1181" t="s">
        <v>1189</v>
      </c>
      <c r="B1181" s="1">
        <v>45541</v>
      </c>
      <c r="C1181" s="2" t="s">
        <v>2012</v>
      </c>
      <c r="D1181" t="s">
        <v>2017</v>
      </c>
      <c r="E1181">
        <v>933.21</v>
      </c>
      <c r="F1181">
        <f>Cleaned[[#This Row],[Debit]] * Cleaned[[#This Row],[FX_rates]]</f>
        <v>52259.76</v>
      </c>
      <c r="G1181">
        <v>0</v>
      </c>
      <c r="H1181">
        <f>Cleaned[[#This Row],[Credit]] *  Cleaned[[#This Row],[FX_rates]]</f>
        <v>0</v>
      </c>
      <c r="I1181" t="s">
        <v>2022</v>
      </c>
      <c r="J1181" t="s">
        <v>2030</v>
      </c>
      <c r="K1181" t="s">
        <v>3210</v>
      </c>
      <c r="L1181" t="s">
        <v>4033</v>
      </c>
      <c r="M1181">
        <f>Cleaned[[#This Row],[Credit]]-Cleaned[[#This Row],[Debit]]</f>
        <v>-933.21</v>
      </c>
      <c r="N1181" t="str">
        <f>_xlfn.XLOOKUP(Cleaned[[#This Row],[AccountName]], Account_Mapping!A:A, Account_Mapping!B:B,"Unmapped")</f>
        <v>Operating Expense</v>
      </c>
      <c r="O1181" cm="1">
        <f t="array" ref="O1181">_xlfn.XLOOKUP(
  1,
  (FX_Rates[Currency]=Cleaned[[#This Row],[Currency]])*
  (FX_Rates[RateDate]&lt;=Cleaned[[#This Row],[TxnDate]]),
  FX_Rates[Rate_To_INR],
  ,
  -1
)</f>
        <v>56</v>
      </c>
      <c r="P1181" s="2">
        <f>Cleaned[[#This Row],[Net Amount]] *  Cleaned[[#This Row],[FX_rates]]</f>
        <v>-52259.76</v>
      </c>
    </row>
    <row r="1182" spans="1:16" x14ac:dyDescent="0.45">
      <c r="A1182" t="s">
        <v>1190</v>
      </c>
      <c r="B1182" s="1">
        <v>45381</v>
      </c>
      <c r="C1182" s="2" t="s">
        <v>2014</v>
      </c>
      <c r="D1182" t="s">
        <v>2019</v>
      </c>
      <c r="E1182">
        <v>0</v>
      </c>
      <c r="F1182">
        <f>Cleaned[[#This Row],[Debit]] * Cleaned[[#This Row],[FX_rates]]</f>
        <v>0</v>
      </c>
      <c r="G1182">
        <v>581.76</v>
      </c>
      <c r="H1182">
        <f>Cleaned[[#This Row],[Credit]] *  Cleaned[[#This Row],[FX_rates]]</f>
        <v>35487.360000000001</v>
      </c>
      <c r="I1182" t="s">
        <v>2022</v>
      </c>
      <c r="J1182" t="s">
        <v>2028</v>
      </c>
      <c r="K1182" t="s">
        <v>3211</v>
      </c>
      <c r="L1182" t="s">
        <v>4035</v>
      </c>
      <c r="M1182">
        <f>Cleaned[[#This Row],[Credit]]-Cleaned[[#This Row],[Debit]]</f>
        <v>581.76</v>
      </c>
      <c r="N1182" t="str">
        <f>_xlfn.XLOOKUP(Cleaned[[#This Row],[AccountName]], Account_Mapping!A:A, Account_Mapping!B:B,"Unmapped")</f>
        <v>Revenue</v>
      </c>
      <c r="O1182" cm="1">
        <f t="array" ref="O1182">_xlfn.XLOOKUP(
  1,
  (FX_Rates[Currency]=Cleaned[[#This Row],[Currency]])*
  (FX_Rates[RateDate]&lt;=Cleaned[[#This Row],[TxnDate]]),
  FX_Rates[Rate_To_INR],
  ,
  -1
)</f>
        <v>61</v>
      </c>
      <c r="P1182" s="2">
        <f>Cleaned[[#This Row],[Net Amount]] *  Cleaned[[#This Row],[FX_rates]]</f>
        <v>35487.360000000001</v>
      </c>
    </row>
    <row r="1183" spans="1:16" x14ac:dyDescent="0.45">
      <c r="A1183" t="s">
        <v>1191</v>
      </c>
      <c r="B1183" s="1">
        <v>45030</v>
      </c>
      <c r="C1183" s="2" t="s">
        <v>2010</v>
      </c>
      <c r="D1183" t="s">
        <v>2015</v>
      </c>
      <c r="E1183">
        <v>0</v>
      </c>
      <c r="F1183">
        <f>Cleaned[[#This Row],[Debit]] * Cleaned[[#This Row],[FX_rates]]</f>
        <v>0</v>
      </c>
      <c r="G1183">
        <v>2858.3</v>
      </c>
      <c r="H1183">
        <f>Cleaned[[#This Row],[Credit]] *  Cleaned[[#This Row],[FX_rates]]</f>
        <v>294404.90000000002</v>
      </c>
      <c r="I1183" t="s">
        <v>2021</v>
      </c>
      <c r="J1183" t="s">
        <v>2030</v>
      </c>
      <c r="K1183" t="s">
        <v>3212</v>
      </c>
      <c r="L1183" t="s">
        <v>4031</v>
      </c>
      <c r="M1183">
        <f>Cleaned[[#This Row],[Credit]]-Cleaned[[#This Row],[Debit]]</f>
        <v>2858.3</v>
      </c>
      <c r="N1183" t="str">
        <f>_xlfn.XLOOKUP(Cleaned[[#This Row],[AccountName]], Account_Mapping!A:A, Account_Mapping!B:B,"Unmapped")</f>
        <v>Revenue</v>
      </c>
      <c r="O1183" cm="1">
        <f t="array" ref="O1183">_xlfn.XLOOKUP(
  1,
  (FX_Rates[Currency]=Cleaned[[#This Row],[Currency]])*
  (FX_Rates[RateDate]&lt;=Cleaned[[#This Row],[TxnDate]]),
  FX_Rates[Rate_To_INR],
  ,
  -1
)</f>
        <v>103</v>
      </c>
      <c r="P1183" s="2">
        <f>Cleaned[[#This Row],[Net Amount]] *  Cleaned[[#This Row],[FX_rates]]</f>
        <v>294404.90000000002</v>
      </c>
    </row>
    <row r="1184" spans="1:16" x14ac:dyDescent="0.45">
      <c r="A1184" t="s">
        <v>1192</v>
      </c>
      <c r="B1184" s="1">
        <v>45299</v>
      </c>
      <c r="C1184" s="2" t="s">
        <v>2014</v>
      </c>
      <c r="D1184" t="s">
        <v>2019</v>
      </c>
      <c r="E1184">
        <v>0</v>
      </c>
      <c r="F1184">
        <f>Cleaned[[#This Row],[Debit]] * Cleaned[[#This Row],[FX_rates]]</f>
        <v>0</v>
      </c>
      <c r="G1184">
        <v>1469.73</v>
      </c>
      <c r="H1184">
        <f>Cleaned[[#This Row],[Credit]] *  Cleaned[[#This Row],[FX_rates]]</f>
        <v>82304.88</v>
      </c>
      <c r="I1184" t="s">
        <v>2023</v>
      </c>
      <c r="J1184" t="s">
        <v>2026</v>
      </c>
      <c r="K1184" t="s">
        <v>3213</v>
      </c>
      <c r="L1184" t="s">
        <v>4033</v>
      </c>
      <c r="M1184">
        <f>Cleaned[[#This Row],[Credit]]-Cleaned[[#This Row],[Debit]]</f>
        <v>1469.73</v>
      </c>
      <c r="N1184" t="str">
        <f>_xlfn.XLOOKUP(Cleaned[[#This Row],[AccountName]], Account_Mapping!A:A, Account_Mapping!B:B,"Unmapped")</f>
        <v>Revenue</v>
      </c>
      <c r="O1184" cm="1">
        <f t="array" ref="O1184">_xlfn.XLOOKUP(
  1,
  (FX_Rates[Currency]=Cleaned[[#This Row],[Currency]])*
  (FX_Rates[RateDate]&lt;=Cleaned[[#This Row],[TxnDate]]),
  FX_Rates[Rate_To_INR],
  ,
  -1
)</f>
        <v>56</v>
      </c>
      <c r="P1184" s="2">
        <f>Cleaned[[#This Row],[Net Amount]] *  Cleaned[[#This Row],[FX_rates]]</f>
        <v>82304.88</v>
      </c>
    </row>
    <row r="1185" spans="1:16" x14ac:dyDescent="0.45">
      <c r="A1185" t="s">
        <v>1193</v>
      </c>
      <c r="B1185" s="1">
        <v>45457</v>
      </c>
      <c r="C1185" s="2" t="s">
        <v>2010</v>
      </c>
      <c r="D1185" t="s">
        <v>2015</v>
      </c>
      <c r="E1185">
        <v>0</v>
      </c>
      <c r="F1185">
        <f>Cleaned[[#This Row],[Debit]] * Cleaned[[#This Row],[FX_rates]]</f>
        <v>0</v>
      </c>
      <c r="G1185">
        <v>4440.72</v>
      </c>
      <c r="H1185">
        <f>Cleaned[[#This Row],[Credit]] *  Cleaned[[#This Row],[FX_rates]]</f>
        <v>457394.16000000003</v>
      </c>
      <c r="I1185" t="s">
        <v>2020</v>
      </c>
      <c r="J1185" t="s">
        <v>2029</v>
      </c>
      <c r="K1185" t="s">
        <v>3214</v>
      </c>
      <c r="L1185" t="s">
        <v>4031</v>
      </c>
      <c r="M1185">
        <f>Cleaned[[#This Row],[Credit]]-Cleaned[[#This Row],[Debit]]</f>
        <v>4440.72</v>
      </c>
      <c r="N1185" t="str">
        <f>_xlfn.XLOOKUP(Cleaned[[#This Row],[AccountName]], Account_Mapping!A:A, Account_Mapping!B:B,"Unmapped")</f>
        <v>Revenue</v>
      </c>
      <c r="O1185" cm="1">
        <f t="array" ref="O1185">_xlfn.XLOOKUP(
  1,
  (FX_Rates[Currency]=Cleaned[[#This Row],[Currency]])*
  (FX_Rates[RateDate]&lt;=Cleaned[[#This Row],[TxnDate]]),
  FX_Rates[Rate_To_INR],
  ,
  -1
)</f>
        <v>103</v>
      </c>
      <c r="P1185" s="2">
        <f>Cleaned[[#This Row],[Net Amount]] *  Cleaned[[#This Row],[FX_rates]]</f>
        <v>457394.16000000003</v>
      </c>
    </row>
    <row r="1186" spans="1:16" x14ac:dyDescent="0.45">
      <c r="A1186" t="s">
        <v>1194</v>
      </c>
      <c r="B1186" s="1">
        <v>45741</v>
      </c>
      <c r="C1186" s="2" t="s">
        <v>2013</v>
      </c>
      <c r="D1186" t="s">
        <v>2018</v>
      </c>
      <c r="E1186">
        <v>1972.41</v>
      </c>
      <c r="F1186">
        <f>Cleaned[[#This Row],[Debit]] * Cleaned[[#This Row],[FX_rates]]</f>
        <v>173572.08000000002</v>
      </c>
      <c r="G1186">
        <v>0</v>
      </c>
      <c r="H1186">
        <f>Cleaned[[#This Row],[Credit]] *  Cleaned[[#This Row],[FX_rates]]</f>
        <v>0</v>
      </c>
      <c r="I1186" t="s">
        <v>2024</v>
      </c>
      <c r="J1186" t="s">
        <v>2028</v>
      </c>
      <c r="K1186" t="s">
        <v>3215</v>
      </c>
      <c r="L1186" t="s">
        <v>4032</v>
      </c>
      <c r="M1186">
        <f>Cleaned[[#This Row],[Credit]]-Cleaned[[#This Row],[Debit]]</f>
        <v>-1972.41</v>
      </c>
      <c r="N1186" t="str">
        <f>_xlfn.XLOOKUP(Cleaned[[#This Row],[AccountName]], Account_Mapping!A:A, Account_Mapping!B:B,"Unmapped")</f>
        <v>Operating Expense</v>
      </c>
      <c r="O1186" cm="1">
        <f t="array" ref="O1186">_xlfn.XLOOKUP(
  1,
  (FX_Rates[Currency]=Cleaned[[#This Row],[Currency]])*
  (FX_Rates[RateDate]&lt;=Cleaned[[#This Row],[TxnDate]]),
  FX_Rates[Rate_To_INR],
  ,
  -1
)</f>
        <v>88</v>
      </c>
      <c r="P1186" s="2">
        <f>Cleaned[[#This Row],[Net Amount]] *  Cleaned[[#This Row],[FX_rates]]</f>
        <v>-173572.08000000002</v>
      </c>
    </row>
    <row r="1187" spans="1:16" x14ac:dyDescent="0.45">
      <c r="A1187" t="s">
        <v>1195</v>
      </c>
      <c r="B1187" s="1">
        <v>45328</v>
      </c>
      <c r="C1187" s="2" t="s">
        <v>2014</v>
      </c>
      <c r="D1187" t="s">
        <v>2019</v>
      </c>
      <c r="E1187">
        <v>0</v>
      </c>
      <c r="F1187">
        <f>Cleaned[[#This Row],[Debit]] * Cleaned[[#This Row],[FX_rates]]</f>
        <v>0</v>
      </c>
      <c r="G1187">
        <v>841.52</v>
      </c>
      <c r="H1187">
        <f>Cleaned[[#This Row],[Credit]] *  Cleaned[[#This Row],[FX_rates]]</f>
        <v>74053.759999999995</v>
      </c>
      <c r="I1187" t="s">
        <v>2021</v>
      </c>
      <c r="J1187" t="s">
        <v>2030</v>
      </c>
      <c r="K1187" t="s">
        <v>3216</v>
      </c>
      <c r="L1187" t="s">
        <v>4032</v>
      </c>
      <c r="M1187">
        <f>Cleaned[[#This Row],[Credit]]-Cleaned[[#This Row],[Debit]]</f>
        <v>841.52</v>
      </c>
      <c r="N1187" t="str">
        <f>_xlfn.XLOOKUP(Cleaned[[#This Row],[AccountName]], Account_Mapping!A:A, Account_Mapping!B:B,"Unmapped")</f>
        <v>Revenue</v>
      </c>
      <c r="O1187" cm="1">
        <f t="array" ref="O1187">_xlfn.XLOOKUP(
  1,
  (FX_Rates[Currency]=Cleaned[[#This Row],[Currency]])*
  (FX_Rates[RateDate]&lt;=Cleaned[[#This Row],[TxnDate]]),
  FX_Rates[Rate_To_INR],
  ,
  -1
)</f>
        <v>88</v>
      </c>
      <c r="P1187" s="2">
        <f>Cleaned[[#This Row],[Net Amount]] *  Cleaned[[#This Row],[FX_rates]]</f>
        <v>74053.759999999995</v>
      </c>
    </row>
    <row r="1188" spans="1:16" x14ac:dyDescent="0.45">
      <c r="A1188" t="s">
        <v>1196</v>
      </c>
      <c r="B1188" s="1">
        <v>45083</v>
      </c>
      <c r="C1188" s="2" t="s">
        <v>2012</v>
      </c>
      <c r="D1188" t="s">
        <v>2017</v>
      </c>
      <c r="E1188">
        <v>316.14999999999998</v>
      </c>
      <c r="F1188">
        <f>Cleaned[[#This Row],[Debit]] * Cleaned[[#This Row],[FX_rates]]</f>
        <v>19285.149999999998</v>
      </c>
      <c r="G1188">
        <v>0</v>
      </c>
      <c r="H1188">
        <f>Cleaned[[#This Row],[Credit]] *  Cleaned[[#This Row],[FX_rates]]</f>
        <v>0</v>
      </c>
      <c r="I1188" t="s">
        <v>2023</v>
      </c>
      <c r="J1188" t="s">
        <v>2030</v>
      </c>
      <c r="K1188" t="s">
        <v>3217</v>
      </c>
      <c r="L1188" t="s">
        <v>4035</v>
      </c>
      <c r="M1188">
        <f>Cleaned[[#This Row],[Credit]]-Cleaned[[#This Row],[Debit]]</f>
        <v>-316.14999999999998</v>
      </c>
      <c r="N1188" t="str">
        <f>_xlfn.XLOOKUP(Cleaned[[#This Row],[AccountName]], Account_Mapping!A:A, Account_Mapping!B:B,"Unmapped")</f>
        <v>Operating Expense</v>
      </c>
      <c r="O1188" cm="1">
        <f t="array" ref="O1188">_xlfn.XLOOKUP(
  1,
  (FX_Rates[Currency]=Cleaned[[#This Row],[Currency]])*
  (FX_Rates[RateDate]&lt;=Cleaned[[#This Row],[TxnDate]]),
  FX_Rates[Rate_To_INR],
  ,
  -1
)</f>
        <v>61</v>
      </c>
      <c r="P1188" s="2">
        <f>Cleaned[[#This Row],[Net Amount]] *  Cleaned[[#This Row],[FX_rates]]</f>
        <v>-19285.149999999998</v>
      </c>
    </row>
    <row r="1189" spans="1:16" x14ac:dyDescent="0.45">
      <c r="A1189" t="s">
        <v>1197</v>
      </c>
      <c r="B1189" s="1">
        <v>45292</v>
      </c>
      <c r="C1189" s="2" t="s">
        <v>2013</v>
      </c>
      <c r="D1189" t="s">
        <v>2018</v>
      </c>
      <c r="E1189">
        <v>475.92</v>
      </c>
      <c r="F1189">
        <f>Cleaned[[#This Row],[Debit]] * Cleaned[[#This Row],[FX_rates]]</f>
        <v>26651.52</v>
      </c>
      <c r="G1189">
        <v>0</v>
      </c>
      <c r="H1189">
        <f>Cleaned[[#This Row],[Credit]] *  Cleaned[[#This Row],[FX_rates]]</f>
        <v>0</v>
      </c>
      <c r="I1189" t="s">
        <v>2025</v>
      </c>
      <c r="J1189" t="s">
        <v>2030</v>
      </c>
      <c r="K1189" t="s">
        <v>3218</v>
      </c>
      <c r="L1189" t="s">
        <v>4033</v>
      </c>
      <c r="M1189">
        <f>Cleaned[[#This Row],[Credit]]-Cleaned[[#This Row],[Debit]]</f>
        <v>-475.92</v>
      </c>
      <c r="N1189" t="str">
        <f>_xlfn.XLOOKUP(Cleaned[[#This Row],[AccountName]], Account_Mapping!A:A, Account_Mapping!B:B,"Unmapped")</f>
        <v>Operating Expense</v>
      </c>
      <c r="O1189" cm="1">
        <f t="array" ref="O1189">_xlfn.XLOOKUP(
  1,
  (FX_Rates[Currency]=Cleaned[[#This Row],[Currency]])*
  (FX_Rates[RateDate]&lt;=Cleaned[[#This Row],[TxnDate]]),
  FX_Rates[Rate_To_INR],
  ,
  -1
)</f>
        <v>56</v>
      </c>
      <c r="P1189" s="2">
        <f>Cleaned[[#This Row],[Net Amount]] *  Cleaned[[#This Row],[FX_rates]]</f>
        <v>-26651.52</v>
      </c>
    </row>
    <row r="1190" spans="1:16" x14ac:dyDescent="0.45">
      <c r="A1190" t="s">
        <v>1198</v>
      </c>
      <c r="B1190" s="1">
        <v>45294</v>
      </c>
      <c r="C1190" s="2" t="s">
        <v>2012</v>
      </c>
      <c r="D1190" t="s">
        <v>2017</v>
      </c>
      <c r="E1190">
        <v>1283.6099999999999</v>
      </c>
      <c r="F1190">
        <f>Cleaned[[#This Row],[Debit]] * Cleaned[[#This Row],[FX_rates]]</f>
        <v>132211.82999999999</v>
      </c>
      <c r="G1190">
        <v>0</v>
      </c>
      <c r="H1190">
        <f>Cleaned[[#This Row],[Credit]] *  Cleaned[[#This Row],[FX_rates]]</f>
        <v>0</v>
      </c>
      <c r="I1190" t="s">
        <v>2021</v>
      </c>
      <c r="J1190" t="s">
        <v>2028</v>
      </c>
      <c r="K1190" t="s">
        <v>3219</v>
      </c>
      <c r="L1190" t="s">
        <v>4031</v>
      </c>
      <c r="M1190">
        <f>Cleaned[[#This Row],[Credit]]-Cleaned[[#This Row],[Debit]]</f>
        <v>-1283.6099999999999</v>
      </c>
      <c r="N1190" t="str">
        <f>_xlfn.XLOOKUP(Cleaned[[#This Row],[AccountName]], Account_Mapping!A:A, Account_Mapping!B:B,"Unmapped")</f>
        <v>Operating Expense</v>
      </c>
      <c r="O1190" cm="1">
        <f t="array" ref="O1190">_xlfn.XLOOKUP(
  1,
  (FX_Rates[Currency]=Cleaned[[#This Row],[Currency]])*
  (FX_Rates[RateDate]&lt;=Cleaned[[#This Row],[TxnDate]]),
  FX_Rates[Rate_To_INR],
  ,
  -1
)</f>
        <v>103</v>
      </c>
      <c r="P1190" s="2">
        <f>Cleaned[[#This Row],[Net Amount]] *  Cleaned[[#This Row],[FX_rates]]</f>
        <v>-132211.82999999999</v>
      </c>
    </row>
    <row r="1191" spans="1:16" x14ac:dyDescent="0.45">
      <c r="A1191" t="s">
        <v>1199</v>
      </c>
      <c r="B1191" s="1">
        <v>45296</v>
      </c>
      <c r="C1191" s="2" t="s">
        <v>2010</v>
      </c>
      <c r="D1191" t="s">
        <v>2015</v>
      </c>
      <c r="E1191">
        <v>0</v>
      </c>
      <c r="F1191">
        <f>Cleaned[[#This Row],[Debit]] * Cleaned[[#This Row],[FX_rates]]</f>
        <v>0</v>
      </c>
      <c r="G1191">
        <v>242.31</v>
      </c>
      <c r="H1191">
        <f>Cleaned[[#This Row],[Credit]] *  Cleaned[[#This Row],[FX_rates]]</f>
        <v>14780.91</v>
      </c>
      <c r="I1191" t="s">
        <v>2021</v>
      </c>
      <c r="J1191" t="s">
        <v>2030</v>
      </c>
      <c r="K1191" t="s">
        <v>3220</v>
      </c>
      <c r="L1191" t="s">
        <v>4035</v>
      </c>
      <c r="M1191">
        <f>Cleaned[[#This Row],[Credit]]-Cleaned[[#This Row],[Debit]]</f>
        <v>242.31</v>
      </c>
      <c r="N1191" t="str">
        <f>_xlfn.XLOOKUP(Cleaned[[#This Row],[AccountName]], Account_Mapping!A:A, Account_Mapping!B:B,"Unmapped")</f>
        <v>Revenue</v>
      </c>
      <c r="O1191" cm="1">
        <f t="array" ref="O1191">_xlfn.XLOOKUP(
  1,
  (FX_Rates[Currency]=Cleaned[[#This Row],[Currency]])*
  (FX_Rates[RateDate]&lt;=Cleaned[[#This Row],[TxnDate]]),
  FX_Rates[Rate_To_INR],
  ,
  -1
)</f>
        <v>61</v>
      </c>
      <c r="P1191" s="2">
        <f>Cleaned[[#This Row],[Net Amount]] *  Cleaned[[#This Row],[FX_rates]]</f>
        <v>14780.91</v>
      </c>
    </row>
    <row r="1192" spans="1:16" x14ac:dyDescent="0.45">
      <c r="A1192" t="s">
        <v>1200</v>
      </c>
      <c r="B1192" s="1">
        <v>45371</v>
      </c>
      <c r="C1192" s="2" t="s">
        <v>2011</v>
      </c>
      <c r="D1192" t="s">
        <v>2016</v>
      </c>
      <c r="E1192">
        <v>309.44</v>
      </c>
      <c r="F1192">
        <f>Cleaned[[#This Row],[Debit]] * Cleaned[[#This Row],[FX_rates]]</f>
        <v>27230.720000000001</v>
      </c>
      <c r="G1192">
        <v>0</v>
      </c>
      <c r="H1192">
        <f>Cleaned[[#This Row],[Credit]] *  Cleaned[[#This Row],[FX_rates]]</f>
        <v>0</v>
      </c>
      <c r="I1192" t="s">
        <v>2021</v>
      </c>
      <c r="J1192" t="s">
        <v>2029</v>
      </c>
      <c r="K1192" t="s">
        <v>3221</v>
      </c>
      <c r="L1192" t="s">
        <v>4032</v>
      </c>
      <c r="M1192">
        <f>Cleaned[[#This Row],[Credit]]-Cleaned[[#This Row],[Debit]]</f>
        <v>-309.44</v>
      </c>
      <c r="N1192" t="str">
        <f>_xlfn.XLOOKUP(Cleaned[[#This Row],[AccountName]], Account_Mapping!A:A, Account_Mapping!B:B,"Unmapped")</f>
        <v>COGS</v>
      </c>
      <c r="O1192" cm="1">
        <f t="array" ref="O1192">_xlfn.XLOOKUP(
  1,
  (FX_Rates[Currency]=Cleaned[[#This Row],[Currency]])*
  (FX_Rates[RateDate]&lt;=Cleaned[[#This Row],[TxnDate]]),
  FX_Rates[Rate_To_INR],
  ,
  -1
)</f>
        <v>88</v>
      </c>
      <c r="P1192" s="2">
        <f>Cleaned[[#This Row],[Net Amount]] *  Cleaned[[#This Row],[FX_rates]]</f>
        <v>-27230.720000000001</v>
      </c>
    </row>
    <row r="1193" spans="1:16" x14ac:dyDescent="0.45">
      <c r="A1193" t="s">
        <v>1201</v>
      </c>
      <c r="B1193" s="1">
        <v>45683</v>
      </c>
      <c r="C1193" s="2" t="s">
        <v>2012</v>
      </c>
      <c r="D1193" t="s">
        <v>2017</v>
      </c>
      <c r="E1193">
        <v>1158.3800000000001</v>
      </c>
      <c r="F1193">
        <f>Cleaned[[#This Row],[Debit]] * Cleaned[[#This Row],[FX_rates]]</f>
        <v>119313.14000000001</v>
      </c>
      <c r="G1193">
        <v>0</v>
      </c>
      <c r="H1193">
        <f>Cleaned[[#This Row],[Credit]] *  Cleaned[[#This Row],[FX_rates]]</f>
        <v>0</v>
      </c>
      <c r="I1193" t="s">
        <v>2020</v>
      </c>
      <c r="J1193" t="s">
        <v>2026</v>
      </c>
      <c r="K1193" t="s">
        <v>3222</v>
      </c>
      <c r="L1193" t="s">
        <v>4031</v>
      </c>
      <c r="M1193">
        <f>Cleaned[[#This Row],[Credit]]-Cleaned[[#This Row],[Debit]]</f>
        <v>-1158.3800000000001</v>
      </c>
      <c r="N1193" t="str">
        <f>_xlfn.XLOOKUP(Cleaned[[#This Row],[AccountName]], Account_Mapping!A:A, Account_Mapping!B:B,"Unmapped")</f>
        <v>Operating Expense</v>
      </c>
      <c r="O1193" cm="1">
        <f t="array" ref="O1193">_xlfn.XLOOKUP(
  1,
  (FX_Rates[Currency]=Cleaned[[#This Row],[Currency]])*
  (FX_Rates[RateDate]&lt;=Cleaned[[#This Row],[TxnDate]]),
  FX_Rates[Rate_To_INR],
  ,
  -1
)</f>
        <v>103</v>
      </c>
      <c r="P1193" s="2">
        <f>Cleaned[[#This Row],[Net Amount]] *  Cleaned[[#This Row],[FX_rates]]</f>
        <v>-119313.14000000001</v>
      </c>
    </row>
    <row r="1194" spans="1:16" x14ac:dyDescent="0.45">
      <c r="A1194" t="s">
        <v>1202</v>
      </c>
      <c r="B1194" s="1">
        <v>44990</v>
      </c>
      <c r="C1194" s="2" t="s">
        <v>2014</v>
      </c>
      <c r="D1194" t="s">
        <v>2019</v>
      </c>
      <c r="E1194">
        <v>0</v>
      </c>
      <c r="F1194">
        <f>Cleaned[[#This Row],[Debit]] * Cleaned[[#This Row],[FX_rates]]</f>
        <v>0</v>
      </c>
      <c r="G1194">
        <v>1546.54</v>
      </c>
      <c r="H1194">
        <f>Cleaned[[#This Row],[Credit]] *  Cleaned[[#This Row],[FX_rates]]</f>
        <v>126816.28</v>
      </c>
      <c r="I1194" t="s">
        <v>2020</v>
      </c>
      <c r="J1194" t="s">
        <v>2029</v>
      </c>
      <c r="K1194" t="s">
        <v>3223</v>
      </c>
      <c r="L1194" t="s">
        <v>4034</v>
      </c>
      <c r="M1194">
        <f>Cleaned[[#This Row],[Credit]]-Cleaned[[#This Row],[Debit]]</f>
        <v>1546.54</v>
      </c>
      <c r="N1194" t="str">
        <f>_xlfn.XLOOKUP(Cleaned[[#This Row],[AccountName]], Account_Mapping!A:A, Account_Mapping!B:B,"Unmapped")</f>
        <v>Revenue</v>
      </c>
      <c r="O1194" cm="1">
        <f t="array" ref="O1194">_xlfn.XLOOKUP(
  1,
  (FX_Rates[Currency]=Cleaned[[#This Row],[Currency]])*
  (FX_Rates[RateDate]&lt;=Cleaned[[#This Row],[TxnDate]]),
  FX_Rates[Rate_To_INR],
  ,
  -1
)</f>
        <v>82</v>
      </c>
      <c r="P1194" s="2">
        <f>Cleaned[[#This Row],[Net Amount]] *  Cleaned[[#This Row],[FX_rates]]</f>
        <v>126816.28</v>
      </c>
    </row>
    <row r="1195" spans="1:16" x14ac:dyDescent="0.45">
      <c r="A1195" t="s">
        <v>1203</v>
      </c>
      <c r="B1195" s="1">
        <v>45011</v>
      </c>
      <c r="C1195" s="2" t="s">
        <v>2014</v>
      </c>
      <c r="D1195" t="s">
        <v>2019</v>
      </c>
      <c r="E1195">
        <v>0</v>
      </c>
      <c r="F1195">
        <f>Cleaned[[#This Row],[Debit]] * Cleaned[[#This Row],[FX_rates]]</f>
        <v>0</v>
      </c>
      <c r="G1195">
        <v>4731.97</v>
      </c>
      <c r="H1195">
        <f>Cleaned[[#This Row],[Credit]] *  Cleaned[[#This Row],[FX_rates]]</f>
        <v>388021.54000000004</v>
      </c>
      <c r="I1195" t="s">
        <v>2020</v>
      </c>
      <c r="J1195" t="s">
        <v>2027</v>
      </c>
      <c r="K1195" t="s">
        <v>3224</v>
      </c>
      <c r="L1195" t="s">
        <v>4034</v>
      </c>
      <c r="M1195">
        <f>Cleaned[[#This Row],[Credit]]-Cleaned[[#This Row],[Debit]]</f>
        <v>4731.97</v>
      </c>
      <c r="N1195" t="str">
        <f>_xlfn.XLOOKUP(Cleaned[[#This Row],[AccountName]], Account_Mapping!A:A, Account_Mapping!B:B,"Unmapped")</f>
        <v>Revenue</v>
      </c>
      <c r="O1195" cm="1">
        <f t="array" ref="O1195">_xlfn.XLOOKUP(
  1,
  (FX_Rates[Currency]=Cleaned[[#This Row],[Currency]])*
  (FX_Rates[RateDate]&lt;=Cleaned[[#This Row],[TxnDate]]),
  FX_Rates[Rate_To_INR],
  ,
  -1
)</f>
        <v>82</v>
      </c>
      <c r="P1195" s="2">
        <f>Cleaned[[#This Row],[Net Amount]] *  Cleaned[[#This Row],[FX_rates]]</f>
        <v>388021.54000000004</v>
      </c>
    </row>
    <row r="1196" spans="1:16" x14ac:dyDescent="0.45">
      <c r="A1196" t="s">
        <v>1204</v>
      </c>
      <c r="B1196" s="1">
        <v>45352</v>
      </c>
      <c r="C1196" s="2" t="s">
        <v>2012</v>
      </c>
      <c r="D1196" t="s">
        <v>2017</v>
      </c>
      <c r="E1196">
        <v>825.81</v>
      </c>
      <c r="F1196">
        <f>Cleaned[[#This Row],[Debit]] * Cleaned[[#This Row],[FX_rates]]</f>
        <v>67716.42</v>
      </c>
      <c r="G1196">
        <v>0</v>
      </c>
      <c r="H1196">
        <f>Cleaned[[#This Row],[Credit]] *  Cleaned[[#This Row],[FX_rates]]</f>
        <v>0</v>
      </c>
      <c r="I1196" t="s">
        <v>2022</v>
      </c>
      <c r="J1196" t="s">
        <v>2030</v>
      </c>
      <c r="K1196" t="s">
        <v>3225</v>
      </c>
      <c r="L1196" t="s">
        <v>4034</v>
      </c>
      <c r="M1196">
        <f>Cleaned[[#This Row],[Credit]]-Cleaned[[#This Row],[Debit]]</f>
        <v>-825.81</v>
      </c>
      <c r="N1196" t="str">
        <f>_xlfn.XLOOKUP(Cleaned[[#This Row],[AccountName]], Account_Mapping!A:A, Account_Mapping!B:B,"Unmapped")</f>
        <v>Operating Expense</v>
      </c>
      <c r="O1196" cm="1">
        <f t="array" ref="O1196">_xlfn.XLOOKUP(
  1,
  (FX_Rates[Currency]=Cleaned[[#This Row],[Currency]])*
  (FX_Rates[RateDate]&lt;=Cleaned[[#This Row],[TxnDate]]),
  FX_Rates[Rate_To_INR],
  ,
  -1
)</f>
        <v>82</v>
      </c>
      <c r="P1196" s="2">
        <f>Cleaned[[#This Row],[Net Amount]] *  Cleaned[[#This Row],[FX_rates]]</f>
        <v>-67716.42</v>
      </c>
    </row>
    <row r="1197" spans="1:16" x14ac:dyDescent="0.45">
      <c r="A1197" t="s">
        <v>1205</v>
      </c>
      <c r="B1197" s="1">
        <v>45452</v>
      </c>
      <c r="C1197" s="2" t="s">
        <v>2013</v>
      </c>
      <c r="D1197" t="s">
        <v>2018</v>
      </c>
      <c r="E1197">
        <v>811.62</v>
      </c>
      <c r="F1197">
        <f>Cleaned[[#This Row],[Debit]] * Cleaned[[#This Row],[FX_rates]]</f>
        <v>49508.82</v>
      </c>
      <c r="G1197">
        <v>0</v>
      </c>
      <c r="H1197">
        <f>Cleaned[[#This Row],[Credit]] *  Cleaned[[#This Row],[FX_rates]]</f>
        <v>0</v>
      </c>
      <c r="I1197" t="s">
        <v>2021</v>
      </c>
      <c r="J1197" t="s">
        <v>2027</v>
      </c>
      <c r="K1197" t="s">
        <v>3226</v>
      </c>
      <c r="L1197" t="s">
        <v>4035</v>
      </c>
      <c r="M1197">
        <f>Cleaned[[#This Row],[Credit]]-Cleaned[[#This Row],[Debit]]</f>
        <v>-811.62</v>
      </c>
      <c r="N1197" t="str">
        <f>_xlfn.XLOOKUP(Cleaned[[#This Row],[AccountName]], Account_Mapping!A:A, Account_Mapping!B:B,"Unmapped")</f>
        <v>Operating Expense</v>
      </c>
      <c r="O1197" cm="1">
        <f t="array" ref="O1197">_xlfn.XLOOKUP(
  1,
  (FX_Rates[Currency]=Cleaned[[#This Row],[Currency]])*
  (FX_Rates[RateDate]&lt;=Cleaned[[#This Row],[TxnDate]]),
  FX_Rates[Rate_To_INR],
  ,
  -1
)</f>
        <v>61</v>
      </c>
      <c r="P1197" s="2">
        <f>Cleaned[[#This Row],[Net Amount]] *  Cleaned[[#This Row],[FX_rates]]</f>
        <v>-49508.82</v>
      </c>
    </row>
    <row r="1198" spans="1:16" x14ac:dyDescent="0.45">
      <c r="A1198" t="s">
        <v>1206</v>
      </c>
      <c r="B1198" s="1">
        <v>45435</v>
      </c>
      <c r="C1198" s="2" t="s">
        <v>2012</v>
      </c>
      <c r="D1198" t="s">
        <v>2017</v>
      </c>
      <c r="E1198">
        <v>1792.82</v>
      </c>
      <c r="F1198">
        <f>Cleaned[[#This Row],[Debit]] * Cleaned[[#This Row],[FX_rates]]</f>
        <v>147011.24</v>
      </c>
      <c r="G1198">
        <v>0</v>
      </c>
      <c r="H1198">
        <f>Cleaned[[#This Row],[Credit]] *  Cleaned[[#This Row],[FX_rates]]</f>
        <v>0</v>
      </c>
      <c r="I1198" t="s">
        <v>2021</v>
      </c>
      <c r="J1198" t="s">
        <v>2026</v>
      </c>
      <c r="K1198" t="s">
        <v>3227</v>
      </c>
      <c r="L1198" t="s">
        <v>4034</v>
      </c>
      <c r="M1198">
        <f>Cleaned[[#This Row],[Credit]]-Cleaned[[#This Row],[Debit]]</f>
        <v>-1792.82</v>
      </c>
      <c r="N1198" t="str">
        <f>_xlfn.XLOOKUP(Cleaned[[#This Row],[AccountName]], Account_Mapping!A:A, Account_Mapping!B:B,"Unmapped")</f>
        <v>Operating Expense</v>
      </c>
      <c r="O1198" cm="1">
        <f t="array" ref="O1198">_xlfn.XLOOKUP(
  1,
  (FX_Rates[Currency]=Cleaned[[#This Row],[Currency]])*
  (FX_Rates[RateDate]&lt;=Cleaned[[#This Row],[TxnDate]]),
  FX_Rates[Rate_To_INR],
  ,
  -1
)</f>
        <v>82</v>
      </c>
      <c r="P1198" s="2">
        <f>Cleaned[[#This Row],[Net Amount]] *  Cleaned[[#This Row],[FX_rates]]</f>
        <v>-147011.24</v>
      </c>
    </row>
    <row r="1199" spans="1:16" x14ac:dyDescent="0.45">
      <c r="A1199" t="s">
        <v>1207</v>
      </c>
      <c r="B1199" s="1">
        <v>45565</v>
      </c>
      <c r="C1199" s="2" t="s">
        <v>2014</v>
      </c>
      <c r="D1199" t="s">
        <v>2019</v>
      </c>
      <c r="E1199">
        <v>0</v>
      </c>
      <c r="F1199">
        <f>Cleaned[[#This Row],[Debit]] * Cleaned[[#This Row],[FX_rates]]</f>
        <v>0</v>
      </c>
      <c r="G1199">
        <v>2374.8200000000002</v>
      </c>
      <c r="H1199">
        <f>Cleaned[[#This Row],[Credit]] *  Cleaned[[#This Row],[FX_rates]]</f>
        <v>194735.24000000002</v>
      </c>
      <c r="I1199" t="s">
        <v>2021</v>
      </c>
      <c r="J1199" t="s">
        <v>2027</v>
      </c>
      <c r="K1199" t="s">
        <v>3228</v>
      </c>
      <c r="L1199" t="s">
        <v>4034</v>
      </c>
      <c r="M1199">
        <f>Cleaned[[#This Row],[Credit]]-Cleaned[[#This Row],[Debit]]</f>
        <v>2374.8200000000002</v>
      </c>
      <c r="N1199" t="str">
        <f>_xlfn.XLOOKUP(Cleaned[[#This Row],[AccountName]], Account_Mapping!A:A, Account_Mapping!B:B,"Unmapped")</f>
        <v>Revenue</v>
      </c>
      <c r="O1199" cm="1">
        <f t="array" ref="O1199">_xlfn.XLOOKUP(
  1,
  (FX_Rates[Currency]=Cleaned[[#This Row],[Currency]])*
  (FX_Rates[RateDate]&lt;=Cleaned[[#This Row],[TxnDate]]),
  FX_Rates[Rate_To_INR],
  ,
  -1
)</f>
        <v>82</v>
      </c>
      <c r="P1199" s="2">
        <f>Cleaned[[#This Row],[Net Amount]] *  Cleaned[[#This Row],[FX_rates]]</f>
        <v>194735.24000000002</v>
      </c>
    </row>
    <row r="1200" spans="1:16" x14ac:dyDescent="0.45">
      <c r="A1200" t="s">
        <v>1208</v>
      </c>
      <c r="B1200" s="1">
        <v>45440</v>
      </c>
      <c r="C1200" s="2" t="s">
        <v>2010</v>
      </c>
      <c r="D1200" t="s">
        <v>2015</v>
      </c>
      <c r="E1200">
        <v>0</v>
      </c>
      <c r="F1200">
        <f>Cleaned[[#This Row],[Debit]] * Cleaned[[#This Row],[FX_rates]]</f>
        <v>0</v>
      </c>
      <c r="G1200">
        <v>383.06</v>
      </c>
      <c r="H1200">
        <f>Cleaned[[#This Row],[Credit]] *  Cleaned[[#This Row],[FX_rates]]</f>
        <v>39455.18</v>
      </c>
      <c r="I1200" t="s">
        <v>2023</v>
      </c>
      <c r="J1200" t="s">
        <v>2030</v>
      </c>
      <c r="K1200" t="s">
        <v>3229</v>
      </c>
      <c r="L1200" t="s">
        <v>4031</v>
      </c>
      <c r="M1200">
        <f>Cleaned[[#This Row],[Credit]]-Cleaned[[#This Row],[Debit]]</f>
        <v>383.06</v>
      </c>
      <c r="N1200" t="str">
        <f>_xlfn.XLOOKUP(Cleaned[[#This Row],[AccountName]], Account_Mapping!A:A, Account_Mapping!B:B,"Unmapped")</f>
        <v>Revenue</v>
      </c>
      <c r="O1200" cm="1">
        <f t="array" ref="O1200">_xlfn.XLOOKUP(
  1,
  (FX_Rates[Currency]=Cleaned[[#This Row],[Currency]])*
  (FX_Rates[RateDate]&lt;=Cleaned[[#This Row],[TxnDate]]),
  FX_Rates[Rate_To_INR],
  ,
  -1
)</f>
        <v>103</v>
      </c>
      <c r="P1200" s="2">
        <f>Cleaned[[#This Row],[Net Amount]] *  Cleaned[[#This Row],[FX_rates]]</f>
        <v>39455.18</v>
      </c>
    </row>
    <row r="1201" spans="1:16" x14ac:dyDescent="0.45">
      <c r="A1201" t="s">
        <v>1209</v>
      </c>
      <c r="B1201" s="1">
        <v>45496</v>
      </c>
      <c r="C1201" s="2" t="s">
        <v>2014</v>
      </c>
      <c r="D1201" t="s">
        <v>2019</v>
      </c>
      <c r="E1201">
        <v>0</v>
      </c>
      <c r="F1201">
        <f>Cleaned[[#This Row],[Debit]] * Cleaned[[#This Row],[FX_rates]]</f>
        <v>0</v>
      </c>
      <c r="G1201">
        <v>3219.96</v>
      </c>
      <c r="H1201">
        <f>Cleaned[[#This Row],[Credit]] *  Cleaned[[#This Row],[FX_rates]]</f>
        <v>283356.48</v>
      </c>
      <c r="I1201" t="s">
        <v>2024</v>
      </c>
      <c r="J1201" t="s">
        <v>2030</v>
      </c>
      <c r="K1201" t="s">
        <v>3230</v>
      </c>
      <c r="L1201" t="s">
        <v>4032</v>
      </c>
      <c r="M1201">
        <f>Cleaned[[#This Row],[Credit]]-Cleaned[[#This Row],[Debit]]</f>
        <v>3219.96</v>
      </c>
      <c r="N1201" t="str">
        <f>_xlfn.XLOOKUP(Cleaned[[#This Row],[AccountName]], Account_Mapping!A:A, Account_Mapping!B:B,"Unmapped")</f>
        <v>Revenue</v>
      </c>
      <c r="O1201" cm="1">
        <f t="array" ref="O1201">_xlfn.XLOOKUP(
  1,
  (FX_Rates[Currency]=Cleaned[[#This Row],[Currency]])*
  (FX_Rates[RateDate]&lt;=Cleaned[[#This Row],[TxnDate]]),
  FX_Rates[Rate_To_INR],
  ,
  -1
)</f>
        <v>88</v>
      </c>
      <c r="P1201" s="2">
        <f>Cleaned[[#This Row],[Net Amount]] *  Cleaned[[#This Row],[FX_rates]]</f>
        <v>283356.48</v>
      </c>
    </row>
    <row r="1202" spans="1:16" x14ac:dyDescent="0.45">
      <c r="A1202" t="s">
        <v>1210</v>
      </c>
      <c r="B1202" s="1">
        <v>45004</v>
      </c>
      <c r="C1202" s="2" t="s">
        <v>2010</v>
      </c>
      <c r="D1202" t="s">
        <v>2015</v>
      </c>
      <c r="E1202">
        <v>0</v>
      </c>
      <c r="F1202">
        <f>Cleaned[[#This Row],[Debit]] * Cleaned[[#This Row],[FX_rates]]</f>
        <v>0</v>
      </c>
      <c r="G1202">
        <v>1105.3800000000001</v>
      </c>
      <c r="H1202">
        <f>Cleaned[[#This Row],[Credit]] *  Cleaned[[#This Row],[FX_rates]]</f>
        <v>61901.280000000006</v>
      </c>
      <c r="I1202" t="s">
        <v>2020</v>
      </c>
      <c r="J1202" t="s">
        <v>2027</v>
      </c>
      <c r="K1202" t="s">
        <v>3231</v>
      </c>
      <c r="L1202" t="s">
        <v>4033</v>
      </c>
      <c r="M1202">
        <f>Cleaned[[#This Row],[Credit]]-Cleaned[[#This Row],[Debit]]</f>
        <v>1105.3800000000001</v>
      </c>
      <c r="N1202" t="str">
        <f>_xlfn.XLOOKUP(Cleaned[[#This Row],[AccountName]], Account_Mapping!A:A, Account_Mapping!B:B,"Unmapped")</f>
        <v>Revenue</v>
      </c>
      <c r="O1202" cm="1">
        <f t="array" ref="O1202">_xlfn.XLOOKUP(
  1,
  (FX_Rates[Currency]=Cleaned[[#This Row],[Currency]])*
  (FX_Rates[RateDate]&lt;=Cleaned[[#This Row],[TxnDate]]),
  FX_Rates[Rate_To_INR],
  ,
  -1
)</f>
        <v>56</v>
      </c>
      <c r="P1202" s="2">
        <f>Cleaned[[#This Row],[Net Amount]] *  Cleaned[[#This Row],[FX_rates]]</f>
        <v>61901.280000000006</v>
      </c>
    </row>
    <row r="1203" spans="1:16" x14ac:dyDescent="0.45">
      <c r="A1203" t="s">
        <v>1211</v>
      </c>
      <c r="B1203" s="1">
        <v>45502</v>
      </c>
      <c r="C1203" s="2" t="s">
        <v>2013</v>
      </c>
      <c r="D1203" t="s">
        <v>2018</v>
      </c>
      <c r="E1203">
        <v>600.28</v>
      </c>
      <c r="F1203">
        <f>Cleaned[[#This Row],[Debit]] * Cleaned[[#This Row],[FX_rates]]</f>
        <v>36617.08</v>
      </c>
      <c r="G1203">
        <v>0</v>
      </c>
      <c r="H1203">
        <f>Cleaned[[#This Row],[Credit]] *  Cleaned[[#This Row],[FX_rates]]</f>
        <v>0</v>
      </c>
      <c r="I1203" t="s">
        <v>2022</v>
      </c>
      <c r="J1203" t="s">
        <v>2030</v>
      </c>
      <c r="K1203" t="s">
        <v>3232</v>
      </c>
      <c r="L1203" t="s">
        <v>4035</v>
      </c>
      <c r="M1203">
        <f>Cleaned[[#This Row],[Credit]]-Cleaned[[#This Row],[Debit]]</f>
        <v>-600.28</v>
      </c>
      <c r="N1203" t="str">
        <f>_xlfn.XLOOKUP(Cleaned[[#This Row],[AccountName]], Account_Mapping!A:A, Account_Mapping!B:B,"Unmapped")</f>
        <v>Operating Expense</v>
      </c>
      <c r="O1203" cm="1">
        <f t="array" ref="O1203">_xlfn.XLOOKUP(
  1,
  (FX_Rates[Currency]=Cleaned[[#This Row],[Currency]])*
  (FX_Rates[RateDate]&lt;=Cleaned[[#This Row],[TxnDate]]),
  FX_Rates[Rate_To_INR],
  ,
  -1
)</f>
        <v>61</v>
      </c>
      <c r="P1203" s="2">
        <f>Cleaned[[#This Row],[Net Amount]] *  Cleaned[[#This Row],[FX_rates]]</f>
        <v>-36617.08</v>
      </c>
    </row>
    <row r="1204" spans="1:16" x14ac:dyDescent="0.45">
      <c r="A1204" t="s">
        <v>1212</v>
      </c>
      <c r="B1204" s="1">
        <v>45556</v>
      </c>
      <c r="C1204" s="2" t="s">
        <v>2014</v>
      </c>
      <c r="D1204" t="s">
        <v>2019</v>
      </c>
      <c r="E1204">
        <v>0</v>
      </c>
      <c r="F1204">
        <f>Cleaned[[#This Row],[Debit]] * Cleaned[[#This Row],[FX_rates]]</f>
        <v>0</v>
      </c>
      <c r="G1204">
        <v>1634.89</v>
      </c>
      <c r="H1204">
        <f>Cleaned[[#This Row],[Credit]] *  Cleaned[[#This Row],[FX_rates]]</f>
        <v>91553.840000000011</v>
      </c>
      <c r="I1204" t="s">
        <v>2024</v>
      </c>
      <c r="J1204" t="s">
        <v>2030</v>
      </c>
      <c r="K1204" t="s">
        <v>3233</v>
      </c>
      <c r="L1204" t="s">
        <v>4033</v>
      </c>
      <c r="M1204">
        <f>Cleaned[[#This Row],[Credit]]-Cleaned[[#This Row],[Debit]]</f>
        <v>1634.89</v>
      </c>
      <c r="N1204" t="str">
        <f>_xlfn.XLOOKUP(Cleaned[[#This Row],[AccountName]], Account_Mapping!A:A, Account_Mapping!B:B,"Unmapped")</f>
        <v>Revenue</v>
      </c>
      <c r="O1204" cm="1">
        <f t="array" ref="O1204">_xlfn.XLOOKUP(
  1,
  (FX_Rates[Currency]=Cleaned[[#This Row],[Currency]])*
  (FX_Rates[RateDate]&lt;=Cleaned[[#This Row],[TxnDate]]),
  FX_Rates[Rate_To_INR],
  ,
  -1
)</f>
        <v>56</v>
      </c>
      <c r="P1204" s="2">
        <f>Cleaned[[#This Row],[Net Amount]] *  Cleaned[[#This Row],[FX_rates]]</f>
        <v>91553.840000000011</v>
      </c>
    </row>
    <row r="1205" spans="1:16" x14ac:dyDescent="0.45">
      <c r="A1205" t="s">
        <v>1213</v>
      </c>
      <c r="B1205" s="1">
        <v>45529</v>
      </c>
      <c r="C1205" s="2" t="s">
        <v>2014</v>
      </c>
      <c r="D1205" t="s">
        <v>2019</v>
      </c>
      <c r="E1205">
        <v>0</v>
      </c>
      <c r="F1205">
        <f>Cleaned[[#This Row],[Debit]] * Cleaned[[#This Row],[FX_rates]]</f>
        <v>0</v>
      </c>
      <c r="G1205">
        <v>2484.3000000000002</v>
      </c>
      <c r="H1205">
        <f>Cleaned[[#This Row],[Credit]] *  Cleaned[[#This Row],[FX_rates]]</f>
        <v>151542.30000000002</v>
      </c>
      <c r="I1205" t="s">
        <v>2021</v>
      </c>
      <c r="J1205" t="s">
        <v>2026</v>
      </c>
      <c r="K1205" t="s">
        <v>3234</v>
      </c>
      <c r="L1205" t="s">
        <v>4035</v>
      </c>
      <c r="M1205">
        <f>Cleaned[[#This Row],[Credit]]-Cleaned[[#This Row],[Debit]]</f>
        <v>2484.3000000000002</v>
      </c>
      <c r="N1205" t="str">
        <f>_xlfn.XLOOKUP(Cleaned[[#This Row],[AccountName]], Account_Mapping!A:A, Account_Mapping!B:B,"Unmapped")</f>
        <v>Revenue</v>
      </c>
      <c r="O1205" cm="1">
        <f t="array" ref="O1205">_xlfn.XLOOKUP(
  1,
  (FX_Rates[Currency]=Cleaned[[#This Row],[Currency]])*
  (FX_Rates[RateDate]&lt;=Cleaned[[#This Row],[TxnDate]]),
  FX_Rates[Rate_To_INR],
  ,
  -1
)</f>
        <v>61</v>
      </c>
      <c r="P1205" s="2">
        <f>Cleaned[[#This Row],[Net Amount]] *  Cleaned[[#This Row],[FX_rates]]</f>
        <v>151542.30000000002</v>
      </c>
    </row>
    <row r="1206" spans="1:16" x14ac:dyDescent="0.45">
      <c r="A1206" t="s">
        <v>1214</v>
      </c>
      <c r="B1206" s="1">
        <v>45733</v>
      </c>
      <c r="C1206" s="2" t="s">
        <v>2010</v>
      </c>
      <c r="D1206" t="s">
        <v>2015</v>
      </c>
      <c r="E1206">
        <v>0</v>
      </c>
      <c r="F1206">
        <f>Cleaned[[#This Row],[Debit]] * Cleaned[[#This Row],[FX_rates]]</f>
        <v>0</v>
      </c>
      <c r="G1206">
        <v>2824.53</v>
      </c>
      <c r="H1206">
        <f>Cleaned[[#This Row],[Credit]] *  Cleaned[[#This Row],[FX_rates]]</f>
        <v>290926.59000000003</v>
      </c>
      <c r="I1206" t="s">
        <v>2024</v>
      </c>
      <c r="J1206" t="s">
        <v>2026</v>
      </c>
      <c r="K1206" t="s">
        <v>3235</v>
      </c>
      <c r="L1206" t="s">
        <v>4031</v>
      </c>
      <c r="M1206">
        <f>Cleaned[[#This Row],[Credit]]-Cleaned[[#This Row],[Debit]]</f>
        <v>2824.53</v>
      </c>
      <c r="N1206" t="str">
        <f>_xlfn.XLOOKUP(Cleaned[[#This Row],[AccountName]], Account_Mapping!A:A, Account_Mapping!B:B,"Unmapped")</f>
        <v>Revenue</v>
      </c>
      <c r="O1206" cm="1">
        <f t="array" ref="O1206">_xlfn.XLOOKUP(
  1,
  (FX_Rates[Currency]=Cleaned[[#This Row],[Currency]])*
  (FX_Rates[RateDate]&lt;=Cleaned[[#This Row],[TxnDate]]),
  FX_Rates[Rate_To_INR],
  ,
  -1
)</f>
        <v>103</v>
      </c>
      <c r="P1206" s="2">
        <f>Cleaned[[#This Row],[Net Amount]] *  Cleaned[[#This Row],[FX_rates]]</f>
        <v>290926.59000000003</v>
      </c>
    </row>
    <row r="1207" spans="1:16" x14ac:dyDescent="0.45">
      <c r="A1207" t="s">
        <v>1215</v>
      </c>
      <c r="B1207" s="1">
        <v>45627</v>
      </c>
      <c r="C1207" s="2" t="s">
        <v>2012</v>
      </c>
      <c r="D1207" t="s">
        <v>2017</v>
      </c>
      <c r="E1207">
        <v>269.73</v>
      </c>
      <c r="F1207">
        <f>Cleaned[[#This Row],[Debit]] * Cleaned[[#This Row],[FX_rates]]</f>
        <v>15104.880000000001</v>
      </c>
      <c r="G1207">
        <v>0</v>
      </c>
      <c r="H1207">
        <f>Cleaned[[#This Row],[Credit]] *  Cleaned[[#This Row],[FX_rates]]</f>
        <v>0</v>
      </c>
      <c r="I1207" t="s">
        <v>2021</v>
      </c>
      <c r="J1207" t="s">
        <v>2027</v>
      </c>
      <c r="K1207" t="s">
        <v>3236</v>
      </c>
      <c r="L1207" t="s">
        <v>4033</v>
      </c>
      <c r="M1207">
        <f>Cleaned[[#This Row],[Credit]]-Cleaned[[#This Row],[Debit]]</f>
        <v>-269.73</v>
      </c>
      <c r="N1207" t="str">
        <f>_xlfn.XLOOKUP(Cleaned[[#This Row],[AccountName]], Account_Mapping!A:A, Account_Mapping!B:B,"Unmapped")</f>
        <v>Operating Expense</v>
      </c>
      <c r="O1207" cm="1">
        <f t="array" ref="O1207">_xlfn.XLOOKUP(
  1,
  (FX_Rates[Currency]=Cleaned[[#This Row],[Currency]])*
  (FX_Rates[RateDate]&lt;=Cleaned[[#This Row],[TxnDate]]),
  FX_Rates[Rate_To_INR],
  ,
  -1
)</f>
        <v>56</v>
      </c>
      <c r="P1207" s="2">
        <f>Cleaned[[#This Row],[Net Amount]] *  Cleaned[[#This Row],[FX_rates]]</f>
        <v>-15104.880000000001</v>
      </c>
    </row>
    <row r="1208" spans="1:16" x14ac:dyDescent="0.45">
      <c r="A1208" t="s">
        <v>1216</v>
      </c>
      <c r="B1208" s="1">
        <v>45410</v>
      </c>
      <c r="C1208" s="2" t="s">
        <v>2013</v>
      </c>
      <c r="D1208" t="s">
        <v>2018</v>
      </c>
      <c r="E1208">
        <v>500.85</v>
      </c>
      <c r="F1208">
        <f>Cleaned[[#This Row],[Debit]] * Cleaned[[#This Row],[FX_rates]]</f>
        <v>41069.700000000004</v>
      </c>
      <c r="G1208">
        <v>0</v>
      </c>
      <c r="H1208">
        <f>Cleaned[[#This Row],[Credit]] *  Cleaned[[#This Row],[FX_rates]]</f>
        <v>0</v>
      </c>
      <c r="I1208" t="s">
        <v>2023</v>
      </c>
      <c r="J1208" t="s">
        <v>2028</v>
      </c>
      <c r="K1208" t="s">
        <v>3237</v>
      </c>
      <c r="L1208" t="s">
        <v>4034</v>
      </c>
      <c r="M1208">
        <f>Cleaned[[#This Row],[Credit]]-Cleaned[[#This Row],[Debit]]</f>
        <v>-500.85</v>
      </c>
      <c r="N1208" t="str">
        <f>_xlfn.XLOOKUP(Cleaned[[#This Row],[AccountName]], Account_Mapping!A:A, Account_Mapping!B:B,"Unmapped")</f>
        <v>Operating Expense</v>
      </c>
      <c r="O1208" cm="1">
        <f t="array" ref="O1208">_xlfn.XLOOKUP(
  1,
  (FX_Rates[Currency]=Cleaned[[#This Row],[Currency]])*
  (FX_Rates[RateDate]&lt;=Cleaned[[#This Row],[TxnDate]]),
  FX_Rates[Rate_To_INR],
  ,
  -1
)</f>
        <v>82</v>
      </c>
      <c r="P1208" s="2">
        <f>Cleaned[[#This Row],[Net Amount]] *  Cleaned[[#This Row],[FX_rates]]</f>
        <v>-41069.700000000004</v>
      </c>
    </row>
    <row r="1209" spans="1:16" x14ac:dyDescent="0.45">
      <c r="A1209" t="s">
        <v>1217</v>
      </c>
      <c r="B1209" s="1">
        <v>45220</v>
      </c>
      <c r="C1209" s="2" t="s">
        <v>2014</v>
      </c>
      <c r="D1209" t="s">
        <v>2019</v>
      </c>
      <c r="E1209">
        <v>0</v>
      </c>
      <c r="F1209">
        <f>Cleaned[[#This Row],[Debit]] * Cleaned[[#This Row],[FX_rates]]</f>
        <v>0</v>
      </c>
      <c r="G1209">
        <v>2600.9699999999998</v>
      </c>
      <c r="H1209">
        <f>Cleaned[[#This Row],[Credit]] *  Cleaned[[#This Row],[FX_rates]]</f>
        <v>267899.90999999997</v>
      </c>
      <c r="I1209" t="s">
        <v>2022</v>
      </c>
      <c r="J1209" t="s">
        <v>2027</v>
      </c>
      <c r="K1209" t="s">
        <v>3238</v>
      </c>
      <c r="L1209" t="s">
        <v>4031</v>
      </c>
      <c r="M1209">
        <f>Cleaned[[#This Row],[Credit]]-Cleaned[[#This Row],[Debit]]</f>
        <v>2600.9699999999998</v>
      </c>
      <c r="N1209" t="str">
        <f>_xlfn.XLOOKUP(Cleaned[[#This Row],[AccountName]], Account_Mapping!A:A, Account_Mapping!B:B,"Unmapped")</f>
        <v>Revenue</v>
      </c>
      <c r="O1209" cm="1">
        <f t="array" ref="O1209">_xlfn.XLOOKUP(
  1,
  (FX_Rates[Currency]=Cleaned[[#This Row],[Currency]])*
  (FX_Rates[RateDate]&lt;=Cleaned[[#This Row],[TxnDate]]),
  FX_Rates[Rate_To_INR],
  ,
  -1
)</f>
        <v>103</v>
      </c>
      <c r="P1209" s="2">
        <f>Cleaned[[#This Row],[Net Amount]] *  Cleaned[[#This Row],[FX_rates]]</f>
        <v>267899.90999999997</v>
      </c>
    </row>
    <row r="1210" spans="1:16" x14ac:dyDescent="0.45">
      <c r="A1210" t="s">
        <v>1218</v>
      </c>
      <c r="B1210" s="1">
        <v>45068</v>
      </c>
      <c r="C1210" s="2" t="s">
        <v>2011</v>
      </c>
      <c r="D1210" t="s">
        <v>2016</v>
      </c>
      <c r="E1210">
        <v>1457.86</v>
      </c>
      <c r="F1210">
        <f>Cleaned[[#This Row],[Debit]] * Cleaned[[#This Row],[FX_rates]]</f>
        <v>150159.57999999999</v>
      </c>
      <c r="G1210">
        <v>0</v>
      </c>
      <c r="H1210">
        <f>Cleaned[[#This Row],[Credit]] *  Cleaned[[#This Row],[FX_rates]]</f>
        <v>0</v>
      </c>
      <c r="I1210" t="s">
        <v>2020</v>
      </c>
      <c r="J1210" t="s">
        <v>2026</v>
      </c>
      <c r="K1210" t="s">
        <v>3239</v>
      </c>
      <c r="L1210" t="s">
        <v>4031</v>
      </c>
      <c r="M1210">
        <f>Cleaned[[#This Row],[Credit]]-Cleaned[[#This Row],[Debit]]</f>
        <v>-1457.86</v>
      </c>
      <c r="N1210" t="str">
        <f>_xlfn.XLOOKUP(Cleaned[[#This Row],[AccountName]], Account_Mapping!A:A, Account_Mapping!B:B,"Unmapped")</f>
        <v>COGS</v>
      </c>
      <c r="O1210" cm="1">
        <f t="array" ref="O1210">_xlfn.XLOOKUP(
  1,
  (FX_Rates[Currency]=Cleaned[[#This Row],[Currency]])*
  (FX_Rates[RateDate]&lt;=Cleaned[[#This Row],[TxnDate]]),
  FX_Rates[Rate_To_INR],
  ,
  -1
)</f>
        <v>103</v>
      </c>
      <c r="P1210" s="2">
        <f>Cleaned[[#This Row],[Net Amount]] *  Cleaned[[#This Row],[FX_rates]]</f>
        <v>-150159.57999999999</v>
      </c>
    </row>
    <row r="1211" spans="1:16" x14ac:dyDescent="0.45">
      <c r="A1211" t="s">
        <v>1219</v>
      </c>
      <c r="B1211" s="1">
        <v>45476</v>
      </c>
      <c r="C1211" s="2" t="s">
        <v>2010</v>
      </c>
      <c r="D1211" t="s">
        <v>2015</v>
      </c>
      <c r="E1211">
        <v>0</v>
      </c>
      <c r="F1211">
        <f>Cleaned[[#This Row],[Debit]] * Cleaned[[#This Row],[FX_rates]]</f>
        <v>0</v>
      </c>
      <c r="G1211">
        <v>1378.84</v>
      </c>
      <c r="H1211">
        <f>Cleaned[[#This Row],[Credit]] *  Cleaned[[#This Row],[FX_rates]]</f>
        <v>77215.039999999994</v>
      </c>
      <c r="I1211" t="s">
        <v>2024</v>
      </c>
      <c r="J1211" t="s">
        <v>2028</v>
      </c>
      <c r="K1211" t="s">
        <v>3240</v>
      </c>
      <c r="L1211" t="s">
        <v>4033</v>
      </c>
      <c r="M1211">
        <f>Cleaned[[#This Row],[Credit]]-Cleaned[[#This Row],[Debit]]</f>
        <v>1378.84</v>
      </c>
      <c r="N1211" t="str">
        <f>_xlfn.XLOOKUP(Cleaned[[#This Row],[AccountName]], Account_Mapping!A:A, Account_Mapping!B:B,"Unmapped")</f>
        <v>Revenue</v>
      </c>
      <c r="O1211" cm="1">
        <f t="array" ref="O1211">_xlfn.XLOOKUP(
  1,
  (FX_Rates[Currency]=Cleaned[[#This Row],[Currency]])*
  (FX_Rates[RateDate]&lt;=Cleaned[[#This Row],[TxnDate]]),
  FX_Rates[Rate_To_INR],
  ,
  -1
)</f>
        <v>56</v>
      </c>
      <c r="P1211" s="2">
        <f>Cleaned[[#This Row],[Net Amount]] *  Cleaned[[#This Row],[FX_rates]]</f>
        <v>77215.039999999994</v>
      </c>
    </row>
    <row r="1212" spans="1:16" x14ac:dyDescent="0.45">
      <c r="A1212" t="s">
        <v>1220</v>
      </c>
      <c r="B1212" s="1">
        <v>45561</v>
      </c>
      <c r="C1212" s="2" t="s">
        <v>2013</v>
      </c>
      <c r="D1212" t="s">
        <v>2018</v>
      </c>
      <c r="E1212">
        <v>1891.86</v>
      </c>
      <c r="F1212">
        <f>Cleaned[[#This Row],[Debit]] * Cleaned[[#This Row],[FX_rates]]</f>
        <v>105944.15999999999</v>
      </c>
      <c r="G1212">
        <v>0</v>
      </c>
      <c r="H1212">
        <f>Cleaned[[#This Row],[Credit]] *  Cleaned[[#This Row],[FX_rates]]</f>
        <v>0</v>
      </c>
      <c r="I1212" t="s">
        <v>2024</v>
      </c>
      <c r="J1212" t="s">
        <v>2028</v>
      </c>
      <c r="K1212" t="s">
        <v>3241</v>
      </c>
      <c r="L1212" t="s">
        <v>4033</v>
      </c>
      <c r="M1212">
        <f>Cleaned[[#This Row],[Credit]]-Cleaned[[#This Row],[Debit]]</f>
        <v>-1891.86</v>
      </c>
      <c r="N1212" t="str">
        <f>_xlfn.XLOOKUP(Cleaned[[#This Row],[AccountName]], Account_Mapping!A:A, Account_Mapping!B:B,"Unmapped")</f>
        <v>Operating Expense</v>
      </c>
      <c r="O1212" cm="1">
        <f t="array" ref="O1212">_xlfn.XLOOKUP(
  1,
  (FX_Rates[Currency]=Cleaned[[#This Row],[Currency]])*
  (FX_Rates[RateDate]&lt;=Cleaned[[#This Row],[TxnDate]]),
  FX_Rates[Rate_To_INR],
  ,
  -1
)</f>
        <v>56</v>
      </c>
      <c r="P1212" s="2">
        <f>Cleaned[[#This Row],[Net Amount]] *  Cleaned[[#This Row],[FX_rates]]</f>
        <v>-105944.15999999999</v>
      </c>
    </row>
    <row r="1213" spans="1:16" x14ac:dyDescent="0.45">
      <c r="A1213" t="s">
        <v>1221</v>
      </c>
      <c r="B1213" s="1">
        <v>45143</v>
      </c>
      <c r="C1213" s="2" t="s">
        <v>2010</v>
      </c>
      <c r="D1213" t="s">
        <v>2015</v>
      </c>
      <c r="E1213">
        <v>0</v>
      </c>
      <c r="F1213">
        <f>Cleaned[[#This Row],[Debit]] * Cleaned[[#This Row],[FX_rates]]</f>
        <v>0</v>
      </c>
      <c r="G1213">
        <v>1330.12</v>
      </c>
      <c r="H1213">
        <f>Cleaned[[#This Row],[Credit]] *  Cleaned[[#This Row],[FX_rates]]</f>
        <v>74486.720000000001</v>
      </c>
      <c r="I1213" t="s">
        <v>2023</v>
      </c>
      <c r="J1213" t="s">
        <v>2028</v>
      </c>
      <c r="K1213" t="s">
        <v>3242</v>
      </c>
      <c r="L1213" t="s">
        <v>4033</v>
      </c>
      <c r="M1213">
        <f>Cleaned[[#This Row],[Credit]]-Cleaned[[#This Row],[Debit]]</f>
        <v>1330.12</v>
      </c>
      <c r="N1213" t="str">
        <f>_xlfn.XLOOKUP(Cleaned[[#This Row],[AccountName]], Account_Mapping!A:A, Account_Mapping!B:B,"Unmapped")</f>
        <v>Revenue</v>
      </c>
      <c r="O1213" cm="1">
        <f t="array" ref="O1213">_xlfn.XLOOKUP(
  1,
  (FX_Rates[Currency]=Cleaned[[#This Row],[Currency]])*
  (FX_Rates[RateDate]&lt;=Cleaned[[#This Row],[TxnDate]]),
  FX_Rates[Rate_To_INR],
  ,
  -1
)</f>
        <v>56</v>
      </c>
      <c r="P1213" s="2">
        <f>Cleaned[[#This Row],[Net Amount]] *  Cleaned[[#This Row],[FX_rates]]</f>
        <v>74486.720000000001</v>
      </c>
    </row>
    <row r="1214" spans="1:16" x14ac:dyDescent="0.45">
      <c r="A1214" t="s">
        <v>1222</v>
      </c>
      <c r="B1214" s="1">
        <v>45524</v>
      </c>
      <c r="C1214" s="2" t="s">
        <v>2014</v>
      </c>
      <c r="D1214" t="s">
        <v>2019</v>
      </c>
      <c r="E1214">
        <v>0</v>
      </c>
      <c r="F1214">
        <f>Cleaned[[#This Row],[Debit]] * Cleaned[[#This Row],[FX_rates]]</f>
        <v>0</v>
      </c>
      <c r="G1214">
        <v>695.86</v>
      </c>
      <c r="H1214">
        <f>Cleaned[[#This Row],[Credit]] *  Cleaned[[#This Row],[FX_rates]]</f>
        <v>38968.160000000003</v>
      </c>
      <c r="I1214" t="s">
        <v>2022</v>
      </c>
      <c r="J1214" t="s">
        <v>2030</v>
      </c>
      <c r="K1214" t="s">
        <v>3243</v>
      </c>
      <c r="L1214" t="s">
        <v>4033</v>
      </c>
      <c r="M1214">
        <f>Cleaned[[#This Row],[Credit]]-Cleaned[[#This Row],[Debit]]</f>
        <v>695.86</v>
      </c>
      <c r="N1214" t="str">
        <f>_xlfn.XLOOKUP(Cleaned[[#This Row],[AccountName]], Account_Mapping!A:A, Account_Mapping!B:B,"Unmapped")</f>
        <v>Revenue</v>
      </c>
      <c r="O1214" cm="1">
        <f t="array" ref="O1214">_xlfn.XLOOKUP(
  1,
  (FX_Rates[Currency]=Cleaned[[#This Row],[Currency]])*
  (FX_Rates[RateDate]&lt;=Cleaned[[#This Row],[TxnDate]]),
  FX_Rates[Rate_To_INR],
  ,
  -1
)</f>
        <v>56</v>
      </c>
      <c r="P1214" s="2">
        <f>Cleaned[[#This Row],[Net Amount]] *  Cleaned[[#This Row],[FX_rates]]</f>
        <v>38968.160000000003</v>
      </c>
    </row>
    <row r="1215" spans="1:16" x14ac:dyDescent="0.45">
      <c r="A1215" t="s">
        <v>1223</v>
      </c>
      <c r="B1215" s="1">
        <v>45692</v>
      </c>
      <c r="C1215" s="2" t="s">
        <v>2013</v>
      </c>
      <c r="D1215" t="s">
        <v>2018</v>
      </c>
      <c r="E1215">
        <v>1628.31</v>
      </c>
      <c r="F1215">
        <f>Cleaned[[#This Row],[Debit]] * Cleaned[[#This Row],[FX_rates]]</f>
        <v>167715.93</v>
      </c>
      <c r="G1215">
        <v>0</v>
      </c>
      <c r="H1215">
        <f>Cleaned[[#This Row],[Credit]] *  Cleaned[[#This Row],[FX_rates]]</f>
        <v>0</v>
      </c>
      <c r="I1215" t="s">
        <v>2025</v>
      </c>
      <c r="J1215" t="s">
        <v>2029</v>
      </c>
      <c r="K1215" t="s">
        <v>3244</v>
      </c>
      <c r="L1215" t="s">
        <v>4031</v>
      </c>
      <c r="M1215">
        <f>Cleaned[[#This Row],[Credit]]-Cleaned[[#This Row],[Debit]]</f>
        <v>-1628.31</v>
      </c>
      <c r="N1215" t="str">
        <f>_xlfn.XLOOKUP(Cleaned[[#This Row],[AccountName]], Account_Mapping!A:A, Account_Mapping!B:B,"Unmapped")</f>
        <v>Operating Expense</v>
      </c>
      <c r="O1215" cm="1">
        <f t="array" ref="O1215">_xlfn.XLOOKUP(
  1,
  (FX_Rates[Currency]=Cleaned[[#This Row],[Currency]])*
  (FX_Rates[RateDate]&lt;=Cleaned[[#This Row],[TxnDate]]),
  FX_Rates[Rate_To_INR],
  ,
  -1
)</f>
        <v>103</v>
      </c>
      <c r="P1215" s="2">
        <f>Cleaned[[#This Row],[Net Amount]] *  Cleaned[[#This Row],[FX_rates]]</f>
        <v>-167715.93</v>
      </c>
    </row>
    <row r="1216" spans="1:16" x14ac:dyDescent="0.45">
      <c r="A1216" t="s">
        <v>1224</v>
      </c>
      <c r="B1216" s="1">
        <v>45064</v>
      </c>
      <c r="C1216" s="2" t="s">
        <v>2010</v>
      </c>
      <c r="D1216" t="s">
        <v>2015</v>
      </c>
      <c r="E1216">
        <v>0</v>
      </c>
      <c r="F1216">
        <f>Cleaned[[#This Row],[Debit]] * Cleaned[[#This Row],[FX_rates]]</f>
        <v>0</v>
      </c>
      <c r="G1216">
        <v>4939.1400000000003</v>
      </c>
      <c r="H1216">
        <f>Cleaned[[#This Row],[Credit]] *  Cleaned[[#This Row],[FX_rates]]</f>
        <v>508731.42000000004</v>
      </c>
      <c r="I1216" t="s">
        <v>2023</v>
      </c>
      <c r="J1216" t="s">
        <v>2026</v>
      </c>
      <c r="K1216" t="s">
        <v>3245</v>
      </c>
      <c r="L1216" t="s">
        <v>4031</v>
      </c>
      <c r="M1216">
        <f>Cleaned[[#This Row],[Credit]]-Cleaned[[#This Row],[Debit]]</f>
        <v>4939.1400000000003</v>
      </c>
      <c r="N1216" t="str">
        <f>_xlfn.XLOOKUP(Cleaned[[#This Row],[AccountName]], Account_Mapping!A:A, Account_Mapping!B:B,"Unmapped")</f>
        <v>Revenue</v>
      </c>
      <c r="O1216" cm="1">
        <f t="array" ref="O1216">_xlfn.XLOOKUP(
  1,
  (FX_Rates[Currency]=Cleaned[[#This Row],[Currency]])*
  (FX_Rates[RateDate]&lt;=Cleaned[[#This Row],[TxnDate]]),
  FX_Rates[Rate_To_INR],
  ,
  -1
)</f>
        <v>103</v>
      </c>
      <c r="P1216" s="2">
        <f>Cleaned[[#This Row],[Net Amount]] *  Cleaned[[#This Row],[FX_rates]]</f>
        <v>508731.42000000004</v>
      </c>
    </row>
    <row r="1217" spans="1:16" x14ac:dyDescent="0.45">
      <c r="A1217" t="s">
        <v>1225</v>
      </c>
      <c r="B1217" s="1">
        <v>45066</v>
      </c>
      <c r="C1217" s="2" t="s">
        <v>2013</v>
      </c>
      <c r="D1217" t="s">
        <v>2018</v>
      </c>
      <c r="E1217">
        <v>1884.45</v>
      </c>
      <c r="F1217">
        <f>Cleaned[[#This Row],[Debit]] * Cleaned[[#This Row],[FX_rates]]</f>
        <v>105529.2</v>
      </c>
      <c r="G1217">
        <v>0</v>
      </c>
      <c r="H1217">
        <f>Cleaned[[#This Row],[Credit]] *  Cleaned[[#This Row],[FX_rates]]</f>
        <v>0</v>
      </c>
      <c r="I1217" t="s">
        <v>2020</v>
      </c>
      <c r="J1217" t="s">
        <v>2028</v>
      </c>
      <c r="K1217" t="s">
        <v>3246</v>
      </c>
      <c r="L1217" t="s">
        <v>4033</v>
      </c>
      <c r="M1217">
        <f>Cleaned[[#This Row],[Credit]]-Cleaned[[#This Row],[Debit]]</f>
        <v>-1884.45</v>
      </c>
      <c r="N1217" t="str">
        <f>_xlfn.XLOOKUP(Cleaned[[#This Row],[AccountName]], Account_Mapping!A:A, Account_Mapping!B:B,"Unmapped")</f>
        <v>Operating Expense</v>
      </c>
      <c r="O1217" cm="1">
        <f t="array" ref="O1217">_xlfn.XLOOKUP(
  1,
  (FX_Rates[Currency]=Cleaned[[#This Row],[Currency]])*
  (FX_Rates[RateDate]&lt;=Cleaned[[#This Row],[TxnDate]]),
  FX_Rates[Rate_To_INR],
  ,
  -1
)</f>
        <v>56</v>
      </c>
      <c r="P1217" s="2">
        <f>Cleaned[[#This Row],[Net Amount]] *  Cleaned[[#This Row],[FX_rates]]</f>
        <v>-105529.2</v>
      </c>
    </row>
    <row r="1218" spans="1:16" x14ac:dyDescent="0.45">
      <c r="A1218" t="s">
        <v>1226</v>
      </c>
      <c r="B1218" s="1">
        <v>45515</v>
      </c>
      <c r="C1218" s="2" t="s">
        <v>2014</v>
      </c>
      <c r="D1218" t="s">
        <v>2019</v>
      </c>
      <c r="E1218">
        <v>0</v>
      </c>
      <c r="F1218">
        <f>Cleaned[[#This Row],[Debit]] * Cleaned[[#This Row],[FX_rates]]</f>
        <v>0</v>
      </c>
      <c r="G1218">
        <v>2294.84</v>
      </c>
      <c r="H1218">
        <f>Cleaned[[#This Row],[Credit]] *  Cleaned[[#This Row],[FX_rates]]</f>
        <v>188176.88</v>
      </c>
      <c r="I1218" t="s">
        <v>2022</v>
      </c>
      <c r="J1218" t="s">
        <v>2030</v>
      </c>
      <c r="K1218" t="s">
        <v>3247</v>
      </c>
      <c r="L1218" t="s">
        <v>4034</v>
      </c>
      <c r="M1218">
        <f>Cleaned[[#This Row],[Credit]]-Cleaned[[#This Row],[Debit]]</f>
        <v>2294.84</v>
      </c>
      <c r="N1218" t="str">
        <f>_xlfn.XLOOKUP(Cleaned[[#This Row],[AccountName]], Account_Mapping!A:A, Account_Mapping!B:B,"Unmapped")</f>
        <v>Revenue</v>
      </c>
      <c r="O1218" cm="1">
        <f t="array" ref="O1218">_xlfn.XLOOKUP(
  1,
  (FX_Rates[Currency]=Cleaned[[#This Row],[Currency]])*
  (FX_Rates[RateDate]&lt;=Cleaned[[#This Row],[TxnDate]]),
  FX_Rates[Rate_To_INR],
  ,
  -1
)</f>
        <v>82</v>
      </c>
      <c r="P1218" s="2">
        <f>Cleaned[[#This Row],[Net Amount]] *  Cleaned[[#This Row],[FX_rates]]</f>
        <v>188176.88</v>
      </c>
    </row>
    <row r="1219" spans="1:16" x14ac:dyDescent="0.45">
      <c r="A1219" t="s">
        <v>1227</v>
      </c>
      <c r="B1219" s="1">
        <v>45707</v>
      </c>
      <c r="C1219" s="2" t="s">
        <v>2012</v>
      </c>
      <c r="D1219" t="s">
        <v>2017</v>
      </c>
      <c r="E1219">
        <v>701.24</v>
      </c>
      <c r="F1219">
        <f>Cleaned[[#This Row],[Debit]] * Cleaned[[#This Row],[FX_rates]]</f>
        <v>57501.68</v>
      </c>
      <c r="G1219">
        <v>0</v>
      </c>
      <c r="H1219">
        <f>Cleaned[[#This Row],[Credit]] *  Cleaned[[#This Row],[FX_rates]]</f>
        <v>0</v>
      </c>
      <c r="I1219" t="s">
        <v>2020</v>
      </c>
      <c r="J1219" t="s">
        <v>2028</v>
      </c>
      <c r="K1219" t="s">
        <v>3248</v>
      </c>
      <c r="L1219" t="s">
        <v>4034</v>
      </c>
      <c r="M1219">
        <f>Cleaned[[#This Row],[Credit]]-Cleaned[[#This Row],[Debit]]</f>
        <v>-701.24</v>
      </c>
      <c r="N1219" t="str">
        <f>_xlfn.XLOOKUP(Cleaned[[#This Row],[AccountName]], Account_Mapping!A:A, Account_Mapping!B:B,"Unmapped")</f>
        <v>Operating Expense</v>
      </c>
      <c r="O1219" cm="1">
        <f t="array" ref="O1219">_xlfn.XLOOKUP(
  1,
  (FX_Rates[Currency]=Cleaned[[#This Row],[Currency]])*
  (FX_Rates[RateDate]&lt;=Cleaned[[#This Row],[TxnDate]]),
  FX_Rates[Rate_To_INR],
  ,
  -1
)</f>
        <v>82</v>
      </c>
      <c r="P1219" s="2">
        <f>Cleaned[[#This Row],[Net Amount]] *  Cleaned[[#This Row],[FX_rates]]</f>
        <v>-57501.68</v>
      </c>
    </row>
    <row r="1220" spans="1:16" x14ac:dyDescent="0.45">
      <c r="A1220" t="s">
        <v>1228</v>
      </c>
      <c r="B1220" s="1">
        <v>45297</v>
      </c>
      <c r="C1220" s="2" t="s">
        <v>2010</v>
      </c>
      <c r="D1220" t="s">
        <v>2015</v>
      </c>
      <c r="E1220">
        <v>0</v>
      </c>
      <c r="F1220">
        <f>Cleaned[[#This Row],[Debit]] * Cleaned[[#This Row],[FX_rates]]</f>
        <v>0</v>
      </c>
      <c r="G1220">
        <v>1406.7</v>
      </c>
      <c r="H1220">
        <f>Cleaned[[#This Row],[Credit]] *  Cleaned[[#This Row],[FX_rates]]</f>
        <v>123789.6</v>
      </c>
      <c r="I1220" t="s">
        <v>2020</v>
      </c>
      <c r="J1220" t="s">
        <v>2029</v>
      </c>
      <c r="K1220" t="s">
        <v>3249</v>
      </c>
      <c r="L1220" t="s">
        <v>4032</v>
      </c>
      <c r="M1220">
        <f>Cleaned[[#This Row],[Credit]]-Cleaned[[#This Row],[Debit]]</f>
        <v>1406.7</v>
      </c>
      <c r="N1220" t="str">
        <f>_xlfn.XLOOKUP(Cleaned[[#This Row],[AccountName]], Account_Mapping!A:A, Account_Mapping!B:B,"Unmapped")</f>
        <v>Revenue</v>
      </c>
      <c r="O1220" cm="1">
        <f t="array" ref="O1220">_xlfn.XLOOKUP(
  1,
  (FX_Rates[Currency]=Cleaned[[#This Row],[Currency]])*
  (FX_Rates[RateDate]&lt;=Cleaned[[#This Row],[TxnDate]]),
  FX_Rates[Rate_To_INR],
  ,
  -1
)</f>
        <v>88</v>
      </c>
      <c r="P1220" s="2">
        <f>Cleaned[[#This Row],[Net Amount]] *  Cleaned[[#This Row],[FX_rates]]</f>
        <v>123789.6</v>
      </c>
    </row>
    <row r="1221" spans="1:16" x14ac:dyDescent="0.45">
      <c r="A1221" t="s">
        <v>1229</v>
      </c>
      <c r="B1221" s="1">
        <v>45452</v>
      </c>
      <c r="C1221" s="2" t="s">
        <v>2012</v>
      </c>
      <c r="D1221" t="s">
        <v>2017</v>
      </c>
      <c r="E1221">
        <v>187.59</v>
      </c>
      <c r="F1221">
        <f>Cleaned[[#This Row],[Debit]] * Cleaned[[#This Row],[FX_rates]]</f>
        <v>16507.920000000002</v>
      </c>
      <c r="G1221">
        <v>0</v>
      </c>
      <c r="H1221">
        <f>Cleaned[[#This Row],[Credit]] *  Cleaned[[#This Row],[FX_rates]]</f>
        <v>0</v>
      </c>
      <c r="I1221" t="s">
        <v>2022</v>
      </c>
      <c r="J1221" t="s">
        <v>2030</v>
      </c>
      <c r="K1221" t="s">
        <v>3250</v>
      </c>
      <c r="L1221" t="s">
        <v>4032</v>
      </c>
      <c r="M1221">
        <f>Cleaned[[#This Row],[Credit]]-Cleaned[[#This Row],[Debit]]</f>
        <v>-187.59</v>
      </c>
      <c r="N1221" t="str">
        <f>_xlfn.XLOOKUP(Cleaned[[#This Row],[AccountName]], Account_Mapping!A:A, Account_Mapping!B:B,"Unmapped")</f>
        <v>Operating Expense</v>
      </c>
      <c r="O1221" cm="1">
        <f t="array" ref="O1221">_xlfn.XLOOKUP(
  1,
  (FX_Rates[Currency]=Cleaned[[#This Row],[Currency]])*
  (FX_Rates[RateDate]&lt;=Cleaned[[#This Row],[TxnDate]]),
  FX_Rates[Rate_To_INR],
  ,
  -1
)</f>
        <v>88</v>
      </c>
      <c r="P1221" s="2">
        <f>Cleaned[[#This Row],[Net Amount]] *  Cleaned[[#This Row],[FX_rates]]</f>
        <v>-16507.920000000002</v>
      </c>
    </row>
    <row r="1222" spans="1:16" x14ac:dyDescent="0.45">
      <c r="A1222" t="s">
        <v>1230</v>
      </c>
      <c r="B1222" s="1">
        <v>45091</v>
      </c>
      <c r="C1222" s="2" t="s">
        <v>2010</v>
      </c>
      <c r="D1222" t="s">
        <v>2015</v>
      </c>
      <c r="E1222">
        <v>0</v>
      </c>
      <c r="F1222">
        <f>Cleaned[[#This Row],[Debit]] * Cleaned[[#This Row],[FX_rates]]</f>
        <v>0</v>
      </c>
      <c r="G1222">
        <v>1358.12</v>
      </c>
      <c r="H1222">
        <f>Cleaned[[#This Row],[Credit]] *  Cleaned[[#This Row],[FX_rates]]</f>
        <v>111365.84</v>
      </c>
      <c r="I1222" t="s">
        <v>2024</v>
      </c>
      <c r="J1222" t="s">
        <v>2027</v>
      </c>
      <c r="K1222" t="s">
        <v>3251</v>
      </c>
      <c r="L1222" t="s">
        <v>4034</v>
      </c>
      <c r="M1222">
        <f>Cleaned[[#This Row],[Credit]]-Cleaned[[#This Row],[Debit]]</f>
        <v>1358.12</v>
      </c>
      <c r="N1222" t="str">
        <f>_xlfn.XLOOKUP(Cleaned[[#This Row],[AccountName]], Account_Mapping!A:A, Account_Mapping!B:B,"Unmapped")</f>
        <v>Revenue</v>
      </c>
      <c r="O1222" cm="1">
        <f t="array" ref="O1222">_xlfn.XLOOKUP(
  1,
  (FX_Rates[Currency]=Cleaned[[#This Row],[Currency]])*
  (FX_Rates[RateDate]&lt;=Cleaned[[#This Row],[TxnDate]]),
  FX_Rates[Rate_To_INR],
  ,
  -1
)</f>
        <v>82</v>
      </c>
      <c r="P1222" s="2">
        <f>Cleaned[[#This Row],[Net Amount]] *  Cleaned[[#This Row],[FX_rates]]</f>
        <v>111365.84</v>
      </c>
    </row>
    <row r="1223" spans="1:16" x14ac:dyDescent="0.45">
      <c r="A1223" t="s">
        <v>1231</v>
      </c>
      <c r="B1223" s="1">
        <v>45792</v>
      </c>
      <c r="C1223" s="2" t="s">
        <v>2011</v>
      </c>
      <c r="D1223" t="s">
        <v>2016</v>
      </c>
      <c r="E1223">
        <v>695.83</v>
      </c>
      <c r="F1223">
        <f>Cleaned[[#This Row],[Debit]] * Cleaned[[#This Row],[FX_rates]]</f>
        <v>42445.630000000005</v>
      </c>
      <c r="G1223">
        <v>0</v>
      </c>
      <c r="H1223">
        <f>Cleaned[[#This Row],[Credit]] *  Cleaned[[#This Row],[FX_rates]]</f>
        <v>0</v>
      </c>
      <c r="I1223" t="s">
        <v>2025</v>
      </c>
      <c r="J1223" t="s">
        <v>2028</v>
      </c>
      <c r="K1223" t="s">
        <v>3252</v>
      </c>
      <c r="L1223" t="s">
        <v>4035</v>
      </c>
      <c r="M1223">
        <f>Cleaned[[#This Row],[Credit]]-Cleaned[[#This Row],[Debit]]</f>
        <v>-695.83</v>
      </c>
      <c r="N1223" t="str">
        <f>_xlfn.XLOOKUP(Cleaned[[#This Row],[AccountName]], Account_Mapping!A:A, Account_Mapping!B:B,"Unmapped")</f>
        <v>COGS</v>
      </c>
      <c r="O1223" cm="1">
        <f t="array" ref="O1223">_xlfn.XLOOKUP(
  1,
  (FX_Rates[Currency]=Cleaned[[#This Row],[Currency]])*
  (FX_Rates[RateDate]&lt;=Cleaned[[#This Row],[TxnDate]]),
  FX_Rates[Rate_To_INR],
  ,
  -1
)</f>
        <v>61</v>
      </c>
      <c r="P1223" s="2">
        <f>Cleaned[[#This Row],[Net Amount]] *  Cleaned[[#This Row],[FX_rates]]</f>
        <v>-42445.630000000005</v>
      </c>
    </row>
    <row r="1224" spans="1:16" x14ac:dyDescent="0.45">
      <c r="A1224" t="s">
        <v>1232</v>
      </c>
      <c r="B1224" s="1">
        <v>45527</v>
      </c>
      <c r="C1224" s="2" t="s">
        <v>2013</v>
      </c>
      <c r="D1224" t="s">
        <v>2018</v>
      </c>
      <c r="E1224">
        <v>200.78</v>
      </c>
      <c r="F1224">
        <f>Cleaned[[#This Row],[Debit]] * Cleaned[[#This Row],[FX_rates]]</f>
        <v>12247.58</v>
      </c>
      <c r="G1224">
        <v>0</v>
      </c>
      <c r="H1224">
        <f>Cleaned[[#This Row],[Credit]] *  Cleaned[[#This Row],[FX_rates]]</f>
        <v>0</v>
      </c>
      <c r="I1224" t="s">
        <v>2025</v>
      </c>
      <c r="J1224" t="s">
        <v>2028</v>
      </c>
      <c r="K1224" t="s">
        <v>3253</v>
      </c>
      <c r="L1224" t="s">
        <v>4035</v>
      </c>
      <c r="M1224">
        <f>Cleaned[[#This Row],[Credit]]-Cleaned[[#This Row],[Debit]]</f>
        <v>-200.78</v>
      </c>
      <c r="N1224" t="str">
        <f>_xlfn.XLOOKUP(Cleaned[[#This Row],[AccountName]], Account_Mapping!A:A, Account_Mapping!B:B,"Unmapped")</f>
        <v>Operating Expense</v>
      </c>
      <c r="O1224" cm="1">
        <f t="array" ref="O1224">_xlfn.XLOOKUP(
  1,
  (FX_Rates[Currency]=Cleaned[[#This Row],[Currency]])*
  (FX_Rates[RateDate]&lt;=Cleaned[[#This Row],[TxnDate]]),
  FX_Rates[Rate_To_INR],
  ,
  -1
)</f>
        <v>61</v>
      </c>
      <c r="P1224" s="2">
        <f>Cleaned[[#This Row],[Net Amount]] *  Cleaned[[#This Row],[FX_rates]]</f>
        <v>-12247.58</v>
      </c>
    </row>
    <row r="1225" spans="1:16" x14ac:dyDescent="0.45">
      <c r="A1225" t="s">
        <v>1233</v>
      </c>
      <c r="B1225" s="1">
        <v>45194</v>
      </c>
      <c r="C1225" s="2" t="s">
        <v>2010</v>
      </c>
      <c r="D1225" t="s">
        <v>2015</v>
      </c>
      <c r="E1225">
        <v>0</v>
      </c>
      <c r="F1225">
        <f>Cleaned[[#This Row],[Debit]] * Cleaned[[#This Row],[FX_rates]]</f>
        <v>0</v>
      </c>
      <c r="G1225">
        <v>2848.57</v>
      </c>
      <c r="H1225">
        <f>Cleaned[[#This Row],[Credit]] *  Cleaned[[#This Row],[FX_rates]]</f>
        <v>159519.92000000001</v>
      </c>
      <c r="I1225" t="s">
        <v>2023</v>
      </c>
      <c r="J1225" t="s">
        <v>2027</v>
      </c>
      <c r="K1225" t="s">
        <v>3254</v>
      </c>
      <c r="L1225" t="s">
        <v>4033</v>
      </c>
      <c r="M1225">
        <f>Cleaned[[#This Row],[Credit]]-Cleaned[[#This Row],[Debit]]</f>
        <v>2848.57</v>
      </c>
      <c r="N1225" t="str">
        <f>_xlfn.XLOOKUP(Cleaned[[#This Row],[AccountName]], Account_Mapping!A:A, Account_Mapping!B:B,"Unmapped")</f>
        <v>Revenue</v>
      </c>
      <c r="O1225" cm="1">
        <f t="array" ref="O1225">_xlfn.XLOOKUP(
  1,
  (FX_Rates[Currency]=Cleaned[[#This Row],[Currency]])*
  (FX_Rates[RateDate]&lt;=Cleaned[[#This Row],[TxnDate]]),
  FX_Rates[Rate_To_INR],
  ,
  -1
)</f>
        <v>56</v>
      </c>
      <c r="P1225" s="2">
        <f>Cleaned[[#This Row],[Net Amount]] *  Cleaned[[#This Row],[FX_rates]]</f>
        <v>159519.92000000001</v>
      </c>
    </row>
    <row r="1226" spans="1:16" x14ac:dyDescent="0.45">
      <c r="A1226" t="s">
        <v>1234</v>
      </c>
      <c r="B1226" s="1">
        <v>45069</v>
      </c>
      <c r="C1226" s="2" t="s">
        <v>2011</v>
      </c>
      <c r="D1226" t="s">
        <v>2016</v>
      </c>
      <c r="E1226">
        <v>185.51</v>
      </c>
      <c r="F1226">
        <f>Cleaned[[#This Row],[Debit]] * Cleaned[[#This Row],[FX_rates]]</f>
        <v>19107.53</v>
      </c>
      <c r="G1226">
        <v>0</v>
      </c>
      <c r="H1226">
        <f>Cleaned[[#This Row],[Credit]] *  Cleaned[[#This Row],[FX_rates]]</f>
        <v>0</v>
      </c>
      <c r="I1226" t="s">
        <v>2020</v>
      </c>
      <c r="J1226" t="s">
        <v>2028</v>
      </c>
      <c r="K1226" t="s">
        <v>3255</v>
      </c>
      <c r="L1226" t="s">
        <v>4031</v>
      </c>
      <c r="M1226">
        <f>Cleaned[[#This Row],[Credit]]-Cleaned[[#This Row],[Debit]]</f>
        <v>-185.51</v>
      </c>
      <c r="N1226" t="str">
        <f>_xlfn.XLOOKUP(Cleaned[[#This Row],[AccountName]], Account_Mapping!A:A, Account_Mapping!B:B,"Unmapped")</f>
        <v>COGS</v>
      </c>
      <c r="O1226" cm="1">
        <f t="array" ref="O1226">_xlfn.XLOOKUP(
  1,
  (FX_Rates[Currency]=Cleaned[[#This Row],[Currency]])*
  (FX_Rates[RateDate]&lt;=Cleaned[[#This Row],[TxnDate]]),
  FX_Rates[Rate_To_INR],
  ,
  -1
)</f>
        <v>103</v>
      </c>
      <c r="P1226" s="2">
        <f>Cleaned[[#This Row],[Net Amount]] *  Cleaned[[#This Row],[FX_rates]]</f>
        <v>-19107.53</v>
      </c>
    </row>
    <row r="1227" spans="1:16" x14ac:dyDescent="0.45">
      <c r="A1227" t="s">
        <v>1235</v>
      </c>
      <c r="B1227" s="1">
        <v>45298</v>
      </c>
      <c r="C1227" s="2" t="s">
        <v>2012</v>
      </c>
      <c r="D1227" t="s">
        <v>2017</v>
      </c>
      <c r="E1227">
        <v>935.9</v>
      </c>
      <c r="F1227">
        <f>Cleaned[[#This Row],[Debit]] * Cleaned[[#This Row],[FX_rates]]</f>
        <v>57089.9</v>
      </c>
      <c r="G1227">
        <v>0</v>
      </c>
      <c r="H1227">
        <f>Cleaned[[#This Row],[Credit]] *  Cleaned[[#This Row],[FX_rates]]</f>
        <v>0</v>
      </c>
      <c r="I1227" t="s">
        <v>2022</v>
      </c>
      <c r="J1227" t="s">
        <v>2026</v>
      </c>
      <c r="K1227" t="s">
        <v>3256</v>
      </c>
      <c r="L1227" t="s">
        <v>4035</v>
      </c>
      <c r="M1227">
        <f>Cleaned[[#This Row],[Credit]]-Cleaned[[#This Row],[Debit]]</f>
        <v>-935.9</v>
      </c>
      <c r="N1227" t="str">
        <f>_xlfn.XLOOKUP(Cleaned[[#This Row],[AccountName]], Account_Mapping!A:A, Account_Mapping!B:B,"Unmapped")</f>
        <v>Operating Expense</v>
      </c>
      <c r="O1227" cm="1">
        <f t="array" ref="O1227">_xlfn.XLOOKUP(
  1,
  (FX_Rates[Currency]=Cleaned[[#This Row],[Currency]])*
  (FX_Rates[RateDate]&lt;=Cleaned[[#This Row],[TxnDate]]),
  FX_Rates[Rate_To_INR],
  ,
  -1
)</f>
        <v>61</v>
      </c>
      <c r="P1227" s="2">
        <f>Cleaned[[#This Row],[Net Amount]] *  Cleaned[[#This Row],[FX_rates]]</f>
        <v>-57089.9</v>
      </c>
    </row>
    <row r="1228" spans="1:16" x14ac:dyDescent="0.45">
      <c r="A1228" t="s">
        <v>1236</v>
      </c>
      <c r="B1228" s="1">
        <v>45498</v>
      </c>
      <c r="C1228" s="2" t="s">
        <v>2011</v>
      </c>
      <c r="D1228" t="s">
        <v>2016</v>
      </c>
      <c r="E1228">
        <v>1358.9</v>
      </c>
      <c r="F1228">
        <f>Cleaned[[#This Row],[Debit]] * Cleaned[[#This Row],[FX_rates]]</f>
        <v>111429.8</v>
      </c>
      <c r="G1228">
        <v>0</v>
      </c>
      <c r="H1228">
        <f>Cleaned[[#This Row],[Credit]] *  Cleaned[[#This Row],[FX_rates]]</f>
        <v>0</v>
      </c>
      <c r="I1228" t="s">
        <v>2023</v>
      </c>
      <c r="J1228" t="s">
        <v>2027</v>
      </c>
      <c r="K1228" t="s">
        <v>3257</v>
      </c>
      <c r="L1228" t="s">
        <v>4034</v>
      </c>
      <c r="M1228">
        <f>Cleaned[[#This Row],[Credit]]-Cleaned[[#This Row],[Debit]]</f>
        <v>-1358.9</v>
      </c>
      <c r="N1228" t="str">
        <f>_xlfn.XLOOKUP(Cleaned[[#This Row],[AccountName]], Account_Mapping!A:A, Account_Mapping!B:B,"Unmapped")</f>
        <v>COGS</v>
      </c>
      <c r="O1228" cm="1">
        <f t="array" ref="O1228">_xlfn.XLOOKUP(
  1,
  (FX_Rates[Currency]=Cleaned[[#This Row],[Currency]])*
  (FX_Rates[RateDate]&lt;=Cleaned[[#This Row],[TxnDate]]),
  FX_Rates[Rate_To_INR],
  ,
  -1
)</f>
        <v>82</v>
      </c>
      <c r="P1228" s="2">
        <f>Cleaned[[#This Row],[Net Amount]] *  Cleaned[[#This Row],[FX_rates]]</f>
        <v>-111429.8</v>
      </c>
    </row>
    <row r="1229" spans="1:16" x14ac:dyDescent="0.45">
      <c r="A1229" t="s">
        <v>1237</v>
      </c>
      <c r="B1229" s="1">
        <v>45690</v>
      </c>
      <c r="C1229" s="2" t="s">
        <v>2011</v>
      </c>
      <c r="D1229" t="s">
        <v>2016</v>
      </c>
      <c r="E1229">
        <v>1242.6500000000001</v>
      </c>
      <c r="F1229">
        <f>Cleaned[[#This Row],[Debit]] * Cleaned[[#This Row],[FX_rates]]</f>
        <v>101897.3</v>
      </c>
      <c r="G1229">
        <v>0</v>
      </c>
      <c r="H1229">
        <f>Cleaned[[#This Row],[Credit]] *  Cleaned[[#This Row],[FX_rates]]</f>
        <v>0</v>
      </c>
      <c r="I1229" t="s">
        <v>2024</v>
      </c>
      <c r="J1229" t="s">
        <v>2029</v>
      </c>
      <c r="K1229" t="s">
        <v>3258</v>
      </c>
      <c r="L1229" t="s">
        <v>4034</v>
      </c>
      <c r="M1229">
        <f>Cleaned[[#This Row],[Credit]]-Cleaned[[#This Row],[Debit]]</f>
        <v>-1242.6500000000001</v>
      </c>
      <c r="N1229" t="str">
        <f>_xlfn.XLOOKUP(Cleaned[[#This Row],[AccountName]], Account_Mapping!A:A, Account_Mapping!B:B,"Unmapped")</f>
        <v>COGS</v>
      </c>
      <c r="O1229" cm="1">
        <f t="array" ref="O1229">_xlfn.XLOOKUP(
  1,
  (FX_Rates[Currency]=Cleaned[[#This Row],[Currency]])*
  (FX_Rates[RateDate]&lt;=Cleaned[[#This Row],[TxnDate]]),
  FX_Rates[Rate_To_INR],
  ,
  -1
)</f>
        <v>82</v>
      </c>
      <c r="P1229" s="2">
        <f>Cleaned[[#This Row],[Net Amount]] *  Cleaned[[#This Row],[FX_rates]]</f>
        <v>-101897.3</v>
      </c>
    </row>
    <row r="1230" spans="1:16" x14ac:dyDescent="0.45">
      <c r="A1230" t="s">
        <v>1238</v>
      </c>
      <c r="B1230" s="1">
        <v>45489</v>
      </c>
      <c r="C1230" s="2" t="s">
        <v>2014</v>
      </c>
      <c r="D1230" t="s">
        <v>2019</v>
      </c>
      <c r="E1230">
        <v>0</v>
      </c>
      <c r="F1230">
        <f>Cleaned[[#This Row],[Debit]] * Cleaned[[#This Row],[FX_rates]]</f>
        <v>0</v>
      </c>
      <c r="G1230">
        <v>1524.63</v>
      </c>
      <c r="H1230">
        <f>Cleaned[[#This Row],[Credit]] *  Cleaned[[#This Row],[FX_rates]]</f>
        <v>93002.430000000008</v>
      </c>
      <c r="I1230" t="s">
        <v>2025</v>
      </c>
      <c r="J1230" t="s">
        <v>2029</v>
      </c>
      <c r="K1230" t="s">
        <v>3259</v>
      </c>
      <c r="L1230" t="s">
        <v>4035</v>
      </c>
      <c r="M1230">
        <f>Cleaned[[#This Row],[Credit]]-Cleaned[[#This Row],[Debit]]</f>
        <v>1524.63</v>
      </c>
      <c r="N1230" t="str">
        <f>_xlfn.XLOOKUP(Cleaned[[#This Row],[AccountName]], Account_Mapping!A:A, Account_Mapping!B:B,"Unmapped")</f>
        <v>Revenue</v>
      </c>
      <c r="O1230" cm="1">
        <f t="array" ref="O1230">_xlfn.XLOOKUP(
  1,
  (FX_Rates[Currency]=Cleaned[[#This Row],[Currency]])*
  (FX_Rates[RateDate]&lt;=Cleaned[[#This Row],[TxnDate]]),
  FX_Rates[Rate_To_INR],
  ,
  -1
)</f>
        <v>61</v>
      </c>
      <c r="P1230" s="2">
        <f>Cleaned[[#This Row],[Net Amount]] *  Cleaned[[#This Row],[FX_rates]]</f>
        <v>93002.430000000008</v>
      </c>
    </row>
    <row r="1231" spans="1:16" x14ac:dyDescent="0.45">
      <c r="A1231" t="s">
        <v>1239</v>
      </c>
      <c r="B1231" s="1">
        <v>45735</v>
      </c>
      <c r="C1231" s="2" t="s">
        <v>2014</v>
      </c>
      <c r="D1231" t="s">
        <v>2019</v>
      </c>
      <c r="E1231">
        <v>0</v>
      </c>
      <c r="F1231">
        <f>Cleaned[[#This Row],[Debit]] * Cleaned[[#This Row],[FX_rates]]</f>
        <v>0</v>
      </c>
      <c r="G1231">
        <v>1391.91</v>
      </c>
      <c r="H1231">
        <f>Cleaned[[#This Row],[Credit]] *  Cleaned[[#This Row],[FX_rates]]</f>
        <v>114136.62000000001</v>
      </c>
      <c r="I1231" t="s">
        <v>2022</v>
      </c>
      <c r="J1231" t="s">
        <v>2029</v>
      </c>
      <c r="K1231" t="s">
        <v>3260</v>
      </c>
      <c r="L1231" t="s">
        <v>4034</v>
      </c>
      <c r="M1231">
        <f>Cleaned[[#This Row],[Credit]]-Cleaned[[#This Row],[Debit]]</f>
        <v>1391.91</v>
      </c>
      <c r="N1231" t="str">
        <f>_xlfn.XLOOKUP(Cleaned[[#This Row],[AccountName]], Account_Mapping!A:A, Account_Mapping!B:B,"Unmapped")</f>
        <v>Revenue</v>
      </c>
      <c r="O1231" cm="1">
        <f t="array" ref="O1231">_xlfn.XLOOKUP(
  1,
  (FX_Rates[Currency]=Cleaned[[#This Row],[Currency]])*
  (FX_Rates[RateDate]&lt;=Cleaned[[#This Row],[TxnDate]]),
  FX_Rates[Rate_To_INR],
  ,
  -1
)</f>
        <v>82</v>
      </c>
      <c r="P1231" s="2">
        <f>Cleaned[[#This Row],[Net Amount]] *  Cleaned[[#This Row],[FX_rates]]</f>
        <v>114136.62000000001</v>
      </c>
    </row>
    <row r="1232" spans="1:16" x14ac:dyDescent="0.45">
      <c r="A1232" t="s">
        <v>1240</v>
      </c>
      <c r="B1232" s="1">
        <v>45566</v>
      </c>
      <c r="C1232" s="2" t="s">
        <v>2010</v>
      </c>
      <c r="D1232" t="s">
        <v>2015</v>
      </c>
      <c r="E1232">
        <v>0</v>
      </c>
      <c r="F1232">
        <f>Cleaned[[#This Row],[Debit]] * Cleaned[[#This Row],[FX_rates]]</f>
        <v>0</v>
      </c>
      <c r="G1232">
        <v>3506.68</v>
      </c>
      <c r="H1232">
        <f>Cleaned[[#This Row],[Credit]] *  Cleaned[[#This Row],[FX_rates]]</f>
        <v>213907.47999999998</v>
      </c>
      <c r="I1232" t="s">
        <v>2025</v>
      </c>
      <c r="J1232" t="s">
        <v>2029</v>
      </c>
      <c r="K1232" t="s">
        <v>3261</v>
      </c>
      <c r="L1232" t="s">
        <v>4035</v>
      </c>
      <c r="M1232">
        <f>Cleaned[[#This Row],[Credit]]-Cleaned[[#This Row],[Debit]]</f>
        <v>3506.68</v>
      </c>
      <c r="N1232" t="str">
        <f>_xlfn.XLOOKUP(Cleaned[[#This Row],[AccountName]], Account_Mapping!A:A, Account_Mapping!B:B,"Unmapped")</f>
        <v>Revenue</v>
      </c>
      <c r="O1232" cm="1">
        <f t="array" ref="O1232">_xlfn.XLOOKUP(
  1,
  (FX_Rates[Currency]=Cleaned[[#This Row],[Currency]])*
  (FX_Rates[RateDate]&lt;=Cleaned[[#This Row],[TxnDate]]),
  FX_Rates[Rate_To_INR],
  ,
  -1
)</f>
        <v>61</v>
      </c>
      <c r="P1232" s="2">
        <f>Cleaned[[#This Row],[Net Amount]] *  Cleaned[[#This Row],[FX_rates]]</f>
        <v>213907.47999999998</v>
      </c>
    </row>
    <row r="1233" spans="1:16" x14ac:dyDescent="0.45">
      <c r="A1233" t="s">
        <v>1241</v>
      </c>
      <c r="B1233" s="1">
        <v>45517</v>
      </c>
      <c r="C1233" s="2" t="s">
        <v>2011</v>
      </c>
      <c r="D1233" t="s">
        <v>2016</v>
      </c>
      <c r="E1233">
        <v>1331.89</v>
      </c>
      <c r="F1233">
        <f>Cleaned[[#This Row],[Debit]] * Cleaned[[#This Row],[FX_rates]]</f>
        <v>137184.67000000001</v>
      </c>
      <c r="G1233">
        <v>0</v>
      </c>
      <c r="H1233">
        <f>Cleaned[[#This Row],[Credit]] *  Cleaned[[#This Row],[FX_rates]]</f>
        <v>0</v>
      </c>
      <c r="I1233" t="s">
        <v>2024</v>
      </c>
      <c r="J1233" t="s">
        <v>2028</v>
      </c>
      <c r="K1233" t="s">
        <v>3262</v>
      </c>
      <c r="L1233" t="s">
        <v>4031</v>
      </c>
      <c r="M1233">
        <f>Cleaned[[#This Row],[Credit]]-Cleaned[[#This Row],[Debit]]</f>
        <v>-1331.89</v>
      </c>
      <c r="N1233" t="str">
        <f>_xlfn.XLOOKUP(Cleaned[[#This Row],[AccountName]], Account_Mapping!A:A, Account_Mapping!B:B,"Unmapped")</f>
        <v>COGS</v>
      </c>
      <c r="O1233" cm="1">
        <f t="array" ref="O1233">_xlfn.XLOOKUP(
  1,
  (FX_Rates[Currency]=Cleaned[[#This Row],[Currency]])*
  (FX_Rates[RateDate]&lt;=Cleaned[[#This Row],[TxnDate]]),
  FX_Rates[Rate_To_INR],
  ,
  -1
)</f>
        <v>103</v>
      </c>
      <c r="P1233" s="2">
        <f>Cleaned[[#This Row],[Net Amount]] *  Cleaned[[#This Row],[FX_rates]]</f>
        <v>-137184.67000000001</v>
      </c>
    </row>
    <row r="1234" spans="1:16" x14ac:dyDescent="0.45">
      <c r="A1234" t="s">
        <v>1242</v>
      </c>
      <c r="B1234" s="1">
        <v>45084</v>
      </c>
      <c r="C1234" s="2" t="s">
        <v>2011</v>
      </c>
      <c r="D1234" t="s">
        <v>2016</v>
      </c>
      <c r="E1234">
        <v>674.31</v>
      </c>
      <c r="F1234">
        <f>Cleaned[[#This Row],[Debit]] * Cleaned[[#This Row],[FX_rates]]</f>
        <v>69453.929999999993</v>
      </c>
      <c r="G1234">
        <v>0</v>
      </c>
      <c r="H1234">
        <f>Cleaned[[#This Row],[Credit]] *  Cleaned[[#This Row],[FX_rates]]</f>
        <v>0</v>
      </c>
      <c r="I1234" t="s">
        <v>2021</v>
      </c>
      <c r="J1234" t="s">
        <v>2026</v>
      </c>
      <c r="K1234" t="s">
        <v>3263</v>
      </c>
      <c r="L1234" t="s">
        <v>4031</v>
      </c>
      <c r="M1234">
        <f>Cleaned[[#This Row],[Credit]]-Cleaned[[#This Row],[Debit]]</f>
        <v>-674.31</v>
      </c>
      <c r="N1234" t="str">
        <f>_xlfn.XLOOKUP(Cleaned[[#This Row],[AccountName]], Account_Mapping!A:A, Account_Mapping!B:B,"Unmapped")</f>
        <v>COGS</v>
      </c>
      <c r="O1234" cm="1">
        <f t="array" ref="O1234">_xlfn.XLOOKUP(
  1,
  (FX_Rates[Currency]=Cleaned[[#This Row],[Currency]])*
  (FX_Rates[RateDate]&lt;=Cleaned[[#This Row],[TxnDate]]),
  FX_Rates[Rate_To_INR],
  ,
  -1
)</f>
        <v>103</v>
      </c>
      <c r="P1234" s="2">
        <f>Cleaned[[#This Row],[Net Amount]] *  Cleaned[[#This Row],[FX_rates]]</f>
        <v>-69453.929999999993</v>
      </c>
    </row>
    <row r="1235" spans="1:16" x14ac:dyDescent="0.45">
      <c r="A1235" t="s">
        <v>1243</v>
      </c>
      <c r="B1235" s="1">
        <v>45394</v>
      </c>
      <c r="C1235" s="2" t="s">
        <v>2010</v>
      </c>
      <c r="D1235" t="s">
        <v>2015</v>
      </c>
      <c r="E1235">
        <v>0</v>
      </c>
      <c r="F1235">
        <f>Cleaned[[#This Row],[Debit]] * Cleaned[[#This Row],[FX_rates]]</f>
        <v>0</v>
      </c>
      <c r="G1235">
        <v>2570.4299999999998</v>
      </c>
      <c r="H1235">
        <f>Cleaned[[#This Row],[Credit]] *  Cleaned[[#This Row],[FX_rates]]</f>
        <v>226197.84</v>
      </c>
      <c r="I1235" t="s">
        <v>2022</v>
      </c>
      <c r="J1235" t="s">
        <v>2030</v>
      </c>
      <c r="K1235" t="s">
        <v>3264</v>
      </c>
      <c r="L1235" t="s">
        <v>4032</v>
      </c>
      <c r="M1235">
        <f>Cleaned[[#This Row],[Credit]]-Cleaned[[#This Row],[Debit]]</f>
        <v>2570.4299999999998</v>
      </c>
      <c r="N1235" t="str">
        <f>_xlfn.XLOOKUP(Cleaned[[#This Row],[AccountName]], Account_Mapping!A:A, Account_Mapping!B:B,"Unmapped")</f>
        <v>Revenue</v>
      </c>
      <c r="O1235" cm="1">
        <f t="array" ref="O1235">_xlfn.XLOOKUP(
  1,
  (FX_Rates[Currency]=Cleaned[[#This Row],[Currency]])*
  (FX_Rates[RateDate]&lt;=Cleaned[[#This Row],[TxnDate]]),
  FX_Rates[Rate_To_INR],
  ,
  -1
)</f>
        <v>88</v>
      </c>
      <c r="P1235" s="2">
        <f>Cleaned[[#This Row],[Net Amount]] *  Cleaned[[#This Row],[FX_rates]]</f>
        <v>226197.84</v>
      </c>
    </row>
    <row r="1236" spans="1:16" x14ac:dyDescent="0.45">
      <c r="A1236" t="s">
        <v>1244</v>
      </c>
      <c r="B1236" s="1">
        <v>45733</v>
      </c>
      <c r="C1236" s="2" t="s">
        <v>2014</v>
      </c>
      <c r="D1236" t="s">
        <v>2019</v>
      </c>
      <c r="E1236">
        <v>0</v>
      </c>
      <c r="F1236">
        <f>Cleaned[[#This Row],[Debit]] * Cleaned[[#This Row],[FX_rates]]</f>
        <v>0</v>
      </c>
      <c r="G1236">
        <v>1312.61</v>
      </c>
      <c r="H1236">
        <f>Cleaned[[#This Row],[Credit]] *  Cleaned[[#This Row],[FX_rates]]</f>
        <v>80069.209999999992</v>
      </c>
      <c r="I1236" t="s">
        <v>2025</v>
      </c>
      <c r="J1236" t="s">
        <v>2029</v>
      </c>
      <c r="K1236" t="s">
        <v>3265</v>
      </c>
      <c r="L1236" t="s">
        <v>4035</v>
      </c>
      <c r="M1236">
        <f>Cleaned[[#This Row],[Credit]]-Cleaned[[#This Row],[Debit]]</f>
        <v>1312.61</v>
      </c>
      <c r="N1236" t="str">
        <f>_xlfn.XLOOKUP(Cleaned[[#This Row],[AccountName]], Account_Mapping!A:A, Account_Mapping!B:B,"Unmapped")</f>
        <v>Revenue</v>
      </c>
      <c r="O1236" cm="1">
        <f t="array" ref="O1236">_xlfn.XLOOKUP(
  1,
  (FX_Rates[Currency]=Cleaned[[#This Row],[Currency]])*
  (FX_Rates[RateDate]&lt;=Cleaned[[#This Row],[TxnDate]]),
  FX_Rates[Rate_To_INR],
  ,
  -1
)</f>
        <v>61</v>
      </c>
      <c r="P1236" s="2">
        <f>Cleaned[[#This Row],[Net Amount]] *  Cleaned[[#This Row],[FX_rates]]</f>
        <v>80069.209999999992</v>
      </c>
    </row>
    <row r="1237" spans="1:16" x14ac:dyDescent="0.45">
      <c r="A1237" t="s">
        <v>1245</v>
      </c>
      <c r="B1237" s="1">
        <v>45317</v>
      </c>
      <c r="C1237" s="2" t="s">
        <v>2011</v>
      </c>
      <c r="D1237" t="s">
        <v>2016</v>
      </c>
      <c r="E1237">
        <v>1101.82</v>
      </c>
      <c r="F1237">
        <f>Cleaned[[#This Row],[Debit]] * Cleaned[[#This Row],[FX_rates]]</f>
        <v>113487.45999999999</v>
      </c>
      <c r="G1237">
        <v>0</v>
      </c>
      <c r="H1237">
        <f>Cleaned[[#This Row],[Credit]] *  Cleaned[[#This Row],[FX_rates]]</f>
        <v>0</v>
      </c>
      <c r="I1237" t="s">
        <v>2021</v>
      </c>
      <c r="J1237" t="s">
        <v>2027</v>
      </c>
      <c r="K1237" t="s">
        <v>3266</v>
      </c>
      <c r="L1237" t="s">
        <v>4031</v>
      </c>
      <c r="M1237">
        <f>Cleaned[[#This Row],[Credit]]-Cleaned[[#This Row],[Debit]]</f>
        <v>-1101.82</v>
      </c>
      <c r="N1237" t="str">
        <f>_xlfn.XLOOKUP(Cleaned[[#This Row],[AccountName]], Account_Mapping!A:A, Account_Mapping!B:B,"Unmapped")</f>
        <v>COGS</v>
      </c>
      <c r="O1237" cm="1">
        <f t="array" ref="O1237">_xlfn.XLOOKUP(
  1,
  (FX_Rates[Currency]=Cleaned[[#This Row],[Currency]])*
  (FX_Rates[RateDate]&lt;=Cleaned[[#This Row],[TxnDate]]),
  FX_Rates[Rate_To_INR],
  ,
  -1
)</f>
        <v>103</v>
      </c>
      <c r="P1237" s="2">
        <f>Cleaned[[#This Row],[Net Amount]] *  Cleaned[[#This Row],[FX_rates]]</f>
        <v>-113487.45999999999</v>
      </c>
    </row>
    <row r="1238" spans="1:16" x14ac:dyDescent="0.45">
      <c r="A1238" t="s">
        <v>1246</v>
      </c>
      <c r="B1238" s="1">
        <v>45458</v>
      </c>
      <c r="C1238" s="2" t="s">
        <v>2010</v>
      </c>
      <c r="D1238" t="s">
        <v>2015</v>
      </c>
      <c r="E1238">
        <v>0</v>
      </c>
      <c r="F1238">
        <f>Cleaned[[#This Row],[Debit]] * Cleaned[[#This Row],[FX_rates]]</f>
        <v>0</v>
      </c>
      <c r="G1238">
        <v>143.81</v>
      </c>
      <c r="H1238">
        <f>Cleaned[[#This Row],[Credit]] *  Cleaned[[#This Row],[FX_rates]]</f>
        <v>8772.41</v>
      </c>
      <c r="I1238" t="s">
        <v>2025</v>
      </c>
      <c r="J1238" t="s">
        <v>2028</v>
      </c>
      <c r="K1238" t="s">
        <v>3267</v>
      </c>
      <c r="L1238" t="s">
        <v>4035</v>
      </c>
      <c r="M1238">
        <f>Cleaned[[#This Row],[Credit]]-Cleaned[[#This Row],[Debit]]</f>
        <v>143.81</v>
      </c>
      <c r="N1238" t="str">
        <f>_xlfn.XLOOKUP(Cleaned[[#This Row],[AccountName]], Account_Mapping!A:A, Account_Mapping!B:B,"Unmapped")</f>
        <v>Revenue</v>
      </c>
      <c r="O1238" cm="1">
        <f t="array" ref="O1238">_xlfn.XLOOKUP(
  1,
  (FX_Rates[Currency]=Cleaned[[#This Row],[Currency]])*
  (FX_Rates[RateDate]&lt;=Cleaned[[#This Row],[TxnDate]]),
  FX_Rates[Rate_To_INR],
  ,
  -1
)</f>
        <v>61</v>
      </c>
      <c r="P1238" s="2">
        <f>Cleaned[[#This Row],[Net Amount]] *  Cleaned[[#This Row],[FX_rates]]</f>
        <v>8772.41</v>
      </c>
    </row>
    <row r="1239" spans="1:16" x14ac:dyDescent="0.45">
      <c r="A1239" t="s">
        <v>1247</v>
      </c>
      <c r="B1239" s="1">
        <v>45610</v>
      </c>
      <c r="C1239" s="2" t="s">
        <v>2010</v>
      </c>
      <c r="D1239" t="s">
        <v>2015</v>
      </c>
      <c r="E1239">
        <v>0</v>
      </c>
      <c r="F1239">
        <f>Cleaned[[#This Row],[Debit]] * Cleaned[[#This Row],[FX_rates]]</f>
        <v>0</v>
      </c>
      <c r="G1239">
        <v>838.04</v>
      </c>
      <c r="H1239">
        <f>Cleaned[[#This Row],[Credit]] *  Cleaned[[#This Row],[FX_rates]]</f>
        <v>46930.239999999998</v>
      </c>
      <c r="I1239" t="s">
        <v>2021</v>
      </c>
      <c r="J1239" t="s">
        <v>2026</v>
      </c>
      <c r="K1239" t="s">
        <v>3268</v>
      </c>
      <c r="L1239" t="s">
        <v>4033</v>
      </c>
      <c r="M1239">
        <f>Cleaned[[#This Row],[Credit]]-Cleaned[[#This Row],[Debit]]</f>
        <v>838.04</v>
      </c>
      <c r="N1239" t="str">
        <f>_xlfn.XLOOKUP(Cleaned[[#This Row],[AccountName]], Account_Mapping!A:A, Account_Mapping!B:B,"Unmapped")</f>
        <v>Revenue</v>
      </c>
      <c r="O1239" cm="1">
        <f t="array" ref="O1239">_xlfn.XLOOKUP(
  1,
  (FX_Rates[Currency]=Cleaned[[#This Row],[Currency]])*
  (FX_Rates[RateDate]&lt;=Cleaned[[#This Row],[TxnDate]]),
  FX_Rates[Rate_To_INR],
  ,
  -1
)</f>
        <v>56</v>
      </c>
      <c r="P1239" s="2">
        <f>Cleaned[[#This Row],[Net Amount]] *  Cleaned[[#This Row],[FX_rates]]</f>
        <v>46930.239999999998</v>
      </c>
    </row>
    <row r="1240" spans="1:16" x14ac:dyDescent="0.45">
      <c r="A1240" t="s">
        <v>1248</v>
      </c>
      <c r="B1240" s="1">
        <v>45356</v>
      </c>
      <c r="C1240" s="2" t="s">
        <v>2012</v>
      </c>
      <c r="D1240" t="s">
        <v>2017</v>
      </c>
      <c r="E1240">
        <v>1626.01</v>
      </c>
      <c r="F1240">
        <f>Cleaned[[#This Row],[Debit]] * Cleaned[[#This Row],[FX_rates]]</f>
        <v>99186.61</v>
      </c>
      <c r="G1240">
        <v>0</v>
      </c>
      <c r="H1240">
        <f>Cleaned[[#This Row],[Credit]] *  Cleaned[[#This Row],[FX_rates]]</f>
        <v>0</v>
      </c>
      <c r="I1240" t="s">
        <v>2022</v>
      </c>
      <c r="J1240" t="s">
        <v>2030</v>
      </c>
      <c r="K1240" t="s">
        <v>3269</v>
      </c>
      <c r="L1240" t="s">
        <v>4035</v>
      </c>
      <c r="M1240">
        <f>Cleaned[[#This Row],[Credit]]-Cleaned[[#This Row],[Debit]]</f>
        <v>-1626.01</v>
      </c>
      <c r="N1240" t="str">
        <f>_xlfn.XLOOKUP(Cleaned[[#This Row],[AccountName]], Account_Mapping!A:A, Account_Mapping!B:B,"Unmapped")</f>
        <v>Operating Expense</v>
      </c>
      <c r="O1240" cm="1">
        <f t="array" ref="O1240">_xlfn.XLOOKUP(
  1,
  (FX_Rates[Currency]=Cleaned[[#This Row],[Currency]])*
  (FX_Rates[RateDate]&lt;=Cleaned[[#This Row],[TxnDate]]),
  FX_Rates[Rate_To_INR],
  ,
  -1
)</f>
        <v>61</v>
      </c>
      <c r="P1240" s="2">
        <f>Cleaned[[#This Row],[Net Amount]] *  Cleaned[[#This Row],[FX_rates]]</f>
        <v>-99186.61</v>
      </c>
    </row>
    <row r="1241" spans="1:16" x14ac:dyDescent="0.45">
      <c r="A1241" t="s">
        <v>1249</v>
      </c>
      <c r="B1241" s="1">
        <v>45197</v>
      </c>
      <c r="C1241" s="2" t="s">
        <v>2011</v>
      </c>
      <c r="D1241" t="s">
        <v>2016</v>
      </c>
      <c r="E1241">
        <v>1394.34</v>
      </c>
      <c r="F1241">
        <f>Cleaned[[#This Row],[Debit]] * Cleaned[[#This Row],[FX_rates]]</f>
        <v>122701.92</v>
      </c>
      <c r="G1241">
        <v>0</v>
      </c>
      <c r="H1241">
        <f>Cleaned[[#This Row],[Credit]] *  Cleaned[[#This Row],[FX_rates]]</f>
        <v>0</v>
      </c>
      <c r="I1241" t="s">
        <v>2022</v>
      </c>
      <c r="J1241" t="s">
        <v>2029</v>
      </c>
      <c r="K1241" t="s">
        <v>3270</v>
      </c>
      <c r="L1241" t="s">
        <v>4032</v>
      </c>
      <c r="M1241">
        <f>Cleaned[[#This Row],[Credit]]-Cleaned[[#This Row],[Debit]]</f>
        <v>-1394.34</v>
      </c>
      <c r="N1241" t="str">
        <f>_xlfn.XLOOKUP(Cleaned[[#This Row],[AccountName]], Account_Mapping!A:A, Account_Mapping!B:B,"Unmapped")</f>
        <v>COGS</v>
      </c>
      <c r="O1241" cm="1">
        <f t="array" ref="O1241">_xlfn.XLOOKUP(
  1,
  (FX_Rates[Currency]=Cleaned[[#This Row],[Currency]])*
  (FX_Rates[RateDate]&lt;=Cleaned[[#This Row],[TxnDate]]),
  FX_Rates[Rate_To_INR],
  ,
  -1
)</f>
        <v>88</v>
      </c>
      <c r="P1241" s="2">
        <f>Cleaned[[#This Row],[Net Amount]] *  Cleaned[[#This Row],[FX_rates]]</f>
        <v>-122701.92</v>
      </c>
    </row>
    <row r="1242" spans="1:16" x14ac:dyDescent="0.45">
      <c r="A1242" t="s">
        <v>1250</v>
      </c>
      <c r="B1242" s="1">
        <v>45789</v>
      </c>
      <c r="C1242" s="2" t="s">
        <v>2014</v>
      </c>
      <c r="D1242" t="s">
        <v>2019</v>
      </c>
      <c r="E1242">
        <v>0</v>
      </c>
      <c r="F1242">
        <f>Cleaned[[#This Row],[Debit]] * Cleaned[[#This Row],[FX_rates]]</f>
        <v>0</v>
      </c>
      <c r="G1242">
        <v>1022.63</v>
      </c>
      <c r="H1242">
        <f>Cleaned[[#This Row],[Credit]] *  Cleaned[[#This Row],[FX_rates]]</f>
        <v>62380.43</v>
      </c>
      <c r="I1242" t="s">
        <v>2020</v>
      </c>
      <c r="J1242" t="s">
        <v>2030</v>
      </c>
      <c r="K1242" t="s">
        <v>3271</v>
      </c>
      <c r="L1242" t="s">
        <v>4035</v>
      </c>
      <c r="M1242">
        <f>Cleaned[[#This Row],[Credit]]-Cleaned[[#This Row],[Debit]]</f>
        <v>1022.63</v>
      </c>
      <c r="N1242" t="str">
        <f>_xlfn.XLOOKUP(Cleaned[[#This Row],[AccountName]], Account_Mapping!A:A, Account_Mapping!B:B,"Unmapped")</f>
        <v>Revenue</v>
      </c>
      <c r="O1242" cm="1">
        <f t="array" ref="O1242">_xlfn.XLOOKUP(
  1,
  (FX_Rates[Currency]=Cleaned[[#This Row],[Currency]])*
  (FX_Rates[RateDate]&lt;=Cleaned[[#This Row],[TxnDate]]),
  FX_Rates[Rate_To_INR],
  ,
  -1
)</f>
        <v>61</v>
      </c>
      <c r="P1242" s="2">
        <f>Cleaned[[#This Row],[Net Amount]] *  Cleaned[[#This Row],[FX_rates]]</f>
        <v>62380.43</v>
      </c>
    </row>
    <row r="1243" spans="1:16" x14ac:dyDescent="0.45">
      <c r="A1243" t="s">
        <v>1251</v>
      </c>
      <c r="B1243" s="1">
        <v>45031</v>
      </c>
      <c r="C1243" s="2" t="s">
        <v>2013</v>
      </c>
      <c r="D1243" t="s">
        <v>2018</v>
      </c>
      <c r="E1243">
        <v>1757.53</v>
      </c>
      <c r="F1243">
        <f>Cleaned[[#This Row],[Debit]] * Cleaned[[#This Row],[FX_rates]]</f>
        <v>181025.59</v>
      </c>
      <c r="G1243">
        <v>0</v>
      </c>
      <c r="H1243">
        <f>Cleaned[[#This Row],[Credit]] *  Cleaned[[#This Row],[FX_rates]]</f>
        <v>0</v>
      </c>
      <c r="I1243" t="s">
        <v>2025</v>
      </c>
      <c r="J1243" t="s">
        <v>2030</v>
      </c>
      <c r="K1243" t="s">
        <v>3272</v>
      </c>
      <c r="L1243" t="s">
        <v>4031</v>
      </c>
      <c r="M1243">
        <f>Cleaned[[#This Row],[Credit]]-Cleaned[[#This Row],[Debit]]</f>
        <v>-1757.53</v>
      </c>
      <c r="N1243" t="str">
        <f>_xlfn.XLOOKUP(Cleaned[[#This Row],[AccountName]], Account_Mapping!A:A, Account_Mapping!B:B,"Unmapped")</f>
        <v>Operating Expense</v>
      </c>
      <c r="O1243" cm="1">
        <f t="array" ref="O1243">_xlfn.XLOOKUP(
  1,
  (FX_Rates[Currency]=Cleaned[[#This Row],[Currency]])*
  (FX_Rates[RateDate]&lt;=Cleaned[[#This Row],[TxnDate]]),
  FX_Rates[Rate_To_INR],
  ,
  -1
)</f>
        <v>103</v>
      </c>
      <c r="P1243" s="2">
        <f>Cleaned[[#This Row],[Net Amount]] *  Cleaned[[#This Row],[FX_rates]]</f>
        <v>-181025.59</v>
      </c>
    </row>
    <row r="1244" spans="1:16" x14ac:dyDescent="0.45">
      <c r="A1244" t="s">
        <v>1252</v>
      </c>
      <c r="B1244" s="1">
        <v>45797</v>
      </c>
      <c r="C1244" s="2" t="s">
        <v>2010</v>
      </c>
      <c r="D1244" t="s">
        <v>2015</v>
      </c>
      <c r="E1244">
        <v>0</v>
      </c>
      <c r="F1244">
        <f>Cleaned[[#This Row],[Debit]] * Cleaned[[#This Row],[FX_rates]]</f>
        <v>0</v>
      </c>
      <c r="G1244">
        <v>1866.82</v>
      </c>
      <c r="H1244">
        <f>Cleaned[[#This Row],[Credit]] *  Cleaned[[#This Row],[FX_rates]]</f>
        <v>104541.92</v>
      </c>
      <c r="I1244" t="s">
        <v>2022</v>
      </c>
      <c r="J1244" t="s">
        <v>2026</v>
      </c>
      <c r="K1244" t="s">
        <v>3273</v>
      </c>
      <c r="L1244" t="s">
        <v>4033</v>
      </c>
      <c r="M1244">
        <f>Cleaned[[#This Row],[Credit]]-Cleaned[[#This Row],[Debit]]</f>
        <v>1866.82</v>
      </c>
      <c r="N1244" t="str">
        <f>_xlfn.XLOOKUP(Cleaned[[#This Row],[AccountName]], Account_Mapping!A:A, Account_Mapping!B:B,"Unmapped")</f>
        <v>Revenue</v>
      </c>
      <c r="O1244" cm="1">
        <f t="array" ref="O1244">_xlfn.XLOOKUP(
  1,
  (FX_Rates[Currency]=Cleaned[[#This Row],[Currency]])*
  (FX_Rates[RateDate]&lt;=Cleaned[[#This Row],[TxnDate]]),
  FX_Rates[Rate_To_INR],
  ,
  -1
)</f>
        <v>56</v>
      </c>
      <c r="P1244" s="2">
        <f>Cleaned[[#This Row],[Net Amount]] *  Cleaned[[#This Row],[FX_rates]]</f>
        <v>104541.92</v>
      </c>
    </row>
    <row r="1245" spans="1:16" x14ac:dyDescent="0.45">
      <c r="A1245" t="s">
        <v>1253</v>
      </c>
      <c r="B1245" s="1">
        <v>45767</v>
      </c>
      <c r="C1245" s="2" t="s">
        <v>2012</v>
      </c>
      <c r="D1245" t="s">
        <v>2017</v>
      </c>
      <c r="E1245">
        <v>1791.42</v>
      </c>
      <c r="F1245">
        <f>Cleaned[[#This Row],[Debit]] * Cleaned[[#This Row],[FX_rates]]</f>
        <v>157644.96000000002</v>
      </c>
      <c r="G1245">
        <v>0</v>
      </c>
      <c r="H1245">
        <f>Cleaned[[#This Row],[Credit]] *  Cleaned[[#This Row],[FX_rates]]</f>
        <v>0</v>
      </c>
      <c r="I1245" t="s">
        <v>2023</v>
      </c>
      <c r="J1245" t="s">
        <v>2030</v>
      </c>
      <c r="K1245" t="s">
        <v>3274</v>
      </c>
      <c r="L1245" t="s">
        <v>4032</v>
      </c>
      <c r="M1245">
        <f>Cleaned[[#This Row],[Credit]]-Cleaned[[#This Row],[Debit]]</f>
        <v>-1791.42</v>
      </c>
      <c r="N1245" t="str">
        <f>_xlfn.XLOOKUP(Cleaned[[#This Row],[AccountName]], Account_Mapping!A:A, Account_Mapping!B:B,"Unmapped")</f>
        <v>Operating Expense</v>
      </c>
      <c r="O1245" cm="1">
        <f t="array" ref="O1245">_xlfn.XLOOKUP(
  1,
  (FX_Rates[Currency]=Cleaned[[#This Row],[Currency]])*
  (FX_Rates[RateDate]&lt;=Cleaned[[#This Row],[TxnDate]]),
  FX_Rates[Rate_To_INR],
  ,
  -1
)</f>
        <v>88</v>
      </c>
      <c r="P1245" s="2">
        <f>Cleaned[[#This Row],[Net Amount]] *  Cleaned[[#This Row],[FX_rates]]</f>
        <v>-157644.96000000002</v>
      </c>
    </row>
    <row r="1246" spans="1:16" x14ac:dyDescent="0.45">
      <c r="A1246" t="s">
        <v>1254</v>
      </c>
      <c r="B1246" s="1">
        <v>45476</v>
      </c>
      <c r="C1246" s="2" t="s">
        <v>2012</v>
      </c>
      <c r="D1246" t="s">
        <v>2017</v>
      </c>
      <c r="E1246">
        <v>1809.92</v>
      </c>
      <c r="F1246">
        <f>Cleaned[[#This Row],[Debit]] * Cleaned[[#This Row],[FX_rates]]</f>
        <v>159272.96000000002</v>
      </c>
      <c r="G1246">
        <v>0</v>
      </c>
      <c r="H1246">
        <f>Cleaned[[#This Row],[Credit]] *  Cleaned[[#This Row],[FX_rates]]</f>
        <v>0</v>
      </c>
      <c r="I1246" t="s">
        <v>2021</v>
      </c>
      <c r="J1246" t="s">
        <v>2030</v>
      </c>
      <c r="K1246" t="s">
        <v>3275</v>
      </c>
      <c r="L1246" t="s">
        <v>4032</v>
      </c>
      <c r="M1246">
        <f>Cleaned[[#This Row],[Credit]]-Cleaned[[#This Row],[Debit]]</f>
        <v>-1809.92</v>
      </c>
      <c r="N1246" t="str">
        <f>_xlfn.XLOOKUP(Cleaned[[#This Row],[AccountName]], Account_Mapping!A:A, Account_Mapping!B:B,"Unmapped")</f>
        <v>Operating Expense</v>
      </c>
      <c r="O1246" cm="1">
        <f t="array" ref="O1246">_xlfn.XLOOKUP(
  1,
  (FX_Rates[Currency]=Cleaned[[#This Row],[Currency]])*
  (FX_Rates[RateDate]&lt;=Cleaned[[#This Row],[TxnDate]]),
  FX_Rates[Rate_To_INR],
  ,
  -1
)</f>
        <v>88</v>
      </c>
      <c r="P1246" s="2">
        <f>Cleaned[[#This Row],[Net Amount]] *  Cleaned[[#This Row],[FX_rates]]</f>
        <v>-159272.96000000002</v>
      </c>
    </row>
    <row r="1247" spans="1:16" x14ac:dyDescent="0.45">
      <c r="A1247" t="s">
        <v>1255</v>
      </c>
      <c r="B1247" s="1">
        <v>45802</v>
      </c>
      <c r="C1247" s="2" t="s">
        <v>2014</v>
      </c>
      <c r="D1247" t="s">
        <v>2019</v>
      </c>
      <c r="E1247">
        <v>0</v>
      </c>
      <c r="F1247">
        <f>Cleaned[[#This Row],[Debit]] * Cleaned[[#This Row],[FX_rates]]</f>
        <v>0</v>
      </c>
      <c r="G1247">
        <v>212.06</v>
      </c>
      <c r="H1247">
        <f>Cleaned[[#This Row],[Credit]] *  Cleaned[[#This Row],[FX_rates]]</f>
        <v>11875.36</v>
      </c>
      <c r="I1247" t="s">
        <v>2020</v>
      </c>
      <c r="J1247" t="s">
        <v>2026</v>
      </c>
      <c r="K1247" t="s">
        <v>3276</v>
      </c>
      <c r="L1247" t="s">
        <v>4033</v>
      </c>
      <c r="M1247">
        <f>Cleaned[[#This Row],[Credit]]-Cleaned[[#This Row],[Debit]]</f>
        <v>212.06</v>
      </c>
      <c r="N1247" t="str">
        <f>_xlfn.XLOOKUP(Cleaned[[#This Row],[AccountName]], Account_Mapping!A:A, Account_Mapping!B:B,"Unmapped")</f>
        <v>Revenue</v>
      </c>
      <c r="O1247" cm="1">
        <f t="array" ref="O1247">_xlfn.XLOOKUP(
  1,
  (FX_Rates[Currency]=Cleaned[[#This Row],[Currency]])*
  (FX_Rates[RateDate]&lt;=Cleaned[[#This Row],[TxnDate]]),
  FX_Rates[Rate_To_INR],
  ,
  -1
)</f>
        <v>56</v>
      </c>
      <c r="P1247" s="2">
        <f>Cleaned[[#This Row],[Net Amount]] *  Cleaned[[#This Row],[FX_rates]]</f>
        <v>11875.36</v>
      </c>
    </row>
    <row r="1248" spans="1:16" x14ac:dyDescent="0.45">
      <c r="A1248" t="s">
        <v>1256</v>
      </c>
      <c r="B1248" s="1">
        <v>45281</v>
      </c>
      <c r="C1248" s="2" t="s">
        <v>2012</v>
      </c>
      <c r="D1248" t="s">
        <v>2017</v>
      </c>
      <c r="E1248">
        <v>227.05</v>
      </c>
      <c r="F1248">
        <f>Cleaned[[#This Row],[Debit]] * Cleaned[[#This Row],[FX_rates]]</f>
        <v>12714.800000000001</v>
      </c>
      <c r="G1248">
        <v>0</v>
      </c>
      <c r="H1248">
        <f>Cleaned[[#This Row],[Credit]] *  Cleaned[[#This Row],[FX_rates]]</f>
        <v>0</v>
      </c>
      <c r="I1248" t="s">
        <v>2021</v>
      </c>
      <c r="J1248" t="s">
        <v>2029</v>
      </c>
      <c r="K1248" t="s">
        <v>3277</v>
      </c>
      <c r="L1248" t="s">
        <v>4033</v>
      </c>
      <c r="M1248">
        <f>Cleaned[[#This Row],[Credit]]-Cleaned[[#This Row],[Debit]]</f>
        <v>-227.05</v>
      </c>
      <c r="N1248" t="str">
        <f>_xlfn.XLOOKUP(Cleaned[[#This Row],[AccountName]], Account_Mapping!A:A, Account_Mapping!B:B,"Unmapped")</f>
        <v>Operating Expense</v>
      </c>
      <c r="O1248" cm="1">
        <f t="array" ref="O1248">_xlfn.XLOOKUP(
  1,
  (FX_Rates[Currency]=Cleaned[[#This Row],[Currency]])*
  (FX_Rates[RateDate]&lt;=Cleaned[[#This Row],[TxnDate]]),
  FX_Rates[Rate_To_INR],
  ,
  -1
)</f>
        <v>56</v>
      </c>
      <c r="P1248" s="2">
        <f>Cleaned[[#This Row],[Net Amount]] *  Cleaned[[#This Row],[FX_rates]]</f>
        <v>-12714.800000000001</v>
      </c>
    </row>
    <row r="1249" spans="1:16" x14ac:dyDescent="0.45">
      <c r="A1249" t="s">
        <v>1257</v>
      </c>
      <c r="B1249" s="1">
        <v>45424</v>
      </c>
      <c r="C1249" s="2" t="s">
        <v>2010</v>
      </c>
      <c r="D1249" t="s">
        <v>2015</v>
      </c>
      <c r="E1249">
        <v>0</v>
      </c>
      <c r="F1249">
        <f>Cleaned[[#This Row],[Debit]] * Cleaned[[#This Row],[FX_rates]]</f>
        <v>0</v>
      </c>
      <c r="G1249">
        <v>3603.35</v>
      </c>
      <c r="H1249">
        <f>Cleaned[[#This Row],[Credit]] *  Cleaned[[#This Row],[FX_rates]]</f>
        <v>371145.05</v>
      </c>
      <c r="I1249" t="s">
        <v>2020</v>
      </c>
      <c r="J1249" t="s">
        <v>2028</v>
      </c>
      <c r="K1249" t="s">
        <v>3278</v>
      </c>
      <c r="L1249" t="s">
        <v>4031</v>
      </c>
      <c r="M1249">
        <f>Cleaned[[#This Row],[Credit]]-Cleaned[[#This Row],[Debit]]</f>
        <v>3603.35</v>
      </c>
      <c r="N1249" t="str">
        <f>_xlfn.XLOOKUP(Cleaned[[#This Row],[AccountName]], Account_Mapping!A:A, Account_Mapping!B:B,"Unmapped")</f>
        <v>Revenue</v>
      </c>
      <c r="O1249" cm="1">
        <f t="array" ref="O1249">_xlfn.XLOOKUP(
  1,
  (FX_Rates[Currency]=Cleaned[[#This Row],[Currency]])*
  (FX_Rates[RateDate]&lt;=Cleaned[[#This Row],[TxnDate]]),
  FX_Rates[Rate_To_INR],
  ,
  -1
)</f>
        <v>103</v>
      </c>
      <c r="P1249" s="2">
        <f>Cleaned[[#This Row],[Net Amount]] *  Cleaned[[#This Row],[FX_rates]]</f>
        <v>371145.05</v>
      </c>
    </row>
    <row r="1250" spans="1:16" x14ac:dyDescent="0.45">
      <c r="A1250" t="s">
        <v>1258</v>
      </c>
      <c r="B1250" s="1">
        <v>45411</v>
      </c>
      <c r="C1250" s="2" t="s">
        <v>2011</v>
      </c>
      <c r="D1250" t="s">
        <v>2016</v>
      </c>
      <c r="E1250">
        <v>185.67</v>
      </c>
      <c r="F1250">
        <f>Cleaned[[#This Row],[Debit]] * Cleaned[[#This Row],[FX_rates]]</f>
        <v>16338.96</v>
      </c>
      <c r="G1250">
        <v>0</v>
      </c>
      <c r="H1250">
        <f>Cleaned[[#This Row],[Credit]] *  Cleaned[[#This Row],[FX_rates]]</f>
        <v>0</v>
      </c>
      <c r="I1250" t="s">
        <v>2024</v>
      </c>
      <c r="J1250" t="s">
        <v>2027</v>
      </c>
      <c r="K1250" t="s">
        <v>3279</v>
      </c>
      <c r="L1250" t="s">
        <v>4032</v>
      </c>
      <c r="M1250">
        <f>Cleaned[[#This Row],[Credit]]-Cleaned[[#This Row],[Debit]]</f>
        <v>-185.67</v>
      </c>
      <c r="N1250" t="str">
        <f>_xlfn.XLOOKUP(Cleaned[[#This Row],[AccountName]], Account_Mapping!A:A, Account_Mapping!B:B,"Unmapped")</f>
        <v>COGS</v>
      </c>
      <c r="O1250" cm="1">
        <f t="array" ref="O1250">_xlfn.XLOOKUP(
  1,
  (FX_Rates[Currency]=Cleaned[[#This Row],[Currency]])*
  (FX_Rates[RateDate]&lt;=Cleaned[[#This Row],[TxnDate]]),
  FX_Rates[Rate_To_INR],
  ,
  -1
)</f>
        <v>88</v>
      </c>
      <c r="P1250" s="2">
        <f>Cleaned[[#This Row],[Net Amount]] *  Cleaned[[#This Row],[FX_rates]]</f>
        <v>-16338.96</v>
      </c>
    </row>
    <row r="1251" spans="1:16" x14ac:dyDescent="0.45">
      <c r="A1251" t="s">
        <v>1259</v>
      </c>
      <c r="B1251" s="1">
        <v>45449</v>
      </c>
      <c r="C1251" s="2" t="s">
        <v>2014</v>
      </c>
      <c r="D1251" t="s">
        <v>2019</v>
      </c>
      <c r="E1251">
        <v>0</v>
      </c>
      <c r="F1251">
        <f>Cleaned[[#This Row],[Debit]] * Cleaned[[#This Row],[FX_rates]]</f>
        <v>0</v>
      </c>
      <c r="G1251">
        <v>4699.12</v>
      </c>
      <c r="H1251">
        <f>Cleaned[[#This Row],[Credit]] *  Cleaned[[#This Row],[FX_rates]]</f>
        <v>413522.56</v>
      </c>
      <c r="I1251" t="s">
        <v>2023</v>
      </c>
      <c r="J1251" t="s">
        <v>2029</v>
      </c>
      <c r="K1251" t="s">
        <v>3280</v>
      </c>
      <c r="L1251" t="s">
        <v>4032</v>
      </c>
      <c r="M1251">
        <f>Cleaned[[#This Row],[Credit]]-Cleaned[[#This Row],[Debit]]</f>
        <v>4699.12</v>
      </c>
      <c r="N1251" t="str">
        <f>_xlfn.XLOOKUP(Cleaned[[#This Row],[AccountName]], Account_Mapping!A:A, Account_Mapping!B:B,"Unmapped")</f>
        <v>Revenue</v>
      </c>
      <c r="O1251" cm="1">
        <f t="array" ref="O1251">_xlfn.XLOOKUP(
  1,
  (FX_Rates[Currency]=Cleaned[[#This Row],[Currency]])*
  (FX_Rates[RateDate]&lt;=Cleaned[[#This Row],[TxnDate]]),
  FX_Rates[Rate_To_INR],
  ,
  -1
)</f>
        <v>88</v>
      </c>
      <c r="P1251" s="2">
        <f>Cleaned[[#This Row],[Net Amount]] *  Cleaned[[#This Row],[FX_rates]]</f>
        <v>413522.56</v>
      </c>
    </row>
    <row r="1252" spans="1:16" x14ac:dyDescent="0.45">
      <c r="A1252" t="s">
        <v>1260</v>
      </c>
      <c r="B1252" s="1">
        <v>45412</v>
      </c>
      <c r="C1252" s="2" t="s">
        <v>2013</v>
      </c>
      <c r="D1252" t="s">
        <v>2018</v>
      </c>
      <c r="E1252">
        <v>1352.97</v>
      </c>
      <c r="F1252">
        <f>Cleaned[[#This Row],[Debit]] * Cleaned[[#This Row],[FX_rates]]</f>
        <v>82531.17</v>
      </c>
      <c r="G1252">
        <v>0</v>
      </c>
      <c r="H1252">
        <f>Cleaned[[#This Row],[Credit]] *  Cleaned[[#This Row],[FX_rates]]</f>
        <v>0</v>
      </c>
      <c r="I1252" t="s">
        <v>2023</v>
      </c>
      <c r="J1252" t="s">
        <v>2026</v>
      </c>
      <c r="K1252" t="s">
        <v>3281</v>
      </c>
      <c r="L1252" t="s">
        <v>4035</v>
      </c>
      <c r="M1252">
        <f>Cleaned[[#This Row],[Credit]]-Cleaned[[#This Row],[Debit]]</f>
        <v>-1352.97</v>
      </c>
      <c r="N1252" t="str">
        <f>_xlfn.XLOOKUP(Cleaned[[#This Row],[AccountName]], Account_Mapping!A:A, Account_Mapping!B:B,"Unmapped")</f>
        <v>Operating Expense</v>
      </c>
      <c r="O1252" cm="1">
        <f t="array" ref="O1252">_xlfn.XLOOKUP(
  1,
  (FX_Rates[Currency]=Cleaned[[#This Row],[Currency]])*
  (FX_Rates[RateDate]&lt;=Cleaned[[#This Row],[TxnDate]]),
  FX_Rates[Rate_To_INR],
  ,
  -1
)</f>
        <v>61</v>
      </c>
      <c r="P1252" s="2">
        <f>Cleaned[[#This Row],[Net Amount]] *  Cleaned[[#This Row],[FX_rates]]</f>
        <v>-82531.17</v>
      </c>
    </row>
    <row r="1253" spans="1:16" x14ac:dyDescent="0.45">
      <c r="A1253" t="s">
        <v>1261</v>
      </c>
      <c r="B1253" s="1">
        <v>45598</v>
      </c>
      <c r="C1253" s="2" t="s">
        <v>2011</v>
      </c>
      <c r="D1253" t="s">
        <v>2016</v>
      </c>
      <c r="E1253">
        <v>936.7</v>
      </c>
      <c r="F1253">
        <f>Cleaned[[#This Row],[Debit]] * Cleaned[[#This Row],[FX_rates]]</f>
        <v>57138.700000000004</v>
      </c>
      <c r="G1253">
        <v>0</v>
      </c>
      <c r="H1253">
        <f>Cleaned[[#This Row],[Credit]] *  Cleaned[[#This Row],[FX_rates]]</f>
        <v>0</v>
      </c>
      <c r="I1253" t="s">
        <v>2024</v>
      </c>
      <c r="J1253" t="s">
        <v>2030</v>
      </c>
      <c r="K1253" t="s">
        <v>3282</v>
      </c>
      <c r="L1253" t="s">
        <v>4035</v>
      </c>
      <c r="M1253">
        <f>Cleaned[[#This Row],[Credit]]-Cleaned[[#This Row],[Debit]]</f>
        <v>-936.7</v>
      </c>
      <c r="N1253" t="str">
        <f>_xlfn.XLOOKUP(Cleaned[[#This Row],[AccountName]], Account_Mapping!A:A, Account_Mapping!B:B,"Unmapped")</f>
        <v>COGS</v>
      </c>
      <c r="O1253" cm="1">
        <f t="array" ref="O1253">_xlfn.XLOOKUP(
  1,
  (FX_Rates[Currency]=Cleaned[[#This Row],[Currency]])*
  (FX_Rates[RateDate]&lt;=Cleaned[[#This Row],[TxnDate]]),
  FX_Rates[Rate_To_INR],
  ,
  -1
)</f>
        <v>61</v>
      </c>
      <c r="P1253" s="2">
        <f>Cleaned[[#This Row],[Net Amount]] *  Cleaned[[#This Row],[FX_rates]]</f>
        <v>-57138.700000000004</v>
      </c>
    </row>
    <row r="1254" spans="1:16" x14ac:dyDescent="0.45">
      <c r="A1254" t="s">
        <v>1262</v>
      </c>
      <c r="B1254" s="1">
        <v>45483</v>
      </c>
      <c r="C1254" s="2" t="s">
        <v>2010</v>
      </c>
      <c r="D1254" t="s">
        <v>2015</v>
      </c>
      <c r="E1254">
        <v>0</v>
      </c>
      <c r="F1254">
        <f>Cleaned[[#This Row],[Debit]] * Cleaned[[#This Row],[FX_rates]]</f>
        <v>0</v>
      </c>
      <c r="G1254">
        <v>3050.31</v>
      </c>
      <c r="H1254">
        <f>Cleaned[[#This Row],[Credit]] *  Cleaned[[#This Row],[FX_rates]]</f>
        <v>170817.36</v>
      </c>
      <c r="I1254" t="s">
        <v>2024</v>
      </c>
      <c r="J1254" t="s">
        <v>2028</v>
      </c>
      <c r="K1254" t="s">
        <v>3283</v>
      </c>
      <c r="L1254" t="s">
        <v>4033</v>
      </c>
      <c r="M1254">
        <f>Cleaned[[#This Row],[Credit]]-Cleaned[[#This Row],[Debit]]</f>
        <v>3050.31</v>
      </c>
      <c r="N1254" t="str">
        <f>_xlfn.XLOOKUP(Cleaned[[#This Row],[AccountName]], Account_Mapping!A:A, Account_Mapping!B:B,"Unmapped")</f>
        <v>Revenue</v>
      </c>
      <c r="O1254" cm="1">
        <f t="array" ref="O1254">_xlfn.XLOOKUP(
  1,
  (FX_Rates[Currency]=Cleaned[[#This Row],[Currency]])*
  (FX_Rates[RateDate]&lt;=Cleaned[[#This Row],[TxnDate]]),
  FX_Rates[Rate_To_INR],
  ,
  -1
)</f>
        <v>56</v>
      </c>
      <c r="P1254" s="2">
        <f>Cleaned[[#This Row],[Net Amount]] *  Cleaned[[#This Row],[FX_rates]]</f>
        <v>170817.36</v>
      </c>
    </row>
    <row r="1255" spans="1:16" x14ac:dyDescent="0.45">
      <c r="A1255" t="s">
        <v>1263</v>
      </c>
      <c r="B1255" s="1">
        <v>45395</v>
      </c>
      <c r="C1255" s="2" t="s">
        <v>2012</v>
      </c>
      <c r="D1255" t="s">
        <v>2017</v>
      </c>
      <c r="E1255">
        <v>574.09</v>
      </c>
      <c r="F1255">
        <f>Cleaned[[#This Row],[Debit]] * Cleaned[[#This Row],[FX_rates]]</f>
        <v>50519.920000000006</v>
      </c>
      <c r="G1255">
        <v>0</v>
      </c>
      <c r="H1255">
        <f>Cleaned[[#This Row],[Credit]] *  Cleaned[[#This Row],[FX_rates]]</f>
        <v>0</v>
      </c>
      <c r="I1255" t="s">
        <v>2023</v>
      </c>
      <c r="J1255" t="s">
        <v>2029</v>
      </c>
      <c r="K1255" t="s">
        <v>3284</v>
      </c>
      <c r="L1255" t="s">
        <v>4032</v>
      </c>
      <c r="M1255">
        <f>Cleaned[[#This Row],[Credit]]-Cleaned[[#This Row],[Debit]]</f>
        <v>-574.09</v>
      </c>
      <c r="N1255" t="str">
        <f>_xlfn.XLOOKUP(Cleaned[[#This Row],[AccountName]], Account_Mapping!A:A, Account_Mapping!B:B,"Unmapped")</f>
        <v>Operating Expense</v>
      </c>
      <c r="O1255" cm="1">
        <f t="array" ref="O1255">_xlfn.XLOOKUP(
  1,
  (FX_Rates[Currency]=Cleaned[[#This Row],[Currency]])*
  (FX_Rates[RateDate]&lt;=Cleaned[[#This Row],[TxnDate]]),
  FX_Rates[Rate_To_INR],
  ,
  -1
)</f>
        <v>88</v>
      </c>
      <c r="P1255" s="2">
        <f>Cleaned[[#This Row],[Net Amount]] *  Cleaned[[#This Row],[FX_rates]]</f>
        <v>-50519.920000000006</v>
      </c>
    </row>
    <row r="1256" spans="1:16" x14ac:dyDescent="0.45">
      <c r="A1256" t="s">
        <v>1264</v>
      </c>
      <c r="B1256" s="1">
        <v>45096</v>
      </c>
      <c r="C1256" s="2" t="s">
        <v>2010</v>
      </c>
      <c r="D1256" t="s">
        <v>2015</v>
      </c>
      <c r="E1256">
        <v>0</v>
      </c>
      <c r="F1256">
        <f>Cleaned[[#This Row],[Debit]] * Cleaned[[#This Row],[FX_rates]]</f>
        <v>0</v>
      </c>
      <c r="G1256">
        <v>3214.18</v>
      </c>
      <c r="H1256">
        <f>Cleaned[[#This Row],[Credit]] *  Cleaned[[#This Row],[FX_rates]]</f>
        <v>331060.53999999998</v>
      </c>
      <c r="I1256" t="s">
        <v>2024</v>
      </c>
      <c r="J1256" t="s">
        <v>2030</v>
      </c>
      <c r="K1256" t="s">
        <v>3285</v>
      </c>
      <c r="L1256" t="s">
        <v>4031</v>
      </c>
      <c r="M1256">
        <f>Cleaned[[#This Row],[Credit]]-Cleaned[[#This Row],[Debit]]</f>
        <v>3214.18</v>
      </c>
      <c r="N1256" t="str">
        <f>_xlfn.XLOOKUP(Cleaned[[#This Row],[AccountName]], Account_Mapping!A:A, Account_Mapping!B:B,"Unmapped")</f>
        <v>Revenue</v>
      </c>
      <c r="O1256" cm="1">
        <f t="array" ref="O1256">_xlfn.XLOOKUP(
  1,
  (FX_Rates[Currency]=Cleaned[[#This Row],[Currency]])*
  (FX_Rates[RateDate]&lt;=Cleaned[[#This Row],[TxnDate]]),
  FX_Rates[Rate_To_INR],
  ,
  -1
)</f>
        <v>103</v>
      </c>
      <c r="P1256" s="2">
        <f>Cleaned[[#This Row],[Net Amount]] *  Cleaned[[#This Row],[FX_rates]]</f>
        <v>331060.53999999998</v>
      </c>
    </row>
    <row r="1257" spans="1:16" x14ac:dyDescent="0.45">
      <c r="A1257" t="s">
        <v>1265</v>
      </c>
      <c r="B1257" s="1">
        <v>45054</v>
      </c>
      <c r="C1257" s="2" t="s">
        <v>2013</v>
      </c>
      <c r="D1257" t="s">
        <v>2018</v>
      </c>
      <c r="E1257">
        <v>1415.06</v>
      </c>
      <c r="F1257">
        <f>Cleaned[[#This Row],[Debit]] * Cleaned[[#This Row],[FX_rates]]</f>
        <v>79243.360000000001</v>
      </c>
      <c r="G1257">
        <v>0</v>
      </c>
      <c r="H1257">
        <f>Cleaned[[#This Row],[Credit]] *  Cleaned[[#This Row],[FX_rates]]</f>
        <v>0</v>
      </c>
      <c r="I1257" t="s">
        <v>2025</v>
      </c>
      <c r="J1257" t="s">
        <v>2026</v>
      </c>
      <c r="K1257" t="s">
        <v>3286</v>
      </c>
      <c r="L1257" t="s">
        <v>4033</v>
      </c>
      <c r="M1257">
        <f>Cleaned[[#This Row],[Credit]]-Cleaned[[#This Row],[Debit]]</f>
        <v>-1415.06</v>
      </c>
      <c r="N1257" t="str">
        <f>_xlfn.XLOOKUP(Cleaned[[#This Row],[AccountName]], Account_Mapping!A:A, Account_Mapping!B:B,"Unmapped")</f>
        <v>Operating Expense</v>
      </c>
      <c r="O1257" cm="1">
        <f t="array" ref="O1257">_xlfn.XLOOKUP(
  1,
  (FX_Rates[Currency]=Cleaned[[#This Row],[Currency]])*
  (FX_Rates[RateDate]&lt;=Cleaned[[#This Row],[TxnDate]]),
  FX_Rates[Rate_To_INR],
  ,
  -1
)</f>
        <v>56</v>
      </c>
      <c r="P1257" s="2">
        <f>Cleaned[[#This Row],[Net Amount]] *  Cleaned[[#This Row],[FX_rates]]</f>
        <v>-79243.360000000001</v>
      </c>
    </row>
    <row r="1258" spans="1:16" x14ac:dyDescent="0.45">
      <c r="A1258" t="s">
        <v>1266</v>
      </c>
      <c r="B1258" s="1">
        <v>45253</v>
      </c>
      <c r="C1258" s="2" t="s">
        <v>2010</v>
      </c>
      <c r="D1258" t="s">
        <v>2015</v>
      </c>
      <c r="E1258">
        <v>0</v>
      </c>
      <c r="F1258">
        <f>Cleaned[[#This Row],[Debit]] * Cleaned[[#This Row],[FX_rates]]</f>
        <v>0</v>
      </c>
      <c r="G1258">
        <v>3142.85</v>
      </c>
      <c r="H1258">
        <f>Cleaned[[#This Row],[Credit]] *  Cleaned[[#This Row],[FX_rates]]</f>
        <v>276570.8</v>
      </c>
      <c r="I1258" t="s">
        <v>2023</v>
      </c>
      <c r="J1258" t="s">
        <v>2030</v>
      </c>
      <c r="K1258" t="s">
        <v>3287</v>
      </c>
      <c r="L1258" t="s">
        <v>4032</v>
      </c>
      <c r="M1258">
        <f>Cleaned[[#This Row],[Credit]]-Cleaned[[#This Row],[Debit]]</f>
        <v>3142.85</v>
      </c>
      <c r="N1258" t="str">
        <f>_xlfn.XLOOKUP(Cleaned[[#This Row],[AccountName]], Account_Mapping!A:A, Account_Mapping!B:B,"Unmapped")</f>
        <v>Revenue</v>
      </c>
      <c r="O1258" cm="1">
        <f t="array" ref="O1258">_xlfn.XLOOKUP(
  1,
  (FX_Rates[Currency]=Cleaned[[#This Row],[Currency]])*
  (FX_Rates[RateDate]&lt;=Cleaned[[#This Row],[TxnDate]]),
  FX_Rates[Rate_To_INR],
  ,
  -1
)</f>
        <v>88</v>
      </c>
      <c r="P1258" s="2">
        <f>Cleaned[[#This Row],[Net Amount]] *  Cleaned[[#This Row],[FX_rates]]</f>
        <v>276570.8</v>
      </c>
    </row>
    <row r="1259" spans="1:16" x14ac:dyDescent="0.45">
      <c r="A1259" t="s">
        <v>1267</v>
      </c>
      <c r="B1259" s="1">
        <v>45050</v>
      </c>
      <c r="C1259" s="2" t="s">
        <v>2012</v>
      </c>
      <c r="D1259" t="s">
        <v>2017</v>
      </c>
      <c r="E1259">
        <v>981.35</v>
      </c>
      <c r="F1259">
        <f>Cleaned[[#This Row],[Debit]] * Cleaned[[#This Row],[FX_rates]]</f>
        <v>59862.35</v>
      </c>
      <c r="G1259">
        <v>0</v>
      </c>
      <c r="H1259">
        <f>Cleaned[[#This Row],[Credit]] *  Cleaned[[#This Row],[FX_rates]]</f>
        <v>0</v>
      </c>
      <c r="I1259" t="s">
        <v>2023</v>
      </c>
      <c r="J1259" t="s">
        <v>2029</v>
      </c>
      <c r="K1259" t="s">
        <v>3288</v>
      </c>
      <c r="L1259" t="s">
        <v>4035</v>
      </c>
      <c r="M1259">
        <f>Cleaned[[#This Row],[Credit]]-Cleaned[[#This Row],[Debit]]</f>
        <v>-981.35</v>
      </c>
      <c r="N1259" t="str">
        <f>_xlfn.XLOOKUP(Cleaned[[#This Row],[AccountName]], Account_Mapping!A:A, Account_Mapping!B:B,"Unmapped")</f>
        <v>Operating Expense</v>
      </c>
      <c r="O1259" cm="1">
        <f t="array" ref="O1259">_xlfn.XLOOKUP(
  1,
  (FX_Rates[Currency]=Cleaned[[#This Row],[Currency]])*
  (FX_Rates[RateDate]&lt;=Cleaned[[#This Row],[TxnDate]]),
  FX_Rates[Rate_To_INR],
  ,
  -1
)</f>
        <v>61</v>
      </c>
      <c r="P1259" s="2">
        <f>Cleaned[[#This Row],[Net Amount]] *  Cleaned[[#This Row],[FX_rates]]</f>
        <v>-59862.35</v>
      </c>
    </row>
    <row r="1260" spans="1:16" x14ac:dyDescent="0.45">
      <c r="A1260" t="s">
        <v>1268</v>
      </c>
      <c r="B1260" s="1">
        <v>45781</v>
      </c>
      <c r="C1260" s="2" t="s">
        <v>2010</v>
      </c>
      <c r="D1260" t="s">
        <v>2015</v>
      </c>
      <c r="E1260">
        <v>0</v>
      </c>
      <c r="F1260">
        <f>Cleaned[[#This Row],[Debit]] * Cleaned[[#This Row],[FX_rates]]</f>
        <v>0</v>
      </c>
      <c r="G1260">
        <v>2967.52</v>
      </c>
      <c r="H1260">
        <f>Cleaned[[#This Row],[Credit]] *  Cleaned[[#This Row],[FX_rates]]</f>
        <v>166181.12</v>
      </c>
      <c r="I1260" t="s">
        <v>2020</v>
      </c>
      <c r="J1260" t="s">
        <v>2029</v>
      </c>
      <c r="K1260" t="s">
        <v>3289</v>
      </c>
      <c r="L1260" t="s">
        <v>4033</v>
      </c>
      <c r="M1260">
        <f>Cleaned[[#This Row],[Credit]]-Cleaned[[#This Row],[Debit]]</f>
        <v>2967.52</v>
      </c>
      <c r="N1260" t="str">
        <f>_xlfn.XLOOKUP(Cleaned[[#This Row],[AccountName]], Account_Mapping!A:A, Account_Mapping!B:B,"Unmapped")</f>
        <v>Revenue</v>
      </c>
      <c r="O1260" cm="1">
        <f t="array" ref="O1260">_xlfn.XLOOKUP(
  1,
  (FX_Rates[Currency]=Cleaned[[#This Row],[Currency]])*
  (FX_Rates[RateDate]&lt;=Cleaned[[#This Row],[TxnDate]]),
  FX_Rates[Rate_To_INR],
  ,
  -1
)</f>
        <v>56</v>
      </c>
      <c r="P1260" s="2">
        <f>Cleaned[[#This Row],[Net Amount]] *  Cleaned[[#This Row],[FX_rates]]</f>
        <v>166181.12</v>
      </c>
    </row>
    <row r="1261" spans="1:16" x14ac:dyDescent="0.45">
      <c r="A1261" t="s">
        <v>1269</v>
      </c>
      <c r="B1261" s="1">
        <v>45745</v>
      </c>
      <c r="C1261" s="2" t="s">
        <v>2010</v>
      </c>
      <c r="D1261" t="s">
        <v>2015</v>
      </c>
      <c r="E1261">
        <v>0</v>
      </c>
      <c r="F1261">
        <f>Cleaned[[#This Row],[Debit]] * Cleaned[[#This Row],[FX_rates]]</f>
        <v>0</v>
      </c>
      <c r="G1261">
        <v>3250.84</v>
      </c>
      <c r="H1261">
        <f>Cleaned[[#This Row],[Credit]] *  Cleaned[[#This Row],[FX_rates]]</f>
        <v>334836.52</v>
      </c>
      <c r="I1261" t="s">
        <v>2025</v>
      </c>
      <c r="J1261" t="s">
        <v>2026</v>
      </c>
      <c r="K1261" t="s">
        <v>3290</v>
      </c>
      <c r="L1261" t="s">
        <v>4031</v>
      </c>
      <c r="M1261">
        <f>Cleaned[[#This Row],[Credit]]-Cleaned[[#This Row],[Debit]]</f>
        <v>3250.84</v>
      </c>
      <c r="N1261" t="str">
        <f>_xlfn.XLOOKUP(Cleaned[[#This Row],[AccountName]], Account_Mapping!A:A, Account_Mapping!B:B,"Unmapped")</f>
        <v>Revenue</v>
      </c>
      <c r="O1261" cm="1">
        <f t="array" ref="O1261">_xlfn.XLOOKUP(
  1,
  (FX_Rates[Currency]=Cleaned[[#This Row],[Currency]])*
  (FX_Rates[RateDate]&lt;=Cleaned[[#This Row],[TxnDate]]),
  FX_Rates[Rate_To_INR],
  ,
  -1
)</f>
        <v>103</v>
      </c>
      <c r="P1261" s="2">
        <f>Cleaned[[#This Row],[Net Amount]] *  Cleaned[[#This Row],[FX_rates]]</f>
        <v>334836.52</v>
      </c>
    </row>
    <row r="1262" spans="1:16" x14ac:dyDescent="0.45">
      <c r="A1262" t="s">
        <v>1270</v>
      </c>
      <c r="B1262" s="1">
        <v>45338</v>
      </c>
      <c r="C1262" s="2" t="s">
        <v>2010</v>
      </c>
      <c r="D1262" t="s">
        <v>2015</v>
      </c>
      <c r="E1262">
        <v>0</v>
      </c>
      <c r="F1262">
        <f>Cleaned[[#This Row],[Debit]] * Cleaned[[#This Row],[FX_rates]]</f>
        <v>0</v>
      </c>
      <c r="G1262">
        <v>2026.45</v>
      </c>
      <c r="H1262">
        <f>Cleaned[[#This Row],[Credit]] *  Cleaned[[#This Row],[FX_rates]]</f>
        <v>178327.6</v>
      </c>
      <c r="I1262" t="s">
        <v>2020</v>
      </c>
      <c r="J1262" t="s">
        <v>2028</v>
      </c>
      <c r="K1262" t="s">
        <v>3291</v>
      </c>
      <c r="L1262" t="s">
        <v>4032</v>
      </c>
      <c r="M1262">
        <f>Cleaned[[#This Row],[Credit]]-Cleaned[[#This Row],[Debit]]</f>
        <v>2026.45</v>
      </c>
      <c r="N1262" t="str">
        <f>_xlfn.XLOOKUP(Cleaned[[#This Row],[AccountName]], Account_Mapping!A:A, Account_Mapping!B:B,"Unmapped")</f>
        <v>Revenue</v>
      </c>
      <c r="O1262" cm="1">
        <f t="array" ref="O1262">_xlfn.XLOOKUP(
  1,
  (FX_Rates[Currency]=Cleaned[[#This Row],[Currency]])*
  (FX_Rates[RateDate]&lt;=Cleaned[[#This Row],[TxnDate]]),
  FX_Rates[Rate_To_INR],
  ,
  -1
)</f>
        <v>88</v>
      </c>
      <c r="P1262" s="2">
        <f>Cleaned[[#This Row],[Net Amount]] *  Cleaned[[#This Row],[FX_rates]]</f>
        <v>178327.6</v>
      </c>
    </row>
    <row r="1263" spans="1:16" x14ac:dyDescent="0.45">
      <c r="A1263" t="s">
        <v>1271</v>
      </c>
      <c r="B1263" s="1">
        <v>44928</v>
      </c>
      <c r="C1263" s="2" t="s">
        <v>2013</v>
      </c>
      <c r="D1263" t="s">
        <v>2018</v>
      </c>
      <c r="E1263">
        <v>1199.5999999999999</v>
      </c>
      <c r="F1263">
        <f>Cleaned[[#This Row],[Debit]] * Cleaned[[#This Row],[FX_rates]]</f>
        <v>105564.79999999999</v>
      </c>
      <c r="G1263">
        <v>0</v>
      </c>
      <c r="H1263">
        <f>Cleaned[[#This Row],[Credit]] *  Cleaned[[#This Row],[FX_rates]]</f>
        <v>0</v>
      </c>
      <c r="I1263" t="s">
        <v>2022</v>
      </c>
      <c r="J1263" t="s">
        <v>2028</v>
      </c>
      <c r="K1263" t="s">
        <v>3292</v>
      </c>
      <c r="L1263" t="s">
        <v>4032</v>
      </c>
      <c r="M1263">
        <f>Cleaned[[#This Row],[Credit]]-Cleaned[[#This Row],[Debit]]</f>
        <v>-1199.5999999999999</v>
      </c>
      <c r="N1263" t="str">
        <f>_xlfn.XLOOKUP(Cleaned[[#This Row],[AccountName]], Account_Mapping!A:A, Account_Mapping!B:B,"Unmapped")</f>
        <v>Operating Expense</v>
      </c>
      <c r="O1263" cm="1">
        <f t="array" ref="O1263">_xlfn.XLOOKUP(
  1,
  (FX_Rates[Currency]=Cleaned[[#This Row],[Currency]])*
  (FX_Rates[RateDate]&lt;=Cleaned[[#This Row],[TxnDate]]),
  FX_Rates[Rate_To_INR],
  ,
  -1
)</f>
        <v>88</v>
      </c>
      <c r="P1263" s="2">
        <f>Cleaned[[#This Row],[Net Amount]] *  Cleaned[[#This Row],[FX_rates]]</f>
        <v>-105564.79999999999</v>
      </c>
    </row>
    <row r="1264" spans="1:16" x14ac:dyDescent="0.45">
      <c r="A1264" t="s">
        <v>1272</v>
      </c>
      <c r="B1264" s="1">
        <v>44953</v>
      </c>
      <c r="C1264" s="2" t="s">
        <v>2011</v>
      </c>
      <c r="D1264" t="s">
        <v>2016</v>
      </c>
      <c r="E1264">
        <v>816.81</v>
      </c>
      <c r="F1264">
        <f>Cleaned[[#This Row],[Debit]] * Cleaned[[#This Row],[FX_rates]]</f>
        <v>71879.28</v>
      </c>
      <c r="G1264">
        <v>0</v>
      </c>
      <c r="H1264">
        <f>Cleaned[[#This Row],[Credit]] *  Cleaned[[#This Row],[FX_rates]]</f>
        <v>0</v>
      </c>
      <c r="I1264" t="s">
        <v>2021</v>
      </c>
      <c r="J1264" t="s">
        <v>2027</v>
      </c>
      <c r="K1264" t="s">
        <v>3293</v>
      </c>
      <c r="L1264" t="s">
        <v>4032</v>
      </c>
      <c r="M1264">
        <f>Cleaned[[#This Row],[Credit]]-Cleaned[[#This Row],[Debit]]</f>
        <v>-816.81</v>
      </c>
      <c r="N1264" t="str">
        <f>_xlfn.XLOOKUP(Cleaned[[#This Row],[AccountName]], Account_Mapping!A:A, Account_Mapping!B:B,"Unmapped")</f>
        <v>COGS</v>
      </c>
      <c r="O1264" cm="1">
        <f t="array" ref="O1264">_xlfn.XLOOKUP(
  1,
  (FX_Rates[Currency]=Cleaned[[#This Row],[Currency]])*
  (FX_Rates[RateDate]&lt;=Cleaned[[#This Row],[TxnDate]]),
  FX_Rates[Rate_To_INR],
  ,
  -1
)</f>
        <v>88</v>
      </c>
      <c r="P1264" s="2">
        <f>Cleaned[[#This Row],[Net Amount]] *  Cleaned[[#This Row],[FX_rates]]</f>
        <v>-71879.28</v>
      </c>
    </row>
    <row r="1265" spans="1:16" x14ac:dyDescent="0.45">
      <c r="A1265" t="s">
        <v>1273</v>
      </c>
      <c r="B1265" s="1">
        <v>45643</v>
      </c>
      <c r="C1265" s="2" t="s">
        <v>2010</v>
      </c>
      <c r="D1265" t="s">
        <v>2015</v>
      </c>
      <c r="E1265">
        <v>0</v>
      </c>
      <c r="F1265">
        <f>Cleaned[[#This Row],[Debit]] * Cleaned[[#This Row],[FX_rates]]</f>
        <v>0</v>
      </c>
      <c r="G1265">
        <v>4074.11</v>
      </c>
      <c r="H1265">
        <f>Cleaned[[#This Row],[Credit]] *  Cleaned[[#This Row],[FX_rates]]</f>
        <v>248520.71000000002</v>
      </c>
      <c r="I1265" t="s">
        <v>2021</v>
      </c>
      <c r="J1265" t="s">
        <v>2028</v>
      </c>
      <c r="K1265" t="s">
        <v>3294</v>
      </c>
      <c r="L1265" t="s">
        <v>4035</v>
      </c>
      <c r="M1265">
        <f>Cleaned[[#This Row],[Credit]]-Cleaned[[#This Row],[Debit]]</f>
        <v>4074.11</v>
      </c>
      <c r="N1265" t="str">
        <f>_xlfn.XLOOKUP(Cleaned[[#This Row],[AccountName]], Account_Mapping!A:A, Account_Mapping!B:B,"Unmapped")</f>
        <v>Revenue</v>
      </c>
      <c r="O1265" cm="1">
        <f t="array" ref="O1265">_xlfn.XLOOKUP(
  1,
  (FX_Rates[Currency]=Cleaned[[#This Row],[Currency]])*
  (FX_Rates[RateDate]&lt;=Cleaned[[#This Row],[TxnDate]]),
  FX_Rates[Rate_To_INR],
  ,
  -1
)</f>
        <v>61</v>
      </c>
      <c r="P1265" s="2">
        <f>Cleaned[[#This Row],[Net Amount]] *  Cleaned[[#This Row],[FX_rates]]</f>
        <v>248520.71000000002</v>
      </c>
    </row>
    <row r="1266" spans="1:16" x14ac:dyDescent="0.45">
      <c r="A1266" t="s">
        <v>1274</v>
      </c>
      <c r="B1266" s="1">
        <v>45785</v>
      </c>
      <c r="C1266" s="2" t="s">
        <v>2010</v>
      </c>
      <c r="D1266" t="s">
        <v>2015</v>
      </c>
      <c r="E1266">
        <v>0</v>
      </c>
      <c r="F1266">
        <f>Cleaned[[#This Row],[Debit]] * Cleaned[[#This Row],[FX_rates]]</f>
        <v>0</v>
      </c>
      <c r="G1266">
        <v>720.36</v>
      </c>
      <c r="H1266">
        <f>Cleaned[[#This Row],[Credit]] *  Cleaned[[#This Row],[FX_rates]]</f>
        <v>43941.96</v>
      </c>
      <c r="I1266" t="s">
        <v>2025</v>
      </c>
      <c r="J1266" t="s">
        <v>2028</v>
      </c>
      <c r="K1266" t="s">
        <v>3295</v>
      </c>
      <c r="L1266" t="s">
        <v>4035</v>
      </c>
      <c r="M1266">
        <f>Cleaned[[#This Row],[Credit]]-Cleaned[[#This Row],[Debit]]</f>
        <v>720.36</v>
      </c>
      <c r="N1266" t="str">
        <f>_xlfn.XLOOKUP(Cleaned[[#This Row],[AccountName]], Account_Mapping!A:A, Account_Mapping!B:B,"Unmapped")</f>
        <v>Revenue</v>
      </c>
      <c r="O1266" cm="1">
        <f t="array" ref="O1266">_xlfn.XLOOKUP(
  1,
  (FX_Rates[Currency]=Cleaned[[#This Row],[Currency]])*
  (FX_Rates[RateDate]&lt;=Cleaned[[#This Row],[TxnDate]]),
  FX_Rates[Rate_To_INR],
  ,
  -1
)</f>
        <v>61</v>
      </c>
      <c r="P1266" s="2">
        <f>Cleaned[[#This Row],[Net Amount]] *  Cleaned[[#This Row],[FX_rates]]</f>
        <v>43941.96</v>
      </c>
    </row>
    <row r="1267" spans="1:16" x14ac:dyDescent="0.45">
      <c r="A1267" t="s">
        <v>1275</v>
      </c>
      <c r="B1267" s="1">
        <v>45708</v>
      </c>
      <c r="C1267" s="2" t="s">
        <v>2013</v>
      </c>
      <c r="D1267" t="s">
        <v>2018</v>
      </c>
      <c r="E1267">
        <v>1279.52</v>
      </c>
      <c r="F1267">
        <f>Cleaned[[#This Row],[Debit]] * Cleaned[[#This Row],[FX_rates]]</f>
        <v>78050.720000000001</v>
      </c>
      <c r="G1267">
        <v>0</v>
      </c>
      <c r="H1267">
        <f>Cleaned[[#This Row],[Credit]] *  Cleaned[[#This Row],[FX_rates]]</f>
        <v>0</v>
      </c>
      <c r="I1267" t="s">
        <v>2022</v>
      </c>
      <c r="J1267" t="s">
        <v>2028</v>
      </c>
      <c r="K1267" t="s">
        <v>3296</v>
      </c>
      <c r="L1267" t="s">
        <v>4035</v>
      </c>
      <c r="M1267">
        <f>Cleaned[[#This Row],[Credit]]-Cleaned[[#This Row],[Debit]]</f>
        <v>-1279.52</v>
      </c>
      <c r="N1267" t="str">
        <f>_xlfn.XLOOKUP(Cleaned[[#This Row],[AccountName]], Account_Mapping!A:A, Account_Mapping!B:B,"Unmapped")</f>
        <v>Operating Expense</v>
      </c>
      <c r="O1267" cm="1">
        <f t="array" ref="O1267">_xlfn.XLOOKUP(
  1,
  (FX_Rates[Currency]=Cleaned[[#This Row],[Currency]])*
  (FX_Rates[RateDate]&lt;=Cleaned[[#This Row],[TxnDate]]),
  FX_Rates[Rate_To_INR],
  ,
  -1
)</f>
        <v>61</v>
      </c>
      <c r="P1267" s="2">
        <f>Cleaned[[#This Row],[Net Amount]] *  Cleaned[[#This Row],[FX_rates]]</f>
        <v>-78050.720000000001</v>
      </c>
    </row>
    <row r="1268" spans="1:16" x14ac:dyDescent="0.45">
      <c r="A1268" t="s">
        <v>1276</v>
      </c>
      <c r="B1268" s="1">
        <v>45492</v>
      </c>
      <c r="C1268" s="2" t="s">
        <v>2011</v>
      </c>
      <c r="D1268" t="s">
        <v>2016</v>
      </c>
      <c r="E1268">
        <v>1249.06</v>
      </c>
      <c r="F1268">
        <f>Cleaned[[#This Row],[Debit]] * Cleaned[[#This Row],[FX_rates]]</f>
        <v>76192.66</v>
      </c>
      <c r="G1268">
        <v>0</v>
      </c>
      <c r="H1268">
        <f>Cleaned[[#This Row],[Credit]] *  Cleaned[[#This Row],[FX_rates]]</f>
        <v>0</v>
      </c>
      <c r="I1268" t="s">
        <v>2021</v>
      </c>
      <c r="J1268" t="s">
        <v>2029</v>
      </c>
      <c r="K1268" t="s">
        <v>3297</v>
      </c>
      <c r="L1268" t="s">
        <v>4035</v>
      </c>
      <c r="M1268">
        <f>Cleaned[[#This Row],[Credit]]-Cleaned[[#This Row],[Debit]]</f>
        <v>-1249.06</v>
      </c>
      <c r="N1268" t="str">
        <f>_xlfn.XLOOKUP(Cleaned[[#This Row],[AccountName]], Account_Mapping!A:A, Account_Mapping!B:B,"Unmapped")</f>
        <v>COGS</v>
      </c>
      <c r="O1268" cm="1">
        <f t="array" ref="O1268">_xlfn.XLOOKUP(
  1,
  (FX_Rates[Currency]=Cleaned[[#This Row],[Currency]])*
  (FX_Rates[RateDate]&lt;=Cleaned[[#This Row],[TxnDate]]),
  FX_Rates[Rate_To_INR],
  ,
  -1
)</f>
        <v>61</v>
      </c>
      <c r="P1268" s="2">
        <f>Cleaned[[#This Row],[Net Amount]] *  Cleaned[[#This Row],[FX_rates]]</f>
        <v>-76192.66</v>
      </c>
    </row>
    <row r="1269" spans="1:16" x14ac:dyDescent="0.45">
      <c r="A1269" t="s">
        <v>1277</v>
      </c>
      <c r="B1269" s="1">
        <v>45725</v>
      </c>
      <c r="C1269" s="2" t="s">
        <v>2014</v>
      </c>
      <c r="D1269" t="s">
        <v>2019</v>
      </c>
      <c r="E1269">
        <v>0</v>
      </c>
      <c r="F1269">
        <f>Cleaned[[#This Row],[Debit]] * Cleaned[[#This Row],[FX_rates]]</f>
        <v>0</v>
      </c>
      <c r="G1269">
        <v>4456.47</v>
      </c>
      <c r="H1269">
        <f>Cleaned[[#This Row],[Credit]] *  Cleaned[[#This Row],[FX_rates]]</f>
        <v>392169.36000000004</v>
      </c>
      <c r="I1269" t="s">
        <v>2020</v>
      </c>
      <c r="J1269" t="s">
        <v>2028</v>
      </c>
      <c r="K1269" t="s">
        <v>3298</v>
      </c>
      <c r="L1269" t="s">
        <v>4032</v>
      </c>
      <c r="M1269">
        <f>Cleaned[[#This Row],[Credit]]-Cleaned[[#This Row],[Debit]]</f>
        <v>4456.47</v>
      </c>
      <c r="N1269" t="str">
        <f>_xlfn.XLOOKUP(Cleaned[[#This Row],[AccountName]], Account_Mapping!A:A, Account_Mapping!B:B,"Unmapped")</f>
        <v>Revenue</v>
      </c>
      <c r="O1269" cm="1">
        <f t="array" ref="O1269">_xlfn.XLOOKUP(
  1,
  (FX_Rates[Currency]=Cleaned[[#This Row],[Currency]])*
  (FX_Rates[RateDate]&lt;=Cleaned[[#This Row],[TxnDate]]),
  FX_Rates[Rate_To_INR],
  ,
  -1
)</f>
        <v>88</v>
      </c>
      <c r="P1269" s="2">
        <f>Cleaned[[#This Row],[Net Amount]] *  Cleaned[[#This Row],[FX_rates]]</f>
        <v>392169.36000000004</v>
      </c>
    </row>
    <row r="1270" spans="1:16" x14ac:dyDescent="0.45">
      <c r="A1270" t="s">
        <v>1278</v>
      </c>
      <c r="B1270" s="1">
        <v>45813</v>
      </c>
      <c r="C1270" s="2" t="s">
        <v>2010</v>
      </c>
      <c r="D1270" t="s">
        <v>2015</v>
      </c>
      <c r="E1270">
        <v>0</v>
      </c>
      <c r="F1270">
        <f>Cleaned[[#This Row],[Debit]] * Cleaned[[#This Row],[FX_rates]]</f>
        <v>0</v>
      </c>
      <c r="G1270">
        <v>3830.15</v>
      </c>
      <c r="H1270">
        <f>Cleaned[[#This Row],[Credit]] *  Cleaned[[#This Row],[FX_rates]]</f>
        <v>394505.45</v>
      </c>
      <c r="I1270" t="s">
        <v>2020</v>
      </c>
      <c r="J1270" t="s">
        <v>2027</v>
      </c>
      <c r="K1270" t="s">
        <v>3299</v>
      </c>
      <c r="L1270" t="s">
        <v>4031</v>
      </c>
      <c r="M1270">
        <f>Cleaned[[#This Row],[Credit]]-Cleaned[[#This Row],[Debit]]</f>
        <v>3830.15</v>
      </c>
      <c r="N1270" t="str">
        <f>_xlfn.XLOOKUP(Cleaned[[#This Row],[AccountName]], Account_Mapping!A:A, Account_Mapping!B:B,"Unmapped")</f>
        <v>Revenue</v>
      </c>
      <c r="O1270" cm="1">
        <f t="array" ref="O1270">_xlfn.XLOOKUP(
  1,
  (FX_Rates[Currency]=Cleaned[[#This Row],[Currency]])*
  (FX_Rates[RateDate]&lt;=Cleaned[[#This Row],[TxnDate]]),
  FX_Rates[Rate_To_INR],
  ,
  -1
)</f>
        <v>103</v>
      </c>
      <c r="P1270" s="2">
        <f>Cleaned[[#This Row],[Net Amount]] *  Cleaned[[#This Row],[FX_rates]]</f>
        <v>394505.45</v>
      </c>
    </row>
    <row r="1271" spans="1:16" x14ac:dyDescent="0.45">
      <c r="A1271" t="s">
        <v>1279</v>
      </c>
      <c r="B1271" s="1">
        <v>45147</v>
      </c>
      <c r="C1271" s="2" t="s">
        <v>2014</v>
      </c>
      <c r="D1271" t="s">
        <v>2019</v>
      </c>
      <c r="E1271">
        <v>0</v>
      </c>
      <c r="F1271">
        <f>Cleaned[[#This Row],[Debit]] * Cleaned[[#This Row],[FX_rates]]</f>
        <v>0</v>
      </c>
      <c r="G1271">
        <v>4835.12</v>
      </c>
      <c r="H1271">
        <f>Cleaned[[#This Row],[Credit]] *  Cleaned[[#This Row],[FX_rates]]</f>
        <v>270766.71999999997</v>
      </c>
      <c r="I1271" t="s">
        <v>2025</v>
      </c>
      <c r="J1271" t="s">
        <v>2028</v>
      </c>
      <c r="K1271" t="s">
        <v>3300</v>
      </c>
      <c r="L1271" t="s">
        <v>4033</v>
      </c>
      <c r="M1271">
        <f>Cleaned[[#This Row],[Credit]]-Cleaned[[#This Row],[Debit]]</f>
        <v>4835.12</v>
      </c>
      <c r="N1271" t="str">
        <f>_xlfn.XLOOKUP(Cleaned[[#This Row],[AccountName]], Account_Mapping!A:A, Account_Mapping!B:B,"Unmapped")</f>
        <v>Revenue</v>
      </c>
      <c r="O1271" cm="1">
        <f t="array" ref="O1271">_xlfn.XLOOKUP(
  1,
  (FX_Rates[Currency]=Cleaned[[#This Row],[Currency]])*
  (FX_Rates[RateDate]&lt;=Cleaned[[#This Row],[TxnDate]]),
  FX_Rates[Rate_To_INR],
  ,
  -1
)</f>
        <v>56</v>
      </c>
      <c r="P1271" s="2">
        <f>Cleaned[[#This Row],[Net Amount]] *  Cleaned[[#This Row],[FX_rates]]</f>
        <v>270766.71999999997</v>
      </c>
    </row>
    <row r="1272" spans="1:16" x14ac:dyDescent="0.45">
      <c r="A1272" t="s">
        <v>1280</v>
      </c>
      <c r="B1272" s="1">
        <v>45517</v>
      </c>
      <c r="C1272" s="2" t="s">
        <v>2011</v>
      </c>
      <c r="D1272" t="s">
        <v>2016</v>
      </c>
      <c r="E1272">
        <v>1165.1300000000001</v>
      </c>
      <c r="F1272">
        <f>Cleaned[[#This Row],[Debit]] * Cleaned[[#This Row],[FX_rates]]</f>
        <v>65247.280000000006</v>
      </c>
      <c r="G1272">
        <v>0</v>
      </c>
      <c r="H1272">
        <f>Cleaned[[#This Row],[Credit]] *  Cleaned[[#This Row],[FX_rates]]</f>
        <v>0</v>
      </c>
      <c r="I1272" t="s">
        <v>2022</v>
      </c>
      <c r="J1272" t="s">
        <v>2027</v>
      </c>
      <c r="K1272" t="s">
        <v>3301</v>
      </c>
      <c r="L1272" t="s">
        <v>4033</v>
      </c>
      <c r="M1272">
        <f>Cleaned[[#This Row],[Credit]]-Cleaned[[#This Row],[Debit]]</f>
        <v>-1165.1300000000001</v>
      </c>
      <c r="N1272" t="str">
        <f>_xlfn.XLOOKUP(Cleaned[[#This Row],[AccountName]], Account_Mapping!A:A, Account_Mapping!B:B,"Unmapped")</f>
        <v>COGS</v>
      </c>
      <c r="O1272" cm="1">
        <f t="array" ref="O1272">_xlfn.XLOOKUP(
  1,
  (FX_Rates[Currency]=Cleaned[[#This Row],[Currency]])*
  (FX_Rates[RateDate]&lt;=Cleaned[[#This Row],[TxnDate]]),
  FX_Rates[Rate_To_INR],
  ,
  -1
)</f>
        <v>56</v>
      </c>
      <c r="P1272" s="2">
        <f>Cleaned[[#This Row],[Net Amount]] *  Cleaned[[#This Row],[FX_rates]]</f>
        <v>-65247.280000000006</v>
      </c>
    </row>
    <row r="1273" spans="1:16" x14ac:dyDescent="0.45">
      <c r="A1273" t="s">
        <v>1281</v>
      </c>
      <c r="B1273" s="1">
        <v>45547</v>
      </c>
      <c r="C1273" s="2" t="s">
        <v>2010</v>
      </c>
      <c r="D1273" t="s">
        <v>2015</v>
      </c>
      <c r="E1273">
        <v>0</v>
      </c>
      <c r="F1273">
        <f>Cleaned[[#This Row],[Debit]] * Cleaned[[#This Row],[FX_rates]]</f>
        <v>0</v>
      </c>
      <c r="G1273">
        <v>112.08</v>
      </c>
      <c r="H1273">
        <f>Cleaned[[#This Row],[Credit]] *  Cleaned[[#This Row],[FX_rates]]</f>
        <v>9190.56</v>
      </c>
      <c r="I1273" t="s">
        <v>2021</v>
      </c>
      <c r="J1273" t="s">
        <v>2030</v>
      </c>
      <c r="K1273" t="s">
        <v>3302</v>
      </c>
      <c r="L1273" t="s">
        <v>4034</v>
      </c>
      <c r="M1273">
        <f>Cleaned[[#This Row],[Credit]]-Cleaned[[#This Row],[Debit]]</f>
        <v>112.08</v>
      </c>
      <c r="N1273" t="str">
        <f>_xlfn.XLOOKUP(Cleaned[[#This Row],[AccountName]], Account_Mapping!A:A, Account_Mapping!B:B,"Unmapped")</f>
        <v>Revenue</v>
      </c>
      <c r="O1273" cm="1">
        <f t="array" ref="O1273">_xlfn.XLOOKUP(
  1,
  (FX_Rates[Currency]=Cleaned[[#This Row],[Currency]])*
  (FX_Rates[RateDate]&lt;=Cleaned[[#This Row],[TxnDate]]),
  FX_Rates[Rate_To_INR],
  ,
  -1
)</f>
        <v>82</v>
      </c>
      <c r="P1273" s="2">
        <f>Cleaned[[#This Row],[Net Amount]] *  Cleaned[[#This Row],[FX_rates]]</f>
        <v>9190.56</v>
      </c>
    </row>
    <row r="1274" spans="1:16" x14ac:dyDescent="0.45">
      <c r="A1274" t="s">
        <v>1282</v>
      </c>
      <c r="B1274" s="1">
        <v>45126</v>
      </c>
      <c r="C1274" s="2" t="s">
        <v>2014</v>
      </c>
      <c r="D1274" t="s">
        <v>2019</v>
      </c>
      <c r="E1274">
        <v>0</v>
      </c>
      <c r="F1274">
        <f>Cleaned[[#This Row],[Debit]] * Cleaned[[#This Row],[FX_rates]]</f>
        <v>0</v>
      </c>
      <c r="G1274">
        <v>3589.18</v>
      </c>
      <c r="H1274">
        <f>Cleaned[[#This Row],[Credit]] *  Cleaned[[#This Row],[FX_rates]]</f>
        <v>200994.08</v>
      </c>
      <c r="I1274" t="s">
        <v>2024</v>
      </c>
      <c r="J1274" t="s">
        <v>2027</v>
      </c>
      <c r="K1274" t="s">
        <v>3303</v>
      </c>
      <c r="L1274" t="s">
        <v>4033</v>
      </c>
      <c r="M1274">
        <f>Cleaned[[#This Row],[Credit]]-Cleaned[[#This Row],[Debit]]</f>
        <v>3589.18</v>
      </c>
      <c r="N1274" t="str">
        <f>_xlfn.XLOOKUP(Cleaned[[#This Row],[AccountName]], Account_Mapping!A:A, Account_Mapping!B:B,"Unmapped")</f>
        <v>Revenue</v>
      </c>
      <c r="O1274" cm="1">
        <f t="array" ref="O1274">_xlfn.XLOOKUP(
  1,
  (FX_Rates[Currency]=Cleaned[[#This Row],[Currency]])*
  (FX_Rates[RateDate]&lt;=Cleaned[[#This Row],[TxnDate]]),
  FX_Rates[Rate_To_INR],
  ,
  -1
)</f>
        <v>56</v>
      </c>
      <c r="P1274" s="2">
        <f>Cleaned[[#This Row],[Net Amount]] *  Cleaned[[#This Row],[FX_rates]]</f>
        <v>200994.08</v>
      </c>
    </row>
    <row r="1275" spans="1:16" x14ac:dyDescent="0.45">
      <c r="A1275" t="s">
        <v>1283</v>
      </c>
      <c r="B1275" s="1">
        <v>45784</v>
      </c>
      <c r="C1275" s="2" t="s">
        <v>2010</v>
      </c>
      <c r="D1275" t="s">
        <v>2015</v>
      </c>
      <c r="E1275">
        <v>0</v>
      </c>
      <c r="F1275">
        <f>Cleaned[[#This Row],[Debit]] * Cleaned[[#This Row],[FX_rates]]</f>
        <v>0</v>
      </c>
      <c r="G1275">
        <v>1841.13</v>
      </c>
      <c r="H1275">
        <f>Cleaned[[#This Row],[Credit]] *  Cleaned[[#This Row],[FX_rates]]</f>
        <v>112308.93000000001</v>
      </c>
      <c r="I1275" t="s">
        <v>2024</v>
      </c>
      <c r="J1275" t="s">
        <v>2028</v>
      </c>
      <c r="K1275" t="s">
        <v>3304</v>
      </c>
      <c r="L1275" t="s">
        <v>4035</v>
      </c>
      <c r="M1275">
        <f>Cleaned[[#This Row],[Credit]]-Cleaned[[#This Row],[Debit]]</f>
        <v>1841.13</v>
      </c>
      <c r="N1275" t="str">
        <f>_xlfn.XLOOKUP(Cleaned[[#This Row],[AccountName]], Account_Mapping!A:A, Account_Mapping!B:B,"Unmapped")</f>
        <v>Revenue</v>
      </c>
      <c r="O1275" cm="1">
        <f t="array" ref="O1275">_xlfn.XLOOKUP(
  1,
  (FX_Rates[Currency]=Cleaned[[#This Row],[Currency]])*
  (FX_Rates[RateDate]&lt;=Cleaned[[#This Row],[TxnDate]]),
  FX_Rates[Rate_To_INR],
  ,
  -1
)</f>
        <v>61</v>
      </c>
      <c r="P1275" s="2">
        <f>Cleaned[[#This Row],[Net Amount]] *  Cleaned[[#This Row],[FX_rates]]</f>
        <v>112308.93000000001</v>
      </c>
    </row>
    <row r="1276" spans="1:16" x14ac:dyDescent="0.45">
      <c r="A1276" t="s">
        <v>1284</v>
      </c>
      <c r="B1276" s="1">
        <v>45770</v>
      </c>
      <c r="C1276" s="2" t="s">
        <v>2011</v>
      </c>
      <c r="D1276" t="s">
        <v>2016</v>
      </c>
      <c r="E1276">
        <v>1321.13</v>
      </c>
      <c r="F1276">
        <f>Cleaned[[#This Row],[Debit]] * Cleaned[[#This Row],[FX_rates]]</f>
        <v>136076.39000000001</v>
      </c>
      <c r="G1276">
        <v>0</v>
      </c>
      <c r="H1276">
        <f>Cleaned[[#This Row],[Credit]] *  Cleaned[[#This Row],[FX_rates]]</f>
        <v>0</v>
      </c>
      <c r="I1276" t="s">
        <v>2024</v>
      </c>
      <c r="J1276" t="s">
        <v>2027</v>
      </c>
      <c r="K1276" t="s">
        <v>3305</v>
      </c>
      <c r="L1276" t="s">
        <v>4031</v>
      </c>
      <c r="M1276">
        <f>Cleaned[[#This Row],[Credit]]-Cleaned[[#This Row],[Debit]]</f>
        <v>-1321.13</v>
      </c>
      <c r="N1276" t="str">
        <f>_xlfn.XLOOKUP(Cleaned[[#This Row],[AccountName]], Account_Mapping!A:A, Account_Mapping!B:B,"Unmapped")</f>
        <v>COGS</v>
      </c>
      <c r="O1276" cm="1">
        <f t="array" ref="O1276">_xlfn.XLOOKUP(
  1,
  (FX_Rates[Currency]=Cleaned[[#This Row],[Currency]])*
  (FX_Rates[RateDate]&lt;=Cleaned[[#This Row],[TxnDate]]),
  FX_Rates[Rate_To_INR],
  ,
  -1
)</f>
        <v>103</v>
      </c>
      <c r="P1276" s="2">
        <f>Cleaned[[#This Row],[Net Amount]] *  Cleaned[[#This Row],[FX_rates]]</f>
        <v>-136076.39000000001</v>
      </c>
    </row>
    <row r="1277" spans="1:16" x14ac:dyDescent="0.45">
      <c r="A1277" t="s">
        <v>1285</v>
      </c>
      <c r="B1277" s="1">
        <v>45704</v>
      </c>
      <c r="C1277" s="2" t="s">
        <v>2013</v>
      </c>
      <c r="D1277" t="s">
        <v>2018</v>
      </c>
      <c r="E1277">
        <v>501.83</v>
      </c>
      <c r="F1277">
        <f>Cleaned[[#This Row],[Debit]] * Cleaned[[#This Row],[FX_rates]]</f>
        <v>30611.629999999997</v>
      </c>
      <c r="G1277">
        <v>0</v>
      </c>
      <c r="H1277">
        <f>Cleaned[[#This Row],[Credit]] *  Cleaned[[#This Row],[FX_rates]]</f>
        <v>0</v>
      </c>
      <c r="I1277" t="s">
        <v>2025</v>
      </c>
      <c r="J1277" t="s">
        <v>2030</v>
      </c>
      <c r="K1277" t="s">
        <v>3306</v>
      </c>
      <c r="L1277" t="s">
        <v>4035</v>
      </c>
      <c r="M1277">
        <f>Cleaned[[#This Row],[Credit]]-Cleaned[[#This Row],[Debit]]</f>
        <v>-501.83</v>
      </c>
      <c r="N1277" t="str">
        <f>_xlfn.XLOOKUP(Cleaned[[#This Row],[AccountName]], Account_Mapping!A:A, Account_Mapping!B:B,"Unmapped")</f>
        <v>Operating Expense</v>
      </c>
      <c r="O1277" cm="1">
        <f t="array" ref="O1277">_xlfn.XLOOKUP(
  1,
  (FX_Rates[Currency]=Cleaned[[#This Row],[Currency]])*
  (FX_Rates[RateDate]&lt;=Cleaned[[#This Row],[TxnDate]]),
  FX_Rates[Rate_To_INR],
  ,
  -1
)</f>
        <v>61</v>
      </c>
      <c r="P1277" s="2">
        <f>Cleaned[[#This Row],[Net Amount]] *  Cleaned[[#This Row],[FX_rates]]</f>
        <v>-30611.629999999997</v>
      </c>
    </row>
    <row r="1278" spans="1:16" x14ac:dyDescent="0.45">
      <c r="A1278" t="s">
        <v>1286</v>
      </c>
      <c r="B1278" s="1">
        <v>45031</v>
      </c>
      <c r="C1278" s="2" t="s">
        <v>2013</v>
      </c>
      <c r="D1278" t="s">
        <v>2018</v>
      </c>
      <c r="E1278">
        <v>233.68</v>
      </c>
      <c r="F1278">
        <f>Cleaned[[#This Row],[Debit]] * Cleaned[[#This Row],[FX_rates]]</f>
        <v>20563.84</v>
      </c>
      <c r="G1278">
        <v>0</v>
      </c>
      <c r="H1278">
        <f>Cleaned[[#This Row],[Credit]] *  Cleaned[[#This Row],[FX_rates]]</f>
        <v>0</v>
      </c>
      <c r="I1278" t="s">
        <v>2025</v>
      </c>
      <c r="J1278" t="s">
        <v>2028</v>
      </c>
      <c r="K1278" t="s">
        <v>3307</v>
      </c>
      <c r="L1278" t="s">
        <v>4032</v>
      </c>
      <c r="M1278">
        <f>Cleaned[[#This Row],[Credit]]-Cleaned[[#This Row],[Debit]]</f>
        <v>-233.68</v>
      </c>
      <c r="N1278" t="str">
        <f>_xlfn.XLOOKUP(Cleaned[[#This Row],[AccountName]], Account_Mapping!A:A, Account_Mapping!B:B,"Unmapped")</f>
        <v>Operating Expense</v>
      </c>
      <c r="O1278" cm="1">
        <f t="array" ref="O1278">_xlfn.XLOOKUP(
  1,
  (FX_Rates[Currency]=Cleaned[[#This Row],[Currency]])*
  (FX_Rates[RateDate]&lt;=Cleaned[[#This Row],[TxnDate]]),
  FX_Rates[Rate_To_INR],
  ,
  -1
)</f>
        <v>88</v>
      </c>
      <c r="P1278" s="2">
        <f>Cleaned[[#This Row],[Net Amount]] *  Cleaned[[#This Row],[FX_rates]]</f>
        <v>-20563.84</v>
      </c>
    </row>
    <row r="1279" spans="1:16" x14ac:dyDescent="0.45">
      <c r="A1279" t="s">
        <v>1287</v>
      </c>
      <c r="B1279" s="1">
        <v>45423</v>
      </c>
      <c r="C1279" s="2" t="s">
        <v>2014</v>
      </c>
      <c r="D1279" t="s">
        <v>2019</v>
      </c>
      <c r="E1279">
        <v>0</v>
      </c>
      <c r="F1279">
        <f>Cleaned[[#This Row],[Debit]] * Cleaned[[#This Row],[FX_rates]]</f>
        <v>0</v>
      </c>
      <c r="G1279">
        <v>4225.68</v>
      </c>
      <c r="H1279">
        <f>Cleaned[[#This Row],[Credit]] *  Cleaned[[#This Row],[FX_rates]]</f>
        <v>236638.08000000002</v>
      </c>
      <c r="I1279" t="s">
        <v>2024</v>
      </c>
      <c r="J1279" t="s">
        <v>2030</v>
      </c>
      <c r="K1279" t="s">
        <v>3308</v>
      </c>
      <c r="L1279" t="s">
        <v>4033</v>
      </c>
      <c r="M1279">
        <f>Cleaned[[#This Row],[Credit]]-Cleaned[[#This Row],[Debit]]</f>
        <v>4225.68</v>
      </c>
      <c r="N1279" t="str">
        <f>_xlfn.XLOOKUP(Cleaned[[#This Row],[AccountName]], Account_Mapping!A:A, Account_Mapping!B:B,"Unmapped")</f>
        <v>Revenue</v>
      </c>
      <c r="O1279" cm="1">
        <f t="array" ref="O1279">_xlfn.XLOOKUP(
  1,
  (FX_Rates[Currency]=Cleaned[[#This Row],[Currency]])*
  (FX_Rates[RateDate]&lt;=Cleaned[[#This Row],[TxnDate]]),
  FX_Rates[Rate_To_INR],
  ,
  -1
)</f>
        <v>56</v>
      </c>
      <c r="P1279" s="2">
        <f>Cleaned[[#This Row],[Net Amount]] *  Cleaned[[#This Row],[FX_rates]]</f>
        <v>236638.08000000002</v>
      </c>
    </row>
    <row r="1280" spans="1:16" x14ac:dyDescent="0.45">
      <c r="A1280" t="s">
        <v>1288</v>
      </c>
      <c r="B1280" s="1">
        <v>45643</v>
      </c>
      <c r="C1280" s="2" t="s">
        <v>2013</v>
      </c>
      <c r="D1280" t="s">
        <v>2018</v>
      </c>
      <c r="E1280">
        <v>315.85000000000002</v>
      </c>
      <c r="F1280">
        <f>Cleaned[[#This Row],[Debit]] * Cleaned[[#This Row],[FX_rates]]</f>
        <v>25899.7</v>
      </c>
      <c r="G1280">
        <v>0</v>
      </c>
      <c r="H1280">
        <f>Cleaned[[#This Row],[Credit]] *  Cleaned[[#This Row],[FX_rates]]</f>
        <v>0</v>
      </c>
      <c r="I1280" t="s">
        <v>2023</v>
      </c>
      <c r="J1280" t="s">
        <v>2029</v>
      </c>
      <c r="K1280" t="s">
        <v>3309</v>
      </c>
      <c r="L1280" t="s">
        <v>4034</v>
      </c>
      <c r="M1280">
        <f>Cleaned[[#This Row],[Credit]]-Cleaned[[#This Row],[Debit]]</f>
        <v>-315.85000000000002</v>
      </c>
      <c r="N1280" t="str">
        <f>_xlfn.XLOOKUP(Cleaned[[#This Row],[AccountName]], Account_Mapping!A:A, Account_Mapping!B:B,"Unmapped")</f>
        <v>Operating Expense</v>
      </c>
      <c r="O1280" cm="1">
        <f t="array" ref="O1280">_xlfn.XLOOKUP(
  1,
  (FX_Rates[Currency]=Cleaned[[#This Row],[Currency]])*
  (FX_Rates[RateDate]&lt;=Cleaned[[#This Row],[TxnDate]]),
  FX_Rates[Rate_To_INR],
  ,
  -1
)</f>
        <v>82</v>
      </c>
      <c r="P1280" s="2">
        <f>Cleaned[[#This Row],[Net Amount]] *  Cleaned[[#This Row],[FX_rates]]</f>
        <v>-25899.7</v>
      </c>
    </row>
    <row r="1281" spans="1:16" x14ac:dyDescent="0.45">
      <c r="A1281" t="s">
        <v>1289</v>
      </c>
      <c r="B1281" s="1">
        <v>45465</v>
      </c>
      <c r="C1281" s="2" t="s">
        <v>2012</v>
      </c>
      <c r="D1281" t="s">
        <v>2017</v>
      </c>
      <c r="E1281">
        <v>1999.52</v>
      </c>
      <c r="F1281">
        <f>Cleaned[[#This Row],[Debit]] * Cleaned[[#This Row],[FX_rates]]</f>
        <v>175957.76000000001</v>
      </c>
      <c r="G1281">
        <v>0</v>
      </c>
      <c r="H1281">
        <f>Cleaned[[#This Row],[Credit]] *  Cleaned[[#This Row],[FX_rates]]</f>
        <v>0</v>
      </c>
      <c r="I1281" t="s">
        <v>2025</v>
      </c>
      <c r="J1281" t="s">
        <v>2029</v>
      </c>
      <c r="K1281" t="s">
        <v>3310</v>
      </c>
      <c r="L1281" t="s">
        <v>4032</v>
      </c>
      <c r="M1281">
        <f>Cleaned[[#This Row],[Credit]]-Cleaned[[#This Row],[Debit]]</f>
        <v>-1999.52</v>
      </c>
      <c r="N1281" t="str">
        <f>_xlfn.XLOOKUP(Cleaned[[#This Row],[AccountName]], Account_Mapping!A:A, Account_Mapping!B:B,"Unmapped")</f>
        <v>Operating Expense</v>
      </c>
      <c r="O1281" cm="1">
        <f t="array" ref="O1281">_xlfn.XLOOKUP(
  1,
  (FX_Rates[Currency]=Cleaned[[#This Row],[Currency]])*
  (FX_Rates[RateDate]&lt;=Cleaned[[#This Row],[TxnDate]]),
  FX_Rates[Rate_To_INR],
  ,
  -1
)</f>
        <v>88</v>
      </c>
      <c r="P1281" s="2">
        <f>Cleaned[[#This Row],[Net Amount]] *  Cleaned[[#This Row],[FX_rates]]</f>
        <v>-175957.76000000001</v>
      </c>
    </row>
    <row r="1282" spans="1:16" x14ac:dyDescent="0.45">
      <c r="A1282" t="s">
        <v>1290</v>
      </c>
      <c r="B1282" s="1">
        <v>44967</v>
      </c>
      <c r="C1282" s="2" t="s">
        <v>2012</v>
      </c>
      <c r="D1282" t="s">
        <v>2017</v>
      </c>
      <c r="E1282">
        <v>770.08</v>
      </c>
      <c r="F1282">
        <f>Cleaned[[#This Row],[Debit]] * Cleaned[[#This Row],[FX_rates]]</f>
        <v>46974.880000000005</v>
      </c>
      <c r="G1282">
        <v>0</v>
      </c>
      <c r="H1282">
        <f>Cleaned[[#This Row],[Credit]] *  Cleaned[[#This Row],[FX_rates]]</f>
        <v>0</v>
      </c>
      <c r="I1282" t="s">
        <v>2025</v>
      </c>
      <c r="J1282" t="s">
        <v>2030</v>
      </c>
      <c r="K1282" t="s">
        <v>3311</v>
      </c>
      <c r="L1282" t="s">
        <v>4035</v>
      </c>
      <c r="M1282">
        <f>Cleaned[[#This Row],[Credit]]-Cleaned[[#This Row],[Debit]]</f>
        <v>-770.08</v>
      </c>
      <c r="N1282" t="str">
        <f>_xlfn.XLOOKUP(Cleaned[[#This Row],[AccountName]], Account_Mapping!A:A, Account_Mapping!B:B,"Unmapped")</f>
        <v>Operating Expense</v>
      </c>
      <c r="O1282" cm="1">
        <f t="array" ref="O1282">_xlfn.XLOOKUP(
  1,
  (FX_Rates[Currency]=Cleaned[[#This Row],[Currency]])*
  (FX_Rates[RateDate]&lt;=Cleaned[[#This Row],[TxnDate]]),
  FX_Rates[Rate_To_INR],
  ,
  -1
)</f>
        <v>61</v>
      </c>
      <c r="P1282" s="2">
        <f>Cleaned[[#This Row],[Net Amount]] *  Cleaned[[#This Row],[FX_rates]]</f>
        <v>-46974.880000000005</v>
      </c>
    </row>
    <row r="1283" spans="1:16" x14ac:dyDescent="0.45">
      <c r="A1283" t="s">
        <v>1291</v>
      </c>
      <c r="B1283" s="1">
        <v>45289</v>
      </c>
      <c r="C1283" s="2" t="s">
        <v>2014</v>
      </c>
      <c r="D1283" t="s">
        <v>2019</v>
      </c>
      <c r="E1283">
        <v>0</v>
      </c>
      <c r="F1283">
        <f>Cleaned[[#This Row],[Debit]] * Cleaned[[#This Row],[FX_rates]]</f>
        <v>0</v>
      </c>
      <c r="G1283">
        <v>4953.53</v>
      </c>
      <c r="H1283">
        <f>Cleaned[[#This Row],[Credit]] *  Cleaned[[#This Row],[FX_rates]]</f>
        <v>510213.58999999997</v>
      </c>
      <c r="I1283" t="s">
        <v>2025</v>
      </c>
      <c r="J1283" t="s">
        <v>2026</v>
      </c>
      <c r="K1283" t="s">
        <v>3312</v>
      </c>
      <c r="L1283" t="s">
        <v>4031</v>
      </c>
      <c r="M1283">
        <f>Cleaned[[#This Row],[Credit]]-Cleaned[[#This Row],[Debit]]</f>
        <v>4953.53</v>
      </c>
      <c r="N1283" t="str">
        <f>_xlfn.XLOOKUP(Cleaned[[#This Row],[AccountName]], Account_Mapping!A:A, Account_Mapping!B:B,"Unmapped")</f>
        <v>Revenue</v>
      </c>
      <c r="O1283" cm="1">
        <f t="array" ref="O1283">_xlfn.XLOOKUP(
  1,
  (FX_Rates[Currency]=Cleaned[[#This Row],[Currency]])*
  (FX_Rates[RateDate]&lt;=Cleaned[[#This Row],[TxnDate]]),
  FX_Rates[Rate_To_INR],
  ,
  -1
)</f>
        <v>103</v>
      </c>
      <c r="P1283" s="2">
        <f>Cleaned[[#This Row],[Net Amount]] *  Cleaned[[#This Row],[FX_rates]]</f>
        <v>510213.58999999997</v>
      </c>
    </row>
    <row r="1284" spans="1:16" x14ac:dyDescent="0.45">
      <c r="A1284" t="s">
        <v>1292</v>
      </c>
      <c r="B1284" s="1">
        <v>45045</v>
      </c>
      <c r="C1284" s="2" t="s">
        <v>2014</v>
      </c>
      <c r="D1284" t="s">
        <v>2019</v>
      </c>
      <c r="E1284">
        <v>0</v>
      </c>
      <c r="F1284">
        <f>Cleaned[[#This Row],[Debit]] * Cleaned[[#This Row],[FX_rates]]</f>
        <v>0</v>
      </c>
      <c r="G1284">
        <v>1360.16</v>
      </c>
      <c r="H1284">
        <f>Cleaned[[#This Row],[Credit]] *  Cleaned[[#This Row],[FX_rates]]</f>
        <v>82969.760000000009</v>
      </c>
      <c r="I1284" t="s">
        <v>2025</v>
      </c>
      <c r="J1284" t="s">
        <v>2026</v>
      </c>
      <c r="K1284" t="s">
        <v>3313</v>
      </c>
      <c r="L1284" t="s">
        <v>4035</v>
      </c>
      <c r="M1284">
        <f>Cleaned[[#This Row],[Credit]]-Cleaned[[#This Row],[Debit]]</f>
        <v>1360.16</v>
      </c>
      <c r="N1284" t="str">
        <f>_xlfn.XLOOKUP(Cleaned[[#This Row],[AccountName]], Account_Mapping!A:A, Account_Mapping!B:B,"Unmapped")</f>
        <v>Revenue</v>
      </c>
      <c r="O1284" cm="1">
        <f t="array" ref="O1284">_xlfn.XLOOKUP(
  1,
  (FX_Rates[Currency]=Cleaned[[#This Row],[Currency]])*
  (FX_Rates[RateDate]&lt;=Cleaned[[#This Row],[TxnDate]]),
  FX_Rates[Rate_To_INR],
  ,
  -1
)</f>
        <v>61</v>
      </c>
      <c r="P1284" s="2">
        <f>Cleaned[[#This Row],[Net Amount]] *  Cleaned[[#This Row],[FX_rates]]</f>
        <v>82969.760000000009</v>
      </c>
    </row>
    <row r="1285" spans="1:16" x14ac:dyDescent="0.45">
      <c r="A1285" t="s">
        <v>1293</v>
      </c>
      <c r="B1285" s="1">
        <v>45287</v>
      </c>
      <c r="C1285" s="2" t="s">
        <v>2011</v>
      </c>
      <c r="D1285" t="s">
        <v>2016</v>
      </c>
      <c r="E1285">
        <v>475.84</v>
      </c>
      <c r="F1285">
        <f>Cleaned[[#This Row],[Debit]] * Cleaned[[#This Row],[FX_rates]]</f>
        <v>39018.879999999997</v>
      </c>
      <c r="G1285">
        <v>0</v>
      </c>
      <c r="H1285">
        <f>Cleaned[[#This Row],[Credit]] *  Cleaned[[#This Row],[FX_rates]]</f>
        <v>0</v>
      </c>
      <c r="I1285" t="s">
        <v>2021</v>
      </c>
      <c r="J1285" t="s">
        <v>2027</v>
      </c>
      <c r="K1285" t="s">
        <v>3314</v>
      </c>
      <c r="L1285" t="s">
        <v>4034</v>
      </c>
      <c r="M1285">
        <f>Cleaned[[#This Row],[Credit]]-Cleaned[[#This Row],[Debit]]</f>
        <v>-475.84</v>
      </c>
      <c r="N1285" t="str">
        <f>_xlfn.XLOOKUP(Cleaned[[#This Row],[AccountName]], Account_Mapping!A:A, Account_Mapping!B:B,"Unmapped")</f>
        <v>COGS</v>
      </c>
      <c r="O1285" cm="1">
        <f t="array" ref="O1285">_xlfn.XLOOKUP(
  1,
  (FX_Rates[Currency]=Cleaned[[#This Row],[Currency]])*
  (FX_Rates[RateDate]&lt;=Cleaned[[#This Row],[TxnDate]]),
  FX_Rates[Rate_To_INR],
  ,
  -1
)</f>
        <v>82</v>
      </c>
      <c r="P1285" s="2">
        <f>Cleaned[[#This Row],[Net Amount]] *  Cleaned[[#This Row],[FX_rates]]</f>
        <v>-39018.879999999997</v>
      </c>
    </row>
    <row r="1286" spans="1:16" x14ac:dyDescent="0.45">
      <c r="A1286" t="s">
        <v>1294</v>
      </c>
      <c r="B1286" s="1">
        <v>45405</v>
      </c>
      <c r="C1286" s="2" t="s">
        <v>2011</v>
      </c>
      <c r="D1286" t="s">
        <v>2016</v>
      </c>
      <c r="E1286">
        <v>1211.1500000000001</v>
      </c>
      <c r="F1286">
        <f>Cleaned[[#This Row],[Debit]] * Cleaned[[#This Row],[FX_rates]]</f>
        <v>73880.150000000009</v>
      </c>
      <c r="G1286">
        <v>0</v>
      </c>
      <c r="H1286">
        <f>Cleaned[[#This Row],[Credit]] *  Cleaned[[#This Row],[FX_rates]]</f>
        <v>0</v>
      </c>
      <c r="I1286" t="s">
        <v>2025</v>
      </c>
      <c r="J1286" t="s">
        <v>2029</v>
      </c>
      <c r="K1286" t="s">
        <v>3315</v>
      </c>
      <c r="L1286" t="s">
        <v>4035</v>
      </c>
      <c r="M1286">
        <f>Cleaned[[#This Row],[Credit]]-Cleaned[[#This Row],[Debit]]</f>
        <v>-1211.1500000000001</v>
      </c>
      <c r="N1286" t="str">
        <f>_xlfn.XLOOKUP(Cleaned[[#This Row],[AccountName]], Account_Mapping!A:A, Account_Mapping!B:B,"Unmapped")</f>
        <v>COGS</v>
      </c>
      <c r="O1286" cm="1">
        <f t="array" ref="O1286">_xlfn.XLOOKUP(
  1,
  (FX_Rates[Currency]=Cleaned[[#This Row],[Currency]])*
  (FX_Rates[RateDate]&lt;=Cleaned[[#This Row],[TxnDate]]),
  FX_Rates[Rate_To_INR],
  ,
  -1
)</f>
        <v>61</v>
      </c>
      <c r="P1286" s="2">
        <f>Cleaned[[#This Row],[Net Amount]] *  Cleaned[[#This Row],[FX_rates]]</f>
        <v>-73880.150000000009</v>
      </c>
    </row>
    <row r="1287" spans="1:16" x14ac:dyDescent="0.45">
      <c r="A1287" t="s">
        <v>1295</v>
      </c>
      <c r="B1287" s="1">
        <v>45021</v>
      </c>
      <c r="C1287" s="2" t="s">
        <v>2014</v>
      </c>
      <c r="D1287" t="s">
        <v>2019</v>
      </c>
      <c r="E1287">
        <v>0</v>
      </c>
      <c r="F1287">
        <f>Cleaned[[#This Row],[Debit]] * Cleaned[[#This Row],[FX_rates]]</f>
        <v>0</v>
      </c>
      <c r="G1287">
        <v>2327.23</v>
      </c>
      <c r="H1287">
        <f>Cleaned[[#This Row],[Credit]] *  Cleaned[[#This Row],[FX_rates]]</f>
        <v>204796.24</v>
      </c>
      <c r="I1287" t="s">
        <v>2020</v>
      </c>
      <c r="J1287" t="s">
        <v>2028</v>
      </c>
      <c r="K1287" t="s">
        <v>3316</v>
      </c>
      <c r="L1287" t="s">
        <v>4032</v>
      </c>
      <c r="M1287">
        <f>Cleaned[[#This Row],[Credit]]-Cleaned[[#This Row],[Debit]]</f>
        <v>2327.23</v>
      </c>
      <c r="N1287" t="str">
        <f>_xlfn.XLOOKUP(Cleaned[[#This Row],[AccountName]], Account_Mapping!A:A, Account_Mapping!B:B,"Unmapped")</f>
        <v>Revenue</v>
      </c>
      <c r="O1287" cm="1">
        <f t="array" ref="O1287">_xlfn.XLOOKUP(
  1,
  (FX_Rates[Currency]=Cleaned[[#This Row],[Currency]])*
  (FX_Rates[RateDate]&lt;=Cleaned[[#This Row],[TxnDate]]),
  FX_Rates[Rate_To_INR],
  ,
  -1
)</f>
        <v>88</v>
      </c>
      <c r="P1287" s="2">
        <f>Cleaned[[#This Row],[Net Amount]] *  Cleaned[[#This Row],[FX_rates]]</f>
        <v>204796.24</v>
      </c>
    </row>
    <row r="1288" spans="1:16" x14ac:dyDescent="0.45">
      <c r="A1288" t="s">
        <v>1296</v>
      </c>
      <c r="B1288" s="1">
        <v>45813</v>
      </c>
      <c r="C1288" s="2" t="s">
        <v>2012</v>
      </c>
      <c r="D1288" t="s">
        <v>2017</v>
      </c>
      <c r="E1288">
        <v>237.68</v>
      </c>
      <c r="F1288">
        <f>Cleaned[[#This Row],[Debit]] * Cleaned[[#This Row],[FX_rates]]</f>
        <v>24481.040000000001</v>
      </c>
      <c r="G1288">
        <v>0</v>
      </c>
      <c r="H1288">
        <f>Cleaned[[#This Row],[Credit]] *  Cleaned[[#This Row],[FX_rates]]</f>
        <v>0</v>
      </c>
      <c r="I1288" t="s">
        <v>2025</v>
      </c>
      <c r="J1288" t="s">
        <v>2026</v>
      </c>
      <c r="K1288" t="s">
        <v>3317</v>
      </c>
      <c r="L1288" t="s">
        <v>4031</v>
      </c>
      <c r="M1288">
        <f>Cleaned[[#This Row],[Credit]]-Cleaned[[#This Row],[Debit]]</f>
        <v>-237.68</v>
      </c>
      <c r="N1288" t="str">
        <f>_xlfn.XLOOKUP(Cleaned[[#This Row],[AccountName]], Account_Mapping!A:A, Account_Mapping!B:B,"Unmapped")</f>
        <v>Operating Expense</v>
      </c>
      <c r="O1288" cm="1">
        <f t="array" ref="O1288">_xlfn.XLOOKUP(
  1,
  (FX_Rates[Currency]=Cleaned[[#This Row],[Currency]])*
  (FX_Rates[RateDate]&lt;=Cleaned[[#This Row],[TxnDate]]),
  FX_Rates[Rate_To_INR],
  ,
  -1
)</f>
        <v>103</v>
      </c>
      <c r="P1288" s="2">
        <f>Cleaned[[#This Row],[Net Amount]] *  Cleaned[[#This Row],[FX_rates]]</f>
        <v>-24481.040000000001</v>
      </c>
    </row>
    <row r="1289" spans="1:16" x14ac:dyDescent="0.45">
      <c r="A1289" t="s">
        <v>1297</v>
      </c>
      <c r="B1289" s="1">
        <v>45357</v>
      </c>
      <c r="C1289" s="2" t="s">
        <v>2012</v>
      </c>
      <c r="D1289" t="s">
        <v>2017</v>
      </c>
      <c r="E1289">
        <v>1902.83</v>
      </c>
      <c r="F1289">
        <f>Cleaned[[#This Row],[Debit]] * Cleaned[[#This Row],[FX_rates]]</f>
        <v>116072.62999999999</v>
      </c>
      <c r="G1289">
        <v>0</v>
      </c>
      <c r="H1289">
        <f>Cleaned[[#This Row],[Credit]] *  Cleaned[[#This Row],[FX_rates]]</f>
        <v>0</v>
      </c>
      <c r="I1289" t="s">
        <v>2025</v>
      </c>
      <c r="J1289" t="s">
        <v>2030</v>
      </c>
      <c r="K1289" t="s">
        <v>3318</v>
      </c>
      <c r="L1289" t="s">
        <v>4035</v>
      </c>
      <c r="M1289">
        <f>Cleaned[[#This Row],[Credit]]-Cleaned[[#This Row],[Debit]]</f>
        <v>-1902.83</v>
      </c>
      <c r="N1289" t="str">
        <f>_xlfn.XLOOKUP(Cleaned[[#This Row],[AccountName]], Account_Mapping!A:A, Account_Mapping!B:B,"Unmapped")</f>
        <v>Operating Expense</v>
      </c>
      <c r="O1289" cm="1">
        <f t="array" ref="O1289">_xlfn.XLOOKUP(
  1,
  (FX_Rates[Currency]=Cleaned[[#This Row],[Currency]])*
  (FX_Rates[RateDate]&lt;=Cleaned[[#This Row],[TxnDate]]),
  FX_Rates[Rate_To_INR],
  ,
  -1
)</f>
        <v>61</v>
      </c>
      <c r="P1289" s="2">
        <f>Cleaned[[#This Row],[Net Amount]] *  Cleaned[[#This Row],[FX_rates]]</f>
        <v>-116072.62999999999</v>
      </c>
    </row>
    <row r="1290" spans="1:16" x14ac:dyDescent="0.45">
      <c r="A1290" t="s">
        <v>1298</v>
      </c>
      <c r="B1290" s="1">
        <v>45724</v>
      </c>
      <c r="C1290" s="2" t="s">
        <v>2010</v>
      </c>
      <c r="D1290" t="s">
        <v>2015</v>
      </c>
      <c r="E1290">
        <v>0</v>
      </c>
      <c r="F1290">
        <f>Cleaned[[#This Row],[Debit]] * Cleaned[[#This Row],[FX_rates]]</f>
        <v>0</v>
      </c>
      <c r="G1290">
        <v>2447.1</v>
      </c>
      <c r="H1290">
        <f>Cleaned[[#This Row],[Credit]] *  Cleaned[[#This Row],[FX_rates]]</f>
        <v>137037.6</v>
      </c>
      <c r="I1290" t="s">
        <v>2021</v>
      </c>
      <c r="J1290" t="s">
        <v>2028</v>
      </c>
      <c r="K1290" t="s">
        <v>3319</v>
      </c>
      <c r="L1290" t="s">
        <v>4033</v>
      </c>
      <c r="M1290">
        <f>Cleaned[[#This Row],[Credit]]-Cleaned[[#This Row],[Debit]]</f>
        <v>2447.1</v>
      </c>
      <c r="N1290" t="str">
        <f>_xlfn.XLOOKUP(Cleaned[[#This Row],[AccountName]], Account_Mapping!A:A, Account_Mapping!B:B,"Unmapped")</f>
        <v>Revenue</v>
      </c>
      <c r="O1290" cm="1">
        <f t="array" ref="O1290">_xlfn.XLOOKUP(
  1,
  (FX_Rates[Currency]=Cleaned[[#This Row],[Currency]])*
  (FX_Rates[RateDate]&lt;=Cleaned[[#This Row],[TxnDate]]),
  FX_Rates[Rate_To_INR],
  ,
  -1
)</f>
        <v>56</v>
      </c>
      <c r="P1290" s="2">
        <f>Cleaned[[#This Row],[Net Amount]] *  Cleaned[[#This Row],[FX_rates]]</f>
        <v>137037.6</v>
      </c>
    </row>
    <row r="1291" spans="1:16" x14ac:dyDescent="0.45">
      <c r="A1291" t="s">
        <v>1299</v>
      </c>
      <c r="B1291" s="1">
        <v>45620</v>
      </c>
      <c r="C1291" s="2" t="s">
        <v>2012</v>
      </c>
      <c r="D1291" t="s">
        <v>2017</v>
      </c>
      <c r="E1291">
        <v>520.39</v>
      </c>
      <c r="F1291">
        <f>Cleaned[[#This Row],[Debit]] * Cleaned[[#This Row],[FX_rates]]</f>
        <v>42671.979999999996</v>
      </c>
      <c r="G1291">
        <v>0</v>
      </c>
      <c r="H1291">
        <f>Cleaned[[#This Row],[Credit]] *  Cleaned[[#This Row],[FX_rates]]</f>
        <v>0</v>
      </c>
      <c r="I1291" t="s">
        <v>2025</v>
      </c>
      <c r="J1291" t="s">
        <v>2029</v>
      </c>
      <c r="K1291" t="s">
        <v>3320</v>
      </c>
      <c r="L1291" t="s">
        <v>4034</v>
      </c>
      <c r="M1291">
        <f>Cleaned[[#This Row],[Credit]]-Cleaned[[#This Row],[Debit]]</f>
        <v>-520.39</v>
      </c>
      <c r="N1291" t="str">
        <f>_xlfn.XLOOKUP(Cleaned[[#This Row],[AccountName]], Account_Mapping!A:A, Account_Mapping!B:B,"Unmapped")</f>
        <v>Operating Expense</v>
      </c>
      <c r="O1291" cm="1">
        <f t="array" ref="O1291">_xlfn.XLOOKUP(
  1,
  (FX_Rates[Currency]=Cleaned[[#This Row],[Currency]])*
  (FX_Rates[RateDate]&lt;=Cleaned[[#This Row],[TxnDate]]),
  FX_Rates[Rate_To_INR],
  ,
  -1
)</f>
        <v>82</v>
      </c>
      <c r="P1291" s="2">
        <f>Cleaned[[#This Row],[Net Amount]] *  Cleaned[[#This Row],[FX_rates]]</f>
        <v>-42671.979999999996</v>
      </c>
    </row>
    <row r="1292" spans="1:16" x14ac:dyDescent="0.45">
      <c r="A1292" t="s">
        <v>1300</v>
      </c>
      <c r="B1292" s="1">
        <v>45359</v>
      </c>
      <c r="C1292" s="2" t="s">
        <v>2013</v>
      </c>
      <c r="D1292" t="s">
        <v>2018</v>
      </c>
      <c r="E1292">
        <v>1329.55</v>
      </c>
      <c r="F1292">
        <f>Cleaned[[#This Row],[Debit]] * Cleaned[[#This Row],[FX_rates]]</f>
        <v>81102.55</v>
      </c>
      <c r="G1292">
        <v>0</v>
      </c>
      <c r="H1292">
        <f>Cleaned[[#This Row],[Credit]] *  Cleaned[[#This Row],[FX_rates]]</f>
        <v>0</v>
      </c>
      <c r="I1292" t="s">
        <v>2024</v>
      </c>
      <c r="J1292" t="s">
        <v>2030</v>
      </c>
      <c r="K1292" t="s">
        <v>3321</v>
      </c>
      <c r="L1292" t="s">
        <v>4035</v>
      </c>
      <c r="M1292">
        <f>Cleaned[[#This Row],[Credit]]-Cleaned[[#This Row],[Debit]]</f>
        <v>-1329.55</v>
      </c>
      <c r="N1292" t="str">
        <f>_xlfn.XLOOKUP(Cleaned[[#This Row],[AccountName]], Account_Mapping!A:A, Account_Mapping!B:B,"Unmapped")</f>
        <v>Operating Expense</v>
      </c>
      <c r="O1292" cm="1">
        <f t="array" ref="O1292">_xlfn.XLOOKUP(
  1,
  (FX_Rates[Currency]=Cleaned[[#This Row],[Currency]])*
  (FX_Rates[RateDate]&lt;=Cleaned[[#This Row],[TxnDate]]),
  FX_Rates[Rate_To_INR],
  ,
  -1
)</f>
        <v>61</v>
      </c>
      <c r="P1292" s="2">
        <f>Cleaned[[#This Row],[Net Amount]] *  Cleaned[[#This Row],[FX_rates]]</f>
        <v>-81102.55</v>
      </c>
    </row>
    <row r="1293" spans="1:16" x14ac:dyDescent="0.45">
      <c r="A1293" t="s">
        <v>1301</v>
      </c>
      <c r="B1293" s="1">
        <v>45354</v>
      </c>
      <c r="C1293" s="2" t="s">
        <v>2012</v>
      </c>
      <c r="D1293" t="s">
        <v>2017</v>
      </c>
      <c r="E1293">
        <v>1991.48</v>
      </c>
      <c r="F1293">
        <f>Cleaned[[#This Row],[Debit]] * Cleaned[[#This Row],[FX_rates]]</f>
        <v>205122.44</v>
      </c>
      <c r="G1293">
        <v>0</v>
      </c>
      <c r="H1293">
        <f>Cleaned[[#This Row],[Credit]] *  Cleaned[[#This Row],[FX_rates]]</f>
        <v>0</v>
      </c>
      <c r="I1293" t="s">
        <v>2022</v>
      </c>
      <c r="J1293" t="s">
        <v>2028</v>
      </c>
      <c r="K1293" t="s">
        <v>3322</v>
      </c>
      <c r="L1293" t="s">
        <v>4031</v>
      </c>
      <c r="M1293">
        <f>Cleaned[[#This Row],[Credit]]-Cleaned[[#This Row],[Debit]]</f>
        <v>-1991.48</v>
      </c>
      <c r="N1293" t="str">
        <f>_xlfn.XLOOKUP(Cleaned[[#This Row],[AccountName]], Account_Mapping!A:A, Account_Mapping!B:B,"Unmapped")</f>
        <v>Operating Expense</v>
      </c>
      <c r="O1293" cm="1">
        <f t="array" ref="O1293">_xlfn.XLOOKUP(
  1,
  (FX_Rates[Currency]=Cleaned[[#This Row],[Currency]])*
  (FX_Rates[RateDate]&lt;=Cleaned[[#This Row],[TxnDate]]),
  FX_Rates[Rate_To_INR],
  ,
  -1
)</f>
        <v>103</v>
      </c>
      <c r="P1293" s="2">
        <f>Cleaned[[#This Row],[Net Amount]] *  Cleaned[[#This Row],[FX_rates]]</f>
        <v>-205122.44</v>
      </c>
    </row>
    <row r="1294" spans="1:16" x14ac:dyDescent="0.45">
      <c r="A1294" t="s">
        <v>1302</v>
      </c>
      <c r="B1294" s="1">
        <v>45643</v>
      </c>
      <c r="C1294" s="2" t="s">
        <v>2011</v>
      </c>
      <c r="D1294" t="s">
        <v>2016</v>
      </c>
      <c r="E1294">
        <v>637.88</v>
      </c>
      <c r="F1294">
        <f>Cleaned[[#This Row],[Debit]] * Cleaned[[#This Row],[FX_rates]]</f>
        <v>52306.159999999996</v>
      </c>
      <c r="G1294">
        <v>0</v>
      </c>
      <c r="H1294">
        <f>Cleaned[[#This Row],[Credit]] *  Cleaned[[#This Row],[FX_rates]]</f>
        <v>0</v>
      </c>
      <c r="I1294" t="s">
        <v>2020</v>
      </c>
      <c r="J1294" t="s">
        <v>2027</v>
      </c>
      <c r="K1294" t="s">
        <v>3323</v>
      </c>
      <c r="L1294" t="s">
        <v>4034</v>
      </c>
      <c r="M1294">
        <f>Cleaned[[#This Row],[Credit]]-Cleaned[[#This Row],[Debit]]</f>
        <v>-637.88</v>
      </c>
      <c r="N1294" t="str">
        <f>_xlfn.XLOOKUP(Cleaned[[#This Row],[AccountName]], Account_Mapping!A:A, Account_Mapping!B:B,"Unmapped")</f>
        <v>COGS</v>
      </c>
      <c r="O1294" cm="1">
        <f t="array" ref="O1294">_xlfn.XLOOKUP(
  1,
  (FX_Rates[Currency]=Cleaned[[#This Row],[Currency]])*
  (FX_Rates[RateDate]&lt;=Cleaned[[#This Row],[TxnDate]]),
  FX_Rates[Rate_To_INR],
  ,
  -1
)</f>
        <v>82</v>
      </c>
      <c r="P1294" s="2">
        <f>Cleaned[[#This Row],[Net Amount]] *  Cleaned[[#This Row],[FX_rates]]</f>
        <v>-52306.159999999996</v>
      </c>
    </row>
    <row r="1295" spans="1:16" x14ac:dyDescent="0.45">
      <c r="A1295" t="s">
        <v>1303</v>
      </c>
      <c r="B1295" s="1">
        <v>45274</v>
      </c>
      <c r="C1295" s="2" t="s">
        <v>2010</v>
      </c>
      <c r="D1295" t="s">
        <v>2015</v>
      </c>
      <c r="E1295">
        <v>0</v>
      </c>
      <c r="F1295">
        <f>Cleaned[[#This Row],[Debit]] * Cleaned[[#This Row],[FX_rates]]</f>
        <v>0</v>
      </c>
      <c r="G1295">
        <v>175.56</v>
      </c>
      <c r="H1295">
        <f>Cleaned[[#This Row],[Credit]] *  Cleaned[[#This Row],[FX_rates]]</f>
        <v>10709.16</v>
      </c>
      <c r="I1295" t="s">
        <v>2020</v>
      </c>
      <c r="J1295" t="s">
        <v>2029</v>
      </c>
      <c r="K1295" t="s">
        <v>3324</v>
      </c>
      <c r="L1295" t="s">
        <v>4035</v>
      </c>
      <c r="M1295">
        <f>Cleaned[[#This Row],[Credit]]-Cleaned[[#This Row],[Debit]]</f>
        <v>175.56</v>
      </c>
      <c r="N1295" t="str">
        <f>_xlfn.XLOOKUP(Cleaned[[#This Row],[AccountName]], Account_Mapping!A:A, Account_Mapping!B:B,"Unmapped")</f>
        <v>Revenue</v>
      </c>
      <c r="O1295" cm="1">
        <f t="array" ref="O1295">_xlfn.XLOOKUP(
  1,
  (FX_Rates[Currency]=Cleaned[[#This Row],[Currency]])*
  (FX_Rates[RateDate]&lt;=Cleaned[[#This Row],[TxnDate]]),
  FX_Rates[Rate_To_INR],
  ,
  -1
)</f>
        <v>61</v>
      </c>
      <c r="P1295" s="2">
        <f>Cleaned[[#This Row],[Net Amount]] *  Cleaned[[#This Row],[FX_rates]]</f>
        <v>10709.16</v>
      </c>
    </row>
    <row r="1296" spans="1:16" x14ac:dyDescent="0.45">
      <c r="A1296" t="s">
        <v>1304</v>
      </c>
      <c r="B1296" s="1">
        <v>45443</v>
      </c>
      <c r="C1296" s="2" t="s">
        <v>2012</v>
      </c>
      <c r="D1296" t="s">
        <v>2017</v>
      </c>
      <c r="E1296">
        <v>282.05</v>
      </c>
      <c r="F1296">
        <f>Cleaned[[#This Row],[Debit]] * Cleaned[[#This Row],[FX_rates]]</f>
        <v>15794.800000000001</v>
      </c>
      <c r="G1296">
        <v>0</v>
      </c>
      <c r="H1296">
        <f>Cleaned[[#This Row],[Credit]] *  Cleaned[[#This Row],[FX_rates]]</f>
        <v>0</v>
      </c>
      <c r="I1296" t="s">
        <v>2020</v>
      </c>
      <c r="J1296" t="s">
        <v>2026</v>
      </c>
      <c r="K1296" t="s">
        <v>3325</v>
      </c>
      <c r="L1296" t="s">
        <v>4033</v>
      </c>
      <c r="M1296">
        <f>Cleaned[[#This Row],[Credit]]-Cleaned[[#This Row],[Debit]]</f>
        <v>-282.05</v>
      </c>
      <c r="N1296" t="str">
        <f>_xlfn.XLOOKUP(Cleaned[[#This Row],[AccountName]], Account_Mapping!A:A, Account_Mapping!B:B,"Unmapped")</f>
        <v>Operating Expense</v>
      </c>
      <c r="O1296" cm="1">
        <f t="array" ref="O1296">_xlfn.XLOOKUP(
  1,
  (FX_Rates[Currency]=Cleaned[[#This Row],[Currency]])*
  (FX_Rates[RateDate]&lt;=Cleaned[[#This Row],[TxnDate]]),
  FX_Rates[Rate_To_INR],
  ,
  -1
)</f>
        <v>56</v>
      </c>
      <c r="P1296" s="2">
        <f>Cleaned[[#This Row],[Net Amount]] *  Cleaned[[#This Row],[FX_rates]]</f>
        <v>-15794.800000000001</v>
      </c>
    </row>
    <row r="1297" spans="1:16" x14ac:dyDescent="0.45">
      <c r="A1297" t="s">
        <v>1305</v>
      </c>
      <c r="B1297" s="1">
        <v>45782</v>
      </c>
      <c r="C1297" s="2" t="s">
        <v>2012</v>
      </c>
      <c r="D1297" t="s">
        <v>2017</v>
      </c>
      <c r="E1297">
        <v>1993.37</v>
      </c>
      <c r="F1297">
        <f>Cleaned[[#This Row],[Debit]] * Cleaned[[#This Row],[FX_rates]]</f>
        <v>205317.11</v>
      </c>
      <c r="G1297">
        <v>0</v>
      </c>
      <c r="H1297">
        <f>Cleaned[[#This Row],[Credit]] *  Cleaned[[#This Row],[FX_rates]]</f>
        <v>0</v>
      </c>
      <c r="I1297" t="s">
        <v>2023</v>
      </c>
      <c r="J1297" t="s">
        <v>2027</v>
      </c>
      <c r="K1297" t="s">
        <v>3326</v>
      </c>
      <c r="L1297" t="s">
        <v>4031</v>
      </c>
      <c r="M1297">
        <f>Cleaned[[#This Row],[Credit]]-Cleaned[[#This Row],[Debit]]</f>
        <v>-1993.37</v>
      </c>
      <c r="N1297" t="str">
        <f>_xlfn.XLOOKUP(Cleaned[[#This Row],[AccountName]], Account_Mapping!A:A, Account_Mapping!B:B,"Unmapped")</f>
        <v>Operating Expense</v>
      </c>
      <c r="O1297" cm="1">
        <f t="array" ref="O1297">_xlfn.XLOOKUP(
  1,
  (FX_Rates[Currency]=Cleaned[[#This Row],[Currency]])*
  (FX_Rates[RateDate]&lt;=Cleaned[[#This Row],[TxnDate]]),
  FX_Rates[Rate_To_INR],
  ,
  -1
)</f>
        <v>103</v>
      </c>
      <c r="P1297" s="2">
        <f>Cleaned[[#This Row],[Net Amount]] *  Cleaned[[#This Row],[FX_rates]]</f>
        <v>-205317.11</v>
      </c>
    </row>
    <row r="1298" spans="1:16" x14ac:dyDescent="0.45">
      <c r="A1298" t="s">
        <v>1306</v>
      </c>
      <c r="B1298" s="1">
        <v>45372</v>
      </c>
      <c r="C1298" s="2" t="s">
        <v>2012</v>
      </c>
      <c r="D1298" t="s">
        <v>2017</v>
      </c>
      <c r="E1298">
        <v>294.74</v>
      </c>
      <c r="F1298">
        <f>Cleaned[[#This Row],[Debit]] * Cleaned[[#This Row],[FX_rates]]</f>
        <v>16505.440000000002</v>
      </c>
      <c r="G1298">
        <v>0</v>
      </c>
      <c r="H1298">
        <f>Cleaned[[#This Row],[Credit]] *  Cleaned[[#This Row],[FX_rates]]</f>
        <v>0</v>
      </c>
      <c r="I1298" t="s">
        <v>2020</v>
      </c>
      <c r="J1298" t="s">
        <v>2029</v>
      </c>
      <c r="K1298" t="s">
        <v>3327</v>
      </c>
      <c r="L1298" t="s">
        <v>4033</v>
      </c>
      <c r="M1298">
        <f>Cleaned[[#This Row],[Credit]]-Cleaned[[#This Row],[Debit]]</f>
        <v>-294.74</v>
      </c>
      <c r="N1298" t="str">
        <f>_xlfn.XLOOKUP(Cleaned[[#This Row],[AccountName]], Account_Mapping!A:A, Account_Mapping!B:B,"Unmapped")</f>
        <v>Operating Expense</v>
      </c>
      <c r="O1298" cm="1">
        <f t="array" ref="O1298">_xlfn.XLOOKUP(
  1,
  (FX_Rates[Currency]=Cleaned[[#This Row],[Currency]])*
  (FX_Rates[RateDate]&lt;=Cleaned[[#This Row],[TxnDate]]),
  FX_Rates[Rate_To_INR],
  ,
  -1
)</f>
        <v>56</v>
      </c>
      <c r="P1298" s="2">
        <f>Cleaned[[#This Row],[Net Amount]] *  Cleaned[[#This Row],[FX_rates]]</f>
        <v>-16505.440000000002</v>
      </c>
    </row>
    <row r="1299" spans="1:16" x14ac:dyDescent="0.45">
      <c r="A1299" t="s">
        <v>1307</v>
      </c>
      <c r="B1299" s="1">
        <v>45418</v>
      </c>
      <c r="C1299" s="2" t="s">
        <v>2010</v>
      </c>
      <c r="D1299" t="s">
        <v>2015</v>
      </c>
      <c r="E1299">
        <v>0</v>
      </c>
      <c r="F1299">
        <f>Cleaned[[#This Row],[Debit]] * Cleaned[[#This Row],[FX_rates]]</f>
        <v>0</v>
      </c>
      <c r="G1299">
        <v>763.55</v>
      </c>
      <c r="H1299">
        <f>Cleaned[[#This Row],[Credit]] *  Cleaned[[#This Row],[FX_rates]]</f>
        <v>67192.399999999994</v>
      </c>
      <c r="I1299" t="s">
        <v>2021</v>
      </c>
      <c r="J1299" t="s">
        <v>2026</v>
      </c>
      <c r="K1299" t="s">
        <v>3328</v>
      </c>
      <c r="L1299" t="s">
        <v>4032</v>
      </c>
      <c r="M1299">
        <f>Cleaned[[#This Row],[Credit]]-Cleaned[[#This Row],[Debit]]</f>
        <v>763.55</v>
      </c>
      <c r="N1299" t="str">
        <f>_xlfn.XLOOKUP(Cleaned[[#This Row],[AccountName]], Account_Mapping!A:A, Account_Mapping!B:B,"Unmapped")</f>
        <v>Revenue</v>
      </c>
      <c r="O1299" cm="1">
        <f t="array" ref="O1299">_xlfn.XLOOKUP(
  1,
  (FX_Rates[Currency]=Cleaned[[#This Row],[Currency]])*
  (FX_Rates[RateDate]&lt;=Cleaned[[#This Row],[TxnDate]]),
  FX_Rates[Rate_To_INR],
  ,
  -1
)</f>
        <v>88</v>
      </c>
      <c r="P1299" s="2">
        <f>Cleaned[[#This Row],[Net Amount]] *  Cleaned[[#This Row],[FX_rates]]</f>
        <v>67192.399999999994</v>
      </c>
    </row>
    <row r="1300" spans="1:16" x14ac:dyDescent="0.45">
      <c r="A1300" t="s">
        <v>1308</v>
      </c>
      <c r="B1300" s="1">
        <v>45103</v>
      </c>
      <c r="C1300" s="2" t="s">
        <v>2014</v>
      </c>
      <c r="D1300" t="s">
        <v>2019</v>
      </c>
      <c r="E1300">
        <v>0</v>
      </c>
      <c r="F1300">
        <f>Cleaned[[#This Row],[Debit]] * Cleaned[[#This Row],[FX_rates]]</f>
        <v>0</v>
      </c>
      <c r="G1300">
        <v>2502.91</v>
      </c>
      <c r="H1300">
        <f>Cleaned[[#This Row],[Credit]] *  Cleaned[[#This Row],[FX_rates]]</f>
        <v>257799.72999999998</v>
      </c>
      <c r="I1300" t="s">
        <v>2024</v>
      </c>
      <c r="J1300" t="s">
        <v>2029</v>
      </c>
      <c r="K1300" t="s">
        <v>3329</v>
      </c>
      <c r="L1300" t="s">
        <v>4031</v>
      </c>
      <c r="M1300">
        <f>Cleaned[[#This Row],[Credit]]-Cleaned[[#This Row],[Debit]]</f>
        <v>2502.91</v>
      </c>
      <c r="N1300" t="str">
        <f>_xlfn.XLOOKUP(Cleaned[[#This Row],[AccountName]], Account_Mapping!A:A, Account_Mapping!B:B,"Unmapped")</f>
        <v>Revenue</v>
      </c>
      <c r="O1300" cm="1">
        <f t="array" ref="O1300">_xlfn.XLOOKUP(
  1,
  (FX_Rates[Currency]=Cleaned[[#This Row],[Currency]])*
  (FX_Rates[RateDate]&lt;=Cleaned[[#This Row],[TxnDate]]),
  FX_Rates[Rate_To_INR],
  ,
  -1
)</f>
        <v>103</v>
      </c>
      <c r="P1300" s="2">
        <f>Cleaned[[#This Row],[Net Amount]] *  Cleaned[[#This Row],[FX_rates]]</f>
        <v>257799.72999999998</v>
      </c>
    </row>
    <row r="1301" spans="1:16" x14ac:dyDescent="0.45">
      <c r="A1301" t="s">
        <v>1309</v>
      </c>
      <c r="B1301" s="1">
        <v>45550</v>
      </c>
      <c r="C1301" s="2" t="s">
        <v>2013</v>
      </c>
      <c r="D1301" t="s">
        <v>2018</v>
      </c>
      <c r="E1301">
        <v>468.89</v>
      </c>
      <c r="F1301">
        <f>Cleaned[[#This Row],[Debit]] * Cleaned[[#This Row],[FX_rates]]</f>
        <v>26257.84</v>
      </c>
      <c r="G1301">
        <v>0</v>
      </c>
      <c r="H1301">
        <f>Cleaned[[#This Row],[Credit]] *  Cleaned[[#This Row],[FX_rates]]</f>
        <v>0</v>
      </c>
      <c r="I1301" t="s">
        <v>2024</v>
      </c>
      <c r="J1301" t="s">
        <v>2027</v>
      </c>
      <c r="K1301" t="s">
        <v>3330</v>
      </c>
      <c r="L1301" t="s">
        <v>4033</v>
      </c>
      <c r="M1301">
        <f>Cleaned[[#This Row],[Credit]]-Cleaned[[#This Row],[Debit]]</f>
        <v>-468.89</v>
      </c>
      <c r="N1301" t="str">
        <f>_xlfn.XLOOKUP(Cleaned[[#This Row],[AccountName]], Account_Mapping!A:A, Account_Mapping!B:B,"Unmapped")</f>
        <v>Operating Expense</v>
      </c>
      <c r="O1301" cm="1">
        <f t="array" ref="O1301">_xlfn.XLOOKUP(
  1,
  (FX_Rates[Currency]=Cleaned[[#This Row],[Currency]])*
  (FX_Rates[RateDate]&lt;=Cleaned[[#This Row],[TxnDate]]),
  FX_Rates[Rate_To_INR],
  ,
  -1
)</f>
        <v>56</v>
      </c>
      <c r="P1301" s="2">
        <f>Cleaned[[#This Row],[Net Amount]] *  Cleaned[[#This Row],[FX_rates]]</f>
        <v>-26257.84</v>
      </c>
    </row>
    <row r="1302" spans="1:16" x14ac:dyDescent="0.45">
      <c r="A1302" t="s">
        <v>1310</v>
      </c>
      <c r="B1302" s="1">
        <v>45162</v>
      </c>
      <c r="C1302" s="2" t="s">
        <v>2012</v>
      </c>
      <c r="D1302" t="s">
        <v>2017</v>
      </c>
      <c r="E1302">
        <v>810.8</v>
      </c>
      <c r="F1302">
        <f>Cleaned[[#This Row],[Debit]] * Cleaned[[#This Row],[FX_rates]]</f>
        <v>83512.399999999994</v>
      </c>
      <c r="G1302">
        <v>0</v>
      </c>
      <c r="H1302">
        <f>Cleaned[[#This Row],[Credit]] *  Cleaned[[#This Row],[FX_rates]]</f>
        <v>0</v>
      </c>
      <c r="I1302" t="s">
        <v>2023</v>
      </c>
      <c r="J1302" t="s">
        <v>2030</v>
      </c>
      <c r="K1302" t="s">
        <v>3331</v>
      </c>
      <c r="L1302" t="s">
        <v>4031</v>
      </c>
      <c r="M1302">
        <f>Cleaned[[#This Row],[Credit]]-Cleaned[[#This Row],[Debit]]</f>
        <v>-810.8</v>
      </c>
      <c r="N1302" t="str">
        <f>_xlfn.XLOOKUP(Cleaned[[#This Row],[AccountName]], Account_Mapping!A:A, Account_Mapping!B:B,"Unmapped")</f>
        <v>Operating Expense</v>
      </c>
      <c r="O1302" cm="1">
        <f t="array" ref="O1302">_xlfn.XLOOKUP(
  1,
  (FX_Rates[Currency]=Cleaned[[#This Row],[Currency]])*
  (FX_Rates[RateDate]&lt;=Cleaned[[#This Row],[TxnDate]]),
  FX_Rates[Rate_To_INR],
  ,
  -1
)</f>
        <v>103</v>
      </c>
      <c r="P1302" s="2">
        <f>Cleaned[[#This Row],[Net Amount]] *  Cleaned[[#This Row],[FX_rates]]</f>
        <v>-83512.399999999994</v>
      </c>
    </row>
    <row r="1303" spans="1:16" x14ac:dyDescent="0.45">
      <c r="A1303" t="s">
        <v>1311</v>
      </c>
      <c r="B1303" s="1">
        <v>45451</v>
      </c>
      <c r="C1303" s="2" t="s">
        <v>2011</v>
      </c>
      <c r="D1303" t="s">
        <v>2016</v>
      </c>
      <c r="E1303">
        <v>1345.83</v>
      </c>
      <c r="F1303">
        <f>Cleaned[[#This Row],[Debit]] * Cleaned[[#This Row],[FX_rates]]</f>
        <v>138620.49</v>
      </c>
      <c r="G1303">
        <v>0</v>
      </c>
      <c r="H1303">
        <f>Cleaned[[#This Row],[Credit]] *  Cleaned[[#This Row],[FX_rates]]</f>
        <v>0</v>
      </c>
      <c r="I1303" t="s">
        <v>2022</v>
      </c>
      <c r="J1303" t="s">
        <v>2027</v>
      </c>
      <c r="K1303" t="s">
        <v>3332</v>
      </c>
      <c r="L1303" t="s">
        <v>4031</v>
      </c>
      <c r="M1303">
        <f>Cleaned[[#This Row],[Credit]]-Cleaned[[#This Row],[Debit]]</f>
        <v>-1345.83</v>
      </c>
      <c r="N1303" t="str">
        <f>_xlfn.XLOOKUP(Cleaned[[#This Row],[AccountName]], Account_Mapping!A:A, Account_Mapping!B:B,"Unmapped")</f>
        <v>COGS</v>
      </c>
      <c r="O1303" cm="1">
        <f t="array" ref="O1303">_xlfn.XLOOKUP(
  1,
  (FX_Rates[Currency]=Cleaned[[#This Row],[Currency]])*
  (FX_Rates[RateDate]&lt;=Cleaned[[#This Row],[TxnDate]]),
  FX_Rates[Rate_To_INR],
  ,
  -1
)</f>
        <v>103</v>
      </c>
      <c r="P1303" s="2">
        <f>Cleaned[[#This Row],[Net Amount]] *  Cleaned[[#This Row],[FX_rates]]</f>
        <v>-138620.49</v>
      </c>
    </row>
    <row r="1304" spans="1:16" x14ac:dyDescent="0.45">
      <c r="A1304" t="s">
        <v>1312</v>
      </c>
      <c r="B1304" s="1">
        <v>45777</v>
      </c>
      <c r="C1304" s="2" t="s">
        <v>2010</v>
      </c>
      <c r="D1304" t="s">
        <v>2015</v>
      </c>
      <c r="E1304">
        <v>0</v>
      </c>
      <c r="F1304">
        <f>Cleaned[[#This Row],[Debit]] * Cleaned[[#This Row],[FX_rates]]</f>
        <v>0</v>
      </c>
      <c r="G1304">
        <v>4443.21</v>
      </c>
      <c r="H1304">
        <f>Cleaned[[#This Row],[Credit]] *  Cleaned[[#This Row],[FX_rates]]</f>
        <v>248819.76</v>
      </c>
      <c r="I1304" t="s">
        <v>2020</v>
      </c>
      <c r="J1304" t="s">
        <v>2026</v>
      </c>
      <c r="K1304" t="s">
        <v>3333</v>
      </c>
      <c r="L1304" t="s">
        <v>4033</v>
      </c>
      <c r="M1304">
        <f>Cleaned[[#This Row],[Credit]]-Cleaned[[#This Row],[Debit]]</f>
        <v>4443.21</v>
      </c>
      <c r="N1304" t="str">
        <f>_xlfn.XLOOKUP(Cleaned[[#This Row],[AccountName]], Account_Mapping!A:A, Account_Mapping!B:B,"Unmapped")</f>
        <v>Revenue</v>
      </c>
      <c r="O1304" cm="1">
        <f t="array" ref="O1304">_xlfn.XLOOKUP(
  1,
  (FX_Rates[Currency]=Cleaned[[#This Row],[Currency]])*
  (FX_Rates[RateDate]&lt;=Cleaned[[#This Row],[TxnDate]]),
  FX_Rates[Rate_To_INR],
  ,
  -1
)</f>
        <v>56</v>
      </c>
      <c r="P1304" s="2">
        <f>Cleaned[[#This Row],[Net Amount]] *  Cleaned[[#This Row],[FX_rates]]</f>
        <v>248819.76</v>
      </c>
    </row>
    <row r="1305" spans="1:16" x14ac:dyDescent="0.45">
      <c r="A1305" t="s">
        <v>1313</v>
      </c>
      <c r="B1305" s="1">
        <v>45040</v>
      </c>
      <c r="C1305" s="2" t="s">
        <v>2013</v>
      </c>
      <c r="D1305" t="s">
        <v>2018</v>
      </c>
      <c r="E1305">
        <v>780.61</v>
      </c>
      <c r="F1305">
        <f>Cleaned[[#This Row],[Debit]] * Cleaned[[#This Row],[FX_rates]]</f>
        <v>43714.16</v>
      </c>
      <c r="G1305">
        <v>0</v>
      </c>
      <c r="H1305">
        <f>Cleaned[[#This Row],[Credit]] *  Cleaned[[#This Row],[FX_rates]]</f>
        <v>0</v>
      </c>
      <c r="I1305" t="s">
        <v>2020</v>
      </c>
      <c r="J1305" t="s">
        <v>2028</v>
      </c>
      <c r="K1305" t="s">
        <v>3334</v>
      </c>
      <c r="L1305" t="s">
        <v>4033</v>
      </c>
      <c r="M1305">
        <f>Cleaned[[#This Row],[Credit]]-Cleaned[[#This Row],[Debit]]</f>
        <v>-780.61</v>
      </c>
      <c r="N1305" t="str">
        <f>_xlfn.XLOOKUP(Cleaned[[#This Row],[AccountName]], Account_Mapping!A:A, Account_Mapping!B:B,"Unmapped")</f>
        <v>Operating Expense</v>
      </c>
      <c r="O1305" cm="1">
        <f t="array" ref="O1305">_xlfn.XLOOKUP(
  1,
  (FX_Rates[Currency]=Cleaned[[#This Row],[Currency]])*
  (FX_Rates[RateDate]&lt;=Cleaned[[#This Row],[TxnDate]]),
  FX_Rates[Rate_To_INR],
  ,
  -1
)</f>
        <v>56</v>
      </c>
      <c r="P1305" s="2">
        <f>Cleaned[[#This Row],[Net Amount]] *  Cleaned[[#This Row],[FX_rates]]</f>
        <v>-43714.16</v>
      </c>
    </row>
    <row r="1306" spans="1:16" x14ac:dyDescent="0.45">
      <c r="A1306" t="s">
        <v>1314</v>
      </c>
      <c r="B1306" s="1">
        <v>45310</v>
      </c>
      <c r="C1306" s="2" t="s">
        <v>2014</v>
      </c>
      <c r="D1306" t="s">
        <v>2019</v>
      </c>
      <c r="E1306">
        <v>0</v>
      </c>
      <c r="F1306">
        <f>Cleaned[[#This Row],[Debit]] * Cleaned[[#This Row],[FX_rates]]</f>
        <v>0</v>
      </c>
      <c r="G1306">
        <v>2988.59</v>
      </c>
      <c r="H1306">
        <f>Cleaned[[#This Row],[Credit]] *  Cleaned[[#This Row],[FX_rates]]</f>
        <v>307824.77</v>
      </c>
      <c r="I1306" t="s">
        <v>2022</v>
      </c>
      <c r="J1306" t="s">
        <v>2027</v>
      </c>
      <c r="K1306" t="s">
        <v>3335</v>
      </c>
      <c r="L1306" t="s">
        <v>4031</v>
      </c>
      <c r="M1306">
        <f>Cleaned[[#This Row],[Credit]]-Cleaned[[#This Row],[Debit]]</f>
        <v>2988.59</v>
      </c>
      <c r="N1306" t="str">
        <f>_xlfn.XLOOKUP(Cleaned[[#This Row],[AccountName]], Account_Mapping!A:A, Account_Mapping!B:B,"Unmapped")</f>
        <v>Revenue</v>
      </c>
      <c r="O1306" cm="1">
        <f t="array" ref="O1306">_xlfn.XLOOKUP(
  1,
  (FX_Rates[Currency]=Cleaned[[#This Row],[Currency]])*
  (FX_Rates[RateDate]&lt;=Cleaned[[#This Row],[TxnDate]]),
  FX_Rates[Rate_To_INR],
  ,
  -1
)</f>
        <v>103</v>
      </c>
      <c r="P1306" s="2">
        <f>Cleaned[[#This Row],[Net Amount]] *  Cleaned[[#This Row],[FX_rates]]</f>
        <v>307824.77</v>
      </c>
    </row>
    <row r="1307" spans="1:16" x14ac:dyDescent="0.45">
      <c r="A1307" t="s">
        <v>1315</v>
      </c>
      <c r="B1307" s="1">
        <v>45585</v>
      </c>
      <c r="C1307" s="2" t="s">
        <v>2013</v>
      </c>
      <c r="D1307" t="s">
        <v>2018</v>
      </c>
      <c r="E1307">
        <v>1463.55</v>
      </c>
      <c r="F1307">
        <f>Cleaned[[#This Row],[Debit]] * Cleaned[[#This Row],[FX_rates]]</f>
        <v>89276.55</v>
      </c>
      <c r="G1307">
        <v>0</v>
      </c>
      <c r="H1307">
        <f>Cleaned[[#This Row],[Credit]] *  Cleaned[[#This Row],[FX_rates]]</f>
        <v>0</v>
      </c>
      <c r="I1307" t="s">
        <v>2023</v>
      </c>
      <c r="J1307" t="s">
        <v>2026</v>
      </c>
      <c r="K1307" t="s">
        <v>3336</v>
      </c>
      <c r="L1307" t="s">
        <v>4035</v>
      </c>
      <c r="M1307">
        <f>Cleaned[[#This Row],[Credit]]-Cleaned[[#This Row],[Debit]]</f>
        <v>-1463.55</v>
      </c>
      <c r="N1307" t="str">
        <f>_xlfn.XLOOKUP(Cleaned[[#This Row],[AccountName]], Account_Mapping!A:A, Account_Mapping!B:B,"Unmapped")</f>
        <v>Operating Expense</v>
      </c>
      <c r="O1307" cm="1">
        <f t="array" ref="O1307">_xlfn.XLOOKUP(
  1,
  (FX_Rates[Currency]=Cleaned[[#This Row],[Currency]])*
  (FX_Rates[RateDate]&lt;=Cleaned[[#This Row],[TxnDate]]),
  FX_Rates[Rate_To_INR],
  ,
  -1
)</f>
        <v>61</v>
      </c>
      <c r="P1307" s="2">
        <f>Cleaned[[#This Row],[Net Amount]] *  Cleaned[[#This Row],[FX_rates]]</f>
        <v>-89276.55</v>
      </c>
    </row>
    <row r="1308" spans="1:16" x14ac:dyDescent="0.45">
      <c r="A1308" t="s">
        <v>1316</v>
      </c>
      <c r="B1308" s="1">
        <v>45398</v>
      </c>
      <c r="C1308" s="2" t="s">
        <v>2014</v>
      </c>
      <c r="D1308" t="s">
        <v>2019</v>
      </c>
      <c r="E1308">
        <v>0</v>
      </c>
      <c r="F1308">
        <f>Cleaned[[#This Row],[Debit]] * Cleaned[[#This Row],[FX_rates]]</f>
        <v>0</v>
      </c>
      <c r="G1308">
        <v>790.68</v>
      </c>
      <c r="H1308">
        <f>Cleaned[[#This Row],[Credit]] *  Cleaned[[#This Row],[FX_rates]]</f>
        <v>81440.039999999994</v>
      </c>
      <c r="I1308" t="s">
        <v>2021</v>
      </c>
      <c r="J1308" t="s">
        <v>2026</v>
      </c>
      <c r="K1308" t="s">
        <v>3337</v>
      </c>
      <c r="L1308" t="s">
        <v>4031</v>
      </c>
      <c r="M1308">
        <f>Cleaned[[#This Row],[Credit]]-Cleaned[[#This Row],[Debit]]</f>
        <v>790.68</v>
      </c>
      <c r="N1308" t="str">
        <f>_xlfn.XLOOKUP(Cleaned[[#This Row],[AccountName]], Account_Mapping!A:A, Account_Mapping!B:B,"Unmapped")</f>
        <v>Revenue</v>
      </c>
      <c r="O1308" cm="1">
        <f t="array" ref="O1308">_xlfn.XLOOKUP(
  1,
  (FX_Rates[Currency]=Cleaned[[#This Row],[Currency]])*
  (FX_Rates[RateDate]&lt;=Cleaned[[#This Row],[TxnDate]]),
  FX_Rates[Rate_To_INR],
  ,
  -1
)</f>
        <v>103</v>
      </c>
      <c r="P1308" s="2">
        <f>Cleaned[[#This Row],[Net Amount]] *  Cleaned[[#This Row],[FX_rates]]</f>
        <v>81440.039999999994</v>
      </c>
    </row>
    <row r="1309" spans="1:16" x14ac:dyDescent="0.45">
      <c r="A1309" t="s">
        <v>1317</v>
      </c>
      <c r="B1309" s="1">
        <v>45090</v>
      </c>
      <c r="C1309" s="2" t="s">
        <v>2010</v>
      </c>
      <c r="D1309" t="s">
        <v>2015</v>
      </c>
      <c r="E1309">
        <v>0</v>
      </c>
      <c r="F1309">
        <f>Cleaned[[#This Row],[Debit]] * Cleaned[[#This Row],[FX_rates]]</f>
        <v>0</v>
      </c>
      <c r="G1309">
        <v>3083.05</v>
      </c>
      <c r="H1309">
        <f>Cleaned[[#This Row],[Credit]] *  Cleaned[[#This Row],[FX_rates]]</f>
        <v>271308.40000000002</v>
      </c>
      <c r="I1309" t="s">
        <v>2020</v>
      </c>
      <c r="J1309" t="s">
        <v>2027</v>
      </c>
      <c r="K1309" t="s">
        <v>3338</v>
      </c>
      <c r="L1309" t="s">
        <v>4032</v>
      </c>
      <c r="M1309">
        <f>Cleaned[[#This Row],[Credit]]-Cleaned[[#This Row],[Debit]]</f>
        <v>3083.05</v>
      </c>
      <c r="N1309" t="str">
        <f>_xlfn.XLOOKUP(Cleaned[[#This Row],[AccountName]], Account_Mapping!A:A, Account_Mapping!B:B,"Unmapped")</f>
        <v>Revenue</v>
      </c>
      <c r="O1309" cm="1">
        <f t="array" ref="O1309">_xlfn.XLOOKUP(
  1,
  (FX_Rates[Currency]=Cleaned[[#This Row],[Currency]])*
  (FX_Rates[RateDate]&lt;=Cleaned[[#This Row],[TxnDate]]),
  FX_Rates[Rate_To_INR],
  ,
  -1
)</f>
        <v>88</v>
      </c>
      <c r="P1309" s="2">
        <f>Cleaned[[#This Row],[Net Amount]] *  Cleaned[[#This Row],[FX_rates]]</f>
        <v>271308.40000000002</v>
      </c>
    </row>
    <row r="1310" spans="1:16" x14ac:dyDescent="0.45">
      <c r="A1310" t="s">
        <v>1318</v>
      </c>
      <c r="B1310" s="1">
        <v>45340</v>
      </c>
      <c r="C1310" s="2" t="s">
        <v>2013</v>
      </c>
      <c r="D1310" t="s">
        <v>2018</v>
      </c>
      <c r="E1310">
        <v>473.43</v>
      </c>
      <c r="F1310">
        <f>Cleaned[[#This Row],[Debit]] * Cleaned[[#This Row],[FX_rates]]</f>
        <v>26512.080000000002</v>
      </c>
      <c r="G1310">
        <v>0</v>
      </c>
      <c r="H1310">
        <f>Cleaned[[#This Row],[Credit]] *  Cleaned[[#This Row],[FX_rates]]</f>
        <v>0</v>
      </c>
      <c r="I1310" t="s">
        <v>2020</v>
      </c>
      <c r="J1310" t="s">
        <v>2029</v>
      </c>
      <c r="K1310" t="s">
        <v>3339</v>
      </c>
      <c r="L1310" t="s">
        <v>4033</v>
      </c>
      <c r="M1310">
        <f>Cleaned[[#This Row],[Credit]]-Cleaned[[#This Row],[Debit]]</f>
        <v>-473.43</v>
      </c>
      <c r="N1310" t="str">
        <f>_xlfn.XLOOKUP(Cleaned[[#This Row],[AccountName]], Account_Mapping!A:A, Account_Mapping!B:B,"Unmapped")</f>
        <v>Operating Expense</v>
      </c>
      <c r="O1310" cm="1">
        <f t="array" ref="O1310">_xlfn.XLOOKUP(
  1,
  (FX_Rates[Currency]=Cleaned[[#This Row],[Currency]])*
  (FX_Rates[RateDate]&lt;=Cleaned[[#This Row],[TxnDate]]),
  FX_Rates[Rate_To_INR],
  ,
  -1
)</f>
        <v>56</v>
      </c>
      <c r="P1310" s="2">
        <f>Cleaned[[#This Row],[Net Amount]] *  Cleaned[[#This Row],[FX_rates]]</f>
        <v>-26512.080000000002</v>
      </c>
    </row>
    <row r="1311" spans="1:16" x14ac:dyDescent="0.45">
      <c r="A1311" t="s">
        <v>1319</v>
      </c>
      <c r="B1311" s="1">
        <v>45531</v>
      </c>
      <c r="C1311" s="2" t="s">
        <v>2014</v>
      </c>
      <c r="D1311" t="s">
        <v>2019</v>
      </c>
      <c r="E1311">
        <v>0</v>
      </c>
      <c r="F1311">
        <f>Cleaned[[#This Row],[Debit]] * Cleaned[[#This Row],[FX_rates]]</f>
        <v>0</v>
      </c>
      <c r="G1311">
        <v>4614.12</v>
      </c>
      <c r="H1311">
        <f>Cleaned[[#This Row],[Credit]] *  Cleaned[[#This Row],[FX_rates]]</f>
        <v>406042.56</v>
      </c>
      <c r="I1311" t="s">
        <v>2023</v>
      </c>
      <c r="J1311" t="s">
        <v>2027</v>
      </c>
      <c r="K1311" t="s">
        <v>3340</v>
      </c>
      <c r="L1311" t="s">
        <v>4032</v>
      </c>
      <c r="M1311">
        <f>Cleaned[[#This Row],[Credit]]-Cleaned[[#This Row],[Debit]]</f>
        <v>4614.12</v>
      </c>
      <c r="N1311" t="str">
        <f>_xlfn.XLOOKUP(Cleaned[[#This Row],[AccountName]], Account_Mapping!A:A, Account_Mapping!B:B,"Unmapped")</f>
        <v>Revenue</v>
      </c>
      <c r="O1311" cm="1">
        <f t="array" ref="O1311">_xlfn.XLOOKUP(
  1,
  (FX_Rates[Currency]=Cleaned[[#This Row],[Currency]])*
  (FX_Rates[RateDate]&lt;=Cleaned[[#This Row],[TxnDate]]),
  FX_Rates[Rate_To_INR],
  ,
  -1
)</f>
        <v>88</v>
      </c>
      <c r="P1311" s="2">
        <f>Cleaned[[#This Row],[Net Amount]] *  Cleaned[[#This Row],[FX_rates]]</f>
        <v>406042.56</v>
      </c>
    </row>
    <row r="1312" spans="1:16" x14ac:dyDescent="0.45">
      <c r="A1312" t="s">
        <v>1320</v>
      </c>
      <c r="B1312" s="1">
        <v>44935</v>
      </c>
      <c r="C1312" s="2" t="s">
        <v>2013</v>
      </c>
      <c r="D1312" t="s">
        <v>2018</v>
      </c>
      <c r="E1312">
        <v>1506.71</v>
      </c>
      <c r="F1312">
        <f>Cleaned[[#This Row],[Debit]] * Cleaned[[#This Row],[FX_rates]]</f>
        <v>91909.31</v>
      </c>
      <c r="G1312">
        <v>0</v>
      </c>
      <c r="H1312">
        <f>Cleaned[[#This Row],[Credit]] *  Cleaned[[#This Row],[FX_rates]]</f>
        <v>0</v>
      </c>
      <c r="I1312" t="s">
        <v>2022</v>
      </c>
      <c r="J1312" t="s">
        <v>2027</v>
      </c>
      <c r="K1312" t="s">
        <v>3341</v>
      </c>
      <c r="L1312" t="s">
        <v>4035</v>
      </c>
      <c r="M1312">
        <f>Cleaned[[#This Row],[Credit]]-Cleaned[[#This Row],[Debit]]</f>
        <v>-1506.71</v>
      </c>
      <c r="N1312" t="str">
        <f>_xlfn.XLOOKUP(Cleaned[[#This Row],[AccountName]], Account_Mapping!A:A, Account_Mapping!B:B,"Unmapped")</f>
        <v>Operating Expense</v>
      </c>
      <c r="O1312" cm="1">
        <f t="array" ref="O1312">_xlfn.XLOOKUP(
  1,
  (FX_Rates[Currency]=Cleaned[[#This Row],[Currency]])*
  (FX_Rates[RateDate]&lt;=Cleaned[[#This Row],[TxnDate]]),
  FX_Rates[Rate_To_INR],
  ,
  -1
)</f>
        <v>61</v>
      </c>
      <c r="P1312" s="2">
        <f>Cleaned[[#This Row],[Net Amount]] *  Cleaned[[#This Row],[FX_rates]]</f>
        <v>-91909.31</v>
      </c>
    </row>
    <row r="1313" spans="1:16" x14ac:dyDescent="0.45">
      <c r="A1313" t="s">
        <v>1321</v>
      </c>
      <c r="B1313" s="1">
        <v>44943</v>
      </c>
      <c r="C1313" s="2" t="s">
        <v>2012</v>
      </c>
      <c r="D1313" t="s">
        <v>2017</v>
      </c>
      <c r="E1313">
        <v>874.3</v>
      </c>
      <c r="F1313">
        <f>Cleaned[[#This Row],[Debit]] * Cleaned[[#This Row],[FX_rates]]</f>
        <v>90052.9</v>
      </c>
      <c r="G1313">
        <v>0</v>
      </c>
      <c r="H1313">
        <f>Cleaned[[#This Row],[Credit]] *  Cleaned[[#This Row],[FX_rates]]</f>
        <v>0</v>
      </c>
      <c r="I1313" t="s">
        <v>2020</v>
      </c>
      <c r="J1313" t="s">
        <v>2027</v>
      </c>
      <c r="K1313" t="s">
        <v>3342</v>
      </c>
      <c r="L1313" t="s">
        <v>4031</v>
      </c>
      <c r="M1313">
        <f>Cleaned[[#This Row],[Credit]]-Cleaned[[#This Row],[Debit]]</f>
        <v>-874.3</v>
      </c>
      <c r="N1313" t="str">
        <f>_xlfn.XLOOKUP(Cleaned[[#This Row],[AccountName]], Account_Mapping!A:A, Account_Mapping!B:B,"Unmapped")</f>
        <v>Operating Expense</v>
      </c>
      <c r="O1313" cm="1">
        <f t="array" ref="O1313">_xlfn.XLOOKUP(
  1,
  (FX_Rates[Currency]=Cleaned[[#This Row],[Currency]])*
  (FX_Rates[RateDate]&lt;=Cleaned[[#This Row],[TxnDate]]),
  FX_Rates[Rate_To_INR],
  ,
  -1
)</f>
        <v>103</v>
      </c>
      <c r="P1313" s="2">
        <f>Cleaned[[#This Row],[Net Amount]] *  Cleaned[[#This Row],[FX_rates]]</f>
        <v>-90052.9</v>
      </c>
    </row>
    <row r="1314" spans="1:16" x14ac:dyDescent="0.45">
      <c r="A1314" t="s">
        <v>1322</v>
      </c>
      <c r="B1314" s="1">
        <v>44938</v>
      </c>
      <c r="C1314" s="2" t="s">
        <v>2013</v>
      </c>
      <c r="D1314" t="s">
        <v>2018</v>
      </c>
      <c r="E1314">
        <v>770.81</v>
      </c>
      <c r="F1314">
        <f>Cleaned[[#This Row],[Debit]] * Cleaned[[#This Row],[FX_rates]]</f>
        <v>63206.42</v>
      </c>
      <c r="G1314">
        <v>0</v>
      </c>
      <c r="H1314">
        <f>Cleaned[[#This Row],[Credit]] *  Cleaned[[#This Row],[FX_rates]]</f>
        <v>0</v>
      </c>
      <c r="I1314" t="s">
        <v>2022</v>
      </c>
      <c r="J1314" t="s">
        <v>2030</v>
      </c>
      <c r="K1314" t="s">
        <v>3343</v>
      </c>
      <c r="L1314" t="s">
        <v>4034</v>
      </c>
      <c r="M1314">
        <f>Cleaned[[#This Row],[Credit]]-Cleaned[[#This Row],[Debit]]</f>
        <v>-770.81</v>
      </c>
      <c r="N1314" t="str">
        <f>_xlfn.XLOOKUP(Cleaned[[#This Row],[AccountName]], Account_Mapping!A:A, Account_Mapping!B:B,"Unmapped")</f>
        <v>Operating Expense</v>
      </c>
      <c r="O1314" cm="1">
        <f t="array" ref="O1314">_xlfn.XLOOKUP(
  1,
  (FX_Rates[Currency]=Cleaned[[#This Row],[Currency]])*
  (FX_Rates[RateDate]&lt;=Cleaned[[#This Row],[TxnDate]]),
  FX_Rates[Rate_To_INR],
  ,
  -1
)</f>
        <v>82</v>
      </c>
      <c r="P1314" s="2">
        <f>Cleaned[[#This Row],[Net Amount]] *  Cleaned[[#This Row],[FX_rates]]</f>
        <v>-63206.42</v>
      </c>
    </row>
    <row r="1315" spans="1:16" x14ac:dyDescent="0.45">
      <c r="A1315" t="s">
        <v>1323</v>
      </c>
      <c r="B1315" s="1">
        <v>45150</v>
      </c>
      <c r="C1315" s="2" t="s">
        <v>2011</v>
      </c>
      <c r="D1315" t="s">
        <v>2016</v>
      </c>
      <c r="E1315">
        <v>916.64</v>
      </c>
      <c r="F1315">
        <f>Cleaned[[#This Row],[Debit]] * Cleaned[[#This Row],[FX_rates]]</f>
        <v>51331.839999999997</v>
      </c>
      <c r="G1315">
        <v>0</v>
      </c>
      <c r="H1315">
        <f>Cleaned[[#This Row],[Credit]] *  Cleaned[[#This Row],[FX_rates]]</f>
        <v>0</v>
      </c>
      <c r="I1315" t="s">
        <v>2022</v>
      </c>
      <c r="J1315" t="s">
        <v>2026</v>
      </c>
      <c r="K1315" t="s">
        <v>3344</v>
      </c>
      <c r="L1315" t="s">
        <v>4033</v>
      </c>
      <c r="M1315">
        <f>Cleaned[[#This Row],[Credit]]-Cleaned[[#This Row],[Debit]]</f>
        <v>-916.64</v>
      </c>
      <c r="N1315" t="str">
        <f>_xlfn.XLOOKUP(Cleaned[[#This Row],[AccountName]], Account_Mapping!A:A, Account_Mapping!B:B,"Unmapped")</f>
        <v>COGS</v>
      </c>
      <c r="O1315" cm="1">
        <f t="array" ref="O1315">_xlfn.XLOOKUP(
  1,
  (FX_Rates[Currency]=Cleaned[[#This Row],[Currency]])*
  (FX_Rates[RateDate]&lt;=Cleaned[[#This Row],[TxnDate]]),
  FX_Rates[Rate_To_INR],
  ,
  -1
)</f>
        <v>56</v>
      </c>
      <c r="P1315" s="2">
        <f>Cleaned[[#This Row],[Net Amount]] *  Cleaned[[#This Row],[FX_rates]]</f>
        <v>-51331.839999999997</v>
      </c>
    </row>
    <row r="1316" spans="1:16" x14ac:dyDescent="0.45">
      <c r="A1316" t="s">
        <v>1324</v>
      </c>
      <c r="B1316" s="1">
        <v>45834</v>
      </c>
      <c r="C1316" s="2" t="s">
        <v>2011</v>
      </c>
      <c r="D1316" t="s">
        <v>2016</v>
      </c>
      <c r="E1316">
        <v>1378.77</v>
      </c>
      <c r="F1316">
        <f>Cleaned[[#This Row],[Debit]] * Cleaned[[#This Row],[FX_rates]]</f>
        <v>77211.12</v>
      </c>
      <c r="G1316">
        <v>0</v>
      </c>
      <c r="H1316">
        <f>Cleaned[[#This Row],[Credit]] *  Cleaned[[#This Row],[FX_rates]]</f>
        <v>0</v>
      </c>
      <c r="I1316" t="s">
        <v>2024</v>
      </c>
      <c r="J1316" t="s">
        <v>2026</v>
      </c>
      <c r="K1316" t="s">
        <v>3345</v>
      </c>
      <c r="L1316" t="s">
        <v>4033</v>
      </c>
      <c r="M1316">
        <f>Cleaned[[#This Row],[Credit]]-Cleaned[[#This Row],[Debit]]</f>
        <v>-1378.77</v>
      </c>
      <c r="N1316" t="str">
        <f>_xlfn.XLOOKUP(Cleaned[[#This Row],[AccountName]], Account_Mapping!A:A, Account_Mapping!B:B,"Unmapped")</f>
        <v>COGS</v>
      </c>
      <c r="O1316" cm="1">
        <f t="array" ref="O1316">_xlfn.XLOOKUP(
  1,
  (FX_Rates[Currency]=Cleaned[[#This Row],[Currency]])*
  (FX_Rates[RateDate]&lt;=Cleaned[[#This Row],[TxnDate]]),
  FX_Rates[Rate_To_INR],
  ,
  -1
)</f>
        <v>56</v>
      </c>
      <c r="P1316" s="2">
        <f>Cleaned[[#This Row],[Net Amount]] *  Cleaned[[#This Row],[FX_rates]]</f>
        <v>-77211.12</v>
      </c>
    </row>
    <row r="1317" spans="1:16" x14ac:dyDescent="0.45">
      <c r="A1317" t="s">
        <v>1325</v>
      </c>
      <c r="B1317" s="1">
        <v>45544</v>
      </c>
      <c r="C1317" s="2" t="s">
        <v>2013</v>
      </c>
      <c r="D1317" t="s">
        <v>2018</v>
      </c>
      <c r="E1317">
        <v>1403.4</v>
      </c>
      <c r="F1317">
        <f>Cleaned[[#This Row],[Debit]] * Cleaned[[#This Row],[FX_rates]]</f>
        <v>78590.400000000009</v>
      </c>
      <c r="G1317">
        <v>0</v>
      </c>
      <c r="H1317">
        <f>Cleaned[[#This Row],[Credit]] *  Cleaned[[#This Row],[FX_rates]]</f>
        <v>0</v>
      </c>
      <c r="I1317" t="s">
        <v>2023</v>
      </c>
      <c r="J1317" t="s">
        <v>2027</v>
      </c>
      <c r="K1317" t="s">
        <v>3346</v>
      </c>
      <c r="L1317" t="s">
        <v>4033</v>
      </c>
      <c r="M1317">
        <f>Cleaned[[#This Row],[Credit]]-Cleaned[[#This Row],[Debit]]</f>
        <v>-1403.4</v>
      </c>
      <c r="N1317" t="str">
        <f>_xlfn.XLOOKUP(Cleaned[[#This Row],[AccountName]], Account_Mapping!A:A, Account_Mapping!B:B,"Unmapped")</f>
        <v>Operating Expense</v>
      </c>
      <c r="O1317" cm="1">
        <f t="array" ref="O1317">_xlfn.XLOOKUP(
  1,
  (FX_Rates[Currency]=Cleaned[[#This Row],[Currency]])*
  (FX_Rates[RateDate]&lt;=Cleaned[[#This Row],[TxnDate]]),
  FX_Rates[Rate_To_INR],
  ,
  -1
)</f>
        <v>56</v>
      </c>
      <c r="P1317" s="2">
        <f>Cleaned[[#This Row],[Net Amount]] *  Cleaned[[#This Row],[FX_rates]]</f>
        <v>-78590.400000000009</v>
      </c>
    </row>
    <row r="1318" spans="1:16" x14ac:dyDescent="0.45">
      <c r="A1318" t="s">
        <v>1326</v>
      </c>
      <c r="B1318" s="1">
        <v>45130</v>
      </c>
      <c r="C1318" s="2" t="s">
        <v>2011</v>
      </c>
      <c r="D1318" t="s">
        <v>2016</v>
      </c>
      <c r="E1318">
        <v>710.78</v>
      </c>
      <c r="F1318">
        <f>Cleaned[[#This Row],[Debit]] * Cleaned[[#This Row],[FX_rates]]</f>
        <v>43357.58</v>
      </c>
      <c r="G1318">
        <v>0</v>
      </c>
      <c r="H1318">
        <f>Cleaned[[#This Row],[Credit]] *  Cleaned[[#This Row],[FX_rates]]</f>
        <v>0</v>
      </c>
      <c r="I1318" t="s">
        <v>2024</v>
      </c>
      <c r="J1318" t="s">
        <v>2026</v>
      </c>
      <c r="K1318" t="s">
        <v>3347</v>
      </c>
      <c r="L1318" t="s">
        <v>4035</v>
      </c>
      <c r="M1318">
        <f>Cleaned[[#This Row],[Credit]]-Cleaned[[#This Row],[Debit]]</f>
        <v>-710.78</v>
      </c>
      <c r="N1318" t="str">
        <f>_xlfn.XLOOKUP(Cleaned[[#This Row],[AccountName]], Account_Mapping!A:A, Account_Mapping!B:B,"Unmapped")</f>
        <v>COGS</v>
      </c>
      <c r="O1318" cm="1">
        <f t="array" ref="O1318">_xlfn.XLOOKUP(
  1,
  (FX_Rates[Currency]=Cleaned[[#This Row],[Currency]])*
  (FX_Rates[RateDate]&lt;=Cleaned[[#This Row],[TxnDate]]),
  FX_Rates[Rate_To_INR],
  ,
  -1
)</f>
        <v>61</v>
      </c>
      <c r="P1318" s="2">
        <f>Cleaned[[#This Row],[Net Amount]] *  Cleaned[[#This Row],[FX_rates]]</f>
        <v>-43357.58</v>
      </c>
    </row>
    <row r="1319" spans="1:16" x14ac:dyDescent="0.45">
      <c r="A1319" t="s">
        <v>1327</v>
      </c>
      <c r="B1319" s="1">
        <v>45836</v>
      </c>
      <c r="C1319" s="2" t="s">
        <v>2014</v>
      </c>
      <c r="D1319" t="s">
        <v>2019</v>
      </c>
      <c r="E1319">
        <v>0</v>
      </c>
      <c r="F1319">
        <f>Cleaned[[#This Row],[Debit]] * Cleaned[[#This Row],[FX_rates]]</f>
        <v>0</v>
      </c>
      <c r="G1319">
        <v>2077.61</v>
      </c>
      <c r="H1319">
        <f>Cleaned[[#This Row],[Credit]] *  Cleaned[[#This Row],[FX_rates]]</f>
        <v>170364.02000000002</v>
      </c>
      <c r="I1319" t="s">
        <v>2020</v>
      </c>
      <c r="J1319" t="s">
        <v>2027</v>
      </c>
      <c r="K1319" t="s">
        <v>3348</v>
      </c>
      <c r="L1319" t="s">
        <v>4034</v>
      </c>
      <c r="M1319">
        <f>Cleaned[[#This Row],[Credit]]-Cleaned[[#This Row],[Debit]]</f>
        <v>2077.61</v>
      </c>
      <c r="N1319" t="str">
        <f>_xlfn.XLOOKUP(Cleaned[[#This Row],[AccountName]], Account_Mapping!A:A, Account_Mapping!B:B,"Unmapped")</f>
        <v>Revenue</v>
      </c>
      <c r="O1319" cm="1">
        <f t="array" ref="O1319">_xlfn.XLOOKUP(
  1,
  (FX_Rates[Currency]=Cleaned[[#This Row],[Currency]])*
  (FX_Rates[RateDate]&lt;=Cleaned[[#This Row],[TxnDate]]),
  FX_Rates[Rate_To_INR],
  ,
  -1
)</f>
        <v>82</v>
      </c>
      <c r="P1319" s="2">
        <f>Cleaned[[#This Row],[Net Amount]] *  Cleaned[[#This Row],[FX_rates]]</f>
        <v>170364.02000000002</v>
      </c>
    </row>
    <row r="1320" spans="1:16" x14ac:dyDescent="0.45">
      <c r="A1320" t="s">
        <v>1328</v>
      </c>
      <c r="B1320" s="1">
        <v>45106</v>
      </c>
      <c r="C1320" s="2" t="s">
        <v>2010</v>
      </c>
      <c r="D1320" t="s">
        <v>2015</v>
      </c>
      <c r="E1320">
        <v>0</v>
      </c>
      <c r="F1320">
        <f>Cleaned[[#This Row],[Debit]] * Cleaned[[#This Row],[FX_rates]]</f>
        <v>0</v>
      </c>
      <c r="G1320">
        <v>2075.2600000000002</v>
      </c>
      <c r="H1320">
        <f>Cleaned[[#This Row],[Credit]] *  Cleaned[[#This Row],[FX_rates]]</f>
        <v>170171.32</v>
      </c>
      <c r="I1320" t="s">
        <v>2021</v>
      </c>
      <c r="J1320" t="s">
        <v>2026</v>
      </c>
      <c r="K1320" t="s">
        <v>3349</v>
      </c>
      <c r="L1320" t="s">
        <v>4034</v>
      </c>
      <c r="M1320">
        <f>Cleaned[[#This Row],[Credit]]-Cleaned[[#This Row],[Debit]]</f>
        <v>2075.2600000000002</v>
      </c>
      <c r="N1320" t="str">
        <f>_xlfn.XLOOKUP(Cleaned[[#This Row],[AccountName]], Account_Mapping!A:A, Account_Mapping!B:B,"Unmapped")</f>
        <v>Revenue</v>
      </c>
      <c r="O1320" cm="1">
        <f t="array" ref="O1320">_xlfn.XLOOKUP(
  1,
  (FX_Rates[Currency]=Cleaned[[#This Row],[Currency]])*
  (FX_Rates[RateDate]&lt;=Cleaned[[#This Row],[TxnDate]]),
  FX_Rates[Rate_To_INR],
  ,
  -1
)</f>
        <v>82</v>
      </c>
      <c r="P1320" s="2">
        <f>Cleaned[[#This Row],[Net Amount]] *  Cleaned[[#This Row],[FX_rates]]</f>
        <v>170171.32</v>
      </c>
    </row>
    <row r="1321" spans="1:16" x14ac:dyDescent="0.45">
      <c r="A1321" t="s">
        <v>1329</v>
      </c>
      <c r="B1321" s="1">
        <v>45321</v>
      </c>
      <c r="C1321" s="2" t="s">
        <v>2011</v>
      </c>
      <c r="D1321" t="s">
        <v>2016</v>
      </c>
      <c r="E1321">
        <v>955.82</v>
      </c>
      <c r="F1321">
        <f>Cleaned[[#This Row],[Debit]] * Cleaned[[#This Row],[FX_rates]]</f>
        <v>98449.46</v>
      </c>
      <c r="G1321">
        <v>0</v>
      </c>
      <c r="H1321">
        <f>Cleaned[[#This Row],[Credit]] *  Cleaned[[#This Row],[FX_rates]]</f>
        <v>0</v>
      </c>
      <c r="I1321" t="s">
        <v>2022</v>
      </c>
      <c r="J1321" t="s">
        <v>2028</v>
      </c>
      <c r="K1321" t="s">
        <v>3350</v>
      </c>
      <c r="L1321" t="s">
        <v>4031</v>
      </c>
      <c r="M1321">
        <f>Cleaned[[#This Row],[Credit]]-Cleaned[[#This Row],[Debit]]</f>
        <v>-955.82</v>
      </c>
      <c r="N1321" t="str">
        <f>_xlfn.XLOOKUP(Cleaned[[#This Row],[AccountName]], Account_Mapping!A:A, Account_Mapping!B:B,"Unmapped")</f>
        <v>COGS</v>
      </c>
      <c r="O1321" cm="1">
        <f t="array" ref="O1321">_xlfn.XLOOKUP(
  1,
  (FX_Rates[Currency]=Cleaned[[#This Row],[Currency]])*
  (FX_Rates[RateDate]&lt;=Cleaned[[#This Row],[TxnDate]]),
  FX_Rates[Rate_To_INR],
  ,
  -1
)</f>
        <v>103</v>
      </c>
      <c r="P1321" s="2">
        <f>Cleaned[[#This Row],[Net Amount]] *  Cleaned[[#This Row],[FX_rates]]</f>
        <v>-98449.46</v>
      </c>
    </row>
    <row r="1322" spans="1:16" x14ac:dyDescent="0.45">
      <c r="A1322" t="s">
        <v>1330</v>
      </c>
      <c r="B1322" s="1">
        <v>45712</v>
      </c>
      <c r="C1322" s="2" t="s">
        <v>2011</v>
      </c>
      <c r="D1322" t="s">
        <v>2016</v>
      </c>
      <c r="E1322">
        <v>1924.14</v>
      </c>
      <c r="F1322">
        <f>Cleaned[[#This Row],[Debit]] * Cleaned[[#This Row],[FX_rates]]</f>
        <v>117372.54000000001</v>
      </c>
      <c r="G1322">
        <v>0</v>
      </c>
      <c r="H1322">
        <f>Cleaned[[#This Row],[Credit]] *  Cleaned[[#This Row],[FX_rates]]</f>
        <v>0</v>
      </c>
      <c r="I1322" t="s">
        <v>2023</v>
      </c>
      <c r="J1322" t="s">
        <v>2030</v>
      </c>
      <c r="K1322" t="s">
        <v>3351</v>
      </c>
      <c r="L1322" t="s">
        <v>4035</v>
      </c>
      <c r="M1322">
        <f>Cleaned[[#This Row],[Credit]]-Cleaned[[#This Row],[Debit]]</f>
        <v>-1924.14</v>
      </c>
      <c r="N1322" t="str">
        <f>_xlfn.XLOOKUP(Cleaned[[#This Row],[AccountName]], Account_Mapping!A:A, Account_Mapping!B:B,"Unmapped")</f>
        <v>COGS</v>
      </c>
      <c r="O1322" cm="1">
        <f t="array" ref="O1322">_xlfn.XLOOKUP(
  1,
  (FX_Rates[Currency]=Cleaned[[#This Row],[Currency]])*
  (FX_Rates[RateDate]&lt;=Cleaned[[#This Row],[TxnDate]]),
  FX_Rates[Rate_To_INR],
  ,
  -1
)</f>
        <v>61</v>
      </c>
      <c r="P1322" s="2">
        <f>Cleaned[[#This Row],[Net Amount]] *  Cleaned[[#This Row],[FX_rates]]</f>
        <v>-117372.54000000001</v>
      </c>
    </row>
    <row r="1323" spans="1:16" x14ac:dyDescent="0.45">
      <c r="A1323" t="s">
        <v>1331</v>
      </c>
      <c r="B1323" s="1">
        <v>45382</v>
      </c>
      <c r="C1323" s="2" t="s">
        <v>2014</v>
      </c>
      <c r="D1323" t="s">
        <v>2019</v>
      </c>
      <c r="E1323">
        <v>0</v>
      </c>
      <c r="F1323">
        <f>Cleaned[[#This Row],[Debit]] * Cleaned[[#This Row],[FX_rates]]</f>
        <v>0</v>
      </c>
      <c r="G1323">
        <v>4238.9799999999996</v>
      </c>
      <c r="H1323">
        <f>Cleaned[[#This Row],[Credit]] *  Cleaned[[#This Row],[FX_rates]]</f>
        <v>373030.24</v>
      </c>
      <c r="I1323" t="s">
        <v>2025</v>
      </c>
      <c r="J1323" t="s">
        <v>2026</v>
      </c>
      <c r="K1323" t="s">
        <v>3352</v>
      </c>
      <c r="L1323" t="s">
        <v>4032</v>
      </c>
      <c r="M1323">
        <f>Cleaned[[#This Row],[Credit]]-Cleaned[[#This Row],[Debit]]</f>
        <v>4238.9799999999996</v>
      </c>
      <c r="N1323" t="str">
        <f>_xlfn.XLOOKUP(Cleaned[[#This Row],[AccountName]], Account_Mapping!A:A, Account_Mapping!B:B,"Unmapped")</f>
        <v>Revenue</v>
      </c>
      <c r="O1323" cm="1">
        <f t="array" ref="O1323">_xlfn.XLOOKUP(
  1,
  (FX_Rates[Currency]=Cleaned[[#This Row],[Currency]])*
  (FX_Rates[RateDate]&lt;=Cleaned[[#This Row],[TxnDate]]),
  FX_Rates[Rate_To_INR],
  ,
  -1
)</f>
        <v>88</v>
      </c>
      <c r="P1323" s="2">
        <f>Cleaned[[#This Row],[Net Amount]] *  Cleaned[[#This Row],[FX_rates]]</f>
        <v>373030.24</v>
      </c>
    </row>
    <row r="1324" spans="1:16" x14ac:dyDescent="0.45">
      <c r="A1324" t="s">
        <v>1332</v>
      </c>
      <c r="B1324" s="1">
        <v>45636</v>
      </c>
      <c r="C1324" s="2" t="s">
        <v>2013</v>
      </c>
      <c r="D1324" t="s">
        <v>2018</v>
      </c>
      <c r="E1324">
        <v>1471.95</v>
      </c>
      <c r="F1324">
        <f>Cleaned[[#This Row],[Debit]] * Cleaned[[#This Row],[FX_rates]]</f>
        <v>151610.85</v>
      </c>
      <c r="G1324">
        <v>0</v>
      </c>
      <c r="H1324">
        <f>Cleaned[[#This Row],[Credit]] *  Cleaned[[#This Row],[FX_rates]]</f>
        <v>0</v>
      </c>
      <c r="I1324" t="s">
        <v>2021</v>
      </c>
      <c r="J1324" t="s">
        <v>2028</v>
      </c>
      <c r="K1324" t="s">
        <v>3353</v>
      </c>
      <c r="L1324" t="s">
        <v>4031</v>
      </c>
      <c r="M1324">
        <f>Cleaned[[#This Row],[Credit]]-Cleaned[[#This Row],[Debit]]</f>
        <v>-1471.95</v>
      </c>
      <c r="N1324" t="str">
        <f>_xlfn.XLOOKUP(Cleaned[[#This Row],[AccountName]], Account_Mapping!A:A, Account_Mapping!B:B,"Unmapped")</f>
        <v>Operating Expense</v>
      </c>
      <c r="O1324" cm="1">
        <f t="array" ref="O1324">_xlfn.XLOOKUP(
  1,
  (FX_Rates[Currency]=Cleaned[[#This Row],[Currency]])*
  (FX_Rates[RateDate]&lt;=Cleaned[[#This Row],[TxnDate]]),
  FX_Rates[Rate_To_INR],
  ,
  -1
)</f>
        <v>103</v>
      </c>
      <c r="P1324" s="2">
        <f>Cleaned[[#This Row],[Net Amount]] *  Cleaned[[#This Row],[FX_rates]]</f>
        <v>-151610.85</v>
      </c>
    </row>
    <row r="1325" spans="1:16" x14ac:dyDescent="0.45">
      <c r="A1325" t="s">
        <v>1333</v>
      </c>
      <c r="B1325" s="1">
        <v>45826</v>
      </c>
      <c r="C1325" s="2" t="s">
        <v>2014</v>
      </c>
      <c r="D1325" t="s">
        <v>2019</v>
      </c>
      <c r="E1325">
        <v>0</v>
      </c>
      <c r="F1325">
        <f>Cleaned[[#This Row],[Debit]] * Cleaned[[#This Row],[FX_rates]]</f>
        <v>0</v>
      </c>
      <c r="G1325">
        <v>1269.44</v>
      </c>
      <c r="H1325">
        <f>Cleaned[[#This Row],[Credit]] *  Cleaned[[#This Row],[FX_rates]]</f>
        <v>71088.639999999999</v>
      </c>
      <c r="I1325" t="s">
        <v>2020</v>
      </c>
      <c r="J1325" t="s">
        <v>2029</v>
      </c>
      <c r="K1325" t="s">
        <v>3354</v>
      </c>
      <c r="L1325" t="s">
        <v>4033</v>
      </c>
      <c r="M1325">
        <f>Cleaned[[#This Row],[Credit]]-Cleaned[[#This Row],[Debit]]</f>
        <v>1269.44</v>
      </c>
      <c r="N1325" t="str">
        <f>_xlfn.XLOOKUP(Cleaned[[#This Row],[AccountName]], Account_Mapping!A:A, Account_Mapping!B:B,"Unmapped")</f>
        <v>Revenue</v>
      </c>
      <c r="O1325" cm="1">
        <f t="array" ref="O1325">_xlfn.XLOOKUP(
  1,
  (FX_Rates[Currency]=Cleaned[[#This Row],[Currency]])*
  (FX_Rates[RateDate]&lt;=Cleaned[[#This Row],[TxnDate]]),
  FX_Rates[Rate_To_INR],
  ,
  -1
)</f>
        <v>56</v>
      </c>
      <c r="P1325" s="2">
        <f>Cleaned[[#This Row],[Net Amount]] *  Cleaned[[#This Row],[FX_rates]]</f>
        <v>71088.639999999999</v>
      </c>
    </row>
    <row r="1326" spans="1:16" x14ac:dyDescent="0.45">
      <c r="A1326" t="s">
        <v>1334</v>
      </c>
      <c r="B1326" s="1">
        <v>45171</v>
      </c>
      <c r="C1326" s="2" t="s">
        <v>2011</v>
      </c>
      <c r="D1326" t="s">
        <v>2016</v>
      </c>
      <c r="E1326">
        <v>97.3</v>
      </c>
      <c r="F1326">
        <f>Cleaned[[#This Row],[Debit]] * Cleaned[[#This Row],[FX_rates]]</f>
        <v>5448.8</v>
      </c>
      <c r="G1326">
        <v>0</v>
      </c>
      <c r="H1326">
        <f>Cleaned[[#This Row],[Credit]] *  Cleaned[[#This Row],[FX_rates]]</f>
        <v>0</v>
      </c>
      <c r="I1326" t="s">
        <v>2025</v>
      </c>
      <c r="J1326" t="s">
        <v>2026</v>
      </c>
      <c r="K1326" t="s">
        <v>3355</v>
      </c>
      <c r="L1326" t="s">
        <v>4033</v>
      </c>
      <c r="M1326">
        <f>Cleaned[[#This Row],[Credit]]-Cleaned[[#This Row],[Debit]]</f>
        <v>-97.3</v>
      </c>
      <c r="N1326" t="str">
        <f>_xlfn.XLOOKUP(Cleaned[[#This Row],[AccountName]], Account_Mapping!A:A, Account_Mapping!B:B,"Unmapped")</f>
        <v>COGS</v>
      </c>
      <c r="O1326" cm="1">
        <f t="array" ref="O1326">_xlfn.XLOOKUP(
  1,
  (FX_Rates[Currency]=Cleaned[[#This Row],[Currency]])*
  (FX_Rates[RateDate]&lt;=Cleaned[[#This Row],[TxnDate]]),
  FX_Rates[Rate_To_INR],
  ,
  -1
)</f>
        <v>56</v>
      </c>
      <c r="P1326" s="2">
        <f>Cleaned[[#This Row],[Net Amount]] *  Cleaned[[#This Row],[FX_rates]]</f>
        <v>-5448.8</v>
      </c>
    </row>
    <row r="1327" spans="1:16" x14ac:dyDescent="0.45">
      <c r="A1327" t="s">
        <v>1335</v>
      </c>
      <c r="B1327" s="1">
        <v>44986</v>
      </c>
      <c r="C1327" s="2" t="s">
        <v>2012</v>
      </c>
      <c r="D1327" t="s">
        <v>2017</v>
      </c>
      <c r="E1327">
        <v>557.66</v>
      </c>
      <c r="F1327">
        <f>Cleaned[[#This Row],[Debit]] * Cleaned[[#This Row],[FX_rates]]</f>
        <v>45728.119999999995</v>
      </c>
      <c r="G1327">
        <v>0</v>
      </c>
      <c r="H1327">
        <f>Cleaned[[#This Row],[Credit]] *  Cleaned[[#This Row],[FX_rates]]</f>
        <v>0</v>
      </c>
      <c r="I1327" t="s">
        <v>2025</v>
      </c>
      <c r="J1327" t="s">
        <v>2026</v>
      </c>
      <c r="K1327" t="s">
        <v>3356</v>
      </c>
      <c r="L1327" t="s">
        <v>4034</v>
      </c>
      <c r="M1327">
        <f>Cleaned[[#This Row],[Credit]]-Cleaned[[#This Row],[Debit]]</f>
        <v>-557.66</v>
      </c>
      <c r="N1327" t="str">
        <f>_xlfn.XLOOKUP(Cleaned[[#This Row],[AccountName]], Account_Mapping!A:A, Account_Mapping!B:B,"Unmapped")</f>
        <v>Operating Expense</v>
      </c>
      <c r="O1327" cm="1">
        <f t="array" ref="O1327">_xlfn.XLOOKUP(
  1,
  (FX_Rates[Currency]=Cleaned[[#This Row],[Currency]])*
  (FX_Rates[RateDate]&lt;=Cleaned[[#This Row],[TxnDate]]),
  FX_Rates[Rate_To_INR],
  ,
  -1
)</f>
        <v>82</v>
      </c>
      <c r="P1327" s="2">
        <f>Cleaned[[#This Row],[Net Amount]] *  Cleaned[[#This Row],[FX_rates]]</f>
        <v>-45728.119999999995</v>
      </c>
    </row>
    <row r="1328" spans="1:16" x14ac:dyDescent="0.45">
      <c r="A1328" t="s">
        <v>1336</v>
      </c>
      <c r="B1328" s="1">
        <v>45374</v>
      </c>
      <c r="C1328" s="2" t="s">
        <v>2013</v>
      </c>
      <c r="D1328" t="s">
        <v>2018</v>
      </c>
      <c r="E1328">
        <v>1380.55</v>
      </c>
      <c r="F1328">
        <f>Cleaned[[#This Row],[Debit]] * Cleaned[[#This Row],[FX_rates]]</f>
        <v>77310.8</v>
      </c>
      <c r="G1328">
        <v>0</v>
      </c>
      <c r="H1328">
        <f>Cleaned[[#This Row],[Credit]] *  Cleaned[[#This Row],[FX_rates]]</f>
        <v>0</v>
      </c>
      <c r="I1328" t="s">
        <v>2021</v>
      </c>
      <c r="J1328" t="s">
        <v>2028</v>
      </c>
      <c r="K1328" t="s">
        <v>3357</v>
      </c>
      <c r="L1328" t="s">
        <v>4033</v>
      </c>
      <c r="M1328">
        <f>Cleaned[[#This Row],[Credit]]-Cleaned[[#This Row],[Debit]]</f>
        <v>-1380.55</v>
      </c>
      <c r="N1328" t="str">
        <f>_xlfn.XLOOKUP(Cleaned[[#This Row],[AccountName]], Account_Mapping!A:A, Account_Mapping!B:B,"Unmapped")</f>
        <v>Operating Expense</v>
      </c>
      <c r="O1328" cm="1">
        <f t="array" ref="O1328">_xlfn.XLOOKUP(
  1,
  (FX_Rates[Currency]=Cleaned[[#This Row],[Currency]])*
  (FX_Rates[RateDate]&lt;=Cleaned[[#This Row],[TxnDate]]),
  FX_Rates[Rate_To_INR],
  ,
  -1
)</f>
        <v>56</v>
      </c>
      <c r="P1328" s="2">
        <f>Cleaned[[#This Row],[Net Amount]] *  Cleaned[[#This Row],[FX_rates]]</f>
        <v>-77310.8</v>
      </c>
    </row>
    <row r="1329" spans="1:16" x14ac:dyDescent="0.45">
      <c r="A1329" t="s">
        <v>1337</v>
      </c>
      <c r="B1329" s="1">
        <v>45689</v>
      </c>
      <c r="C1329" s="2" t="s">
        <v>2011</v>
      </c>
      <c r="D1329" t="s">
        <v>2016</v>
      </c>
      <c r="E1329">
        <v>606.16</v>
      </c>
      <c r="F1329">
        <f>Cleaned[[#This Row],[Debit]] * Cleaned[[#This Row],[FX_rates]]</f>
        <v>33944.959999999999</v>
      </c>
      <c r="G1329">
        <v>0</v>
      </c>
      <c r="H1329">
        <f>Cleaned[[#This Row],[Credit]] *  Cleaned[[#This Row],[FX_rates]]</f>
        <v>0</v>
      </c>
      <c r="I1329" t="s">
        <v>2021</v>
      </c>
      <c r="J1329" t="s">
        <v>2029</v>
      </c>
      <c r="K1329" t="s">
        <v>3358</v>
      </c>
      <c r="L1329" t="s">
        <v>4033</v>
      </c>
      <c r="M1329">
        <f>Cleaned[[#This Row],[Credit]]-Cleaned[[#This Row],[Debit]]</f>
        <v>-606.16</v>
      </c>
      <c r="N1329" t="str">
        <f>_xlfn.XLOOKUP(Cleaned[[#This Row],[AccountName]], Account_Mapping!A:A, Account_Mapping!B:B,"Unmapped")</f>
        <v>COGS</v>
      </c>
      <c r="O1329" cm="1">
        <f t="array" ref="O1329">_xlfn.XLOOKUP(
  1,
  (FX_Rates[Currency]=Cleaned[[#This Row],[Currency]])*
  (FX_Rates[RateDate]&lt;=Cleaned[[#This Row],[TxnDate]]),
  FX_Rates[Rate_To_INR],
  ,
  -1
)</f>
        <v>56</v>
      </c>
      <c r="P1329" s="2">
        <f>Cleaned[[#This Row],[Net Amount]] *  Cleaned[[#This Row],[FX_rates]]</f>
        <v>-33944.959999999999</v>
      </c>
    </row>
    <row r="1330" spans="1:16" x14ac:dyDescent="0.45">
      <c r="A1330" t="s">
        <v>1338</v>
      </c>
      <c r="B1330" s="1">
        <v>45423</v>
      </c>
      <c r="C1330" s="2" t="s">
        <v>2012</v>
      </c>
      <c r="D1330" t="s">
        <v>2017</v>
      </c>
      <c r="E1330">
        <v>1885.28</v>
      </c>
      <c r="F1330">
        <f>Cleaned[[#This Row],[Debit]] * Cleaned[[#This Row],[FX_rates]]</f>
        <v>115002.08</v>
      </c>
      <c r="G1330">
        <v>0</v>
      </c>
      <c r="H1330">
        <f>Cleaned[[#This Row],[Credit]] *  Cleaned[[#This Row],[FX_rates]]</f>
        <v>0</v>
      </c>
      <c r="I1330" t="s">
        <v>2023</v>
      </c>
      <c r="J1330" t="s">
        <v>2027</v>
      </c>
      <c r="K1330" t="s">
        <v>3359</v>
      </c>
      <c r="L1330" t="s">
        <v>4035</v>
      </c>
      <c r="M1330">
        <f>Cleaned[[#This Row],[Credit]]-Cleaned[[#This Row],[Debit]]</f>
        <v>-1885.28</v>
      </c>
      <c r="N1330" t="str">
        <f>_xlfn.XLOOKUP(Cleaned[[#This Row],[AccountName]], Account_Mapping!A:A, Account_Mapping!B:B,"Unmapped")</f>
        <v>Operating Expense</v>
      </c>
      <c r="O1330" cm="1">
        <f t="array" ref="O1330">_xlfn.XLOOKUP(
  1,
  (FX_Rates[Currency]=Cleaned[[#This Row],[Currency]])*
  (FX_Rates[RateDate]&lt;=Cleaned[[#This Row],[TxnDate]]),
  FX_Rates[Rate_To_INR],
  ,
  -1
)</f>
        <v>61</v>
      </c>
      <c r="P1330" s="2">
        <f>Cleaned[[#This Row],[Net Amount]] *  Cleaned[[#This Row],[FX_rates]]</f>
        <v>-115002.08</v>
      </c>
    </row>
    <row r="1331" spans="1:16" x14ac:dyDescent="0.45">
      <c r="A1331" t="s">
        <v>1339</v>
      </c>
      <c r="B1331" s="1">
        <v>45623</v>
      </c>
      <c r="C1331" s="2" t="s">
        <v>2013</v>
      </c>
      <c r="D1331" t="s">
        <v>2018</v>
      </c>
      <c r="E1331">
        <v>1731.77</v>
      </c>
      <c r="F1331">
        <f>Cleaned[[#This Row],[Debit]] * Cleaned[[#This Row],[FX_rates]]</f>
        <v>105637.97</v>
      </c>
      <c r="G1331">
        <v>0</v>
      </c>
      <c r="H1331">
        <f>Cleaned[[#This Row],[Credit]] *  Cleaned[[#This Row],[FX_rates]]</f>
        <v>0</v>
      </c>
      <c r="I1331" t="s">
        <v>2023</v>
      </c>
      <c r="J1331" t="s">
        <v>2028</v>
      </c>
      <c r="K1331" t="s">
        <v>3360</v>
      </c>
      <c r="L1331" t="s">
        <v>4035</v>
      </c>
      <c r="M1331">
        <f>Cleaned[[#This Row],[Credit]]-Cleaned[[#This Row],[Debit]]</f>
        <v>-1731.77</v>
      </c>
      <c r="N1331" t="str">
        <f>_xlfn.XLOOKUP(Cleaned[[#This Row],[AccountName]], Account_Mapping!A:A, Account_Mapping!B:B,"Unmapped")</f>
        <v>Operating Expense</v>
      </c>
      <c r="O1331" cm="1">
        <f t="array" ref="O1331">_xlfn.XLOOKUP(
  1,
  (FX_Rates[Currency]=Cleaned[[#This Row],[Currency]])*
  (FX_Rates[RateDate]&lt;=Cleaned[[#This Row],[TxnDate]]),
  FX_Rates[Rate_To_INR],
  ,
  -1
)</f>
        <v>61</v>
      </c>
      <c r="P1331" s="2">
        <f>Cleaned[[#This Row],[Net Amount]] *  Cleaned[[#This Row],[FX_rates]]</f>
        <v>-105637.97</v>
      </c>
    </row>
    <row r="1332" spans="1:16" x14ac:dyDescent="0.45">
      <c r="A1332" t="s">
        <v>1340</v>
      </c>
      <c r="B1332" s="1">
        <v>45069</v>
      </c>
      <c r="C1332" s="2" t="s">
        <v>2011</v>
      </c>
      <c r="D1332" t="s">
        <v>2016</v>
      </c>
      <c r="E1332">
        <v>394.02</v>
      </c>
      <c r="F1332">
        <f>Cleaned[[#This Row],[Debit]] * Cleaned[[#This Row],[FX_rates]]</f>
        <v>40584.06</v>
      </c>
      <c r="G1332">
        <v>0</v>
      </c>
      <c r="H1332">
        <f>Cleaned[[#This Row],[Credit]] *  Cleaned[[#This Row],[FX_rates]]</f>
        <v>0</v>
      </c>
      <c r="I1332" t="s">
        <v>2021</v>
      </c>
      <c r="J1332" t="s">
        <v>2026</v>
      </c>
      <c r="K1332" t="s">
        <v>3361</v>
      </c>
      <c r="L1332" t="s">
        <v>4031</v>
      </c>
      <c r="M1332">
        <f>Cleaned[[#This Row],[Credit]]-Cleaned[[#This Row],[Debit]]</f>
        <v>-394.02</v>
      </c>
      <c r="N1332" t="str">
        <f>_xlfn.XLOOKUP(Cleaned[[#This Row],[AccountName]], Account_Mapping!A:A, Account_Mapping!B:B,"Unmapped")</f>
        <v>COGS</v>
      </c>
      <c r="O1332" cm="1">
        <f t="array" ref="O1332">_xlfn.XLOOKUP(
  1,
  (FX_Rates[Currency]=Cleaned[[#This Row],[Currency]])*
  (FX_Rates[RateDate]&lt;=Cleaned[[#This Row],[TxnDate]]),
  FX_Rates[Rate_To_INR],
  ,
  -1
)</f>
        <v>103</v>
      </c>
      <c r="P1332" s="2">
        <f>Cleaned[[#This Row],[Net Amount]] *  Cleaned[[#This Row],[FX_rates]]</f>
        <v>-40584.06</v>
      </c>
    </row>
    <row r="1333" spans="1:16" x14ac:dyDescent="0.45">
      <c r="A1333" t="s">
        <v>1341</v>
      </c>
      <c r="B1333" s="1">
        <v>45298</v>
      </c>
      <c r="C1333" s="2" t="s">
        <v>2010</v>
      </c>
      <c r="D1333" t="s">
        <v>2015</v>
      </c>
      <c r="E1333">
        <v>0</v>
      </c>
      <c r="F1333">
        <f>Cleaned[[#This Row],[Debit]] * Cleaned[[#This Row],[FX_rates]]</f>
        <v>0</v>
      </c>
      <c r="G1333">
        <v>687.07</v>
      </c>
      <c r="H1333">
        <f>Cleaned[[#This Row],[Credit]] *  Cleaned[[#This Row],[FX_rates]]</f>
        <v>41911.270000000004</v>
      </c>
      <c r="I1333" t="s">
        <v>2021</v>
      </c>
      <c r="J1333" t="s">
        <v>2027</v>
      </c>
      <c r="K1333" t="s">
        <v>3362</v>
      </c>
      <c r="L1333" t="s">
        <v>4035</v>
      </c>
      <c r="M1333">
        <f>Cleaned[[#This Row],[Credit]]-Cleaned[[#This Row],[Debit]]</f>
        <v>687.07</v>
      </c>
      <c r="N1333" t="str">
        <f>_xlfn.XLOOKUP(Cleaned[[#This Row],[AccountName]], Account_Mapping!A:A, Account_Mapping!B:B,"Unmapped")</f>
        <v>Revenue</v>
      </c>
      <c r="O1333" cm="1">
        <f t="array" ref="O1333">_xlfn.XLOOKUP(
  1,
  (FX_Rates[Currency]=Cleaned[[#This Row],[Currency]])*
  (FX_Rates[RateDate]&lt;=Cleaned[[#This Row],[TxnDate]]),
  FX_Rates[Rate_To_INR],
  ,
  -1
)</f>
        <v>61</v>
      </c>
      <c r="P1333" s="2">
        <f>Cleaned[[#This Row],[Net Amount]] *  Cleaned[[#This Row],[FX_rates]]</f>
        <v>41911.270000000004</v>
      </c>
    </row>
    <row r="1334" spans="1:16" x14ac:dyDescent="0.45">
      <c r="A1334" t="s">
        <v>1342</v>
      </c>
      <c r="B1334" s="1">
        <v>45272</v>
      </c>
      <c r="C1334" s="2" t="s">
        <v>2014</v>
      </c>
      <c r="D1334" t="s">
        <v>2019</v>
      </c>
      <c r="E1334">
        <v>0</v>
      </c>
      <c r="F1334">
        <f>Cleaned[[#This Row],[Debit]] * Cleaned[[#This Row],[FX_rates]]</f>
        <v>0</v>
      </c>
      <c r="G1334">
        <v>4603.0200000000004</v>
      </c>
      <c r="H1334">
        <f>Cleaned[[#This Row],[Credit]] *  Cleaned[[#This Row],[FX_rates]]</f>
        <v>474111.06000000006</v>
      </c>
      <c r="I1334" t="s">
        <v>2023</v>
      </c>
      <c r="J1334" t="s">
        <v>2027</v>
      </c>
      <c r="K1334" t="s">
        <v>3363</v>
      </c>
      <c r="L1334" t="s">
        <v>4031</v>
      </c>
      <c r="M1334">
        <f>Cleaned[[#This Row],[Credit]]-Cleaned[[#This Row],[Debit]]</f>
        <v>4603.0200000000004</v>
      </c>
      <c r="N1334" t="str">
        <f>_xlfn.XLOOKUP(Cleaned[[#This Row],[AccountName]], Account_Mapping!A:A, Account_Mapping!B:B,"Unmapped")</f>
        <v>Revenue</v>
      </c>
      <c r="O1334" cm="1">
        <f t="array" ref="O1334">_xlfn.XLOOKUP(
  1,
  (FX_Rates[Currency]=Cleaned[[#This Row],[Currency]])*
  (FX_Rates[RateDate]&lt;=Cleaned[[#This Row],[TxnDate]]),
  FX_Rates[Rate_To_INR],
  ,
  -1
)</f>
        <v>103</v>
      </c>
      <c r="P1334" s="2">
        <f>Cleaned[[#This Row],[Net Amount]] *  Cleaned[[#This Row],[FX_rates]]</f>
        <v>474111.06000000006</v>
      </c>
    </row>
    <row r="1335" spans="1:16" x14ac:dyDescent="0.45">
      <c r="A1335" t="s">
        <v>1343</v>
      </c>
      <c r="B1335" s="1">
        <v>45461</v>
      </c>
      <c r="C1335" s="2" t="s">
        <v>2012</v>
      </c>
      <c r="D1335" t="s">
        <v>2017</v>
      </c>
      <c r="E1335">
        <v>675.05</v>
      </c>
      <c r="F1335">
        <f>Cleaned[[#This Row],[Debit]] * Cleaned[[#This Row],[FX_rates]]</f>
        <v>55354.1</v>
      </c>
      <c r="G1335">
        <v>0</v>
      </c>
      <c r="H1335">
        <f>Cleaned[[#This Row],[Credit]] *  Cleaned[[#This Row],[FX_rates]]</f>
        <v>0</v>
      </c>
      <c r="I1335" t="s">
        <v>2023</v>
      </c>
      <c r="J1335" t="s">
        <v>2028</v>
      </c>
      <c r="K1335" t="s">
        <v>3364</v>
      </c>
      <c r="L1335" t="s">
        <v>4034</v>
      </c>
      <c r="M1335">
        <f>Cleaned[[#This Row],[Credit]]-Cleaned[[#This Row],[Debit]]</f>
        <v>-675.05</v>
      </c>
      <c r="N1335" t="str">
        <f>_xlfn.XLOOKUP(Cleaned[[#This Row],[AccountName]], Account_Mapping!A:A, Account_Mapping!B:B,"Unmapped")</f>
        <v>Operating Expense</v>
      </c>
      <c r="O1335" cm="1">
        <f t="array" ref="O1335">_xlfn.XLOOKUP(
  1,
  (FX_Rates[Currency]=Cleaned[[#This Row],[Currency]])*
  (FX_Rates[RateDate]&lt;=Cleaned[[#This Row],[TxnDate]]),
  FX_Rates[Rate_To_INR],
  ,
  -1
)</f>
        <v>82</v>
      </c>
      <c r="P1335" s="2">
        <f>Cleaned[[#This Row],[Net Amount]] *  Cleaned[[#This Row],[FX_rates]]</f>
        <v>-55354.1</v>
      </c>
    </row>
    <row r="1336" spans="1:16" x14ac:dyDescent="0.45">
      <c r="A1336" t="s">
        <v>1344</v>
      </c>
      <c r="B1336" s="1">
        <v>45201</v>
      </c>
      <c r="C1336" s="2" t="s">
        <v>2011</v>
      </c>
      <c r="D1336" t="s">
        <v>2016</v>
      </c>
      <c r="E1336">
        <v>1487.83</v>
      </c>
      <c r="F1336">
        <f>Cleaned[[#This Row],[Debit]] * Cleaned[[#This Row],[FX_rates]]</f>
        <v>83318.48</v>
      </c>
      <c r="G1336">
        <v>0</v>
      </c>
      <c r="H1336">
        <f>Cleaned[[#This Row],[Credit]] *  Cleaned[[#This Row],[FX_rates]]</f>
        <v>0</v>
      </c>
      <c r="I1336" t="s">
        <v>2022</v>
      </c>
      <c r="J1336" t="s">
        <v>2029</v>
      </c>
      <c r="K1336" t="s">
        <v>3365</v>
      </c>
      <c r="L1336" t="s">
        <v>4033</v>
      </c>
      <c r="M1336">
        <f>Cleaned[[#This Row],[Credit]]-Cleaned[[#This Row],[Debit]]</f>
        <v>-1487.83</v>
      </c>
      <c r="N1336" t="str">
        <f>_xlfn.XLOOKUP(Cleaned[[#This Row],[AccountName]], Account_Mapping!A:A, Account_Mapping!B:B,"Unmapped")</f>
        <v>COGS</v>
      </c>
      <c r="O1336" cm="1">
        <f t="array" ref="O1336">_xlfn.XLOOKUP(
  1,
  (FX_Rates[Currency]=Cleaned[[#This Row],[Currency]])*
  (FX_Rates[RateDate]&lt;=Cleaned[[#This Row],[TxnDate]]),
  FX_Rates[Rate_To_INR],
  ,
  -1
)</f>
        <v>56</v>
      </c>
      <c r="P1336" s="2">
        <f>Cleaned[[#This Row],[Net Amount]] *  Cleaned[[#This Row],[FX_rates]]</f>
        <v>-83318.48</v>
      </c>
    </row>
    <row r="1337" spans="1:16" x14ac:dyDescent="0.45">
      <c r="A1337" t="s">
        <v>1345</v>
      </c>
      <c r="B1337" s="1">
        <v>45062</v>
      </c>
      <c r="C1337" s="2" t="s">
        <v>2012</v>
      </c>
      <c r="D1337" t="s">
        <v>2017</v>
      </c>
      <c r="E1337">
        <v>792.43</v>
      </c>
      <c r="F1337">
        <f>Cleaned[[#This Row],[Debit]] * Cleaned[[#This Row],[FX_rates]]</f>
        <v>81620.289999999994</v>
      </c>
      <c r="G1337">
        <v>0</v>
      </c>
      <c r="H1337">
        <f>Cleaned[[#This Row],[Credit]] *  Cleaned[[#This Row],[FX_rates]]</f>
        <v>0</v>
      </c>
      <c r="I1337" t="s">
        <v>2024</v>
      </c>
      <c r="J1337" t="s">
        <v>2027</v>
      </c>
      <c r="K1337" t="s">
        <v>3366</v>
      </c>
      <c r="L1337" t="s">
        <v>4031</v>
      </c>
      <c r="M1337">
        <f>Cleaned[[#This Row],[Credit]]-Cleaned[[#This Row],[Debit]]</f>
        <v>-792.43</v>
      </c>
      <c r="N1337" t="str">
        <f>_xlfn.XLOOKUP(Cleaned[[#This Row],[AccountName]], Account_Mapping!A:A, Account_Mapping!B:B,"Unmapped")</f>
        <v>Operating Expense</v>
      </c>
      <c r="O1337" cm="1">
        <f t="array" ref="O1337">_xlfn.XLOOKUP(
  1,
  (FX_Rates[Currency]=Cleaned[[#This Row],[Currency]])*
  (FX_Rates[RateDate]&lt;=Cleaned[[#This Row],[TxnDate]]),
  FX_Rates[Rate_To_INR],
  ,
  -1
)</f>
        <v>103</v>
      </c>
      <c r="P1337" s="2">
        <f>Cleaned[[#This Row],[Net Amount]] *  Cleaned[[#This Row],[FX_rates]]</f>
        <v>-81620.289999999994</v>
      </c>
    </row>
    <row r="1338" spans="1:16" x14ac:dyDescent="0.45">
      <c r="A1338" t="s">
        <v>1346</v>
      </c>
      <c r="B1338" s="1">
        <v>45835</v>
      </c>
      <c r="C1338" s="2" t="s">
        <v>2010</v>
      </c>
      <c r="D1338" t="s">
        <v>2015</v>
      </c>
      <c r="E1338">
        <v>0</v>
      </c>
      <c r="F1338">
        <f>Cleaned[[#This Row],[Debit]] * Cleaned[[#This Row],[FX_rates]]</f>
        <v>0</v>
      </c>
      <c r="G1338">
        <v>1819.9</v>
      </c>
      <c r="H1338">
        <f>Cleaned[[#This Row],[Credit]] *  Cleaned[[#This Row],[FX_rates]]</f>
        <v>187449.7</v>
      </c>
      <c r="I1338" t="s">
        <v>2021</v>
      </c>
      <c r="J1338" t="s">
        <v>2029</v>
      </c>
      <c r="K1338" t="s">
        <v>3367</v>
      </c>
      <c r="L1338" t="s">
        <v>4031</v>
      </c>
      <c r="M1338">
        <f>Cleaned[[#This Row],[Credit]]-Cleaned[[#This Row],[Debit]]</f>
        <v>1819.9</v>
      </c>
      <c r="N1338" t="str">
        <f>_xlfn.XLOOKUP(Cleaned[[#This Row],[AccountName]], Account_Mapping!A:A, Account_Mapping!B:B,"Unmapped")</f>
        <v>Revenue</v>
      </c>
      <c r="O1338" cm="1">
        <f t="array" ref="O1338">_xlfn.XLOOKUP(
  1,
  (FX_Rates[Currency]=Cleaned[[#This Row],[Currency]])*
  (FX_Rates[RateDate]&lt;=Cleaned[[#This Row],[TxnDate]]),
  FX_Rates[Rate_To_INR],
  ,
  -1
)</f>
        <v>103</v>
      </c>
      <c r="P1338" s="2">
        <f>Cleaned[[#This Row],[Net Amount]] *  Cleaned[[#This Row],[FX_rates]]</f>
        <v>187449.7</v>
      </c>
    </row>
    <row r="1339" spans="1:16" x14ac:dyDescent="0.45">
      <c r="A1339" t="s">
        <v>1347</v>
      </c>
      <c r="B1339" s="1">
        <v>45696</v>
      </c>
      <c r="C1339" s="2" t="s">
        <v>2011</v>
      </c>
      <c r="D1339" t="s">
        <v>2016</v>
      </c>
      <c r="E1339">
        <v>1966.73</v>
      </c>
      <c r="F1339">
        <f>Cleaned[[#This Row],[Debit]] * Cleaned[[#This Row],[FX_rates]]</f>
        <v>202573.19</v>
      </c>
      <c r="G1339">
        <v>0</v>
      </c>
      <c r="H1339">
        <f>Cleaned[[#This Row],[Credit]] *  Cleaned[[#This Row],[FX_rates]]</f>
        <v>0</v>
      </c>
      <c r="I1339" t="s">
        <v>2022</v>
      </c>
      <c r="J1339" t="s">
        <v>2027</v>
      </c>
      <c r="K1339" t="s">
        <v>3368</v>
      </c>
      <c r="L1339" t="s">
        <v>4031</v>
      </c>
      <c r="M1339">
        <f>Cleaned[[#This Row],[Credit]]-Cleaned[[#This Row],[Debit]]</f>
        <v>-1966.73</v>
      </c>
      <c r="N1339" t="str">
        <f>_xlfn.XLOOKUP(Cleaned[[#This Row],[AccountName]], Account_Mapping!A:A, Account_Mapping!B:B,"Unmapped")</f>
        <v>COGS</v>
      </c>
      <c r="O1339" cm="1">
        <f t="array" ref="O1339">_xlfn.XLOOKUP(
  1,
  (FX_Rates[Currency]=Cleaned[[#This Row],[Currency]])*
  (FX_Rates[RateDate]&lt;=Cleaned[[#This Row],[TxnDate]]),
  FX_Rates[Rate_To_INR],
  ,
  -1
)</f>
        <v>103</v>
      </c>
      <c r="P1339" s="2">
        <f>Cleaned[[#This Row],[Net Amount]] *  Cleaned[[#This Row],[FX_rates]]</f>
        <v>-202573.19</v>
      </c>
    </row>
    <row r="1340" spans="1:16" x14ac:dyDescent="0.45">
      <c r="A1340" t="s">
        <v>1348</v>
      </c>
      <c r="B1340" s="1">
        <v>44957</v>
      </c>
      <c r="C1340" s="2" t="s">
        <v>2014</v>
      </c>
      <c r="D1340" t="s">
        <v>2019</v>
      </c>
      <c r="E1340">
        <v>0</v>
      </c>
      <c r="F1340">
        <f>Cleaned[[#This Row],[Debit]] * Cleaned[[#This Row],[FX_rates]]</f>
        <v>0</v>
      </c>
      <c r="G1340">
        <v>1355.21</v>
      </c>
      <c r="H1340">
        <f>Cleaned[[#This Row],[Credit]] *  Cleaned[[#This Row],[FX_rates]]</f>
        <v>82667.81</v>
      </c>
      <c r="I1340" t="s">
        <v>2025</v>
      </c>
      <c r="J1340" t="s">
        <v>2030</v>
      </c>
      <c r="K1340" t="s">
        <v>3369</v>
      </c>
      <c r="L1340" t="s">
        <v>4035</v>
      </c>
      <c r="M1340">
        <f>Cleaned[[#This Row],[Credit]]-Cleaned[[#This Row],[Debit]]</f>
        <v>1355.21</v>
      </c>
      <c r="N1340" t="str">
        <f>_xlfn.XLOOKUP(Cleaned[[#This Row],[AccountName]], Account_Mapping!A:A, Account_Mapping!B:B,"Unmapped")</f>
        <v>Revenue</v>
      </c>
      <c r="O1340" cm="1">
        <f t="array" ref="O1340">_xlfn.XLOOKUP(
  1,
  (FX_Rates[Currency]=Cleaned[[#This Row],[Currency]])*
  (FX_Rates[RateDate]&lt;=Cleaned[[#This Row],[TxnDate]]),
  FX_Rates[Rate_To_INR],
  ,
  -1
)</f>
        <v>61</v>
      </c>
      <c r="P1340" s="2">
        <f>Cleaned[[#This Row],[Net Amount]] *  Cleaned[[#This Row],[FX_rates]]</f>
        <v>82667.81</v>
      </c>
    </row>
    <row r="1341" spans="1:16" x14ac:dyDescent="0.45">
      <c r="A1341" t="s">
        <v>1349</v>
      </c>
      <c r="B1341" s="1">
        <v>45629</v>
      </c>
      <c r="C1341" s="2" t="s">
        <v>2014</v>
      </c>
      <c r="D1341" t="s">
        <v>2019</v>
      </c>
      <c r="E1341">
        <v>0</v>
      </c>
      <c r="F1341">
        <f>Cleaned[[#This Row],[Debit]] * Cleaned[[#This Row],[FX_rates]]</f>
        <v>0</v>
      </c>
      <c r="G1341">
        <v>4992.45</v>
      </c>
      <c r="H1341">
        <f>Cleaned[[#This Row],[Credit]] *  Cleaned[[#This Row],[FX_rates]]</f>
        <v>304539.45</v>
      </c>
      <c r="I1341" t="s">
        <v>2021</v>
      </c>
      <c r="J1341" t="s">
        <v>2026</v>
      </c>
      <c r="K1341" t="s">
        <v>3370</v>
      </c>
      <c r="L1341" t="s">
        <v>4035</v>
      </c>
      <c r="M1341">
        <f>Cleaned[[#This Row],[Credit]]-Cleaned[[#This Row],[Debit]]</f>
        <v>4992.45</v>
      </c>
      <c r="N1341" t="str">
        <f>_xlfn.XLOOKUP(Cleaned[[#This Row],[AccountName]], Account_Mapping!A:A, Account_Mapping!B:B,"Unmapped")</f>
        <v>Revenue</v>
      </c>
      <c r="O1341" cm="1">
        <f t="array" ref="O1341">_xlfn.XLOOKUP(
  1,
  (FX_Rates[Currency]=Cleaned[[#This Row],[Currency]])*
  (FX_Rates[RateDate]&lt;=Cleaned[[#This Row],[TxnDate]]),
  FX_Rates[Rate_To_INR],
  ,
  -1
)</f>
        <v>61</v>
      </c>
      <c r="P1341" s="2">
        <f>Cleaned[[#This Row],[Net Amount]] *  Cleaned[[#This Row],[FX_rates]]</f>
        <v>304539.45</v>
      </c>
    </row>
    <row r="1342" spans="1:16" x14ac:dyDescent="0.45">
      <c r="A1342" t="s">
        <v>1350</v>
      </c>
      <c r="B1342" s="1">
        <v>45591</v>
      </c>
      <c r="C1342" s="2" t="s">
        <v>2011</v>
      </c>
      <c r="D1342" t="s">
        <v>2016</v>
      </c>
      <c r="E1342">
        <v>1949.81</v>
      </c>
      <c r="F1342">
        <f>Cleaned[[#This Row],[Debit]] * Cleaned[[#This Row],[FX_rates]]</f>
        <v>171583.28</v>
      </c>
      <c r="G1342">
        <v>0</v>
      </c>
      <c r="H1342">
        <f>Cleaned[[#This Row],[Credit]] *  Cleaned[[#This Row],[FX_rates]]</f>
        <v>0</v>
      </c>
      <c r="I1342" t="s">
        <v>2021</v>
      </c>
      <c r="J1342" t="s">
        <v>2029</v>
      </c>
      <c r="K1342" t="s">
        <v>3371</v>
      </c>
      <c r="L1342" t="s">
        <v>4032</v>
      </c>
      <c r="M1342">
        <f>Cleaned[[#This Row],[Credit]]-Cleaned[[#This Row],[Debit]]</f>
        <v>-1949.81</v>
      </c>
      <c r="N1342" t="str">
        <f>_xlfn.XLOOKUP(Cleaned[[#This Row],[AccountName]], Account_Mapping!A:A, Account_Mapping!B:B,"Unmapped")</f>
        <v>COGS</v>
      </c>
      <c r="O1342" cm="1">
        <f t="array" ref="O1342">_xlfn.XLOOKUP(
  1,
  (FX_Rates[Currency]=Cleaned[[#This Row],[Currency]])*
  (FX_Rates[RateDate]&lt;=Cleaned[[#This Row],[TxnDate]]),
  FX_Rates[Rate_To_INR],
  ,
  -1
)</f>
        <v>88</v>
      </c>
      <c r="P1342" s="2">
        <f>Cleaned[[#This Row],[Net Amount]] *  Cleaned[[#This Row],[FX_rates]]</f>
        <v>-171583.28</v>
      </c>
    </row>
    <row r="1343" spans="1:16" x14ac:dyDescent="0.45">
      <c r="A1343" t="s">
        <v>1351</v>
      </c>
      <c r="B1343" s="1">
        <v>45620</v>
      </c>
      <c r="C1343" s="2" t="s">
        <v>2013</v>
      </c>
      <c r="D1343" t="s">
        <v>2018</v>
      </c>
      <c r="E1343">
        <v>733.3</v>
      </c>
      <c r="F1343">
        <f>Cleaned[[#This Row],[Debit]] * Cleaned[[#This Row],[FX_rates]]</f>
        <v>64530.399999999994</v>
      </c>
      <c r="G1343">
        <v>0</v>
      </c>
      <c r="H1343">
        <f>Cleaned[[#This Row],[Credit]] *  Cleaned[[#This Row],[FX_rates]]</f>
        <v>0</v>
      </c>
      <c r="I1343" t="s">
        <v>2021</v>
      </c>
      <c r="J1343" t="s">
        <v>2027</v>
      </c>
      <c r="K1343" t="s">
        <v>3372</v>
      </c>
      <c r="L1343" t="s">
        <v>4032</v>
      </c>
      <c r="M1343">
        <f>Cleaned[[#This Row],[Credit]]-Cleaned[[#This Row],[Debit]]</f>
        <v>-733.3</v>
      </c>
      <c r="N1343" t="str">
        <f>_xlfn.XLOOKUP(Cleaned[[#This Row],[AccountName]], Account_Mapping!A:A, Account_Mapping!B:B,"Unmapped")</f>
        <v>Operating Expense</v>
      </c>
      <c r="O1343" cm="1">
        <f t="array" ref="O1343">_xlfn.XLOOKUP(
  1,
  (FX_Rates[Currency]=Cleaned[[#This Row],[Currency]])*
  (FX_Rates[RateDate]&lt;=Cleaned[[#This Row],[TxnDate]]),
  FX_Rates[Rate_To_INR],
  ,
  -1
)</f>
        <v>88</v>
      </c>
      <c r="P1343" s="2">
        <f>Cleaned[[#This Row],[Net Amount]] *  Cleaned[[#This Row],[FX_rates]]</f>
        <v>-64530.399999999994</v>
      </c>
    </row>
    <row r="1344" spans="1:16" x14ac:dyDescent="0.45">
      <c r="A1344" t="s">
        <v>1352</v>
      </c>
      <c r="B1344" s="1">
        <v>45647</v>
      </c>
      <c r="C1344" s="2" t="s">
        <v>2011</v>
      </c>
      <c r="D1344" t="s">
        <v>2016</v>
      </c>
      <c r="E1344">
        <v>1405.39</v>
      </c>
      <c r="F1344">
        <f>Cleaned[[#This Row],[Debit]] * Cleaned[[#This Row],[FX_rates]]</f>
        <v>115241.98000000001</v>
      </c>
      <c r="G1344">
        <v>0</v>
      </c>
      <c r="H1344">
        <f>Cleaned[[#This Row],[Credit]] *  Cleaned[[#This Row],[FX_rates]]</f>
        <v>0</v>
      </c>
      <c r="I1344" t="s">
        <v>2020</v>
      </c>
      <c r="J1344" t="s">
        <v>2026</v>
      </c>
      <c r="K1344" t="s">
        <v>3373</v>
      </c>
      <c r="L1344" t="s">
        <v>4034</v>
      </c>
      <c r="M1344">
        <f>Cleaned[[#This Row],[Credit]]-Cleaned[[#This Row],[Debit]]</f>
        <v>-1405.39</v>
      </c>
      <c r="N1344" t="str">
        <f>_xlfn.XLOOKUP(Cleaned[[#This Row],[AccountName]], Account_Mapping!A:A, Account_Mapping!B:B,"Unmapped")</f>
        <v>COGS</v>
      </c>
      <c r="O1344" cm="1">
        <f t="array" ref="O1344">_xlfn.XLOOKUP(
  1,
  (FX_Rates[Currency]=Cleaned[[#This Row],[Currency]])*
  (FX_Rates[RateDate]&lt;=Cleaned[[#This Row],[TxnDate]]),
  FX_Rates[Rate_To_INR],
  ,
  -1
)</f>
        <v>82</v>
      </c>
      <c r="P1344" s="2">
        <f>Cleaned[[#This Row],[Net Amount]] *  Cleaned[[#This Row],[FX_rates]]</f>
        <v>-115241.98000000001</v>
      </c>
    </row>
    <row r="1345" spans="1:16" x14ac:dyDescent="0.45">
      <c r="A1345" t="s">
        <v>1353</v>
      </c>
      <c r="B1345" s="1">
        <v>45197</v>
      </c>
      <c r="C1345" s="2" t="s">
        <v>2010</v>
      </c>
      <c r="D1345" t="s">
        <v>2015</v>
      </c>
      <c r="E1345">
        <v>0</v>
      </c>
      <c r="F1345">
        <f>Cleaned[[#This Row],[Debit]] * Cleaned[[#This Row],[FX_rates]]</f>
        <v>0</v>
      </c>
      <c r="G1345">
        <v>599.19000000000005</v>
      </c>
      <c r="H1345">
        <f>Cleaned[[#This Row],[Credit]] *  Cleaned[[#This Row],[FX_rates]]</f>
        <v>52728.72</v>
      </c>
      <c r="I1345" t="s">
        <v>2020</v>
      </c>
      <c r="J1345" t="s">
        <v>2030</v>
      </c>
      <c r="K1345" t="s">
        <v>3374</v>
      </c>
      <c r="L1345" t="s">
        <v>4032</v>
      </c>
      <c r="M1345">
        <f>Cleaned[[#This Row],[Credit]]-Cleaned[[#This Row],[Debit]]</f>
        <v>599.19000000000005</v>
      </c>
      <c r="N1345" t="str">
        <f>_xlfn.XLOOKUP(Cleaned[[#This Row],[AccountName]], Account_Mapping!A:A, Account_Mapping!B:B,"Unmapped")</f>
        <v>Revenue</v>
      </c>
      <c r="O1345" cm="1">
        <f t="array" ref="O1345">_xlfn.XLOOKUP(
  1,
  (FX_Rates[Currency]=Cleaned[[#This Row],[Currency]])*
  (FX_Rates[RateDate]&lt;=Cleaned[[#This Row],[TxnDate]]),
  FX_Rates[Rate_To_INR],
  ,
  -1
)</f>
        <v>88</v>
      </c>
      <c r="P1345" s="2">
        <f>Cleaned[[#This Row],[Net Amount]] *  Cleaned[[#This Row],[FX_rates]]</f>
        <v>52728.72</v>
      </c>
    </row>
    <row r="1346" spans="1:16" x14ac:dyDescent="0.45">
      <c r="A1346" t="s">
        <v>1354</v>
      </c>
      <c r="B1346" s="1">
        <v>45495</v>
      </c>
      <c r="C1346" s="2" t="s">
        <v>2014</v>
      </c>
      <c r="D1346" t="s">
        <v>2019</v>
      </c>
      <c r="E1346">
        <v>0</v>
      </c>
      <c r="F1346">
        <f>Cleaned[[#This Row],[Debit]] * Cleaned[[#This Row],[FX_rates]]</f>
        <v>0</v>
      </c>
      <c r="G1346">
        <v>872.03</v>
      </c>
      <c r="H1346">
        <f>Cleaned[[#This Row],[Credit]] *  Cleaned[[#This Row],[FX_rates]]</f>
        <v>89819.09</v>
      </c>
      <c r="I1346" t="s">
        <v>2025</v>
      </c>
      <c r="J1346" t="s">
        <v>2028</v>
      </c>
      <c r="K1346" t="s">
        <v>3375</v>
      </c>
      <c r="L1346" t="s">
        <v>4031</v>
      </c>
      <c r="M1346">
        <f>Cleaned[[#This Row],[Credit]]-Cleaned[[#This Row],[Debit]]</f>
        <v>872.03</v>
      </c>
      <c r="N1346" t="str">
        <f>_xlfn.XLOOKUP(Cleaned[[#This Row],[AccountName]], Account_Mapping!A:A, Account_Mapping!B:B,"Unmapped")</f>
        <v>Revenue</v>
      </c>
      <c r="O1346" cm="1">
        <f t="array" ref="O1346">_xlfn.XLOOKUP(
  1,
  (FX_Rates[Currency]=Cleaned[[#This Row],[Currency]])*
  (FX_Rates[RateDate]&lt;=Cleaned[[#This Row],[TxnDate]]),
  FX_Rates[Rate_To_INR],
  ,
  -1
)</f>
        <v>103</v>
      </c>
      <c r="P1346" s="2">
        <f>Cleaned[[#This Row],[Net Amount]] *  Cleaned[[#This Row],[FX_rates]]</f>
        <v>89819.09</v>
      </c>
    </row>
    <row r="1347" spans="1:16" x14ac:dyDescent="0.45">
      <c r="A1347" t="s">
        <v>1355</v>
      </c>
      <c r="B1347" s="1">
        <v>45061</v>
      </c>
      <c r="C1347" s="2" t="s">
        <v>2010</v>
      </c>
      <c r="D1347" t="s">
        <v>2015</v>
      </c>
      <c r="E1347">
        <v>0</v>
      </c>
      <c r="F1347">
        <f>Cleaned[[#This Row],[Debit]] * Cleaned[[#This Row],[FX_rates]]</f>
        <v>0</v>
      </c>
      <c r="G1347">
        <v>3873.21</v>
      </c>
      <c r="H1347">
        <f>Cleaned[[#This Row],[Credit]] *  Cleaned[[#This Row],[FX_rates]]</f>
        <v>216899.76</v>
      </c>
      <c r="I1347" t="s">
        <v>2022</v>
      </c>
      <c r="J1347" t="s">
        <v>2028</v>
      </c>
      <c r="K1347" t="s">
        <v>3376</v>
      </c>
      <c r="L1347" t="s">
        <v>4033</v>
      </c>
      <c r="M1347">
        <f>Cleaned[[#This Row],[Credit]]-Cleaned[[#This Row],[Debit]]</f>
        <v>3873.21</v>
      </c>
      <c r="N1347" t="str">
        <f>_xlfn.XLOOKUP(Cleaned[[#This Row],[AccountName]], Account_Mapping!A:A, Account_Mapping!B:B,"Unmapped")</f>
        <v>Revenue</v>
      </c>
      <c r="O1347" cm="1">
        <f t="array" ref="O1347">_xlfn.XLOOKUP(
  1,
  (FX_Rates[Currency]=Cleaned[[#This Row],[Currency]])*
  (FX_Rates[RateDate]&lt;=Cleaned[[#This Row],[TxnDate]]),
  FX_Rates[Rate_To_INR],
  ,
  -1
)</f>
        <v>56</v>
      </c>
      <c r="P1347" s="2">
        <f>Cleaned[[#This Row],[Net Amount]] *  Cleaned[[#This Row],[FX_rates]]</f>
        <v>216899.76</v>
      </c>
    </row>
    <row r="1348" spans="1:16" x14ac:dyDescent="0.45">
      <c r="A1348" t="s">
        <v>1356</v>
      </c>
      <c r="B1348" s="1">
        <v>45833</v>
      </c>
      <c r="C1348" s="2" t="s">
        <v>2013</v>
      </c>
      <c r="D1348" t="s">
        <v>2018</v>
      </c>
      <c r="E1348">
        <v>122.84</v>
      </c>
      <c r="F1348">
        <f>Cleaned[[#This Row],[Debit]] * Cleaned[[#This Row],[FX_rates]]</f>
        <v>10072.880000000001</v>
      </c>
      <c r="G1348">
        <v>0</v>
      </c>
      <c r="H1348">
        <f>Cleaned[[#This Row],[Credit]] *  Cleaned[[#This Row],[FX_rates]]</f>
        <v>0</v>
      </c>
      <c r="I1348" t="s">
        <v>2022</v>
      </c>
      <c r="J1348" t="s">
        <v>2030</v>
      </c>
      <c r="K1348" t="s">
        <v>3377</v>
      </c>
      <c r="L1348" t="s">
        <v>4034</v>
      </c>
      <c r="M1348">
        <f>Cleaned[[#This Row],[Credit]]-Cleaned[[#This Row],[Debit]]</f>
        <v>-122.84</v>
      </c>
      <c r="N1348" t="str">
        <f>_xlfn.XLOOKUP(Cleaned[[#This Row],[AccountName]], Account_Mapping!A:A, Account_Mapping!B:B,"Unmapped")</f>
        <v>Operating Expense</v>
      </c>
      <c r="O1348" cm="1">
        <f t="array" ref="O1348">_xlfn.XLOOKUP(
  1,
  (FX_Rates[Currency]=Cleaned[[#This Row],[Currency]])*
  (FX_Rates[RateDate]&lt;=Cleaned[[#This Row],[TxnDate]]),
  FX_Rates[Rate_To_INR],
  ,
  -1
)</f>
        <v>82</v>
      </c>
      <c r="P1348" s="2">
        <f>Cleaned[[#This Row],[Net Amount]] *  Cleaned[[#This Row],[FX_rates]]</f>
        <v>-10072.880000000001</v>
      </c>
    </row>
    <row r="1349" spans="1:16" x14ac:dyDescent="0.45">
      <c r="A1349" t="s">
        <v>1357</v>
      </c>
      <c r="B1349" s="1">
        <v>45698</v>
      </c>
      <c r="C1349" s="2" t="s">
        <v>2014</v>
      </c>
      <c r="D1349" t="s">
        <v>2019</v>
      </c>
      <c r="E1349">
        <v>0</v>
      </c>
      <c r="F1349">
        <f>Cleaned[[#This Row],[Debit]] * Cleaned[[#This Row],[FX_rates]]</f>
        <v>0</v>
      </c>
      <c r="G1349">
        <v>1039.28</v>
      </c>
      <c r="H1349">
        <f>Cleaned[[#This Row],[Credit]] *  Cleaned[[#This Row],[FX_rates]]</f>
        <v>91456.639999999999</v>
      </c>
      <c r="I1349" t="s">
        <v>2025</v>
      </c>
      <c r="J1349" t="s">
        <v>2030</v>
      </c>
      <c r="K1349" t="s">
        <v>3378</v>
      </c>
      <c r="L1349" t="s">
        <v>4032</v>
      </c>
      <c r="M1349">
        <f>Cleaned[[#This Row],[Credit]]-Cleaned[[#This Row],[Debit]]</f>
        <v>1039.28</v>
      </c>
      <c r="N1349" t="str">
        <f>_xlfn.XLOOKUP(Cleaned[[#This Row],[AccountName]], Account_Mapping!A:A, Account_Mapping!B:B,"Unmapped")</f>
        <v>Revenue</v>
      </c>
      <c r="O1349" cm="1">
        <f t="array" ref="O1349">_xlfn.XLOOKUP(
  1,
  (FX_Rates[Currency]=Cleaned[[#This Row],[Currency]])*
  (FX_Rates[RateDate]&lt;=Cleaned[[#This Row],[TxnDate]]),
  FX_Rates[Rate_To_INR],
  ,
  -1
)</f>
        <v>88</v>
      </c>
      <c r="P1349" s="2">
        <f>Cleaned[[#This Row],[Net Amount]] *  Cleaned[[#This Row],[FX_rates]]</f>
        <v>91456.639999999999</v>
      </c>
    </row>
    <row r="1350" spans="1:16" x14ac:dyDescent="0.45">
      <c r="A1350" t="s">
        <v>1358</v>
      </c>
      <c r="B1350" s="1">
        <v>45759</v>
      </c>
      <c r="C1350" s="2" t="s">
        <v>2014</v>
      </c>
      <c r="D1350" t="s">
        <v>2019</v>
      </c>
      <c r="E1350">
        <v>0</v>
      </c>
      <c r="F1350">
        <f>Cleaned[[#This Row],[Debit]] * Cleaned[[#This Row],[FX_rates]]</f>
        <v>0</v>
      </c>
      <c r="G1350">
        <v>1214.51</v>
      </c>
      <c r="H1350">
        <f>Cleaned[[#This Row],[Credit]] *  Cleaned[[#This Row],[FX_rates]]</f>
        <v>125094.53</v>
      </c>
      <c r="I1350" t="s">
        <v>2023</v>
      </c>
      <c r="J1350" t="s">
        <v>2030</v>
      </c>
      <c r="K1350" t="s">
        <v>3379</v>
      </c>
      <c r="L1350" t="s">
        <v>4031</v>
      </c>
      <c r="M1350">
        <f>Cleaned[[#This Row],[Credit]]-Cleaned[[#This Row],[Debit]]</f>
        <v>1214.51</v>
      </c>
      <c r="N1350" t="str">
        <f>_xlfn.XLOOKUP(Cleaned[[#This Row],[AccountName]], Account_Mapping!A:A, Account_Mapping!B:B,"Unmapped")</f>
        <v>Revenue</v>
      </c>
      <c r="O1350" cm="1">
        <f t="array" ref="O1350">_xlfn.XLOOKUP(
  1,
  (FX_Rates[Currency]=Cleaned[[#This Row],[Currency]])*
  (FX_Rates[RateDate]&lt;=Cleaned[[#This Row],[TxnDate]]),
  FX_Rates[Rate_To_INR],
  ,
  -1
)</f>
        <v>103</v>
      </c>
      <c r="P1350" s="2">
        <f>Cleaned[[#This Row],[Net Amount]] *  Cleaned[[#This Row],[FX_rates]]</f>
        <v>125094.53</v>
      </c>
    </row>
    <row r="1351" spans="1:16" x14ac:dyDescent="0.45">
      <c r="A1351" t="s">
        <v>1359</v>
      </c>
      <c r="B1351" s="1">
        <v>45677</v>
      </c>
      <c r="C1351" s="2" t="s">
        <v>2013</v>
      </c>
      <c r="D1351" t="s">
        <v>2018</v>
      </c>
      <c r="E1351">
        <v>1318.81</v>
      </c>
      <c r="F1351">
        <f>Cleaned[[#This Row],[Debit]] * Cleaned[[#This Row],[FX_rates]]</f>
        <v>73853.36</v>
      </c>
      <c r="G1351">
        <v>0</v>
      </c>
      <c r="H1351">
        <f>Cleaned[[#This Row],[Credit]] *  Cleaned[[#This Row],[FX_rates]]</f>
        <v>0</v>
      </c>
      <c r="I1351" t="s">
        <v>2023</v>
      </c>
      <c r="J1351" t="s">
        <v>2028</v>
      </c>
      <c r="K1351" t="s">
        <v>3380</v>
      </c>
      <c r="L1351" t="s">
        <v>4033</v>
      </c>
      <c r="M1351">
        <f>Cleaned[[#This Row],[Credit]]-Cleaned[[#This Row],[Debit]]</f>
        <v>-1318.81</v>
      </c>
      <c r="N1351" t="str">
        <f>_xlfn.XLOOKUP(Cleaned[[#This Row],[AccountName]], Account_Mapping!A:A, Account_Mapping!B:B,"Unmapped")</f>
        <v>Operating Expense</v>
      </c>
      <c r="O1351" cm="1">
        <f t="array" ref="O1351">_xlfn.XLOOKUP(
  1,
  (FX_Rates[Currency]=Cleaned[[#This Row],[Currency]])*
  (FX_Rates[RateDate]&lt;=Cleaned[[#This Row],[TxnDate]]),
  FX_Rates[Rate_To_INR],
  ,
  -1
)</f>
        <v>56</v>
      </c>
      <c r="P1351" s="2">
        <f>Cleaned[[#This Row],[Net Amount]] *  Cleaned[[#This Row],[FX_rates]]</f>
        <v>-73853.36</v>
      </c>
    </row>
    <row r="1352" spans="1:16" x14ac:dyDescent="0.45">
      <c r="A1352" t="s">
        <v>1360</v>
      </c>
      <c r="B1352" s="1">
        <v>45131</v>
      </c>
      <c r="C1352" s="2" t="s">
        <v>2014</v>
      </c>
      <c r="D1352" t="s">
        <v>2019</v>
      </c>
      <c r="E1352">
        <v>0</v>
      </c>
      <c r="F1352">
        <f>Cleaned[[#This Row],[Debit]] * Cleaned[[#This Row],[FX_rates]]</f>
        <v>0</v>
      </c>
      <c r="G1352">
        <v>3395.3</v>
      </c>
      <c r="H1352">
        <f>Cleaned[[#This Row],[Credit]] *  Cleaned[[#This Row],[FX_rates]]</f>
        <v>349715.9</v>
      </c>
      <c r="I1352" t="s">
        <v>2021</v>
      </c>
      <c r="J1352" t="s">
        <v>2027</v>
      </c>
      <c r="K1352" t="s">
        <v>3381</v>
      </c>
      <c r="L1352" t="s">
        <v>4031</v>
      </c>
      <c r="M1352">
        <f>Cleaned[[#This Row],[Credit]]-Cleaned[[#This Row],[Debit]]</f>
        <v>3395.3</v>
      </c>
      <c r="N1352" t="str">
        <f>_xlfn.XLOOKUP(Cleaned[[#This Row],[AccountName]], Account_Mapping!A:A, Account_Mapping!B:B,"Unmapped")</f>
        <v>Revenue</v>
      </c>
      <c r="O1352" cm="1">
        <f t="array" ref="O1352">_xlfn.XLOOKUP(
  1,
  (FX_Rates[Currency]=Cleaned[[#This Row],[Currency]])*
  (FX_Rates[RateDate]&lt;=Cleaned[[#This Row],[TxnDate]]),
  FX_Rates[Rate_To_INR],
  ,
  -1
)</f>
        <v>103</v>
      </c>
      <c r="P1352" s="2">
        <f>Cleaned[[#This Row],[Net Amount]] *  Cleaned[[#This Row],[FX_rates]]</f>
        <v>349715.9</v>
      </c>
    </row>
    <row r="1353" spans="1:16" x14ac:dyDescent="0.45">
      <c r="A1353" t="s">
        <v>1361</v>
      </c>
      <c r="B1353" s="1">
        <v>45562</v>
      </c>
      <c r="C1353" s="2" t="s">
        <v>2012</v>
      </c>
      <c r="D1353" t="s">
        <v>2017</v>
      </c>
      <c r="E1353">
        <v>1554.18</v>
      </c>
      <c r="F1353">
        <f>Cleaned[[#This Row],[Debit]] * Cleaned[[#This Row],[FX_rates]]</f>
        <v>87034.08</v>
      </c>
      <c r="G1353">
        <v>0</v>
      </c>
      <c r="H1353">
        <f>Cleaned[[#This Row],[Credit]] *  Cleaned[[#This Row],[FX_rates]]</f>
        <v>0</v>
      </c>
      <c r="I1353" t="s">
        <v>2025</v>
      </c>
      <c r="J1353" t="s">
        <v>2027</v>
      </c>
      <c r="K1353" t="s">
        <v>3382</v>
      </c>
      <c r="L1353" t="s">
        <v>4033</v>
      </c>
      <c r="M1353">
        <f>Cleaned[[#This Row],[Credit]]-Cleaned[[#This Row],[Debit]]</f>
        <v>-1554.18</v>
      </c>
      <c r="N1353" t="str">
        <f>_xlfn.XLOOKUP(Cleaned[[#This Row],[AccountName]], Account_Mapping!A:A, Account_Mapping!B:B,"Unmapped")</f>
        <v>Operating Expense</v>
      </c>
      <c r="O1353" cm="1">
        <f t="array" ref="O1353">_xlfn.XLOOKUP(
  1,
  (FX_Rates[Currency]=Cleaned[[#This Row],[Currency]])*
  (FX_Rates[RateDate]&lt;=Cleaned[[#This Row],[TxnDate]]),
  FX_Rates[Rate_To_INR],
  ,
  -1
)</f>
        <v>56</v>
      </c>
      <c r="P1353" s="2">
        <f>Cleaned[[#This Row],[Net Amount]] *  Cleaned[[#This Row],[FX_rates]]</f>
        <v>-87034.08</v>
      </c>
    </row>
    <row r="1354" spans="1:16" x14ac:dyDescent="0.45">
      <c r="A1354" t="s">
        <v>1362</v>
      </c>
      <c r="B1354" s="1">
        <v>45619</v>
      </c>
      <c r="C1354" s="2" t="s">
        <v>2010</v>
      </c>
      <c r="D1354" t="s">
        <v>2015</v>
      </c>
      <c r="E1354">
        <v>0</v>
      </c>
      <c r="F1354">
        <f>Cleaned[[#This Row],[Debit]] * Cleaned[[#This Row],[FX_rates]]</f>
        <v>0</v>
      </c>
      <c r="G1354">
        <v>4613.7</v>
      </c>
      <c r="H1354">
        <f>Cleaned[[#This Row],[Credit]] *  Cleaned[[#This Row],[FX_rates]]</f>
        <v>378323.39999999997</v>
      </c>
      <c r="I1354" t="s">
        <v>2020</v>
      </c>
      <c r="J1354" t="s">
        <v>2027</v>
      </c>
      <c r="K1354" t="s">
        <v>3383</v>
      </c>
      <c r="L1354" t="s">
        <v>4034</v>
      </c>
      <c r="M1354">
        <f>Cleaned[[#This Row],[Credit]]-Cleaned[[#This Row],[Debit]]</f>
        <v>4613.7</v>
      </c>
      <c r="N1354" t="str">
        <f>_xlfn.XLOOKUP(Cleaned[[#This Row],[AccountName]], Account_Mapping!A:A, Account_Mapping!B:B,"Unmapped")</f>
        <v>Revenue</v>
      </c>
      <c r="O1354" cm="1">
        <f t="array" ref="O1354">_xlfn.XLOOKUP(
  1,
  (FX_Rates[Currency]=Cleaned[[#This Row],[Currency]])*
  (FX_Rates[RateDate]&lt;=Cleaned[[#This Row],[TxnDate]]),
  FX_Rates[Rate_To_INR],
  ,
  -1
)</f>
        <v>82</v>
      </c>
      <c r="P1354" s="2">
        <f>Cleaned[[#This Row],[Net Amount]] *  Cleaned[[#This Row],[FX_rates]]</f>
        <v>378323.39999999997</v>
      </c>
    </row>
    <row r="1355" spans="1:16" x14ac:dyDescent="0.45">
      <c r="A1355" t="s">
        <v>1363</v>
      </c>
      <c r="B1355" s="1">
        <v>45838</v>
      </c>
      <c r="C1355" s="2" t="s">
        <v>2013</v>
      </c>
      <c r="D1355" t="s">
        <v>2018</v>
      </c>
      <c r="E1355">
        <v>803.03</v>
      </c>
      <c r="F1355">
        <f>Cleaned[[#This Row],[Debit]] * Cleaned[[#This Row],[FX_rates]]</f>
        <v>48984.83</v>
      </c>
      <c r="G1355">
        <v>0</v>
      </c>
      <c r="H1355">
        <f>Cleaned[[#This Row],[Credit]] *  Cleaned[[#This Row],[FX_rates]]</f>
        <v>0</v>
      </c>
      <c r="I1355" t="s">
        <v>2024</v>
      </c>
      <c r="J1355" t="s">
        <v>2029</v>
      </c>
      <c r="K1355" t="s">
        <v>3384</v>
      </c>
      <c r="L1355" t="s">
        <v>4035</v>
      </c>
      <c r="M1355">
        <f>Cleaned[[#This Row],[Credit]]-Cleaned[[#This Row],[Debit]]</f>
        <v>-803.03</v>
      </c>
      <c r="N1355" t="str">
        <f>_xlfn.XLOOKUP(Cleaned[[#This Row],[AccountName]], Account_Mapping!A:A, Account_Mapping!B:B,"Unmapped")</f>
        <v>Operating Expense</v>
      </c>
      <c r="O1355" cm="1">
        <f t="array" ref="O1355">_xlfn.XLOOKUP(
  1,
  (FX_Rates[Currency]=Cleaned[[#This Row],[Currency]])*
  (FX_Rates[RateDate]&lt;=Cleaned[[#This Row],[TxnDate]]),
  FX_Rates[Rate_To_INR],
  ,
  -1
)</f>
        <v>61</v>
      </c>
      <c r="P1355" s="2">
        <f>Cleaned[[#This Row],[Net Amount]] *  Cleaned[[#This Row],[FX_rates]]</f>
        <v>-48984.83</v>
      </c>
    </row>
    <row r="1356" spans="1:16" x14ac:dyDescent="0.45">
      <c r="A1356" t="s">
        <v>1364</v>
      </c>
      <c r="B1356" s="1">
        <v>45795</v>
      </c>
      <c r="C1356" s="2" t="s">
        <v>2013</v>
      </c>
      <c r="D1356" t="s">
        <v>2018</v>
      </c>
      <c r="E1356">
        <v>1564.19</v>
      </c>
      <c r="F1356">
        <f>Cleaned[[#This Row],[Debit]] * Cleaned[[#This Row],[FX_rates]]</f>
        <v>95415.59</v>
      </c>
      <c r="G1356">
        <v>0</v>
      </c>
      <c r="H1356">
        <f>Cleaned[[#This Row],[Credit]] *  Cleaned[[#This Row],[FX_rates]]</f>
        <v>0</v>
      </c>
      <c r="I1356" t="s">
        <v>2020</v>
      </c>
      <c r="J1356" t="s">
        <v>2029</v>
      </c>
      <c r="K1356" t="s">
        <v>3385</v>
      </c>
      <c r="L1356" t="s">
        <v>4035</v>
      </c>
      <c r="M1356">
        <f>Cleaned[[#This Row],[Credit]]-Cleaned[[#This Row],[Debit]]</f>
        <v>-1564.19</v>
      </c>
      <c r="N1356" t="str">
        <f>_xlfn.XLOOKUP(Cleaned[[#This Row],[AccountName]], Account_Mapping!A:A, Account_Mapping!B:B,"Unmapped")</f>
        <v>Operating Expense</v>
      </c>
      <c r="O1356" cm="1">
        <f t="array" ref="O1356">_xlfn.XLOOKUP(
  1,
  (FX_Rates[Currency]=Cleaned[[#This Row],[Currency]])*
  (FX_Rates[RateDate]&lt;=Cleaned[[#This Row],[TxnDate]]),
  FX_Rates[Rate_To_INR],
  ,
  -1
)</f>
        <v>61</v>
      </c>
      <c r="P1356" s="2">
        <f>Cleaned[[#This Row],[Net Amount]] *  Cleaned[[#This Row],[FX_rates]]</f>
        <v>-95415.59</v>
      </c>
    </row>
    <row r="1357" spans="1:16" x14ac:dyDescent="0.45">
      <c r="A1357" t="s">
        <v>1365</v>
      </c>
      <c r="B1357" s="1">
        <v>45675</v>
      </c>
      <c r="C1357" s="2" t="s">
        <v>2012</v>
      </c>
      <c r="D1357" t="s">
        <v>2017</v>
      </c>
      <c r="E1357">
        <v>1942.89</v>
      </c>
      <c r="F1357">
        <f>Cleaned[[#This Row],[Debit]] * Cleaned[[#This Row],[FX_rates]]</f>
        <v>159316.98000000001</v>
      </c>
      <c r="G1357">
        <v>0</v>
      </c>
      <c r="H1357">
        <f>Cleaned[[#This Row],[Credit]] *  Cleaned[[#This Row],[FX_rates]]</f>
        <v>0</v>
      </c>
      <c r="I1357" t="s">
        <v>2020</v>
      </c>
      <c r="J1357" t="s">
        <v>2030</v>
      </c>
      <c r="K1357" t="s">
        <v>3386</v>
      </c>
      <c r="L1357" t="s">
        <v>4034</v>
      </c>
      <c r="M1357">
        <f>Cleaned[[#This Row],[Credit]]-Cleaned[[#This Row],[Debit]]</f>
        <v>-1942.89</v>
      </c>
      <c r="N1357" t="str">
        <f>_xlfn.XLOOKUP(Cleaned[[#This Row],[AccountName]], Account_Mapping!A:A, Account_Mapping!B:B,"Unmapped")</f>
        <v>Operating Expense</v>
      </c>
      <c r="O1357" cm="1">
        <f t="array" ref="O1357">_xlfn.XLOOKUP(
  1,
  (FX_Rates[Currency]=Cleaned[[#This Row],[Currency]])*
  (FX_Rates[RateDate]&lt;=Cleaned[[#This Row],[TxnDate]]),
  FX_Rates[Rate_To_INR],
  ,
  -1
)</f>
        <v>82</v>
      </c>
      <c r="P1357" s="2">
        <f>Cleaned[[#This Row],[Net Amount]] *  Cleaned[[#This Row],[FX_rates]]</f>
        <v>-159316.98000000001</v>
      </c>
    </row>
    <row r="1358" spans="1:16" x14ac:dyDescent="0.45">
      <c r="A1358" t="s">
        <v>1366</v>
      </c>
      <c r="B1358" s="1">
        <v>45578</v>
      </c>
      <c r="C1358" s="2" t="s">
        <v>2010</v>
      </c>
      <c r="D1358" t="s">
        <v>2015</v>
      </c>
      <c r="E1358">
        <v>0</v>
      </c>
      <c r="F1358">
        <f>Cleaned[[#This Row],[Debit]] * Cleaned[[#This Row],[FX_rates]]</f>
        <v>0</v>
      </c>
      <c r="G1358">
        <v>4122.6000000000004</v>
      </c>
      <c r="H1358">
        <f>Cleaned[[#This Row],[Credit]] *  Cleaned[[#This Row],[FX_rates]]</f>
        <v>424627.80000000005</v>
      </c>
      <c r="I1358" t="s">
        <v>2022</v>
      </c>
      <c r="J1358" t="s">
        <v>2029</v>
      </c>
      <c r="K1358" t="s">
        <v>3387</v>
      </c>
      <c r="L1358" t="s">
        <v>4031</v>
      </c>
      <c r="M1358">
        <f>Cleaned[[#This Row],[Credit]]-Cleaned[[#This Row],[Debit]]</f>
        <v>4122.6000000000004</v>
      </c>
      <c r="N1358" t="str">
        <f>_xlfn.XLOOKUP(Cleaned[[#This Row],[AccountName]], Account_Mapping!A:A, Account_Mapping!B:B,"Unmapped")</f>
        <v>Revenue</v>
      </c>
      <c r="O1358" cm="1">
        <f t="array" ref="O1358">_xlfn.XLOOKUP(
  1,
  (FX_Rates[Currency]=Cleaned[[#This Row],[Currency]])*
  (FX_Rates[RateDate]&lt;=Cleaned[[#This Row],[TxnDate]]),
  FX_Rates[Rate_To_INR],
  ,
  -1
)</f>
        <v>103</v>
      </c>
      <c r="P1358" s="2">
        <f>Cleaned[[#This Row],[Net Amount]] *  Cleaned[[#This Row],[FX_rates]]</f>
        <v>424627.80000000005</v>
      </c>
    </row>
    <row r="1359" spans="1:16" x14ac:dyDescent="0.45">
      <c r="A1359" t="s">
        <v>1367</v>
      </c>
      <c r="B1359" s="1">
        <v>45667</v>
      </c>
      <c r="C1359" s="2" t="s">
        <v>2014</v>
      </c>
      <c r="D1359" t="s">
        <v>2019</v>
      </c>
      <c r="E1359">
        <v>0</v>
      </c>
      <c r="F1359">
        <f>Cleaned[[#This Row],[Debit]] * Cleaned[[#This Row],[FX_rates]]</f>
        <v>0</v>
      </c>
      <c r="G1359">
        <v>3139.71</v>
      </c>
      <c r="H1359">
        <f>Cleaned[[#This Row],[Credit]] *  Cleaned[[#This Row],[FX_rates]]</f>
        <v>276294.48</v>
      </c>
      <c r="I1359" t="s">
        <v>2022</v>
      </c>
      <c r="J1359" t="s">
        <v>2030</v>
      </c>
      <c r="K1359" t="s">
        <v>3388</v>
      </c>
      <c r="L1359" t="s">
        <v>4032</v>
      </c>
      <c r="M1359">
        <f>Cleaned[[#This Row],[Credit]]-Cleaned[[#This Row],[Debit]]</f>
        <v>3139.71</v>
      </c>
      <c r="N1359" t="str">
        <f>_xlfn.XLOOKUP(Cleaned[[#This Row],[AccountName]], Account_Mapping!A:A, Account_Mapping!B:B,"Unmapped")</f>
        <v>Revenue</v>
      </c>
      <c r="O1359" cm="1">
        <f t="array" ref="O1359">_xlfn.XLOOKUP(
  1,
  (FX_Rates[Currency]=Cleaned[[#This Row],[Currency]])*
  (FX_Rates[RateDate]&lt;=Cleaned[[#This Row],[TxnDate]]),
  FX_Rates[Rate_To_INR],
  ,
  -1
)</f>
        <v>88</v>
      </c>
      <c r="P1359" s="2">
        <f>Cleaned[[#This Row],[Net Amount]] *  Cleaned[[#This Row],[FX_rates]]</f>
        <v>276294.48</v>
      </c>
    </row>
    <row r="1360" spans="1:16" x14ac:dyDescent="0.45">
      <c r="A1360" t="s">
        <v>1368</v>
      </c>
      <c r="B1360" s="1">
        <v>45058</v>
      </c>
      <c r="C1360" s="2" t="s">
        <v>2013</v>
      </c>
      <c r="D1360" t="s">
        <v>2018</v>
      </c>
      <c r="E1360">
        <v>168.07</v>
      </c>
      <c r="F1360">
        <f>Cleaned[[#This Row],[Debit]] * Cleaned[[#This Row],[FX_rates]]</f>
        <v>10252.27</v>
      </c>
      <c r="G1360">
        <v>0</v>
      </c>
      <c r="H1360">
        <f>Cleaned[[#This Row],[Credit]] *  Cleaned[[#This Row],[FX_rates]]</f>
        <v>0</v>
      </c>
      <c r="I1360" t="s">
        <v>2021</v>
      </c>
      <c r="J1360" t="s">
        <v>2026</v>
      </c>
      <c r="K1360" t="s">
        <v>3389</v>
      </c>
      <c r="L1360" t="s">
        <v>4035</v>
      </c>
      <c r="M1360">
        <f>Cleaned[[#This Row],[Credit]]-Cleaned[[#This Row],[Debit]]</f>
        <v>-168.07</v>
      </c>
      <c r="N1360" t="str">
        <f>_xlfn.XLOOKUP(Cleaned[[#This Row],[AccountName]], Account_Mapping!A:A, Account_Mapping!B:B,"Unmapped")</f>
        <v>Operating Expense</v>
      </c>
      <c r="O1360" cm="1">
        <f t="array" ref="O1360">_xlfn.XLOOKUP(
  1,
  (FX_Rates[Currency]=Cleaned[[#This Row],[Currency]])*
  (FX_Rates[RateDate]&lt;=Cleaned[[#This Row],[TxnDate]]),
  FX_Rates[Rate_To_INR],
  ,
  -1
)</f>
        <v>61</v>
      </c>
      <c r="P1360" s="2">
        <f>Cleaned[[#This Row],[Net Amount]] *  Cleaned[[#This Row],[FX_rates]]</f>
        <v>-10252.27</v>
      </c>
    </row>
    <row r="1361" spans="1:16" x14ac:dyDescent="0.45">
      <c r="A1361" t="s">
        <v>1369</v>
      </c>
      <c r="B1361" s="1">
        <v>44975</v>
      </c>
      <c r="C1361" s="2" t="s">
        <v>2010</v>
      </c>
      <c r="D1361" t="s">
        <v>2015</v>
      </c>
      <c r="E1361">
        <v>0</v>
      </c>
      <c r="F1361">
        <f>Cleaned[[#This Row],[Debit]] * Cleaned[[#This Row],[FX_rates]]</f>
        <v>0</v>
      </c>
      <c r="G1361">
        <v>2067.23</v>
      </c>
      <c r="H1361">
        <f>Cleaned[[#This Row],[Credit]] *  Cleaned[[#This Row],[FX_rates]]</f>
        <v>212924.69</v>
      </c>
      <c r="I1361" t="s">
        <v>2022</v>
      </c>
      <c r="J1361" t="s">
        <v>2029</v>
      </c>
      <c r="K1361" t="s">
        <v>3390</v>
      </c>
      <c r="L1361" t="s">
        <v>4031</v>
      </c>
      <c r="M1361">
        <f>Cleaned[[#This Row],[Credit]]-Cleaned[[#This Row],[Debit]]</f>
        <v>2067.23</v>
      </c>
      <c r="N1361" t="str">
        <f>_xlfn.XLOOKUP(Cleaned[[#This Row],[AccountName]], Account_Mapping!A:A, Account_Mapping!B:B,"Unmapped")</f>
        <v>Revenue</v>
      </c>
      <c r="O1361" cm="1">
        <f t="array" ref="O1361">_xlfn.XLOOKUP(
  1,
  (FX_Rates[Currency]=Cleaned[[#This Row],[Currency]])*
  (FX_Rates[RateDate]&lt;=Cleaned[[#This Row],[TxnDate]]),
  FX_Rates[Rate_To_INR],
  ,
  -1
)</f>
        <v>103</v>
      </c>
      <c r="P1361" s="2">
        <f>Cleaned[[#This Row],[Net Amount]] *  Cleaned[[#This Row],[FX_rates]]</f>
        <v>212924.69</v>
      </c>
    </row>
    <row r="1362" spans="1:16" x14ac:dyDescent="0.45">
      <c r="A1362" t="s">
        <v>1370</v>
      </c>
      <c r="B1362" s="1">
        <v>45837</v>
      </c>
      <c r="C1362" s="2" t="s">
        <v>2013</v>
      </c>
      <c r="D1362" t="s">
        <v>2018</v>
      </c>
      <c r="E1362">
        <v>364.93</v>
      </c>
      <c r="F1362">
        <f>Cleaned[[#This Row],[Debit]] * Cleaned[[#This Row],[FX_rates]]</f>
        <v>29924.260000000002</v>
      </c>
      <c r="G1362">
        <v>0</v>
      </c>
      <c r="H1362">
        <f>Cleaned[[#This Row],[Credit]] *  Cleaned[[#This Row],[FX_rates]]</f>
        <v>0</v>
      </c>
      <c r="I1362" t="s">
        <v>2025</v>
      </c>
      <c r="J1362" t="s">
        <v>2029</v>
      </c>
      <c r="K1362" t="s">
        <v>3391</v>
      </c>
      <c r="L1362" t="s">
        <v>4034</v>
      </c>
      <c r="M1362">
        <f>Cleaned[[#This Row],[Credit]]-Cleaned[[#This Row],[Debit]]</f>
        <v>-364.93</v>
      </c>
      <c r="N1362" t="str">
        <f>_xlfn.XLOOKUP(Cleaned[[#This Row],[AccountName]], Account_Mapping!A:A, Account_Mapping!B:B,"Unmapped")</f>
        <v>Operating Expense</v>
      </c>
      <c r="O1362" cm="1">
        <f t="array" ref="O1362">_xlfn.XLOOKUP(
  1,
  (FX_Rates[Currency]=Cleaned[[#This Row],[Currency]])*
  (FX_Rates[RateDate]&lt;=Cleaned[[#This Row],[TxnDate]]),
  FX_Rates[Rate_To_INR],
  ,
  -1
)</f>
        <v>82</v>
      </c>
      <c r="P1362" s="2">
        <f>Cleaned[[#This Row],[Net Amount]] *  Cleaned[[#This Row],[FX_rates]]</f>
        <v>-29924.260000000002</v>
      </c>
    </row>
    <row r="1363" spans="1:16" x14ac:dyDescent="0.45">
      <c r="A1363" t="s">
        <v>1371</v>
      </c>
      <c r="B1363" s="1">
        <v>45694</v>
      </c>
      <c r="C1363" s="2" t="s">
        <v>2011</v>
      </c>
      <c r="D1363" t="s">
        <v>2016</v>
      </c>
      <c r="E1363">
        <v>488.16</v>
      </c>
      <c r="F1363">
        <f>Cleaned[[#This Row],[Debit]] * Cleaned[[#This Row],[FX_rates]]</f>
        <v>50280.480000000003</v>
      </c>
      <c r="G1363">
        <v>0</v>
      </c>
      <c r="H1363">
        <f>Cleaned[[#This Row],[Credit]] *  Cleaned[[#This Row],[FX_rates]]</f>
        <v>0</v>
      </c>
      <c r="I1363" t="s">
        <v>2023</v>
      </c>
      <c r="J1363" t="s">
        <v>2026</v>
      </c>
      <c r="K1363" t="s">
        <v>3392</v>
      </c>
      <c r="L1363" t="s">
        <v>4031</v>
      </c>
      <c r="M1363">
        <f>Cleaned[[#This Row],[Credit]]-Cleaned[[#This Row],[Debit]]</f>
        <v>-488.16</v>
      </c>
      <c r="N1363" t="str">
        <f>_xlfn.XLOOKUP(Cleaned[[#This Row],[AccountName]], Account_Mapping!A:A, Account_Mapping!B:B,"Unmapped")</f>
        <v>COGS</v>
      </c>
      <c r="O1363" cm="1">
        <f t="array" ref="O1363">_xlfn.XLOOKUP(
  1,
  (FX_Rates[Currency]=Cleaned[[#This Row],[Currency]])*
  (FX_Rates[RateDate]&lt;=Cleaned[[#This Row],[TxnDate]]),
  FX_Rates[Rate_To_INR],
  ,
  -1
)</f>
        <v>103</v>
      </c>
      <c r="P1363" s="2">
        <f>Cleaned[[#This Row],[Net Amount]] *  Cleaned[[#This Row],[FX_rates]]</f>
        <v>-50280.480000000003</v>
      </c>
    </row>
    <row r="1364" spans="1:16" x14ac:dyDescent="0.45">
      <c r="A1364" t="s">
        <v>1372</v>
      </c>
      <c r="B1364" s="1">
        <v>44968</v>
      </c>
      <c r="C1364" s="2" t="s">
        <v>2011</v>
      </c>
      <c r="D1364" t="s">
        <v>2016</v>
      </c>
      <c r="E1364">
        <v>506.43</v>
      </c>
      <c r="F1364">
        <f>Cleaned[[#This Row],[Debit]] * Cleaned[[#This Row],[FX_rates]]</f>
        <v>41527.26</v>
      </c>
      <c r="G1364">
        <v>0</v>
      </c>
      <c r="H1364">
        <f>Cleaned[[#This Row],[Credit]] *  Cleaned[[#This Row],[FX_rates]]</f>
        <v>0</v>
      </c>
      <c r="I1364" t="s">
        <v>2025</v>
      </c>
      <c r="J1364" t="s">
        <v>2030</v>
      </c>
      <c r="K1364" t="s">
        <v>3393</v>
      </c>
      <c r="L1364" t="s">
        <v>4034</v>
      </c>
      <c r="M1364">
        <f>Cleaned[[#This Row],[Credit]]-Cleaned[[#This Row],[Debit]]</f>
        <v>-506.43</v>
      </c>
      <c r="N1364" t="str">
        <f>_xlfn.XLOOKUP(Cleaned[[#This Row],[AccountName]], Account_Mapping!A:A, Account_Mapping!B:B,"Unmapped")</f>
        <v>COGS</v>
      </c>
      <c r="O1364" cm="1">
        <f t="array" ref="O1364">_xlfn.XLOOKUP(
  1,
  (FX_Rates[Currency]=Cleaned[[#This Row],[Currency]])*
  (FX_Rates[RateDate]&lt;=Cleaned[[#This Row],[TxnDate]]),
  FX_Rates[Rate_To_INR],
  ,
  -1
)</f>
        <v>82</v>
      </c>
      <c r="P1364" s="2">
        <f>Cleaned[[#This Row],[Net Amount]] *  Cleaned[[#This Row],[FX_rates]]</f>
        <v>-41527.26</v>
      </c>
    </row>
    <row r="1365" spans="1:16" x14ac:dyDescent="0.45">
      <c r="A1365" t="s">
        <v>1373</v>
      </c>
      <c r="B1365" s="1">
        <v>45498</v>
      </c>
      <c r="C1365" s="2" t="s">
        <v>2011</v>
      </c>
      <c r="D1365" t="s">
        <v>2016</v>
      </c>
      <c r="E1365">
        <v>517.6</v>
      </c>
      <c r="F1365">
        <f>Cleaned[[#This Row],[Debit]] * Cleaned[[#This Row],[FX_rates]]</f>
        <v>45548.800000000003</v>
      </c>
      <c r="G1365">
        <v>0</v>
      </c>
      <c r="H1365">
        <f>Cleaned[[#This Row],[Credit]] *  Cleaned[[#This Row],[FX_rates]]</f>
        <v>0</v>
      </c>
      <c r="I1365" t="s">
        <v>2021</v>
      </c>
      <c r="J1365" t="s">
        <v>2028</v>
      </c>
      <c r="K1365" t="s">
        <v>3394</v>
      </c>
      <c r="L1365" t="s">
        <v>4032</v>
      </c>
      <c r="M1365">
        <f>Cleaned[[#This Row],[Credit]]-Cleaned[[#This Row],[Debit]]</f>
        <v>-517.6</v>
      </c>
      <c r="N1365" t="str">
        <f>_xlfn.XLOOKUP(Cleaned[[#This Row],[AccountName]], Account_Mapping!A:A, Account_Mapping!B:B,"Unmapped")</f>
        <v>COGS</v>
      </c>
      <c r="O1365" cm="1">
        <f t="array" ref="O1365">_xlfn.XLOOKUP(
  1,
  (FX_Rates[Currency]=Cleaned[[#This Row],[Currency]])*
  (FX_Rates[RateDate]&lt;=Cleaned[[#This Row],[TxnDate]]),
  FX_Rates[Rate_To_INR],
  ,
  -1
)</f>
        <v>88</v>
      </c>
      <c r="P1365" s="2">
        <f>Cleaned[[#This Row],[Net Amount]] *  Cleaned[[#This Row],[FX_rates]]</f>
        <v>-45548.800000000003</v>
      </c>
    </row>
    <row r="1366" spans="1:16" x14ac:dyDescent="0.45">
      <c r="A1366" t="s">
        <v>1374</v>
      </c>
      <c r="B1366" s="1">
        <v>45279</v>
      </c>
      <c r="C1366" s="2" t="s">
        <v>2012</v>
      </c>
      <c r="D1366" t="s">
        <v>2017</v>
      </c>
      <c r="E1366">
        <v>846.47</v>
      </c>
      <c r="F1366">
        <f>Cleaned[[#This Row],[Debit]] * Cleaned[[#This Row],[FX_rates]]</f>
        <v>47402.32</v>
      </c>
      <c r="G1366">
        <v>0</v>
      </c>
      <c r="H1366">
        <f>Cleaned[[#This Row],[Credit]] *  Cleaned[[#This Row],[FX_rates]]</f>
        <v>0</v>
      </c>
      <c r="I1366" t="s">
        <v>2022</v>
      </c>
      <c r="J1366" t="s">
        <v>2029</v>
      </c>
      <c r="K1366" t="s">
        <v>3395</v>
      </c>
      <c r="L1366" t="s">
        <v>4033</v>
      </c>
      <c r="M1366">
        <f>Cleaned[[#This Row],[Credit]]-Cleaned[[#This Row],[Debit]]</f>
        <v>-846.47</v>
      </c>
      <c r="N1366" t="str">
        <f>_xlfn.XLOOKUP(Cleaned[[#This Row],[AccountName]], Account_Mapping!A:A, Account_Mapping!B:B,"Unmapped")</f>
        <v>Operating Expense</v>
      </c>
      <c r="O1366" cm="1">
        <f t="array" ref="O1366">_xlfn.XLOOKUP(
  1,
  (FX_Rates[Currency]=Cleaned[[#This Row],[Currency]])*
  (FX_Rates[RateDate]&lt;=Cleaned[[#This Row],[TxnDate]]),
  FX_Rates[Rate_To_INR],
  ,
  -1
)</f>
        <v>56</v>
      </c>
      <c r="P1366" s="2">
        <f>Cleaned[[#This Row],[Net Amount]] *  Cleaned[[#This Row],[FX_rates]]</f>
        <v>-47402.32</v>
      </c>
    </row>
    <row r="1367" spans="1:16" x14ac:dyDescent="0.45">
      <c r="A1367" t="s">
        <v>1375</v>
      </c>
      <c r="B1367" s="1">
        <v>45007</v>
      </c>
      <c r="C1367" s="2" t="s">
        <v>2014</v>
      </c>
      <c r="D1367" t="s">
        <v>2019</v>
      </c>
      <c r="E1367">
        <v>0</v>
      </c>
      <c r="F1367">
        <f>Cleaned[[#This Row],[Debit]] * Cleaned[[#This Row],[FX_rates]]</f>
        <v>0</v>
      </c>
      <c r="G1367">
        <v>998.83</v>
      </c>
      <c r="H1367">
        <f>Cleaned[[#This Row],[Credit]] *  Cleaned[[#This Row],[FX_rates]]</f>
        <v>81904.06</v>
      </c>
      <c r="I1367" t="s">
        <v>2025</v>
      </c>
      <c r="J1367" t="s">
        <v>2030</v>
      </c>
      <c r="K1367" t="s">
        <v>3396</v>
      </c>
      <c r="L1367" t="s">
        <v>4034</v>
      </c>
      <c r="M1367">
        <f>Cleaned[[#This Row],[Credit]]-Cleaned[[#This Row],[Debit]]</f>
        <v>998.83</v>
      </c>
      <c r="N1367" t="str">
        <f>_xlfn.XLOOKUP(Cleaned[[#This Row],[AccountName]], Account_Mapping!A:A, Account_Mapping!B:B,"Unmapped")</f>
        <v>Revenue</v>
      </c>
      <c r="O1367" cm="1">
        <f t="array" ref="O1367">_xlfn.XLOOKUP(
  1,
  (FX_Rates[Currency]=Cleaned[[#This Row],[Currency]])*
  (FX_Rates[RateDate]&lt;=Cleaned[[#This Row],[TxnDate]]),
  FX_Rates[Rate_To_INR],
  ,
  -1
)</f>
        <v>82</v>
      </c>
      <c r="P1367" s="2">
        <f>Cleaned[[#This Row],[Net Amount]] *  Cleaned[[#This Row],[FX_rates]]</f>
        <v>81904.06</v>
      </c>
    </row>
    <row r="1368" spans="1:16" x14ac:dyDescent="0.45">
      <c r="A1368" t="s">
        <v>1376</v>
      </c>
      <c r="B1368" s="1">
        <v>45268</v>
      </c>
      <c r="C1368" s="2" t="s">
        <v>2013</v>
      </c>
      <c r="D1368" t="s">
        <v>2018</v>
      </c>
      <c r="E1368">
        <v>714.9</v>
      </c>
      <c r="F1368">
        <f>Cleaned[[#This Row],[Debit]] * Cleaned[[#This Row],[FX_rates]]</f>
        <v>73634.7</v>
      </c>
      <c r="G1368">
        <v>0</v>
      </c>
      <c r="H1368">
        <f>Cleaned[[#This Row],[Credit]] *  Cleaned[[#This Row],[FX_rates]]</f>
        <v>0</v>
      </c>
      <c r="I1368" t="s">
        <v>2020</v>
      </c>
      <c r="J1368" t="s">
        <v>2026</v>
      </c>
      <c r="K1368" t="s">
        <v>3397</v>
      </c>
      <c r="L1368" t="s">
        <v>4031</v>
      </c>
      <c r="M1368">
        <f>Cleaned[[#This Row],[Credit]]-Cleaned[[#This Row],[Debit]]</f>
        <v>-714.9</v>
      </c>
      <c r="N1368" t="str">
        <f>_xlfn.XLOOKUP(Cleaned[[#This Row],[AccountName]], Account_Mapping!A:A, Account_Mapping!B:B,"Unmapped")</f>
        <v>Operating Expense</v>
      </c>
      <c r="O1368" cm="1">
        <f t="array" ref="O1368">_xlfn.XLOOKUP(
  1,
  (FX_Rates[Currency]=Cleaned[[#This Row],[Currency]])*
  (FX_Rates[RateDate]&lt;=Cleaned[[#This Row],[TxnDate]]),
  FX_Rates[Rate_To_INR],
  ,
  -1
)</f>
        <v>103</v>
      </c>
      <c r="P1368" s="2">
        <f>Cleaned[[#This Row],[Net Amount]] *  Cleaned[[#This Row],[FX_rates]]</f>
        <v>-73634.7</v>
      </c>
    </row>
    <row r="1369" spans="1:16" x14ac:dyDescent="0.45">
      <c r="A1369" t="s">
        <v>1377</v>
      </c>
      <c r="B1369" s="1">
        <v>45261</v>
      </c>
      <c r="C1369" s="2" t="s">
        <v>2014</v>
      </c>
      <c r="D1369" t="s">
        <v>2019</v>
      </c>
      <c r="E1369">
        <v>0</v>
      </c>
      <c r="F1369">
        <f>Cleaned[[#This Row],[Debit]] * Cleaned[[#This Row],[FX_rates]]</f>
        <v>0</v>
      </c>
      <c r="G1369">
        <v>1049.58</v>
      </c>
      <c r="H1369">
        <f>Cleaned[[#This Row],[Credit]] *  Cleaned[[#This Row],[FX_rates]]</f>
        <v>58776.479999999996</v>
      </c>
      <c r="I1369" t="s">
        <v>2022</v>
      </c>
      <c r="J1369" t="s">
        <v>2026</v>
      </c>
      <c r="K1369" t="s">
        <v>3398</v>
      </c>
      <c r="L1369" t="s">
        <v>4033</v>
      </c>
      <c r="M1369">
        <f>Cleaned[[#This Row],[Credit]]-Cleaned[[#This Row],[Debit]]</f>
        <v>1049.58</v>
      </c>
      <c r="N1369" t="str">
        <f>_xlfn.XLOOKUP(Cleaned[[#This Row],[AccountName]], Account_Mapping!A:A, Account_Mapping!B:B,"Unmapped")</f>
        <v>Revenue</v>
      </c>
      <c r="O1369" cm="1">
        <f t="array" ref="O1369">_xlfn.XLOOKUP(
  1,
  (FX_Rates[Currency]=Cleaned[[#This Row],[Currency]])*
  (FX_Rates[RateDate]&lt;=Cleaned[[#This Row],[TxnDate]]),
  FX_Rates[Rate_To_INR],
  ,
  -1
)</f>
        <v>56</v>
      </c>
      <c r="P1369" s="2">
        <f>Cleaned[[#This Row],[Net Amount]] *  Cleaned[[#This Row],[FX_rates]]</f>
        <v>58776.479999999996</v>
      </c>
    </row>
    <row r="1370" spans="1:16" x14ac:dyDescent="0.45">
      <c r="A1370" t="s">
        <v>1378</v>
      </c>
      <c r="B1370" s="1">
        <v>44943</v>
      </c>
      <c r="C1370" s="2" t="s">
        <v>2013</v>
      </c>
      <c r="D1370" t="s">
        <v>2018</v>
      </c>
      <c r="E1370">
        <v>1962.1</v>
      </c>
      <c r="F1370">
        <f>Cleaned[[#This Row],[Debit]] * Cleaned[[#This Row],[FX_rates]]</f>
        <v>160892.19999999998</v>
      </c>
      <c r="G1370">
        <v>0</v>
      </c>
      <c r="H1370">
        <f>Cleaned[[#This Row],[Credit]] *  Cleaned[[#This Row],[FX_rates]]</f>
        <v>0</v>
      </c>
      <c r="I1370" t="s">
        <v>2020</v>
      </c>
      <c r="J1370" t="s">
        <v>2030</v>
      </c>
      <c r="K1370" t="s">
        <v>3399</v>
      </c>
      <c r="L1370" t="s">
        <v>4034</v>
      </c>
      <c r="M1370">
        <f>Cleaned[[#This Row],[Credit]]-Cleaned[[#This Row],[Debit]]</f>
        <v>-1962.1</v>
      </c>
      <c r="N1370" t="str">
        <f>_xlfn.XLOOKUP(Cleaned[[#This Row],[AccountName]], Account_Mapping!A:A, Account_Mapping!B:B,"Unmapped")</f>
        <v>Operating Expense</v>
      </c>
      <c r="O1370" cm="1">
        <f t="array" ref="O1370">_xlfn.XLOOKUP(
  1,
  (FX_Rates[Currency]=Cleaned[[#This Row],[Currency]])*
  (FX_Rates[RateDate]&lt;=Cleaned[[#This Row],[TxnDate]]),
  FX_Rates[Rate_To_INR],
  ,
  -1
)</f>
        <v>82</v>
      </c>
      <c r="P1370" s="2">
        <f>Cleaned[[#This Row],[Net Amount]] *  Cleaned[[#This Row],[FX_rates]]</f>
        <v>-160892.19999999998</v>
      </c>
    </row>
    <row r="1371" spans="1:16" x14ac:dyDescent="0.45">
      <c r="A1371" t="s">
        <v>1379</v>
      </c>
      <c r="B1371" s="1">
        <v>44946</v>
      </c>
      <c r="C1371" s="2" t="s">
        <v>2011</v>
      </c>
      <c r="D1371" t="s">
        <v>2016</v>
      </c>
      <c r="E1371">
        <v>773.23</v>
      </c>
      <c r="F1371">
        <f>Cleaned[[#This Row],[Debit]] * Cleaned[[#This Row],[FX_rates]]</f>
        <v>47167.03</v>
      </c>
      <c r="G1371">
        <v>0</v>
      </c>
      <c r="H1371">
        <f>Cleaned[[#This Row],[Credit]] *  Cleaned[[#This Row],[FX_rates]]</f>
        <v>0</v>
      </c>
      <c r="I1371" t="s">
        <v>2025</v>
      </c>
      <c r="J1371" t="s">
        <v>2027</v>
      </c>
      <c r="K1371" t="s">
        <v>3400</v>
      </c>
      <c r="L1371" t="s">
        <v>4035</v>
      </c>
      <c r="M1371">
        <f>Cleaned[[#This Row],[Credit]]-Cleaned[[#This Row],[Debit]]</f>
        <v>-773.23</v>
      </c>
      <c r="N1371" t="str">
        <f>_xlfn.XLOOKUP(Cleaned[[#This Row],[AccountName]], Account_Mapping!A:A, Account_Mapping!B:B,"Unmapped")</f>
        <v>COGS</v>
      </c>
      <c r="O1371" cm="1">
        <f t="array" ref="O1371">_xlfn.XLOOKUP(
  1,
  (FX_Rates[Currency]=Cleaned[[#This Row],[Currency]])*
  (FX_Rates[RateDate]&lt;=Cleaned[[#This Row],[TxnDate]]),
  FX_Rates[Rate_To_INR],
  ,
  -1
)</f>
        <v>61</v>
      </c>
      <c r="P1371" s="2">
        <f>Cleaned[[#This Row],[Net Amount]] *  Cleaned[[#This Row],[FX_rates]]</f>
        <v>-47167.03</v>
      </c>
    </row>
    <row r="1372" spans="1:16" x14ac:dyDescent="0.45">
      <c r="A1372" t="s">
        <v>1380</v>
      </c>
      <c r="B1372" s="1">
        <v>45804</v>
      </c>
      <c r="C1372" s="2" t="s">
        <v>2013</v>
      </c>
      <c r="D1372" t="s">
        <v>2018</v>
      </c>
      <c r="E1372">
        <v>485.53</v>
      </c>
      <c r="F1372">
        <f>Cleaned[[#This Row],[Debit]] * Cleaned[[#This Row],[FX_rates]]</f>
        <v>50009.59</v>
      </c>
      <c r="G1372">
        <v>0</v>
      </c>
      <c r="H1372">
        <f>Cleaned[[#This Row],[Credit]] *  Cleaned[[#This Row],[FX_rates]]</f>
        <v>0</v>
      </c>
      <c r="I1372" t="s">
        <v>2023</v>
      </c>
      <c r="J1372" t="s">
        <v>2026</v>
      </c>
      <c r="K1372" t="s">
        <v>3401</v>
      </c>
      <c r="L1372" t="s">
        <v>4031</v>
      </c>
      <c r="M1372">
        <f>Cleaned[[#This Row],[Credit]]-Cleaned[[#This Row],[Debit]]</f>
        <v>-485.53</v>
      </c>
      <c r="N1372" t="str">
        <f>_xlfn.XLOOKUP(Cleaned[[#This Row],[AccountName]], Account_Mapping!A:A, Account_Mapping!B:B,"Unmapped")</f>
        <v>Operating Expense</v>
      </c>
      <c r="O1372" cm="1">
        <f t="array" ref="O1372">_xlfn.XLOOKUP(
  1,
  (FX_Rates[Currency]=Cleaned[[#This Row],[Currency]])*
  (FX_Rates[RateDate]&lt;=Cleaned[[#This Row],[TxnDate]]),
  FX_Rates[Rate_To_INR],
  ,
  -1
)</f>
        <v>103</v>
      </c>
      <c r="P1372" s="2">
        <f>Cleaned[[#This Row],[Net Amount]] *  Cleaned[[#This Row],[FX_rates]]</f>
        <v>-50009.59</v>
      </c>
    </row>
    <row r="1373" spans="1:16" x14ac:dyDescent="0.45">
      <c r="A1373" t="s">
        <v>1381</v>
      </c>
      <c r="B1373" s="1">
        <v>45360</v>
      </c>
      <c r="C1373" s="2" t="s">
        <v>2014</v>
      </c>
      <c r="D1373" t="s">
        <v>2019</v>
      </c>
      <c r="E1373">
        <v>0</v>
      </c>
      <c r="F1373">
        <f>Cleaned[[#This Row],[Debit]] * Cleaned[[#This Row],[FX_rates]]</f>
        <v>0</v>
      </c>
      <c r="G1373">
        <v>586.21</v>
      </c>
      <c r="H1373">
        <f>Cleaned[[#This Row],[Credit]] *  Cleaned[[#This Row],[FX_rates]]</f>
        <v>51586.48</v>
      </c>
      <c r="I1373" t="s">
        <v>2023</v>
      </c>
      <c r="J1373" t="s">
        <v>2028</v>
      </c>
      <c r="K1373" t="s">
        <v>3402</v>
      </c>
      <c r="L1373" t="s">
        <v>4032</v>
      </c>
      <c r="M1373">
        <f>Cleaned[[#This Row],[Credit]]-Cleaned[[#This Row],[Debit]]</f>
        <v>586.21</v>
      </c>
      <c r="N1373" t="str">
        <f>_xlfn.XLOOKUP(Cleaned[[#This Row],[AccountName]], Account_Mapping!A:A, Account_Mapping!B:B,"Unmapped")</f>
        <v>Revenue</v>
      </c>
      <c r="O1373" cm="1">
        <f t="array" ref="O1373">_xlfn.XLOOKUP(
  1,
  (FX_Rates[Currency]=Cleaned[[#This Row],[Currency]])*
  (FX_Rates[RateDate]&lt;=Cleaned[[#This Row],[TxnDate]]),
  FX_Rates[Rate_To_INR],
  ,
  -1
)</f>
        <v>88</v>
      </c>
      <c r="P1373" s="2">
        <f>Cleaned[[#This Row],[Net Amount]] *  Cleaned[[#This Row],[FX_rates]]</f>
        <v>51586.48</v>
      </c>
    </row>
    <row r="1374" spans="1:16" x14ac:dyDescent="0.45">
      <c r="A1374" t="s">
        <v>1382</v>
      </c>
      <c r="B1374" s="1">
        <v>45744</v>
      </c>
      <c r="C1374" s="2" t="s">
        <v>2010</v>
      </c>
      <c r="D1374" t="s">
        <v>2015</v>
      </c>
      <c r="E1374">
        <v>0</v>
      </c>
      <c r="F1374">
        <f>Cleaned[[#This Row],[Debit]] * Cleaned[[#This Row],[FX_rates]]</f>
        <v>0</v>
      </c>
      <c r="G1374">
        <v>1624.21</v>
      </c>
      <c r="H1374">
        <f>Cleaned[[#This Row],[Credit]] *  Cleaned[[#This Row],[FX_rates]]</f>
        <v>167293.63</v>
      </c>
      <c r="I1374" t="s">
        <v>2023</v>
      </c>
      <c r="J1374" t="s">
        <v>2029</v>
      </c>
      <c r="K1374" t="s">
        <v>3403</v>
      </c>
      <c r="L1374" t="s">
        <v>4031</v>
      </c>
      <c r="M1374">
        <f>Cleaned[[#This Row],[Credit]]-Cleaned[[#This Row],[Debit]]</f>
        <v>1624.21</v>
      </c>
      <c r="N1374" t="str">
        <f>_xlfn.XLOOKUP(Cleaned[[#This Row],[AccountName]], Account_Mapping!A:A, Account_Mapping!B:B,"Unmapped")</f>
        <v>Revenue</v>
      </c>
      <c r="O1374" cm="1">
        <f t="array" ref="O1374">_xlfn.XLOOKUP(
  1,
  (FX_Rates[Currency]=Cleaned[[#This Row],[Currency]])*
  (FX_Rates[RateDate]&lt;=Cleaned[[#This Row],[TxnDate]]),
  FX_Rates[Rate_To_INR],
  ,
  -1
)</f>
        <v>103</v>
      </c>
      <c r="P1374" s="2">
        <f>Cleaned[[#This Row],[Net Amount]] *  Cleaned[[#This Row],[FX_rates]]</f>
        <v>167293.63</v>
      </c>
    </row>
    <row r="1375" spans="1:16" x14ac:dyDescent="0.45">
      <c r="A1375" t="s">
        <v>1383</v>
      </c>
      <c r="B1375" s="1">
        <v>45089</v>
      </c>
      <c r="C1375" s="2" t="s">
        <v>2013</v>
      </c>
      <c r="D1375" t="s">
        <v>2018</v>
      </c>
      <c r="E1375">
        <v>680.82</v>
      </c>
      <c r="F1375">
        <f>Cleaned[[#This Row],[Debit]] * Cleaned[[#This Row],[FX_rates]]</f>
        <v>55827.240000000005</v>
      </c>
      <c r="G1375">
        <v>0</v>
      </c>
      <c r="H1375">
        <f>Cleaned[[#This Row],[Credit]] *  Cleaned[[#This Row],[FX_rates]]</f>
        <v>0</v>
      </c>
      <c r="I1375" t="s">
        <v>2025</v>
      </c>
      <c r="J1375" t="s">
        <v>2030</v>
      </c>
      <c r="K1375" t="s">
        <v>3404</v>
      </c>
      <c r="L1375" t="s">
        <v>4034</v>
      </c>
      <c r="M1375">
        <f>Cleaned[[#This Row],[Credit]]-Cleaned[[#This Row],[Debit]]</f>
        <v>-680.82</v>
      </c>
      <c r="N1375" t="str">
        <f>_xlfn.XLOOKUP(Cleaned[[#This Row],[AccountName]], Account_Mapping!A:A, Account_Mapping!B:B,"Unmapped")</f>
        <v>Operating Expense</v>
      </c>
      <c r="O1375" cm="1">
        <f t="array" ref="O1375">_xlfn.XLOOKUP(
  1,
  (FX_Rates[Currency]=Cleaned[[#This Row],[Currency]])*
  (FX_Rates[RateDate]&lt;=Cleaned[[#This Row],[TxnDate]]),
  FX_Rates[Rate_To_INR],
  ,
  -1
)</f>
        <v>82</v>
      </c>
      <c r="P1375" s="2">
        <f>Cleaned[[#This Row],[Net Amount]] *  Cleaned[[#This Row],[FX_rates]]</f>
        <v>-55827.240000000005</v>
      </c>
    </row>
    <row r="1376" spans="1:16" x14ac:dyDescent="0.45">
      <c r="A1376" t="s">
        <v>1384</v>
      </c>
      <c r="B1376" s="1">
        <v>45262</v>
      </c>
      <c r="C1376" s="2" t="s">
        <v>2012</v>
      </c>
      <c r="D1376" t="s">
        <v>2017</v>
      </c>
      <c r="E1376">
        <v>167.34</v>
      </c>
      <c r="F1376">
        <f>Cleaned[[#This Row],[Debit]] * Cleaned[[#This Row],[FX_rates]]</f>
        <v>13721.880000000001</v>
      </c>
      <c r="G1376">
        <v>0</v>
      </c>
      <c r="H1376">
        <f>Cleaned[[#This Row],[Credit]] *  Cleaned[[#This Row],[FX_rates]]</f>
        <v>0</v>
      </c>
      <c r="I1376" t="s">
        <v>2023</v>
      </c>
      <c r="J1376" t="s">
        <v>2028</v>
      </c>
      <c r="K1376" t="s">
        <v>3405</v>
      </c>
      <c r="L1376" t="s">
        <v>4034</v>
      </c>
      <c r="M1376">
        <f>Cleaned[[#This Row],[Credit]]-Cleaned[[#This Row],[Debit]]</f>
        <v>-167.34</v>
      </c>
      <c r="N1376" t="str">
        <f>_xlfn.XLOOKUP(Cleaned[[#This Row],[AccountName]], Account_Mapping!A:A, Account_Mapping!B:B,"Unmapped")</f>
        <v>Operating Expense</v>
      </c>
      <c r="O1376" cm="1">
        <f t="array" ref="O1376">_xlfn.XLOOKUP(
  1,
  (FX_Rates[Currency]=Cleaned[[#This Row],[Currency]])*
  (FX_Rates[RateDate]&lt;=Cleaned[[#This Row],[TxnDate]]),
  FX_Rates[Rate_To_INR],
  ,
  -1
)</f>
        <v>82</v>
      </c>
      <c r="P1376" s="2">
        <f>Cleaned[[#This Row],[Net Amount]] *  Cleaned[[#This Row],[FX_rates]]</f>
        <v>-13721.880000000001</v>
      </c>
    </row>
    <row r="1377" spans="1:16" x14ac:dyDescent="0.45">
      <c r="A1377" t="s">
        <v>1385</v>
      </c>
      <c r="B1377" s="1">
        <v>45489</v>
      </c>
      <c r="C1377" s="2" t="s">
        <v>2010</v>
      </c>
      <c r="D1377" t="s">
        <v>2015</v>
      </c>
      <c r="E1377">
        <v>0</v>
      </c>
      <c r="F1377">
        <f>Cleaned[[#This Row],[Debit]] * Cleaned[[#This Row],[FX_rates]]</f>
        <v>0</v>
      </c>
      <c r="G1377">
        <v>1929.16</v>
      </c>
      <c r="H1377">
        <f>Cleaned[[#This Row],[Credit]] *  Cleaned[[#This Row],[FX_rates]]</f>
        <v>169766.08000000002</v>
      </c>
      <c r="I1377" t="s">
        <v>2023</v>
      </c>
      <c r="J1377" t="s">
        <v>2029</v>
      </c>
      <c r="K1377" t="s">
        <v>3406</v>
      </c>
      <c r="L1377" t="s">
        <v>4032</v>
      </c>
      <c r="M1377">
        <f>Cleaned[[#This Row],[Credit]]-Cleaned[[#This Row],[Debit]]</f>
        <v>1929.16</v>
      </c>
      <c r="N1377" t="str">
        <f>_xlfn.XLOOKUP(Cleaned[[#This Row],[AccountName]], Account_Mapping!A:A, Account_Mapping!B:B,"Unmapped")</f>
        <v>Revenue</v>
      </c>
      <c r="O1377" cm="1">
        <f t="array" ref="O1377">_xlfn.XLOOKUP(
  1,
  (FX_Rates[Currency]=Cleaned[[#This Row],[Currency]])*
  (FX_Rates[RateDate]&lt;=Cleaned[[#This Row],[TxnDate]]),
  FX_Rates[Rate_To_INR],
  ,
  -1
)</f>
        <v>88</v>
      </c>
      <c r="P1377" s="2">
        <f>Cleaned[[#This Row],[Net Amount]] *  Cleaned[[#This Row],[FX_rates]]</f>
        <v>169766.08000000002</v>
      </c>
    </row>
    <row r="1378" spans="1:16" x14ac:dyDescent="0.45">
      <c r="A1378" t="s">
        <v>1386</v>
      </c>
      <c r="B1378" s="1">
        <v>45240</v>
      </c>
      <c r="C1378" s="2" t="s">
        <v>2013</v>
      </c>
      <c r="D1378" t="s">
        <v>2018</v>
      </c>
      <c r="E1378">
        <v>400.54</v>
      </c>
      <c r="F1378">
        <f>Cleaned[[#This Row],[Debit]] * Cleaned[[#This Row],[FX_rates]]</f>
        <v>35247.520000000004</v>
      </c>
      <c r="G1378">
        <v>0</v>
      </c>
      <c r="H1378">
        <f>Cleaned[[#This Row],[Credit]] *  Cleaned[[#This Row],[FX_rates]]</f>
        <v>0</v>
      </c>
      <c r="I1378" t="s">
        <v>2023</v>
      </c>
      <c r="J1378" t="s">
        <v>2028</v>
      </c>
      <c r="K1378" t="s">
        <v>3407</v>
      </c>
      <c r="L1378" t="s">
        <v>4032</v>
      </c>
      <c r="M1378">
        <f>Cleaned[[#This Row],[Credit]]-Cleaned[[#This Row],[Debit]]</f>
        <v>-400.54</v>
      </c>
      <c r="N1378" t="str">
        <f>_xlfn.XLOOKUP(Cleaned[[#This Row],[AccountName]], Account_Mapping!A:A, Account_Mapping!B:B,"Unmapped")</f>
        <v>Operating Expense</v>
      </c>
      <c r="O1378" cm="1">
        <f t="array" ref="O1378">_xlfn.XLOOKUP(
  1,
  (FX_Rates[Currency]=Cleaned[[#This Row],[Currency]])*
  (FX_Rates[RateDate]&lt;=Cleaned[[#This Row],[TxnDate]]),
  FX_Rates[Rate_To_INR],
  ,
  -1
)</f>
        <v>88</v>
      </c>
      <c r="P1378" s="2">
        <f>Cleaned[[#This Row],[Net Amount]] *  Cleaned[[#This Row],[FX_rates]]</f>
        <v>-35247.520000000004</v>
      </c>
    </row>
    <row r="1379" spans="1:16" x14ac:dyDescent="0.45">
      <c r="A1379" t="s">
        <v>1387</v>
      </c>
      <c r="B1379" s="1">
        <v>45397</v>
      </c>
      <c r="C1379" s="2" t="s">
        <v>2014</v>
      </c>
      <c r="D1379" t="s">
        <v>2019</v>
      </c>
      <c r="E1379">
        <v>0</v>
      </c>
      <c r="F1379">
        <f>Cleaned[[#This Row],[Debit]] * Cleaned[[#This Row],[FX_rates]]</f>
        <v>0</v>
      </c>
      <c r="G1379">
        <v>1657.49</v>
      </c>
      <c r="H1379">
        <f>Cleaned[[#This Row],[Credit]] *  Cleaned[[#This Row],[FX_rates]]</f>
        <v>170721.47</v>
      </c>
      <c r="I1379" t="s">
        <v>2025</v>
      </c>
      <c r="J1379" t="s">
        <v>2028</v>
      </c>
      <c r="K1379" t="s">
        <v>3408</v>
      </c>
      <c r="L1379" t="s">
        <v>4031</v>
      </c>
      <c r="M1379">
        <f>Cleaned[[#This Row],[Credit]]-Cleaned[[#This Row],[Debit]]</f>
        <v>1657.49</v>
      </c>
      <c r="N1379" t="str">
        <f>_xlfn.XLOOKUP(Cleaned[[#This Row],[AccountName]], Account_Mapping!A:A, Account_Mapping!B:B,"Unmapped")</f>
        <v>Revenue</v>
      </c>
      <c r="O1379" cm="1">
        <f t="array" ref="O1379">_xlfn.XLOOKUP(
  1,
  (FX_Rates[Currency]=Cleaned[[#This Row],[Currency]])*
  (FX_Rates[RateDate]&lt;=Cleaned[[#This Row],[TxnDate]]),
  FX_Rates[Rate_To_INR],
  ,
  -1
)</f>
        <v>103</v>
      </c>
      <c r="P1379" s="2">
        <f>Cleaned[[#This Row],[Net Amount]] *  Cleaned[[#This Row],[FX_rates]]</f>
        <v>170721.47</v>
      </c>
    </row>
    <row r="1380" spans="1:16" x14ac:dyDescent="0.45">
      <c r="A1380" t="s">
        <v>1388</v>
      </c>
      <c r="B1380" s="1">
        <v>45388</v>
      </c>
      <c r="C1380" s="2" t="s">
        <v>2010</v>
      </c>
      <c r="D1380" t="s">
        <v>2015</v>
      </c>
      <c r="E1380">
        <v>0</v>
      </c>
      <c r="F1380">
        <f>Cleaned[[#This Row],[Debit]] * Cleaned[[#This Row],[FX_rates]]</f>
        <v>0</v>
      </c>
      <c r="G1380">
        <v>1718.15</v>
      </c>
      <c r="H1380">
        <f>Cleaned[[#This Row],[Credit]] *  Cleaned[[#This Row],[FX_rates]]</f>
        <v>176969.45</v>
      </c>
      <c r="I1380" t="s">
        <v>2020</v>
      </c>
      <c r="J1380" t="s">
        <v>2029</v>
      </c>
      <c r="K1380" t="s">
        <v>3409</v>
      </c>
      <c r="L1380" t="s">
        <v>4031</v>
      </c>
      <c r="M1380">
        <f>Cleaned[[#This Row],[Credit]]-Cleaned[[#This Row],[Debit]]</f>
        <v>1718.15</v>
      </c>
      <c r="N1380" t="str">
        <f>_xlfn.XLOOKUP(Cleaned[[#This Row],[AccountName]], Account_Mapping!A:A, Account_Mapping!B:B,"Unmapped")</f>
        <v>Revenue</v>
      </c>
      <c r="O1380" cm="1">
        <f t="array" ref="O1380">_xlfn.XLOOKUP(
  1,
  (FX_Rates[Currency]=Cleaned[[#This Row],[Currency]])*
  (FX_Rates[RateDate]&lt;=Cleaned[[#This Row],[TxnDate]]),
  FX_Rates[Rate_To_INR],
  ,
  -1
)</f>
        <v>103</v>
      </c>
      <c r="P1380" s="2">
        <f>Cleaned[[#This Row],[Net Amount]] *  Cleaned[[#This Row],[FX_rates]]</f>
        <v>176969.45</v>
      </c>
    </row>
    <row r="1381" spans="1:16" x14ac:dyDescent="0.45">
      <c r="A1381" t="s">
        <v>1389</v>
      </c>
      <c r="B1381" s="1">
        <v>45824</v>
      </c>
      <c r="C1381" s="2" t="s">
        <v>2014</v>
      </c>
      <c r="D1381" t="s">
        <v>2019</v>
      </c>
      <c r="E1381">
        <v>0</v>
      </c>
      <c r="F1381">
        <f>Cleaned[[#This Row],[Debit]] * Cleaned[[#This Row],[FX_rates]]</f>
        <v>0</v>
      </c>
      <c r="G1381">
        <v>3216.06</v>
      </c>
      <c r="H1381">
        <f>Cleaned[[#This Row],[Credit]] *  Cleaned[[#This Row],[FX_rates]]</f>
        <v>196179.66</v>
      </c>
      <c r="I1381" t="s">
        <v>2024</v>
      </c>
      <c r="J1381" t="s">
        <v>2030</v>
      </c>
      <c r="K1381" t="s">
        <v>3410</v>
      </c>
      <c r="L1381" t="s">
        <v>4035</v>
      </c>
      <c r="M1381">
        <f>Cleaned[[#This Row],[Credit]]-Cleaned[[#This Row],[Debit]]</f>
        <v>3216.06</v>
      </c>
      <c r="N1381" t="str">
        <f>_xlfn.XLOOKUP(Cleaned[[#This Row],[AccountName]], Account_Mapping!A:A, Account_Mapping!B:B,"Unmapped")</f>
        <v>Revenue</v>
      </c>
      <c r="O1381" cm="1">
        <f t="array" ref="O1381">_xlfn.XLOOKUP(
  1,
  (FX_Rates[Currency]=Cleaned[[#This Row],[Currency]])*
  (FX_Rates[RateDate]&lt;=Cleaned[[#This Row],[TxnDate]]),
  FX_Rates[Rate_To_INR],
  ,
  -1
)</f>
        <v>61</v>
      </c>
      <c r="P1381" s="2">
        <f>Cleaned[[#This Row],[Net Amount]] *  Cleaned[[#This Row],[FX_rates]]</f>
        <v>196179.66</v>
      </c>
    </row>
    <row r="1382" spans="1:16" x14ac:dyDescent="0.45">
      <c r="A1382" t="s">
        <v>1390</v>
      </c>
      <c r="B1382" s="1">
        <v>45065</v>
      </c>
      <c r="C1382" s="2" t="s">
        <v>2014</v>
      </c>
      <c r="D1382" t="s">
        <v>2019</v>
      </c>
      <c r="E1382">
        <v>0</v>
      </c>
      <c r="F1382">
        <f>Cleaned[[#This Row],[Debit]] * Cleaned[[#This Row],[FX_rates]]</f>
        <v>0</v>
      </c>
      <c r="G1382">
        <v>3406.43</v>
      </c>
      <c r="H1382">
        <f>Cleaned[[#This Row],[Credit]] *  Cleaned[[#This Row],[FX_rates]]</f>
        <v>190760.08</v>
      </c>
      <c r="I1382" t="s">
        <v>2022</v>
      </c>
      <c r="J1382" t="s">
        <v>2030</v>
      </c>
      <c r="K1382" t="s">
        <v>3411</v>
      </c>
      <c r="L1382" t="s">
        <v>4033</v>
      </c>
      <c r="M1382">
        <f>Cleaned[[#This Row],[Credit]]-Cleaned[[#This Row],[Debit]]</f>
        <v>3406.43</v>
      </c>
      <c r="N1382" t="str">
        <f>_xlfn.XLOOKUP(Cleaned[[#This Row],[AccountName]], Account_Mapping!A:A, Account_Mapping!B:B,"Unmapped")</f>
        <v>Revenue</v>
      </c>
      <c r="O1382" cm="1">
        <f t="array" ref="O1382">_xlfn.XLOOKUP(
  1,
  (FX_Rates[Currency]=Cleaned[[#This Row],[Currency]])*
  (FX_Rates[RateDate]&lt;=Cleaned[[#This Row],[TxnDate]]),
  FX_Rates[Rate_To_INR],
  ,
  -1
)</f>
        <v>56</v>
      </c>
      <c r="P1382" s="2">
        <f>Cleaned[[#This Row],[Net Amount]] *  Cleaned[[#This Row],[FX_rates]]</f>
        <v>190760.08</v>
      </c>
    </row>
    <row r="1383" spans="1:16" x14ac:dyDescent="0.45">
      <c r="A1383" t="s">
        <v>1391</v>
      </c>
      <c r="B1383" s="1">
        <v>45744</v>
      </c>
      <c r="C1383" s="2" t="s">
        <v>2012</v>
      </c>
      <c r="D1383" t="s">
        <v>2017</v>
      </c>
      <c r="E1383">
        <v>1047.53</v>
      </c>
      <c r="F1383">
        <f>Cleaned[[#This Row],[Debit]] * Cleaned[[#This Row],[FX_rates]]</f>
        <v>85897.459999999992</v>
      </c>
      <c r="G1383">
        <v>0</v>
      </c>
      <c r="H1383">
        <f>Cleaned[[#This Row],[Credit]] *  Cleaned[[#This Row],[FX_rates]]</f>
        <v>0</v>
      </c>
      <c r="I1383" t="s">
        <v>2024</v>
      </c>
      <c r="J1383" t="s">
        <v>2029</v>
      </c>
      <c r="K1383" t="s">
        <v>3412</v>
      </c>
      <c r="L1383" t="s">
        <v>4034</v>
      </c>
      <c r="M1383">
        <f>Cleaned[[#This Row],[Credit]]-Cleaned[[#This Row],[Debit]]</f>
        <v>-1047.53</v>
      </c>
      <c r="N1383" t="str">
        <f>_xlfn.XLOOKUP(Cleaned[[#This Row],[AccountName]], Account_Mapping!A:A, Account_Mapping!B:B,"Unmapped")</f>
        <v>Operating Expense</v>
      </c>
      <c r="O1383" cm="1">
        <f t="array" ref="O1383">_xlfn.XLOOKUP(
  1,
  (FX_Rates[Currency]=Cleaned[[#This Row],[Currency]])*
  (FX_Rates[RateDate]&lt;=Cleaned[[#This Row],[TxnDate]]),
  FX_Rates[Rate_To_INR],
  ,
  -1
)</f>
        <v>82</v>
      </c>
      <c r="P1383" s="2">
        <f>Cleaned[[#This Row],[Net Amount]] *  Cleaned[[#This Row],[FX_rates]]</f>
        <v>-85897.459999999992</v>
      </c>
    </row>
    <row r="1384" spans="1:16" x14ac:dyDescent="0.45">
      <c r="A1384" t="s">
        <v>1392</v>
      </c>
      <c r="B1384" s="1">
        <v>45599</v>
      </c>
      <c r="C1384" s="2" t="s">
        <v>2013</v>
      </c>
      <c r="D1384" t="s">
        <v>2018</v>
      </c>
      <c r="E1384">
        <v>129.62</v>
      </c>
      <c r="F1384">
        <f>Cleaned[[#This Row],[Debit]] * Cleaned[[#This Row],[FX_rates]]</f>
        <v>11406.560000000001</v>
      </c>
      <c r="G1384">
        <v>0</v>
      </c>
      <c r="H1384">
        <f>Cleaned[[#This Row],[Credit]] *  Cleaned[[#This Row],[FX_rates]]</f>
        <v>0</v>
      </c>
      <c r="I1384" t="s">
        <v>2024</v>
      </c>
      <c r="J1384" t="s">
        <v>2026</v>
      </c>
      <c r="K1384" t="s">
        <v>3413</v>
      </c>
      <c r="L1384" t="s">
        <v>4032</v>
      </c>
      <c r="M1384">
        <f>Cleaned[[#This Row],[Credit]]-Cleaned[[#This Row],[Debit]]</f>
        <v>-129.62</v>
      </c>
      <c r="N1384" t="str">
        <f>_xlfn.XLOOKUP(Cleaned[[#This Row],[AccountName]], Account_Mapping!A:A, Account_Mapping!B:B,"Unmapped")</f>
        <v>Operating Expense</v>
      </c>
      <c r="O1384" cm="1">
        <f t="array" ref="O1384">_xlfn.XLOOKUP(
  1,
  (FX_Rates[Currency]=Cleaned[[#This Row],[Currency]])*
  (FX_Rates[RateDate]&lt;=Cleaned[[#This Row],[TxnDate]]),
  FX_Rates[Rate_To_INR],
  ,
  -1
)</f>
        <v>88</v>
      </c>
      <c r="P1384" s="2">
        <f>Cleaned[[#This Row],[Net Amount]] *  Cleaned[[#This Row],[FX_rates]]</f>
        <v>-11406.560000000001</v>
      </c>
    </row>
    <row r="1385" spans="1:16" x14ac:dyDescent="0.45">
      <c r="A1385" t="s">
        <v>1393</v>
      </c>
      <c r="B1385" s="1">
        <v>45158</v>
      </c>
      <c r="C1385" s="2" t="s">
        <v>2014</v>
      </c>
      <c r="D1385" t="s">
        <v>2019</v>
      </c>
      <c r="E1385">
        <v>0</v>
      </c>
      <c r="F1385">
        <f>Cleaned[[#This Row],[Debit]] * Cleaned[[#This Row],[FX_rates]]</f>
        <v>0</v>
      </c>
      <c r="G1385">
        <v>2334.75</v>
      </c>
      <c r="H1385">
        <f>Cleaned[[#This Row],[Credit]] *  Cleaned[[#This Row],[FX_rates]]</f>
        <v>130746</v>
      </c>
      <c r="I1385" t="s">
        <v>2022</v>
      </c>
      <c r="J1385" t="s">
        <v>2029</v>
      </c>
      <c r="K1385" t="s">
        <v>3414</v>
      </c>
      <c r="L1385" t="s">
        <v>4033</v>
      </c>
      <c r="M1385">
        <f>Cleaned[[#This Row],[Credit]]-Cleaned[[#This Row],[Debit]]</f>
        <v>2334.75</v>
      </c>
      <c r="N1385" t="str">
        <f>_xlfn.XLOOKUP(Cleaned[[#This Row],[AccountName]], Account_Mapping!A:A, Account_Mapping!B:B,"Unmapped")</f>
        <v>Revenue</v>
      </c>
      <c r="O1385" cm="1">
        <f t="array" ref="O1385">_xlfn.XLOOKUP(
  1,
  (FX_Rates[Currency]=Cleaned[[#This Row],[Currency]])*
  (FX_Rates[RateDate]&lt;=Cleaned[[#This Row],[TxnDate]]),
  FX_Rates[Rate_To_INR],
  ,
  -1
)</f>
        <v>56</v>
      </c>
      <c r="P1385" s="2">
        <f>Cleaned[[#This Row],[Net Amount]] *  Cleaned[[#This Row],[FX_rates]]</f>
        <v>130746</v>
      </c>
    </row>
    <row r="1386" spans="1:16" x14ac:dyDescent="0.45">
      <c r="A1386" t="s">
        <v>1394</v>
      </c>
      <c r="B1386" s="1">
        <v>45091</v>
      </c>
      <c r="C1386" s="2" t="s">
        <v>2012</v>
      </c>
      <c r="D1386" t="s">
        <v>2017</v>
      </c>
      <c r="E1386">
        <v>1023.61</v>
      </c>
      <c r="F1386">
        <f>Cleaned[[#This Row],[Debit]] * Cleaned[[#This Row],[FX_rates]]</f>
        <v>105431.83</v>
      </c>
      <c r="G1386">
        <v>0</v>
      </c>
      <c r="H1386">
        <f>Cleaned[[#This Row],[Credit]] *  Cleaned[[#This Row],[FX_rates]]</f>
        <v>0</v>
      </c>
      <c r="I1386" t="s">
        <v>2020</v>
      </c>
      <c r="J1386" t="s">
        <v>2027</v>
      </c>
      <c r="K1386" t="s">
        <v>3415</v>
      </c>
      <c r="L1386" t="s">
        <v>4031</v>
      </c>
      <c r="M1386">
        <f>Cleaned[[#This Row],[Credit]]-Cleaned[[#This Row],[Debit]]</f>
        <v>-1023.61</v>
      </c>
      <c r="N1386" t="str">
        <f>_xlfn.XLOOKUP(Cleaned[[#This Row],[AccountName]], Account_Mapping!A:A, Account_Mapping!B:B,"Unmapped")</f>
        <v>Operating Expense</v>
      </c>
      <c r="O1386" cm="1">
        <f t="array" ref="O1386">_xlfn.XLOOKUP(
  1,
  (FX_Rates[Currency]=Cleaned[[#This Row],[Currency]])*
  (FX_Rates[RateDate]&lt;=Cleaned[[#This Row],[TxnDate]]),
  FX_Rates[Rate_To_INR],
  ,
  -1
)</f>
        <v>103</v>
      </c>
      <c r="P1386" s="2">
        <f>Cleaned[[#This Row],[Net Amount]] *  Cleaned[[#This Row],[FX_rates]]</f>
        <v>-105431.83</v>
      </c>
    </row>
    <row r="1387" spans="1:16" x14ac:dyDescent="0.45">
      <c r="A1387" t="s">
        <v>1395</v>
      </c>
      <c r="B1387" s="1">
        <v>45311</v>
      </c>
      <c r="C1387" s="2" t="s">
        <v>2013</v>
      </c>
      <c r="D1387" t="s">
        <v>2018</v>
      </c>
      <c r="E1387">
        <v>182.89</v>
      </c>
      <c r="F1387">
        <f>Cleaned[[#This Row],[Debit]] * Cleaned[[#This Row],[FX_rates]]</f>
        <v>18837.669999999998</v>
      </c>
      <c r="G1387">
        <v>0</v>
      </c>
      <c r="H1387">
        <f>Cleaned[[#This Row],[Credit]] *  Cleaned[[#This Row],[FX_rates]]</f>
        <v>0</v>
      </c>
      <c r="I1387" t="s">
        <v>2023</v>
      </c>
      <c r="J1387" t="s">
        <v>2027</v>
      </c>
      <c r="K1387" t="s">
        <v>3416</v>
      </c>
      <c r="L1387" t="s">
        <v>4031</v>
      </c>
      <c r="M1387">
        <f>Cleaned[[#This Row],[Credit]]-Cleaned[[#This Row],[Debit]]</f>
        <v>-182.89</v>
      </c>
      <c r="N1387" t="str">
        <f>_xlfn.XLOOKUP(Cleaned[[#This Row],[AccountName]], Account_Mapping!A:A, Account_Mapping!B:B,"Unmapped")</f>
        <v>Operating Expense</v>
      </c>
      <c r="O1387" cm="1">
        <f t="array" ref="O1387">_xlfn.XLOOKUP(
  1,
  (FX_Rates[Currency]=Cleaned[[#This Row],[Currency]])*
  (FX_Rates[RateDate]&lt;=Cleaned[[#This Row],[TxnDate]]),
  FX_Rates[Rate_To_INR],
  ,
  -1
)</f>
        <v>103</v>
      </c>
      <c r="P1387" s="2">
        <f>Cleaned[[#This Row],[Net Amount]] *  Cleaned[[#This Row],[FX_rates]]</f>
        <v>-18837.669999999998</v>
      </c>
    </row>
    <row r="1388" spans="1:16" x14ac:dyDescent="0.45">
      <c r="A1388" t="s">
        <v>1396</v>
      </c>
      <c r="B1388" s="1">
        <v>45476</v>
      </c>
      <c r="C1388" s="2" t="s">
        <v>2012</v>
      </c>
      <c r="D1388" t="s">
        <v>2017</v>
      </c>
      <c r="E1388">
        <v>229.97</v>
      </c>
      <c r="F1388">
        <f>Cleaned[[#This Row],[Debit]] * Cleaned[[#This Row],[FX_rates]]</f>
        <v>23686.91</v>
      </c>
      <c r="G1388">
        <v>0</v>
      </c>
      <c r="H1388">
        <f>Cleaned[[#This Row],[Credit]] *  Cleaned[[#This Row],[FX_rates]]</f>
        <v>0</v>
      </c>
      <c r="I1388" t="s">
        <v>2020</v>
      </c>
      <c r="J1388" t="s">
        <v>2027</v>
      </c>
      <c r="K1388" t="s">
        <v>3417</v>
      </c>
      <c r="L1388" t="s">
        <v>4031</v>
      </c>
      <c r="M1388">
        <f>Cleaned[[#This Row],[Credit]]-Cleaned[[#This Row],[Debit]]</f>
        <v>-229.97</v>
      </c>
      <c r="N1388" t="str">
        <f>_xlfn.XLOOKUP(Cleaned[[#This Row],[AccountName]], Account_Mapping!A:A, Account_Mapping!B:B,"Unmapped")</f>
        <v>Operating Expense</v>
      </c>
      <c r="O1388" cm="1">
        <f t="array" ref="O1388">_xlfn.XLOOKUP(
  1,
  (FX_Rates[Currency]=Cleaned[[#This Row],[Currency]])*
  (FX_Rates[RateDate]&lt;=Cleaned[[#This Row],[TxnDate]]),
  FX_Rates[Rate_To_INR],
  ,
  -1
)</f>
        <v>103</v>
      </c>
      <c r="P1388" s="2">
        <f>Cleaned[[#This Row],[Net Amount]] *  Cleaned[[#This Row],[FX_rates]]</f>
        <v>-23686.91</v>
      </c>
    </row>
    <row r="1389" spans="1:16" x14ac:dyDescent="0.45">
      <c r="A1389" t="s">
        <v>1397</v>
      </c>
      <c r="B1389" s="1">
        <v>45548</v>
      </c>
      <c r="C1389" s="2" t="s">
        <v>2012</v>
      </c>
      <c r="D1389" t="s">
        <v>2017</v>
      </c>
      <c r="E1389">
        <v>1443.86</v>
      </c>
      <c r="F1389">
        <f>Cleaned[[#This Row],[Debit]] * Cleaned[[#This Row],[FX_rates]]</f>
        <v>118396.51999999999</v>
      </c>
      <c r="G1389">
        <v>0</v>
      </c>
      <c r="H1389">
        <f>Cleaned[[#This Row],[Credit]] *  Cleaned[[#This Row],[FX_rates]]</f>
        <v>0</v>
      </c>
      <c r="I1389" t="s">
        <v>2023</v>
      </c>
      <c r="J1389" t="s">
        <v>2030</v>
      </c>
      <c r="K1389" t="s">
        <v>3418</v>
      </c>
      <c r="L1389" t="s">
        <v>4034</v>
      </c>
      <c r="M1389">
        <f>Cleaned[[#This Row],[Credit]]-Cleaned[[#This Row],[Debit]]</f>
        <v>-1443.86</v>
      </c>
      <c r="N1389" t="str">
        <f>_xlfn.XLOOKUP(Cleaned[[#This Row],[AccountName]], Account_Mapping!A:A, Account_Mapping!B:B,"Unmapped")</f>
        <v>Operating Expense</v>
      </c>
      <c r="O1389" cm="1">
        <f t="array" ref="O1389">_xlfn.XLOOKUP(
  1,
  (FX_Rates[Currency]=Cleaned[[#This Row],[Currency]])*
  (FX_Rates[RateDate]&lt;=Cleaned[[#This Row],[TxnDate]]),
  FX_Rates[Rate_To_INR],
  ,
  -1
)</f>
        <v>82</v>
      </c>
      <c r="P1389" s="2">
        <f>Cleaned[[#This Row],[Net Amount]] *  Cleaned[[#This Row],[FX_rates]]</f>
        <v>-118396.51999999999</v>
      </c>
    </row>
    <row r="1390" spans="1:16" x14ac:dyDescent="0.45">
      <c r="A1390" t="s">
        <v>1398</v>
      </c>
      <c r="B1390" s="1">
        <v>45391</v>
      </c>
      <c r="C1390" s="2" t="s">
        <v>2014</v>
      </c>
      <c r="D1390" t="s">
        <v>2019</v>
      </c>
      <c r="E1390">
        <v>0</v>
      </c>
      <c r="F1390">
        <f>Cleaned[[#This Row],[Debit]] * Cleaned[[#This Row],[FX_rates]]</f>
        <v>0</v>
      </c>
      <c r="G1390">
        <v>1270.57</v>
      </c>
      <c r="H1390">
        <f>Cleaned[[#This Row],[Credit]] *  Cleaned[[#This Row],[FX_rates]]</f>
        <v>71151.92</v>
      </c>
      <c r="I1390" t="s">
        <v>2022</v>
      </c>
      <c r="J1390" t="s">
        <v>2027</v>
      </c>
      <c r="K1390" t="s">
        <v>3419</v>
      </c>
      <c r="L1390" t="s">
        <v>4033</v>
      </c>
      <c r="M1390">
        <f>Cleaned[[#This Row],[Credit]]-Cleaned[[#This Row],[Debit]]</f>
        <v>1270.57</v>
      </c>
      <c r="N1390" t="str">
        <f>_xlfn.XLOOKUP(Cleaned[[#This Row],[AccountName]], Account_Mapping!A:A, Account_Mapping!B:B,"Unmapped")</f>
        <v>Revenue</v>
      </c>
      <c r="O1390" cm="1">
        <f t="array" ref="O1390">_xlfn.XLOOKUP(
  1,
  (FX_Rates[Currency]=Cleaned[[#This Row],[Currency]])*
  (FX_Rates[RateDate]&lt;=Cleaned[[#This Row],[TxnDate]]),
  FX_Rates[Rate_To_INR],
  ,
  -1
)</f>
        <v>56</v>
      </c>
      <c r="P1390" s="2">
        <f>Cleaned[[#This Row],[Net Amount]] *  Cleaned[[#This Row],[FX_rates]]</f>
        <v>71151.92</v>
      </c>
    </row>
    <row r="1391" spans="1:16" x14ac:dyDescent="0.45">
      <c r="A1391" t="s">
        <v>1399</v>
      </c>
      <c r="B1391" s="1">
        <v>45139</v>
      </c>
      <c r="C1391" s="2" t="s">
        <v>2014</v>
      </c>
      <c r="D1391" t="s">
        <v>2019</v>
      </c>
      <c r="E1391">
        <v>0</v>
      </c>
      <c r="F1391">
        <f>Cleaned[[#This Row],[Debit]] * Cleaned[[#This Row],[FX_rates]]</f>
        <v>0</v>
      </c>
      <c r="G1391">
        <v>1310.5899999999999</v>
      </c>
      <c r="H1391">
        <f>Cleaned[[#This Row],[Credit]] *  Cleaned[[#This Row],[FX_rates]]</f>
        <v>79945.989999999991</v>
      </c>
      <c r="I1391" t="s">
        <v>2025</v>
      </c>
      <c r="J1391" t="s">
        <v>2030</v>
      </c>
      <c r="K1391" t="s">
        <v>3420</v>
      </c>
      <c r="L1391" t="s">
        <v>4035</v>
      </c>
      <c r="M1391">
        <f>Cleaned[[#This Row],[Credit]]-Cleaned[[#This Row],[Debit]]</f>
        <v>1310.5899999999999</v>
      </c>
      <c r="N1391" t="str">
        <f>_xlfn.XLOOKUP(Cleaned[[#This Row],[AccountName]], Account_Mapping!A:A, Account_Mapping!B:B,"Unmapped")</f>
        <v>Revenue</v>
      </c>
      <c r="O1391" cm="1">
        <f t="array" ref="O1391">_xlfn.XLOOKUP(
  1,
  (FX_Rates[Currency]=Cleaned[[#This Row],[Currency]])*
  (FX_Rates[RateDate]&lt;=Cleaned[[#This Row],[TxnDate]]),
  FX_Rates[Rate_To_INR],
  ,
  -1
)</f>
        <v>61</v>
      </c>
      <c r="P1391" s="2">
        <f>Cleaned[[#This Row],[Net Amount]] *  Cleaned[[#This Row],[FX_rates]]</f>
        <v>79945.989999999991</v>
      </c>
    </row>
    <row r="1392" spans="1:16" x14ac:dyDescent="0.45">
      <c r="A1392" t="s">
        <v>1400</v>
      </c>
      <c r="B1392" s="1">
        <v>45344</v>
      </c>
      <c r="C1392" s="2" t="s">
        <v>2014</v>
      </c>
      <c r="D1392" t="s">
        <v>2019</v>
      </c>
      <c r="E1392">
        <v>0</v>
      </c>
      <c r="F1392">
        <f>Cleaned[[#This Row],[Debit]] * Cleaned[[#This Row],[FX_rates]]</f>
        <v>0</v>
      </c>
      <c r="G1392">
        <v>3868.62</v>
      </c>
      <c r="H1392">
        <f>Cleaned[[#This Row],[Credit]] *  Cleaned[[#This Row],[FX_rates]]</f>
        <v>216642.72</v>
      </c>
      <c r="I1392" t="s">
        <v>2025</v>
      </c>
      <c r="J1392" t="s">
        <v>2030</v>
      </c>
      <c r="K1392" t="s">
        <v>3421</v>
      </c>
      <c r="L1392" t="s">
        <v>4033</v>
      </c>
      <c r="M1392">
        <f>Cleaned[[#This Row],[Credit]]-Cleaned[[#This Row],[Debit]]</f>
        <v>3868.62</v>
      </c>
      <c r="N1392" t="str">
        <f>_xlfn.XLOOKUP(Cleaned[[#This Row],[AccountName]], Account_Mapping!A:A, Account_Mapping!B:B,"Unmapped")</f>
        <v>Revenue</v>
      </c>
      <c r="O1392" cm="1">
        <f t="array" ref="O1392">_xlfn.XLOOKUP(
  1,
  (FX_Rates[Currency]=Cleaned[[#This Row],[Currency]])*
  (FX_Rates[RateDate]&lt;=Cleaned[[#This Row],[TxnDate]]),
  FX_Rates[Rate_To_INR],
  ,
  -1
)</f>
        <v>56</v>
      </c>
      <c r="P1392" s="2">
        <f>Cleaned[[#This Row],[Net Amount]] *  Cleaned[[#This Row],[FX_rates]]</f>
        <v>216642.72</v>
      </c>
    </row>
    <row r="1393" spans="1:16" x14ac:dyDescent="0.45">
      <c r="A1393" t="s">
        <v>1401</v>
      </c>
      <c r="B1393" s="1">
        <v>45094</v>
      </c>
      <c r="C1393" s="2" t="s">
        <v>2010</v>
      </c>
      <c r="D1393" t="s">
        <v>2015</v>
      </c>
      <c r="E1393">
        <v>0</v>
      </c>
      <c r="F1393">
        <f>Cleaned[[#This Row],[Debit]] * Cleaned[[#This Row],[FX_rates]]</f>
        <v>0</v>
      </c>
      <c r="G1393">
        <v>138.43</v>
      </c>
      <c r="H1393">
        <f>Cleaned[[#This Row],[Credit]] *  Cleaned[[#This Row],[FX_rates]]</f>
        <v>14258.29</v>
      </c>
      <c r="I1393" t="s">
        <v>2021</v>
      </c>
      <c r="J1393" t="s">
        <v>2026</v>
      </c>
      <c r="K1393" t="s">
        <v>3422</v>
      </c>
      <c r="L1393" t="s">
        <v>4031</v>
      </c>
      <c r="M1393">
        <f>Cleaned[[#This Row],[Credit]]-Cleaned[[#This Row],[Debit]]</f>
        <v>138.43</v>
      </c>
      <c r="N1393" t="str">
        <f>_xlfn.XLOOKUP(Cleaned[[#This Row],[AccountName]], Account_Mapping!A:A, Account_Mapping!B:B,"Unmapped")</f>
        <v>Revenue</v>
      </c>
      <c r="O1393" cm="1">
        <f t="array" ref="O1393">_xlfn.XLOOKUP(
  1,
  (FX_Rates[Currency]=Cleaned[[#This Row],[Currency]])*
  (FX_Rates[RateDate]&lt;=Cleaned[[#This Row],[TxnDate]]),
  FX_Rates[Rate_To_INR],
  ,
  -1
)</f>
        <v>103</v>
      </c>
      <c r="P1393" s="2">
        <f>Cleaned[[#This Row],[Net Amount]] *  Cleaned[[#This Row],[FX_rates]]</f>
        <v>14258.29</v>
      </c>
    </row>
    <row r="1394" spans="1:16" x14ac:dyDescent="0.45">
      <c r="A1394" t="s">
        <v>1402</v>
      </c>
      <c r="B1394" s="1">
        <v>45210</v>
      </c>
      <c r="C1394" s="2" t="s">
        <v>2011</v>
      </c>
      <c r="D1394" t="s">
        <v>2016</v>
      </c>
      <c r="E1394">
        <v>1749.68</v>
      </c>
      <c r="F1394">
        <f>Cleaned[[#This Row],[Debit]] * Cleaned[[#This Row],[FX_rates]]</f>
        <v>153971.84</v>
      </c>
      <c r="G1394">
        <v>0</v>
      </c>
      <c r="H1394">
        <f>Cleaned[[#This Row],[Credit]] *  Cleaned[[#This Row],[FX_rates]]</f>
        <v>0</v>
      </c>
      <c r="I1394" t="s">
        <v>2021</v>
      </c>
      <c r="J1394" t="s">
        <v>2029</v>
      </c>
      <c r="K1394" t="s">
        <v>3423</v>
      </c>
      <c r="L1394" t="s">
        <v>4032</v>
      </c>
      <c r="M1394">
        <f>Cleaned[[#This Row],[Credit]]-Cleaned[[#This Row],[Debit]]</f>
        <v>-1749.68</v>
      </c>
      <c r="N1394" t="str">
        <f>_xlfn.XLOOKUP(Cleaned[[#This Row],[AccountName]], Account_Mapping!A:A, Account_Mapping!B:B,"Unmapped")</f>
        <v>COGS</v>
      </c>
      <c r="O1394" cm="1">
        <f t="array" ref="O1394">_xlfn.XLOOKUP(
  1,
  (FX_Rates[Currency]=Cleaned[[#This Row],[Currency]])*
  (FX_Rates[RateDate]&lt;=Cleaned[[#This Row],[TxnDate]]),
  FX_Rates[Rate_To_INR],
  ,
  -1
)</f>
        <v>88</v>
      </c>
      <c r="P1394" s="2">
        <f>Cleaned[[#This Row],[Net Amount]] *  Cleaned[[#This Row],[FX_rates]]</f>
        <v>-153971.84</v>
      </c>
    </row>
    <row r="1395" spans="1:16" x14ac:dyDescent="0.45">
      <c r="A1395" t="s">
        <v>1403</v>
      </c>
      <c r="B1395" s="1">
        <v>45807</v>
      </c>
      <c r="C1395" s="2" t="s">
        <v>2014</v>
      </c>
      <c r="D1395" t="s">
        <v>2019</v>
      </c>
      <c r="E1395">
        <v>0</v>
      </c>
      <c r="F1395">
        <f>Cleaned[[#This Row],[Debit]] * Cleaned[[#This Row],[FX_rates]]</f>
        <v>0</v>
      </c>
      <c r="G1395">
        <v>4955.21</v>
      </c>
      <c r="H1395">
        <f>Cleaned[[#This Row],[Credit]] *  Cleaned[[#This Row],[FX_rates]]</f>
        <v>436058.48</v>
      </c>
      <c r="I1395" t="s">
        <v>2022</v>
      </c>
      <c r="J1395" t="s">
        <v>2029</v>
      </c>
      <c r="K1395" t="s">
        <v>3424</v>
      </c>
      <c r="L1395" t="s">
        <v>4032</v>
      </c>
      <c r="M1395">
        <f>Cleaned[[#This Row],[Credit]]-Cleaned[[#This Row],[Debit]]</f>
        <v>4955.21</v>
      </c>
      <c r="N1395" t="str">
        <f>_xlfn.XLOOKUP(Cleaned[[#This Row],[AccountName]], Account_Mapping!A:A, Account_Mapping!B:B,"Unmapped")</f>
        <v>Revenue</v>
      </c>
      <c r="O1395" cm="1">
        <f t="array" ref="O1395">_xlfn.XLOOKUP(
  1,
  (FX_Rates[Currency]=Cleaned[[#This Row],[Currency]])*
  (FX_Rates[RateDate]&lt;=Cleaned[[#This Row],[TxnDate]]),
  FX_Rates[Rate_To_INR],
  ,
  -1
)</f>
        <v>88</v>
      </c>
      <c r="P1395" s="2">
        <f>Cleaned[[#This Row],[Net Amount]] *  Cleaned[[#This Row],[FX_rates]]</f>
        <v>436058.48</v>
      </c>
    </row>
    <row r="1396" spans="1:16" x14ac:dyDescent="0.45">
      <c r="A1396" t="s">
        <v>1404</v>
      </c>
      <c r="B1396" s="1">
        <v>45223</v>
      </c>
      <c r="C1396" s="2" t="s">
        <v>2013</v>
      </c>
      <c r="D1396" t="s">
        <v>2018</v>
      </c>
      <c r="E1396">
        <v>1030.07</v>
      </c>
      <c r="F1396">
        <f>Cleaned[[#This Row],[Debit]] * Cleaned[[#This Row],[FX_rates]]</f>
        <v>62834.27</v>
      </c>
      <c r="G1396">
        <v>0</v>
      </c>
      <c r="H1396">
        <f>Cleaned[[#This Row],[Credit]] *  Cleaned[[#This Row],[FX_rates]]</f>
        <v>0</v>
      </c>
      <c r="I1396" t="s">
        <v>2021</v>
      </c>
      <c r="J1396" t="s">
        <v>2027</v>
      </c>
      <c r="K1396" t="s">
        <v>3425</v>
      </c>
      <c r="L1396" t="s">
        <v>4035</v>
      </c>
      <c r="M1396">
        <f>Cleaned[[#This Row],[Credit]]-Cleaned[[#This Row],[Debit]]</f>
        <v>-1030.07</v>
      </c>
      <c r="N1396" t="str">
        <f>_xlfn.XLOOKUP(Cleaned[[#This Row],[AccountName]], Account_Mapping!A:A, Account_Mapping!B:B,"Unmapped")</f>
        <v>Operating Expense</v>
      </c>
      <c r="O1396" cm="1">
        <f t="array" ref="O1396">_xlfn.XLOOKUP(
  1,
  (FX_Rates[Currency]=Cleaned[[#This Row],[Currency]])*
  (FX_Rates[RateDate]&lt;=Cleaned[[#This Row],[TxnDate]]),
  FX_Rates[Rate_To_INR],
  ,
  -1
)</f>
        <v>61</v>
      </c>
      <c r="P1396" s="2">
        <f>Cleaned[[#This Row],[Net Amount]] *  Cleaned[[#This Row],[FX_rates]]</f>
        <v>-62834.27</v>
      </c>
    </row>
    <row r="1397" spans="1:16" x14ac:dyDescent="0.45">
      <c r="A1397" t="s">
        <v>1405</v>
      </c>
      <c r="B1397" s="1">
        <v>44951</v>
      </c>
      <c r="C1397" s="2" t="s">
        <v>2012</v>
      </c>
      <c r="D1397" t="s">
        <v>2017</v>
      </c>
      <c r="E1397">
        <v>1552.9</v>
      </c>
      <c r="F1397">
        <f>Cleaned[[#This Row],[Debit]] * Cleaned[[#This Row],[FX_rates]]</f>
        <v>159948.70000000001</v>
      </c>
      <c r="G1397">
        <v>0</v>
      </c>
      <c r="H1397">
        <f>Cleaned[[#This Row],[Credit]] *  Cleaned[[#This Row],[FX_rates]]</f>
        <v>0</v>
      </c>
      <c r="I1397" t="s">
        <v>2021</v>
      </c>
      <c r="J1397" t="s">
        <v>2027</v>
      </c>
      <c r="K1397" t="s">
        <v>3426</v>
      </c>
      <c r="L1397" t="s">
        <v>4031</v>
      </c>
      <c r="M1397">
        <f>Cleaned[[#This Row],[Credit]]-Cleaned[[#This Row],[Debit]]</f>
        <v>-1552.9</v>
      </c>
      <c r="N1397" t="str">
        <f>_xlfn.XLOOKUP(Cleaned[[#This Row],[AccountName]], Account_Mapping!A:A, Account_Mapping!B:B,"Unmapped")</f>
        <v>Operating Expense</v>
      </c>
      <c r="O1397" cm="1">
        <f t="array" ref="O1397">_xlfn.XLOOKUP(
  1,
  (FX_Rates[Currency]=Cleaned[[#This Row],[Currency]])*
  (FX_Rates[RateDate]&lt;=Cleaned[[#This Row],[TxnDate]]),
  FX_Rates[Rate_To_INR],
  ,
  -1
)</f>
        <v>103</v>
      </c>
      <c r="P1397" s="2">
        <f>Cleaned[[#This Row],[Net Amount]] *  Cleaned[[#This Row],[FX_rates]]</f>
        <v>-159948.70000000001</v>
      </c>
    </row>
    <row r="1398" spans="1:16" x14ac:dyDescent="0.45">
      <c r="A1398" t="s">
        <v>1406</v>
      </c>
      <c r="B1398" s="1">
        <v>45009</v>
      </c>
      <c r="C1398" s="2" t="s">
        <v>2011</v>
      </c>
      <c r="D1398" t="s">
        <v>2016</v>
      </c>
      <c r="E1398">
        <v>1837.1</v>
      </c>
      <c r="F1398">
        <f>Cleaned[[#This Row],[Debit]] * Cleaned[[#This Row],[FX_rates]]</f>
        <v>150642.19999999998</v>
      </c>
      <c r="G1398">
        <v>0</v>
      </c>
      <c r="H1398">
        <f>Cleaned[[#This Row],[Credit]] *  Cleaned[[#This Row],[FX_rates]]</f>
        <v>0</v>
      </c>
      <c r="I1398" t="s">
        <v>2021</v>
      </c>
      <c r="J1398" t="s">
        <v>2026</v>
      </c>
      <c r="K1398" t="s">
        <v>3427</v>
      </c>
      <c r="L1398" t="s">
        <v>4034</v>
      </c>
      <c r="M1398">
        <f>Cleaned[[#This Row],[Credit]]-Cleaned[[#This Row],[Debit]]</f>
        <v>-1837.1</v>
      </c>
      <c r="N1398" t="str">
        <f>_xlfn.XLOOKUP(Cleaned[[#This Row],[AccountName]], Account_Mapping!A:A, Account_Mapping!B:B,"Unmapped")</f>
        <v>COGS</v>
      </c>
      <c r="O1398" cm="1">
        <f t="array" ref="O1398">_xlfn.XLOOKUP(
  1,
  (FX_Rates[Currency]=Cleaned[[#This Row],[Currency]])*
  (FX_Rates[RateDate]&lt;=Cleaned[[#This Row],[TxnDate]]),
  FX_Rates[Rate_To_INR],
  ,
  -1
)</f>
        <v>82</v>
      </c>
      <c r="P1398" s="2">
        <f>Cleaned[[#This Row],[Net Amount]] *  Cleaned[[#This Row],[FX_rates]]</f>
        <v>-150642.19999999998</v>
      </c>
    </row>
    <row r="1399" spans="1:16" x14ac:dyDescent="0.45">
      <c r="A1399" t="s">
        <v>1407</v>
      </c>
      <c r="B1399" s="1">
        <v>45200</v>
      </c>
      <c r="C1399" s="2" t="s">
        <v>2010</v>
      </c>
      <c r="D1399" t="s">
        <v>2015</v>
      </c>
      <c r="E1399">
        <v>0</v>
      </c>
      <c r="F1399">
        <f>Cleaned[[#This Row],[Debit]] * Cleaned[[#This Row],[FX_rates]]</f>
        <v>0</v>
      </c>
      <c r="G1399">
        <v>3838.99</v>
      </c>
      <c r="H1399">
        <f>Cleaned[[#This Row],[Credit]] *  Cleaned[[#This Row],[FX_rates]]</f>
        <v>214983.44</v>
      </c>
      <c r="I1399" t="s">
        <v>2021</v>
      </c>
      <c r="J1399" t="s">
        <v>2027</v>
      </c>
      <c r="K1399" t="s">
        <v>3428</v>
      </c>
      <c r="L1399" t="s">
        <v>4033</v>
      </c>
      <c r="M1399">
        <f>Cleaned[[#This Row],[Credit]]-Cleaned[[#This Row],[Debit]]</f>
        <v>3838.99</v>
      </c>
      <c r="N1399" t="str">
        <f>_xlfn.XLOOKUP(Cleaned[[#This Row],[AccountName]], Account_Mapping!A:A, Account_Mapping!B:B,"Unmapped")</f>
        <v>Revenue</v>
      </c>
      <c r="O1399" cm="1">
        <f t="array" ref="O1399">_xlfn.XLOOKUP(
  1,
  (FX_Rates[Currency]=Cleaned[[#This Row],[Currency]])*
  (FX_Rates[RateDate]&lt;=Cleaned[[#This Row],[TxnDate]]),
  FX_Rates[Rate_To_INR],
  ,
  -1
)</f>
        <v>56</v>
      </c>
      <c r="P1399" s="2">
        <f>Cleaned[[#This Row],[Net Amount]] *  Cleaned[[#This Row],[FX_rates]]</f>
        <v>214983.44</v>
      </c>
    </row>
    <row r="1400" spans="1:16" x14ac:dyDescent="0.45">
      <c r="A1400" t="s">
        <v>1408</v>
      </c>
      <c r="B1400" s="1">
        <v>45352</v>
      </c>
      <c r="C1400" s="2" t="s">
        <v>2012</v>
      </c>
      <c r="D1400" t="s">
        <v>2017</v>
      </c>
      <c r="E1400">
        <v>1204.07</v>
      </c>
      <c r="F1400">
        <f>Cleaned[[#This Row],[Debit]] * Cleaned[[#This Row],[FX_rates]]</f>
        <v>105958.15999999999</v>
      </c>
      <c r="G1400">
        <v>0</v>
      </c>
      <c r="H1400">
        <f>Cleaned[[#This Row],[Credit]] *  Cleaned[[#This Row],[FX_rates]]</f>
        <v>0</v>
      </c>
      <c r="I1400" t="s">
        <v>2021</v>
      </c>
      <c r="J1400" t="s">
        <v>2029</v>
      </c>
      <c r="K1400" t="s">
        <v>3429</v>
      </c>
      <c r="L1400" t="s">
        <v>4032</v>
      </c>
      <c r="M1400">
        <f>Cleaned[[#This Row],[Credit]]-Cleaned[[#This Row],[Debit]]</f>
        <v>-1204.07</v>
      </c>
      <c r="N1400" t="str">
        <f>_xlfn.XLOOKUP(Cleaned[[#This Row],[AccountName]], Account_Mapping!A:A, Account_Mapping!B:B,"Unmapped")</f>
        <v>Operating Expense</v>
      </c>
      <c r="O1400" cm="1">
        <f t="array" ref="O1400">_xlfn.XLOOKUP(
  1,
  (FX_Rates[Currency]=Cleaned[[#This Row],[Currency]])*
  (FX_Rates[RateDate]&lt;=Cleaned[[#This Row],[TxnDate]]),
  FX_Rates[Rate_To_INR],
  ,
  -1
)</f>
        <v>88</v>
      </c>
      <c r="P1400" s="2">
        <f>Cleaned[[#This Row],[Net Amount]] *  Cleaned[[#This Row],[FX_rates]]</f>
        <v>-105958.15999999999</v>
      </c>
    </row>
    <row r="1401" spans="1:16" x14ac:dyDescent="0.45">
      <c r="A1401" t="s">
        <v>1409</v>
      </c>
      <c r="B1401" s="1">
        <v>45128</v>
      </c>
      <c r="C1401" s="2" t="s">
        <v>2013</v>
      </c>
      <c r="D1401" t="s">
        <v>2018</v>
      </c>
      <c r="E1401">
        <v>1122.26</v>
      </c>
      <c r="F1401">
        <f>Cleaned[[#This Row],[Debit]] * Cleaned[[#This Row],[FX_rates]]</f>
        <v>62846.559999999998</v>
      </c>
      <c r="G1401">
        <v>0</v>
      </c>
      <c r="H1401">
        <f>Cleaned[[#This Row],[Credit]] *  Cleaned[[#This Row],[FX_rates]]</f>
        <v>0</v>
      </c>
      <c r="I1401" t="s">
        <v>2022</v>
      </c>
      <c r="J1401" t="s">
        <v>2026</v>
      </c>
      <c r="K1401" t="s">
        <v>3430</v>
      </c>
      <c r="L1401" t="s">
        <v>4033</v>
      </c>
      <c r="M1401">
        <f>Cleaned[[#This Row],[Credit]]-Cleaned[[#This Row],[Debit]]</f>
        <v>-1122.26</v>
      </c>
      <c r="N1401" t="str">
        <f>_xlfn.XLOOKUP(Cleaned[[#This Row],[AccountName]], Account_Mapping!A:A, Account_Mapping!B:B,"Unmapped")</f>
        <v>Operating Expense</v>
      </c>
      <c r="O1401" cm="1">
        <f t="array" ref="O1401">_xlfn.XLOOKUP(
  1,
  (FX_Rates[Currency]=Cleaned[[#This Row],[Currency]])*
  (FX_Rates[RateDate]&lt;=Cleaned[[#This Row],[TxnDate]]),
  FX_Rates[Rate_To_INR],
  ,
  -1
)</f>
        <v>56</v>
      </c>
      <c r="P1401" s="2">
        <f>Cleaned[[#This Row],[Net Amount]] *  Cleaned[[#This Row],[FX_rates]]</f>
        <v>-62846.559999999998</v>
      </c>
    </row>
    <row r="1402" spans="1:16" x14ac:dyDescent="0.45">
      <c r="A1402" t="s">
        <v>1410</v>
      </c>
      <c r="B1402" s="1">
        <v>45257</v>
      </c>
      <c r="C1402" s="2" t="s">
        <v>2013</v>
      </c>
      <c r="D1402" t="s">
        <v>2018</v>
      </c>
      <c r="E1402">
        <v>633.59</v>
      </c>
      <c r="F1402">
        <f>Cleaned[[#This Row],[Debit]] * Cleaned[[#This Row],[FX_rates]]</f>
        <v>38648.990000000005</v>
      </c>
      <c r="G1402">
        <v>0</v>
      </c>
      <c r="H1402">
        <f>Cleaned[[#This Row],[Credit]] *  Cleaned[[#This Row],[FX_rates]]</f>
        <v>0</v>
      </c>
      <c r="I1402" t="s">
        <v>2023</v>
      </c>
      <c r="J1402" t="s">
        <v>2027</v>
      </c>
      <c r="K1402" t="s">
        <v>3431</v>
      </c>
      <c r="L1402" t="s">
        <v>4035</v>
      </c>
      <c r="M1402">
        <f>Cleaned[[#This Row],[Credit]]-Cleaned[[#This Row],[Debit]]</f>
        <v>-633.59</v>
      </c>
      <c r="N1402" t="str">
        <f>_xlfn.XLOOKUP(Cleaned[[#This Row],[AccountName]], Account_Mapping!A:A, Account_Mapping!B:B,"Unmapped")</f>
        <v>Operating Expense</v>
      </c>
      <c r="O1402" cm="1">
        <f t="array" ref="O1402">_xlfn.XLOOKUP(
  1,
  (FX_Rates[Currency]=Cleaned[[#This Row],[Currency]])*
  (FX_Rates[RateDate]&lt;=Cleaned[[#This Row],[TxnDate]]),
  FX_Rates[Rate_To_INR],
  ,
  -1
)</f>
        <v>61</v>
      </c>
      <c r="P1402" s="2">
        <f>Cleaned[[#This Row],[Net Amount]] *  Cleaned[[#This Row],[FX_rates]]</f>
        <v>-38648.990000000005</v>
      </c>
    </row>
    <row r="1403" spans="1:16" x14ac:dyDescent="0.45">
      <c r="A1403" t="s">
        <v>1411</v>
      </c>
      <c r="B1403" s="1">
        <v>44935</v>
      </c>
      <c r="C1403" s="2" t="s">
        <v>2014</v>
      </c>
      <c r="D1403" t="s">
        <v>2019</v>
      </c>
      <c r="E1403">
        <v>0</v>
      </c>
      <c r="F1403">
        <f>Cleaned[[#This Row],[Debit]] * Cleaned[[#This Row],[FX_rates]]</f>
        <v>0</v>
      </c>
      <c r="G1403">
        <v>4074.33</v>
      </c>
      <c r="H1403">
        <f>Cleaned[[#This Row],[Credit]] *  Cleaned[[#This Row],[FX_rates]]</f>
        <v>334095.06</v>
      </c>
      <c r="I1403" t="s">
        <v>2022</v>
      </c>
      <c r="J1403" t="s">
        <v>2030</v>
      </c>
      <c r="K1403" t="s">
        <v>3432</v>
      </c>
      <c r="L1403" t="s">
        <v>4034</v>
      </c>
      <c r="M1403">
        <f>Cleaned[[#This Row],[Credit]]-Cleaned[[#This Row],[Debit]]</f>
        <v>4074.33</v>
      </c>
      <c r="N1403" t="str">
        <f>_xlfn.XLOOKUP(Cleaned[[#This Row],[AccountName]], Account_Mapping!A:A, Account_Mapping!B:B,"Unmapped")</f>
        <v>Revenue</v>
      </c>
      <c r="O1403" cm="1">
        <f t="array" ref="O1403">_xlfn.XLOOKUP(
  1,
  (FX_Rates[Currency]=Cleaned[[#This Row],[Currency]])*
  (FX_Rates[RateDate]&lt;=Cleaned[[#This Row],[TxnDate]]),
  FX_Rates[Rate_To_INR],
  ,
  -1
)</f>
        <v>82</v>
      </c>
      <c r="P1403" s="2">
        <f>Cleaned[[#This Row],[Net Amount]] *  Cleaned[[#This Row],[FX_rates]]</f>
        <v>334095.06</v>
      </c>
    </row>
    <row r="1404" spans="1:16" x14ac:dyDescent="0.45">
      <c r="A1404" t="s">
        <v>1412</v>
      </c>
      <c r="B1404" s="1">
        <v>45540</v>
      </c>
      <c r="C1404" s="2" t="s">
        <v>2012</v>
      </c>
      <c r="D1404" t="s">
        <v>2017</v>
      </c>
      <c r="E1404">
        <v>340.22</v>
      </c>
      <c r="F1404">
        <f>Cleaned[[#This Row],[Debit]] * Cleaned[[#This Row],[FX_rates]]</f>
        <v>35042.660000000003</v>
      </c>
      <c r="G1404">
        <v>0</v>
      </c>
      <c r="H1404">
        <f>Cleaned[[#This Row],[Credit]] *  Cleaned[[#This Row],[FX_rates]]</f>
        <v>0</v>
      </c>
      <c r="I1404" t="s">
        <v>2025</v>
      </c>
      <c r="J1404" t="s">
        <v>2028</v>
      </c>
      <c r="K1404" t="s">
        <v>3433</v>
      </c>
      <c r="L1404" t="s">
        <v>4031</v>
      </c>
      <c r="M1404">
        <f>Cleaned[[#This Row],[Credit]]-Cleaned[[#This Row],[Debit]]</f>
        <v>-340.22</v>
      </c>
      <c r="N1404" t="str">
        <f>_xlfn.XLOOKUP(Cleaned[[#This Row],[AccountName]], Account_Mapping!A:A, Account_Mapping!B:B,"Unmapped")</f>
        <v>Operating Expense</v>
      </c>
      <c r="O1404" cm="1">
        <f t="array" ref="O1404">_xlfn.XLOOKUP(
  1,
  (FX_Rates[Currency]=Cleaned[[#This Row],[Currency]])*
  (FX_Rates[RateDate]&lt;=Cleaned[[#This Row],[TxnDate]]),
  FX_Rates[Rate_To_INR],
  ,
  -1
)</f>
        <v>103</v>
      </c>
      <c r="P1404" s="2">
        <f>Cleaned[[#This Row],[Net Amount]] *  Cleaned[[#This Row],[FX_rates]]</f>
        <v>-35042.660000000003</v>
      </c>
    </row>
    <row r="1405" spans="1:16" x14ac:dyDescent="0.45">
      <c r="A1405" t="s">
        <v>1413</v>
      </c>
      <c r="B1405" s="1">
        <v>45796</v>
      </c>
      <c r="C1405" s="2" t="s">
        <v>2012</v>
      </c>
      <c r="D1405" t="s">
        <v>2017</v>
      </c>
      <c r="E1405">
        <v>1891.61</v>
      </c>
      <c r="F1405">
        <f>Cleaned[[#This Row],[Debit]] * Cleaned[[#This Row],[FX_rates]]</f>
        <v>166461.68</v>
      </c>
      <c r="G1405">
        <v>0</v>
      </c>
      <c r="H1405">
        <f>Cleaned[[#This Row],[Credit]] *  Cleaned[[#This Row],[FX_rates]]</f>
        <v>0</v>
      </c>
      <c r="I1405" t="s">
        <v>2020</v>
      </c>
      <c r="J1405" t="s">
        <v>2026</v>
      </c>
      <c r="K1405" t="s">
        <v>3434</v>
      </c>
      <c r="L1405" t="s">
        <v>4032</v>
      </c>
      <c r="M1405">
        <f>Cleaned[[#This Row],[Credit]]-Cleaned[[#This Row],[Debit]]</f>
        <v>-1891.61</v>
      </c>
      <c r="N1405" t="str">
        <f>_xlfn.XLOOKUP(Cleaned[[#This Row],[AccountName]], Account_Mapping!A:A, Account_Mapping!B:B,"Unmapped")</f>
        <v>Operating Expense</v>
      </c>
      <c r="O1405" cm="1">
        <f t="array" ref="O1405">_xlfn.XLOOKUP(
  1,
  (FX_Rates[Currency]=Cleaned[[#This Row],[Currency]])*
  (FX_Rates[RateDate]&lt;=Cleaned[[#This Row],[TxnDate]]),
  FX_Rates[Rate_To_INR],
  ,
  -1
)</f>
        <v>88</v>
      </c>
      <c r="P1405" s="2">
        <f>Cleaned[[#This Row],[Net Amount]] *  Cleaned[[#This Row],[FX_rates]]</f>
        <v>-166461.68</v>
      </c>
    </row>
    <row r="1406" spans="1:16" x14ac:dyDescent="0.45">
      <c r="A1406" t="s">
        <v>1414</v>
      </c>
      <c r="B1406" s="1">
        <v>45694</v>
      </c>
      <c r="C1406" s="2" t="s">
        <v>2011</v>
      </c>
      <c r="D1406" t="s">
        <v>2016</v>
      </c>
      <c r="E1406">
        <v>1998.5</v>
      </c>
      <c r="F1406">
        <f>Cleaned[[#This Row],[Debit]] * Cleaned[[#This Row],[FX_rates]]</f>
        <v>175868</v>
      </c>
      <c r="G1406">
        <v>0</v>
      </c>
      <c r="H1406">
        <f>Cleaned[[#This Row],[Credit]] *  Cleaned[[#This Row],[FX_rates]]</f>
        <v>0</v>
      </c>
      <c r="I1406" t="s">
        <v>2023</v>
      </c>
      <c r="J1406" t="s">
        <v>2029</v>
      </c>
      <c r="K1406" t="s">
        <v>3435</v>
      </c>
      <c r="L1406" t="s">
        <v>4032</v>
      </c>
      <c r="M1406">
        <f>Cleaned[[#This Row],[Credit]]-Cleaned[[#This Row],[Debit]]</f>
        <v>-1998.5</v>
      </c>
      <c r="N1406" t="str">
        <f>_xlfn.XLOOKUP(Cleaned[[#This Row],[AccountName]], Account_Mapping!A:A, Account_Mapping!B:B,"Unmapped")</f>
        <v>COGS</v>
      </c>
      <c r="O1406" cm="1">
        <f t="array" ref="O1406">_xlfn.XLOOKUP(
  1,
  (FX_Rates[Currency]=Cleaned[[#This Row],[Currency]])*
  (FX_Rates[RateDate]&lt;=Cleaned[[#This Row],[TxnDate]]),
  FX_Rates[Rate_To_INR],
  ,
  -1
)</f>
        <v>88</v>
      </c>
      <c r="P1406" s="2">
        <f>Cleaned[[#This Row],[Net Amount]] *  Cleaned[[#This Row],[FX_rates]]</f>
        <v>-175868</v>
      </c>
    </row>
    <row r="1407" spans="1:16" x14ac:dyDescent="0.45">
      <c r="A1407" t="s">
        <v>1415</v>
      </c>
      <c r="B1407" s="1">
        <v>45816</v>
      </c>
      <c r="C1407" s="2" t="s">
        <v>2010</v>
      </c>
      <c r="D1407" t="s">
        <v>2015</v>
      </c>
      <c r="E1407">
        <v>0</v>
      </c>
      <c r="F1407">
        <f>Cleaned[[#This Row],[Debit]] * Cleaned[[#This Row],[FX_rates]]</f>
        <v>0</v>
      </c>
      <c r="G1407">
        <v>2567.37</v>
      </c>
      <c r="H1407">
        <f>Cleaned[[#This Row],[Credit]] *  Cleaned[[#This Row],[FX_rates]]</f>
        <v>225928.56</v>
      </c>
      <c r="I1407" t="s">
        <v>2023</v>
      </c>
      <c r="J1407" t="s">
        <v>2028</v>
      </c>
      <c r="K1407" t="s">
        <v>3436</v>
      </c>
      <c r="L1407" t="s">
        <v>4032</v>
      </c>
      <c r="M1407">
        <f>Cleaned[[#This Row],[Credit]]-Cleaned[[#This Row],[Debit]]</f>
        <v>2567.37</v>
      </c>
      <c r="N1407" t="str">
        <f>_xlfn.XLOOKUP(Cleaned[[#This Row],[AccountName]], Account_Mapping!A:A, Account_Mapping!B:B,"Unmapped")</f>
        <v>Revenue</v>
      </c>
      <c r="O1407" cm="1">
        <f t="array" ref="O1407">_xlfn.XLOOKUP(
  1,
  (FX_Rates[Currency]=Cleaned[[#This Row],[Currency]])*
  (FX_Rates[RateDate]&lt;=Cleaned[[#This Row],[TxnDate]]),
  FX_Rates[Rate_To_INR],
  ,
  -1
)</f>
        <v>88</v>
      </c>
      <c r="P1407" s="2">
        <f>Cleaned[[#This Row],[Net Amount]] *  Cleaned[[#This Row],[FX_rates]]</f>
        <v>225928.56</v>
      </c>
    </row>
    <row r="1408" spans="1:16" x14ac:dyDescent="0.45">
      <c r="A1408" t="s">
        <v>1416</v>
      </c>
      <c r="B1408" s="1">
        <v>45784</v>
      </c>
      <c r="C1408" s="2" t="s">
        <v>2011</v>
      </c>
      <c r="D1408" t="s">
        <v>2016</v>
      </c>
      <c r="E1408">
        <v>1097.98</v>
      </c>
      <c r="F1408">
        <f>Cleaned[[#This Row],[Debit]] * Cleaned[[#This Row],[FX_rates]]</f>
        <v>96622.24</v>
      </c>
      <c r="G1408">
        <v>0</v>
      </c>
      <c r="H1408">
        <f>Cleaned[[#This Row],[Credit]] *  Cleaned[[#This Row],[FX_rates]]</f>
        <v>0</v>
      </c>
      <c r="I1408" t="s">
        <v>2025</v>
      </c>
      <c r="J1408" t="s">
        <v>2030</v>
      </c>
      <c r="K1408" t="s">
        <v>3437</v>
      </c>
      <c r="L1408" t="s">
        <v>4032</v>
      </c>
      <c r="M1408">
        <f>Cleaned[[#This Row],[Credit]]-Cleaned[[#This Row],[Debit]]</f>
        <v>-1097.98</v>
      </c>
      <c r="N1408" t="str">
        <f>_xlfn.XLOOKUP(Cleaned[[#This Row],[AccountName]], Account_Mapping!A:A, Account_Mapping!B:B,"Unmapped")</f>
        <v>COGS</v>
      </c>
      <c r="O1408" cm="1">
        <f t="array" ref="O1408">_xlfn.XLOOKUP(
  1,
  (FX_Rates[Currency]=Cleaned[[#This Row],[Currency]])*
  (FX_Rates[RateDate]&lt;=Cleaned[[#This Row],[TxnDate]]),
  FX_Rates[Rate_To_INR],
  ,
  -1
)</f>
        <v>88</v>
      </c>
      <c r="P1408" s="2">
        <f>Cleaned[[#This Row],[Net Amount]] *  Cleaned[[#This Row],[FX_rates]]</f>
        <v>-96622.24</v>
      </c>
    </row>
    <row r="1409" spans="1:16" x14ac:dyDescent="0.45">
      <c r="A1409" t="s">
        <v>1417</v>
      </c>
      <c r="B1409" s="1">
        <v>45736</v>
      </c>
      <c r="C1409" s="2" t="s">
        <v>2012</v>
      </c>
      <c r="D1409" t="s">
        <v>2017</v>
      </c>
      <c r="E1409">
        <v>443.66</v>
      </c>
      <c r="F1409">
        <f>Cleaned[[#This Row],[Debit]] * Cleaned[[#This Row],[FX_rates]]</f>
        <v>45696.98</v>
      </c>
      <c r="G1409">
        <v>0</v>
      </c>
      <c r="H1409">
        <f>Cleaned[[#This Row],[Credit]] *  Cleaned[[#This Row],[FX_rates]]</f>
        <v>0</v>
      </c>
      <c r="I1409" t="s">
        <v>2023</v>
      </c>
      <c r="J1409" t="s">
        <v>2028</v>
      </c>
      <c r="K1409" t="s">
        <v>3438</v>
      </c>
      <c r="L1409" t="s">
        <v>4031</v>
      </c>
      <c r="M1409">
        <f>Cleaned[[#This Row],[Credit]]-Cleaned[[#This Row],[Debit]]</f>
        <v>-443.66</v>
      </c>
      <c r="N1409" t="str">
        <f>_xlfn.XLOOKUP(Cleaned[[#This Row],[AccountName]], Account_Mapping!A:A, Account_Mapping!B:B,"Unmapped")</f>
        <v>Operating Expense</v>
      </c>
      <c r="O1409" cm="1">
        <f t="array" ref="O1409">_xlfn.XLOOKUP(
  1,
  (FX_Rates[Currency]=Cleaned[[#This Row],[Currency]])*
  (FX_Rates[RateDate]&lt;=Cleaned[[#This Row],[TxnDate]]),
  FX_Rates[Rate_To_INR],
  ,
  -1
)</f>
        <v>103</v>
      </c>
      <c r="P1409" s="2">
        <f>Cleaned[[#This Row],[Net Amount]] *  Cleaned[[#This Row],[FX_rates]]</f>
        <v>-45696.98</v>
      </c>
    </row>
    <row r="1410" spans="1:16" x14ac:dyDescent="0.45">
      <c r="A1410" t="s">
        <v>1418</v>
      </c>
      <c r="B1410" s="1">
        <v>45021</v>
      </c>
      <c r="C1410" s="2" t="s">
        <v>2011</v>
      </c>
      <c r="D1410" t="s">
        <v>2016</v>
      </c>
      <c r="E1410">
        <v>225.89</v>
      </c>
      <c r="F1410">
        <f>Cleaned[[#This Row],[Debit]] * Cleaned[[#This Row],[FX_rates]]</f>
        <v>12649.84</v>
      </c>
      <c r="G1410">
        <v>0</v>
      </c>
      <c r="H1410">
        <f>Cleaned[[#This Row],[Credit]] *  Cleaned[[#This Row],[FX_rates]]</f>
        <v>0</v>
      </c>
      <c r="I1410" t="s">
        <v>2021</v>
      </c>
      <c r="J1410" t="s">
        <v>2028</v>
      </c>
      <c r="K1410" t="s">
        <v>3439</v>
      </c>
      <c r="L1410" t="s">
        <v>4033</v>
      </c>
      <c r="M1410">
        <f>Cleaned[[#This Row],[Credit]]-Cleaned[[#This Row],[Debit]]</f>
        <v>-225.89</v>
      </c>
      <c r="N1410" t="str">
        <f>_xlfn.XLOOKUP(Cleaned[[#This Row],[AccountName]], Account_Mapping!A:A, Account_Mapping!B:B,"Unmapped")</f>
        <v>COGS</v>
      </c>
      <c r="O1410" cm="1">
        <f t="array" ref="O1410">_xlfn.XLOOKUP(
  1,
  (FX_Rates[Currency]=Cleaned[[#This Row],[Currency]])*
  (FX_Rates[RateDate]&lt;=Cleaned[[#This Row],[TxnDate]]),
  FX_Rates[Rate_To_INR],
  ,
  -1
)</f>
        <v>56</v>
      </c>
      <c r="P1410" s="2">
        <f>Cleaned[[#This Row],[Net Amount]] *  Cleaned[[#This Row],[FX_rates]]</f>
        <v>-12649.84</v>
      </c>
    </row>
    <row r="1411" spans="1:16" x14ac:dyDescent="0.45">
      <c r="A1411" t="s">
        <v>1419</v>
      </c>
      <c r="B1411" s="1">
        <v>45199</v>
      </c>
      <c r="C1411" s="2" t="s">
        <v>2011</v>
      </c>
      <c r="D1411" t="s">
        <v>2016</v>
      </c>
      <c r="E1411">
        <v>90.95</v>
      </c>
      <c r="F1411">
        <f>Cleaned[[#This Row],[Debit]] * Cleaned[[#This Row],[FX_rates]]</f>
        <v>7457.9000000000005</v>
      </c>
      <c r="G1411">
        <v>0</v>
      </c>
      <c r="H1411">
        <f>Cleaned[[#This Row],[Credit]] *  Cleaned[[#This Row],[FX_rates]]</f>
        <v>0</v>
      </c>
      <c r="I1411" t="s">
        <v>2023</v>
      </c>
      <c r="J1411" t="s">
        <v>2029</v>
      </c>
      <c r="K1411" t="s">
        <v>3440</v>
      </c>
      <c r="L1411" t="s">
        <v>4034</v>
      </c>
      <c r="M1411">
        <f>Cleaned[[#This Row],[Credit]]-Cleaned[[#This Row],[Debit]]</f>
        <v>-90.95</v>
      </c>
      <c r="N1411" t="str">
        <f>_xlfn.XLOOKUP(Cleaned[[#This Row],[AccountName]], Account_Mapping!A:A, Account_Mapping!B:B,"Unmapped")</f>
        <v>COGS</v>
      </c>
      <c r="O1411" cm="1">
        <f t="array" ref="O1411">_xlfn.XLOOKUP(
  1,
  (FX_Rates[Currency]=Cleaned[[#This Row],[Currency]])*
  (FX_Rates[RateDate]&lt;=Cleaned[[#This Row],[TxnDate]]),
  FX_Rates[Rate_To_INR],
  ,
  -1
)</f>
        <v>82</v>
      </c>
      <c r="P1411" s="2">
        <f>Cleaned[[#This Row],[Net Amount]] *  Cleaned[[#This Row],[FX_rates]]</f>
        <v>-7457.9000000000005</v>
      </c>
    </row>
    <row r="1412" spans="1:16" x14ac:dyDescent="0.45">
      <c r="A1412" t="s">
        <v>1420</v>
      </c>
      <c r="B1412" s="1">
        <v>45793</v>
      </c>
      <c r="C1412" s="2" t="s">
        <v>2014</v>
      </c>
      <c r="D1412" t="s">
        <v>2019</v>
      </c>
      <c r="E1412">
        <v>0</v>
      </c>
      <c r="F1412">
        <f>Cleaned[[#This Row],[Debit]] * Cleaned[[#This Row],[FX_rates]]</f>
        <v>0</v>
      </c>
      <c r="G1412">
        <v>4806.1400000000003</v>
      </c>
      <c r="H1412">
        <f>Cleaned[[#This Row],[Credit]] *  Cleaned[[#This Row],[FX_rates]]</f>
        <v>422940.32</v>
      </c>
      <c r="I1412" t="s">
        <v>2023</v>
      </c>
      <c r="J1412" t="s">
        <v>2030</v>
      </c>
      <c r="K1412" t="s">
        <v>3441</v>
      </c>
      <c r="L1412" t="s">
        <v>4032</v>
      </c>
      <c r="M1412">
        <f>Cleaned[[#This Row],[Credit]]-Cleaned[[#This Row],[Debit]]</f>
        <v>4806.1400000000003</v>
      </c>
      <c r="N1412" t="str">
        <f>_xlfn.XLOOKUP(Cleaned[[#This Row],[AccountName]], Account_Mapping!A:A, Account_Mapping!B:B,"Unmapped")</f>
        <v>Revenue</v>
      </c>
      <c r="O1412" cm="1">
        <f t="array" ref="O1412">_xlfn.XLOOKUP(
  1,
  (FX_Rates[Currency]=Cleaned[[#This Row],[Currency]])*
  (FX_Rates[RateDate]&lt;=Cleaned[[#This Row],[TxnDate]]),
  FX_Rates[Rate_To_INR],
  ,
  -1
)</f>
        <v>88</v>
      </c>
      <c r="P1412" s="2">
        <f>Cleaned[[#This Row],[Net Amount]] *  Cleaned[[#This Row],[FX_rates]]</f>
        <v>422940.32</v>
      </c>
    </row>
    <row r="1413" spans="1:16" x14ac:dyDescent="0.45">
      <c r="A1413" t="s">
        <v>1421</v>
      </c>
      <c r="B1413" s="1">
        <v>45582</v>
      </c>
      <c r="C1413" s="2" t="s">
        <v>2014</v>
      </c>
      <c r="D1413" t="s">
        <v>2019</v>
      </c>
      <c r="E1413">
        <v>0</v>
      </c>
      <c r="F1413">
        <f>Cleaned[[#This Row],[Debit]] * Cleaned[[#This Row],[FX_rates]]</f>
        <v>0</v>
      </c>
      <c r="G1413">
        <v>2397.21</v>
      </c>
      <c r="H1413">
        <f>Cleaned[[#This Row],[Credit]] *  Cleaned[[#This Row],[FX_rates]]</f>
        <v>246912.63</v>
      </c>
      <c r="I1413" t="s">
        <v>2025</v>
      </c>
      <c r="J1413" t="s">
        <v>2029</v>
      </c>
      <c r="K1413" t="s">
        <v>3442</v>
      </c>
      <c r="L1413" t="s">
        <v>4031</v>
      </c>
      <c r="M1413">
        <f>Cleaned[[#This Row],[Credit]]-Cleaned[[#This Row],[Debit]]</f>
        <v>2397.21</v>
      </c>
      <c r="N1413" t="str">
        <f>_xlfn.XLOOKUP(Cleaned[[#This Row],[AccountName]], Account_Mapping!A:A, Account_Mapping!B:B,"Unmapped")</f>
        <v>Revenue</v>
      </c>
      <c r="O1413" cm="1">
        <f t="array" ref="O1413">_xlfn.XLOOKUP(
  1,
  (FX_Rates[Currency]=Cleaned[[#This Row],[Currency]])*
  (FX_Rates[RateDate]&lt;=Cleaned[[#This Row],[TxnDate]]),
  FX_Rates[Rate_To_INR],
  ,
  -1
)</f>
        <v>103</v>
      </c>
      <c r="P1413" s="2">
        <f>Cleaned[[#This Row],[Net Amount]] *  Cleaned[[#This Row],[FX_rates]]</f>
        <v>246912.63</v>
      </c>
    </row>
    <row r="1414" spans="1:16" x14ac:dyDescent="0.45">
      <c r="A1414" t="s">
        <v>1422</v>
      </c>
      <c r="B1414" s="1">
        <v>45022</v>
      </c>
      <c r="C1414" s="2" t="s">
        <v>2014</v>
      </c>
      <c r="D1414" t="s">
        <v>2019</v>
      </c>
      <c r="E1414">
        <v>0</v>
      </c>
      <c r="F1414">
        <f>Cleaned[[#This Row],[Debit]] * Cleaned[[#This Row],[FX_rates]]</f>
        <v>0</v>
      </c>
      <c r="G1414">
        <v>1164.68</v>
      </c>
      <c r="H1414">
        <f>Cleaned[[#This Row],[Credit]] *  Cleaned[[#This Row],[FX_rates]]</f>
        <v>95503.760000000009</v>
      </c>
      <c r="I1414" t="s">
        <v>2020</v>
      </c>
      <c r="J1414" t="s">
        <v>2029</v>
      </c>
      <c r="K1414" t="s">
        <v>3443</v>
      </c>
      <c r="L1414" t="s">
        <v>4034</v>
      </c>
      <c r="M1414">
        <f>Cleaned[[#This Row],[Credit]]-Cleaned[[#This Row],[Debit]]</f>
        <v>1164.68</v>
      </c>
      <c r="N1414" t="str">
        <f>_xlfn.XLOOKUP(Cleaned[[#This Row],[AccountName]], Account_Mapping!A:A, Account_Mapping!B:B,"Unmapped")</f>
        <v>Revenue</v>
      </c>
      <c r="O1414" cm="1">
        <f t="array" ref="O1414">_xlfn.XLOOKUP(
  1,
  (FX_Rates[Currency]=Cleaned[[#This Row],[Currency]])*
  (FX_Rates[RateDate]&lt;=Cleaned[[#This Row],[TxnDate]]),
  FX_Rates[Rate_To_INR],
  ,
  -1
)</f>
        <v>82</v>
      </c>
      <c r="P1414" s="2">
        <f>Cleaned[[#This Row],[Net Amount]] *  Cleaned[[#This Row],[FX_rates]]</f>
        <v>95503.760000000009</v>
      </c>
    </row>
    <row r="1415" spans="1:16" x14ac:dyDescent="0.45">
      <c r="A1415" t="s">
        <v>1423</v>
      </c>
      <c r="B1415" s="1">
        <v>45432</v>
      </c>
      <c r="C1415" s="2" t="s">
        <v>2010</v>
      </c>
      <c r="D1415" t="s">
        <v>2015</v>
      </c>
      <c r="E1415">
        <v>0</v>
      </c>
      <c r="F1415">
        <f>Cleaned[[#This Row],[Debit]] * Cleaned[[#This Row],[FX_rates]]</f>
        <v>0</v>
      </c>
      <c r="G1415">
        <v>4994.2</v>
      </c>
      <c r="H1415">
        <f>Cleaned[[#This Row],[Credit]] *  Cleaned[[#This Row],[FX_rates]]</f>
        <v>304646.2</v>
      </c>
      <c r="I1415" t="s">
        <v>2023</v>
      </c>
      <c r="J1415" t="s">
        <v>2029</v>
      </c>
      <c r="K1415" t="s">
        <v>3444</v>
      </c>
      <c r="L1415" t="s">
        <v>4035</v>
      </c>
      <c r="M1415">
        <f>Cleaned[[#This Row],[Credit]]-Cleaned[[#This Row],[Debit]]</f>
        <v>4994.2</v>
      </c>
      <c r="N1415" t="str">
        <f>_xlfn.XLOOKUP(Cleaned[[#This Row],[AccountName]], Account_Mapping!A:A, Account_Mapping!B:B,"Unmapped")</f>
        <v>Revenue</v>
      </c>
      <c r="O1415" cm="1">
        <f t="array" ref="O1415">_xlfn.XLOOKUP(
  1,
  (FX_Rates[Currency]=Cleaned[[#This Row],[Currency]])*
  (FX_Rates[RateDate]&lt;=Cleaned[[#This Row],[TxnDate]]),
  FX_Rates[Rate_To_INR],
  ,
  -1
)</f>
        <v>61</v>
      </c>
      <c r="P1415" s="2">
        <f>Cleaned[[#This Row],[Net Amount]] *  Cleaned[[#This Row],[FX_rates]]</f>
        <v>304646.2</v>
      </c>
    </row>
    <row r="1416" spans="1:16" x14ac:dyDescent="0.45">
      <c r="A1416" t="s">
        <v>1424</v>
      </c>
      <c r="B1416" s="1">
        <v>45312</v>
      </c>
      <c r="C1416" s="2" t="s">
        <v>2014</v>
      </c>
      <c r="D1416" t="s">
        <v>2019</v>
      </c>
      <c r="E1416">
        <v>0</v>
      </c>
      <c r="F1416">
        <f>Cleaned[[#This Row],[Debit]] * Cleaned[[#This Row],[FX_rates]]</f>
        <v>0</v>
      </c>
      <c r="G1416">
        <v>127.25</v>
      </c>
      <c r="H1416">
        <f>Cleaned[[#This Row],[Credit]] *  Cleaned[[#This Row],[FX_rates]]</f>
        <v>7762.25</v>
      </c>
      <c r="I1416" t="s">
        <v>2024</v>
      </c>
      <c r="J1416" t="s">
        <v>2027</v>
      </c>
      <c r="K1416" t="s">
        <v>3445</v>
      </c>
      <c r="L1416" t="s">
        <v>4035</v>
      </c>
      <c r="M1416">
        <f>Cleaned[[#This Row],[Credit]]-Cleaned[[#This Row],[Debit]]</f>
        <v>127.25</v>
      </c>
      <c r="N1416" t="str">
        <f>_xlfn.XLOOKUP(Cleaned[[#This Row],[AccountName]], Account_Mapping!A:A, Account_Mapping!B:B,"Unmapped")</f>
        <v>Revenue</v>
      </c>
      <c r="O1416" cm="1">
        <f t="array" ref="O1416">_xlfn.XLOOKUP(
  1,
  (FX_Rates[Currency]=Cleaned[[#This Row],[Currency]])*
  (FX_Rates[RateDate]&lt;=Cleaned[[#This Row],[TxnDate]]),
  FX_Rates[Rate_To_INR],
  ,
  -1
)</f>
        <v>61</v>
      </c>
      <c r="P1416" s="2">
        <f>Cleaned[[#This Row],[Net Amount]] *  Cleaned[[#This Row],[FX_rates]]</f>
        <v>7762.25</v>
      </c>
    </row>
    <row r="1417" spans="1:16" x14ac:dyDescent="0.45">
      <c r="A1417" t="s">
        <v>1425</v>
      </c>
      <c r="B1417" s="1">
        <v>45812</v>
      </c>
      <c r="C1417" s="2" t="s">
        <v>2013</v>
      </c>
      <c r="D1417" t="s">
        <v>2018</v>
      </c>
      <c r="E1417">
        <v>1383.8</v>
      </c>
      <c r="F1417">
        <f>Cleaned[[#This Row],[Debit]] * Cleaned[[#This Row],[FX_rates]]</f>
        <v>84411.8</v>
      </c>
      <c r="G1417">
        <v>0</v>
      </c>
      <c r="H1417">
        <f>Cleaned[[#This Row],[Credit]] *  Cleaned[[#This Row],[FX_rates]]</f>
        <v>0</v>
      </c>
      <c r="I1417" t="s">
        <v>2025</v>
      </c>
      <c r="J1417" t="s">
        <v>2029</v>
      </c>
      <c r="K1417" t="s">
        <v>3446</v>
      </c>
      <c r="L1417" t="s">
        <v>4035</v>
      </c>
      <c r="M1417">
        <f>Cleaned[[#This Row],[Credit]]-Cleaned[[#This Row],[Debit]]</f>
        <v>-1383.8</v>
      </c>
      <c r="N1417" t="str">
        <f>_xlfn.XLOOKUP(Cleaned[[#This Row],[AccountName]], Account_Mapping!A:A, Account_Mapping!B:B,"Unmapped")</f>
        <v>Operating Expense</v>
      </c>
      <c r="O1417" cm="1">
        <f t="array" ref="O1417">_xlfn.XLOOKUP(
  1,
  (FX_Rates[Currency]=Cleaned[[#This Row],[Currency]])*
  (FX_Rates[RateDate]&lt;=Cleaned[[#This Row],[TxnDate]]),
  FX_Rates[Rate_To_INR],
  ,
  -1
)</f>
        <v>61</v>
      </c>
      <c r="P1417" s="2">
        <f>Cleaned[[#This Row],[Net Amount]] *  Cleaned[[#This Row],[FX_rates]]</f>
        <v>-84411.8</v>
      </c>
    </row>
    <row r="1418" spans="1:16" x14ac:dyDescent="0.45">
      <c r="A1418" t="s">
        <v>1426</v>
      </c>
      <c r="B1418" s="1">
        <v>45535</v>
      </c>
      <c r="C1418" s="2" t="s">
        <v>2014</v>
      </c>
      <c r="D1418" t="s">
        <v>2019</v>
      </c>
      <c r="E1418">
        <v>0</v>
      </c>
      <c r="F1418">
        <f>Cleaned[[#This Row],[Debit]] * Cleaned[[#This Row],[FX_rates]]</f>
        <v>0</v>
      </c>
      <c r="G1418">
        <v>4604.16</v>
      </c>
      <c r="H1418">
        <f>Cleaned[[#This Row],[Credit]] *  Cleaned[[#This Row],[FX_rates]]</f>
        <v>474228.47999999998</v>
      </c>
      <c r="I1418" t="s">
        <v>2024</v>
      </c>
      <c r="J1418" t="s">
        <v>2029</v>
      </c>
      <c r="K1418" t="s">
        <v>3447</v>
      </c>
      <c r="L1418" t="s">
        <v>4031</v>
      </c>
      <c r="M1418">
        <f>Cleaned[[#This Row],[Credit]]-Cleaned[[#This Row],[Debit]]</f>
        <v>4604.16</v>
      </c>
      <c r="N1418" t="str">
        <f>_xlfn.XLOOKUP(Cleaned[[#This Row],[AccountName]], Account_Mapping!A:A, Account_Mapping!B:B,"Unmapped")</f>
        <v>Revenue</v>
      </c>
      <c r="O1418" cm="1">
        <f t="array" ref="O1418">_xlfn.XLOOKUP(
  1,
  (FX_Rates[Currency]=Cleaned[[#This Row],[Currency]])*
  (FX_Rates[RateDate]&lt;=Cleaned[[#This Row],[TxnDate]]),
  FX_Rates[Rate_To_INR],
  ,
  -1
)</f>
        <v>103</v>
      </c>
      <c r="P1418" s="2">
        <f>Cleaned[[#This Row],[Net Amount]] *  Cleaned[[#This Row],[FX_rates]]</f>
        <v>474228.47999999998</v>
      </c>
    </row>
    <row r="1419" spans="1:16" x14ac:dyDescent="0.45">
      <c r="A1419" t="s">
        <v>1427</v>
      </c>
      <c r="B1419" s="1">
        <v>45522</v>
      </c>
      <c r="C1419" s="2" t="s">
        <v>2010</v>
      </c>
      <c r="D1419" t="s">
        <v>2015</v>
      </c>
      <c r="E1419">
        <v>0</v>
      </c>
      <c r="F1419">
        <f>Cleaned[[#This Row],[Debit]] * Cleaned[[#This Row],[FX_rates]]</f>
        <v>0</v>
      </c>
      <c r="G1419">
        <v>4835.3</v>
      </c>
      <c r="H1419">
        <f>Cleaned[[#This Row],[Credit]] *  Cleaned[[#This Row],[FX_rates]]</f>
        <v>498035.9</v>
      </c>
      <c r="I1419" t="s">
        <v>2022</v>
      </c>
      <c r="J1419" t="s">
        <v>2030</v>
      </c>
      <c r="K1419" t="s">
        <v>3448</v>
      </c>
      <c r="L1419" t="s">
        <v>4031</v>
      </c>
      <c r="M1419">
        <f>Cleaned[[#This Row],[Credit]]-Cleaned[[#This Row],[Debit]]</f>
        <v>4835.3</v>
      </c>
      <c r="N1419" t="str">
        <f>_xlfn.XLOOKUP(Cleaned[[#This Row],[AccountName]], Account_Mapping!A:A, Account_Mapping!B:B,"Unmapped")</f>
        <v>Revenue</v>
      </c>
      <c r="O1419" cm="1">
        <f t="array" ref="O1419">_xlfn.XLOOKUP(
  1,
  (FX_Rates[Currency]=Cleaned[[#This Row],[Currency]])*
  (FX_Rates[RateDate]&lt;=Cleaned[[#This Row],[TxnDate]]),
  FX_Rates[Rate_To_INR],
  ,
  -1
)</f>
        <v>103</v>
      </c>
      <c r="P1419" s="2">
        <f>Cleaned[[#This Row],[Net Amount]] *  Cleaned[[#This Row],[FX_rates]]</f>
        <v>498035.9</v>
      </c>
    </row>
    <row r="1420" spans="1:16" x14ac:dyDescent="0.45">
      <c r="A1420" t="s">
        <v>1428</v>
      </c>
      <c r="B1420" s="1">
        <v>45750</v>
      </c>
      <c r="C1420" s="2" t="s">
        <v>2014</v>
      </c>
      <c r="D1420" t="s">
        <v>2019</v>
      </c>
      <c r="E1420">
        <v>0</v>
      </c>
      <c r="F1420">
        <f>Cleaned[[#This Row],[Debit]] * Cleaned[[#This Row],[FX_rates]]</f>
        <v>0</v>
      </c>
      <c r="G1420">
        <v>1057.72</v>
      </c>
      <c r="H1420">
        <f>Cleaned[[#This Row],[Credit]] *  Cleaned[[#This Row],[FX_rates]]</f>
        <v>64520.92</v>
      </c>
      <c r="I1420" t="s">
        <v>2024</v>
      </c>
      <c r="J1420" t="s">
        <v>2026</v>
      </c>
      <c r="K1420" t="s">
        <v>3449</v>
      </c>
      <c r="L1420" t="s">
        <v>4035</v>
      </c>
      <c r="M1420">
        <f>Cleaned[[#This Row],[Credit]]-Cleaned[[#This Row],[Debit]]</f>
        <v>1057.72</v>
      </c>
      <c r="N1420" t="str">
        <f>_xlfn.XLOOKUP(Cleaned[[#This Row],[AccountName]], Account_Mapping!A:A, Account_Mapping!B:B,"Unmapped")</f>
        <v>Revenue</v>
      </c>
      <c r="O1420" cm="1">
        <f t="array" ref="O1420">_xlfn.XLOOKUP(
  1,
  (FX_Rates[Currency]=Cleaned[[#This Row],[Currency]])*
  (FX_Rates[RateDate]&lt;=Cleaned[[#This Row],[TxnDate]]),
  FX_Rates[Rate_To_INR],
  ,
  -1
)</f>
        <v>61</v>
      </c>
      <c r="P1420" s="2">
        <f>Cleaned[[#This Row],[Net Amount]] *  Cleaned[[#This Row],[FX_rates]]</f>
        <v>64520.92</v>
      </c>
    </row>
    <row r="1421" spans="1:16" x14ac:dyDescent="0.45">
      <c r="A1421" t="s">
        <v>1429</v>
      </c>
      <c r="B1421" s="1">
        <v>45175</v>
      </c>
      <c r="C1421" s="2" t="s">
        <v>2013</v>
      </c>
      <c r="D1421" t="s">
        <v>2018</v>
      </c>
      <c r="E1421">
        <v>1394.77</v>
      </c>
      <c r="F1421">
        <f>Cleaned[[#This Row],[Debit]] * Cleaned[[#This Row],[FX_rates]]</f>
        <v>85080.97</v>
      </c>
      <c r="G1421">
        <v>0</v>
      </c>
      <c r="H1421">
        <f>Cleaned[[#This Row],[Credit]] *  Cleaned[[#This Row],[FX_rates]]</f>
        <v>0</v>
      </c>
      <c r="I1421" t="s">
        <v>2020</v>
      </c>
      <c r="J1421" t="s">
        <v>2030</v>
      </c>
      <c r="K1421" t="s">
        <v>3450</v>
      </c>
      <c r="L1421" t="s">
        <v>4035</v>
      </c>
      <c r="M1421">
        <f>Cleaned[[#This Row],[Credit]]-Cleaned[[#This Row],[Debit]]</f>
        <v>-1394.77</v>
      </c>
      <c r="N1421" t="str">
        <f>_xlfn.XLOOKUP(Cleaned[[#This Row],[AccountName]], Account_Mapping!A:A, Account_Mapping!B:B,"Unmapped")</f>
        <v>Operating Expense</v>
      </c>
      <c r="O1421" cm="1">
        <f t="array" ref="O1421">_xlfn.XLOOKUP(
  1,
  (FX_Rates[Currency]=Cleaned[[#This Row],[Currency]])*
  (FX_Rates[RateDate]&lt;=Cleaned[[#This Row],[TxnDate]]),
  FX_Rates[Rate_To_INR],
  ,
  -1
)</f>
        <v>61</v>
      </c>
      <c r="P1421" s="2">
        <f>Cleaned[[#This Row],[Net Amount]] *  Cleaned[[#This Row],[FX_rates]]</f>
        <v>-85080.97</v>
      </c>
    </row>
    <row r="1422" spans="1:16" x14ac:dyDescent="0.45">
      <c r="A1422" t="s">
        <v>1430</v>
      </c>
      <c r="B1422" s="1">
        <v>45244</v>
      </c>
      <c r="C1422" s="2" t="s">
        <v>2011</v>
      </c>
      <c r="D1422" t="s">
        <v>2016</v>
      </c>
      <c r="E1422">
        <v>803.08</v>
      </c>
      <c r="F1422">
        <f>Cleaned[[#This Row],[Debit]] * Cleaned[[#This Row],[FX_rates]]</f>
        <v>44972.480000000003</v>
      </c>
      <c r="G1422">
        <v>0</v>
      </c>
      <c r="H1422">
        <f>Cleaned[[#This Row],[Credit]] *  Cleaned[[#This Row],[FX_rates]]</f>
        <v>0</v>
      </c>
      <c r="I1422" t="s">
        <v>2024</v>
      </c>
      <c r="J1422" t="s">
        <v>2028</v>
      </c>
      <c r="K1422" t="s">
        <v>3451</v>
      </c>
      <c r="L1422" t="s">
        <v>4033</v>
      </c>
      <c r="M1422">
        <f>Cleaned[[#This Row],[Credit]]-Cleaned[[#This Row],[Debit]]</f>
        <v>-803.08</v>
      </c>
      <c r="N1422" t="str">
        <f>_xlfn.XLOOKUP(Cleaned[[#This Row],[AccountName]], Account_Mapping!A:A, Account_Mapping!B:B,"Unmapped")</f>
        <v>COGS</v>
      </c>
      <c r="O1422" cm="1">
        <f t="array" ref="O1422">_xlfn.XLOOKUP(
  1,
  (FX_Rates[Currency]=Cleaned[[#This Row],[Currency]])*
  (FX_Rates[RateDate]&lt;=Cleaned[[#This Row],[TxnDate]]),
  FX_Rates[Rate_To_INR],
  ,
  -1
)</f>
        <v>56</v>
      </c>
      <c r="P1422" s="2">
        <f>Cleaned[[#This Row],[Net Amount]] *  Cleaned[[#This Row],[FX_rates]]</f>
        <v>-44972.480000000003</v>
      </c>
    </row>
    <row r="1423" spans="1:16" x14ac:dyDescent="0.45">
      <c r="A1423" t="s">
        <v>1431</v>
      </c>
      <c r="B1423" s="1">
        <v>45169</v>
      </c>
      <c r="C1423" s="2" t="s">
        <v>2012</v>
      </c>
      <c r="D1423" t="s">
        <v>2017</v>
      </c>
      <c r="E1423">
        <v>500.5</v>
      </c>
      <c r="F1423">
        <f>Cleaned[[#This Row],[Debit]] * Cleaned[[#This Row],[FX_rates]]</f>
        <v>30530.5</v>
      </c>
      <c r="G1423">
        <v>0</v>
      </c>
      <c r="H1423">
        <f>Cleaned[[#This Row],[Credit]] *  Cleaned[[#This Row],[FX_rates]]</f>
        <v>0</v>
      </c>
      <c r="I1423" t="s">
        <v>2020</v>
      </c>
      <c r="J1423" t="s">
        <v>2026</v>
      </c>
      <c r="K1423" t="s">
        <v>3452</v>
      </c>
      <c r="L1423" t="s">
        <v>4035</v>
      </c>
      <c r="M1423">
        <f>Cleaned[[#This Row],[Credit]]-Cleaned[[#This Row],[Debit]]</f>
        <v>-500.5</v>
      </c>
      <c r="N1423" t="str">
        <f>_xlfn.XLOOKUP(Cleaned[[#This Row],[AccountName]], Account_Mapping!A:A, Account_Mapping!B:B,"Unmapped")</f>
        <v>Operating Expense</v>
      </c>
      <c r="O1423" cm="1">
        <f t="array" ref="O1423">_xlfn.XLOOKUP(
  1,
  (FX_Rates[Currency]=Cleaned[[#This Row],[Currency]])*
  (FX_Rates[RateDate]&lt;=Cleaned[[#This Row],[TxnDate]]),
  FX_Rates[Rate_To_INR],
  ,
  -1
)</f>
        <v>61</v>
      </c>
      <c r="P1423" s="2">
        <f>Cleaned[[#This Row],[Net Amount]] *  Cleaned[[#This Row],[FX_rates]]</f>
        <v>-30530.5</v>
      </c>
    </row>
    <row r="1424" spans="1:16" x14ac:dyDescent="0.45">
      <c r="A1424" t="s">
        <v>1432</v>
      </c>
      <c r="B1424" s="1">
        <v>44962</v>
      </c>
      <c r="C1424" s="2" t="s">
        <v>2013</v>
      </c>
      <c r="D1424" t="s">
        <v>2018</v>
      </c>
      <c r="E1424">
        <v>413.05</v>
      </c>
      <c r="F1424">
        <f>Cleaned[[#This Row],[Debit]] * Cleaned[[#This Row],[FX_rates]]</f>
        <v>42544.15</v>
      </c>
      <c r="G1424">
        <v>0</v>
      </c>
      <c r="H1424">
        <f>Cleaned[[#This Row],[Credit]] *  Cleaned[[#This Row],[FX_rates]]</f>
        <v>0</v>
      </c>
      <c r="I1424" t="s">
        <v>2025</v>
      </c>
      <c r="J1424" t="s">
        <v>2028</v>
      </c>
      <c r="K1424" t="s">
        <v>3453</v>
      </c>
      <c r="L1424" t="s">
        <v>4031</v>
      </c>
      <c r="M1424">
        <f>Cleaned[[#This Row],[Credit]]-Cleaned[[#This Row],[Debit]]</f>
        <v>-413.05</v>
      </c>
      <c r="N1424" t="str">
        <f>_xlfn.XLOOKUP(Cleaned[[#This Row],[AccountName]], Account_Mapping!A:A, Account_Mapping!B:B,"Unmapped")</f>
        <v>Operating Expense</v>
      </c>
      <c r="O1424" cm="1">
        <f t="array" ref="O1424">_xlfn.XLOOKUP(
  1,
  (FX_Rates[Currency]=Cleaned[[#This Row],[Currency]])*
  (FX_Rates[RateDate]&lt;=Cleaned[[#This Row],[TxnDate]]),
  FX_Rates[Rate_To_INR],
  ,
  -1
)</f>
        <v>103</v>
      </c>
      <c r="P1424" s="2">
        <f>Cleaned[[#This Row],[Net Amount]] *  Cleaned[[#This Row],[FX_rates]]</f>
        <v>-42544.15</v>
      </c>
    </row>
    <row r="1425" spans="1:16" x14ac:dyDescent="0.45">
      <c r="A1425" t="s">
        <v>1433</v>
      </c>
      <c r="B1425" s="1">
        <v>45217</v>
      </c>
      <c r="C1425" s="2" t="s">
        <v>2011</v>
      </c>
      <c r="D1425" t="s">
        <v>2016</v>
      </c>
      <c r="E1425">
        <v>1483.66</v>
      </c>
      <c r="F1425">
        <f>Cleaned[[#This Row],[Debit]] * Cleaned[[#This Row],[FX_rates]]</f>
        <v>130562.08</v>
      </c>
      <c r="G1425">
        <v>0</v>
      </c>
      <c r="H1425">
        <f>Cleaned[[#This Row],[Credit]] *  Cleaned[[#This Row],[FX_rates]]</f>
        <v>0</v>
      </c>
      <c r="I1425" t="s">
        <v>2023</v>
      </c>
      <c r="J1425" t="s">
        <v>2027</v>
      </c>
      <c r="K1425" t="s">
        <v>3454</v>
      </c>
      <c r="L1425" t="s">
        <v>4032</v>
      </c>
      <c r="M1425">
        <f>Cleaned[[#This Row],[Credit]]-Cleaned[[#This Row],[Debit]]</f>
        <v>-1483.66</v>
      </c>
      <c r="N1425" t="str">
        <f>_xlfn.XLOOKUP(Cleaned[[#This Row],[AccountName]], Account_Mapping!A:A, Account_Mapping!B:B,"Unmapped")</f>
        <v>COGS</v>
      </c>
      <c r="O1425" cm="1">
        <f t="array" ref="O1425">_xlfn.XLOOKUP(
  1,
  (FX_Rates[Currency]=Cleaned[[#This Row],[Currency]])*
  (FX_Rates[RateDate]&lt;=Cleaned[[#This Row],[TxnDate]]),
  FX_Rates[Rate_To_INR],
  ,
  -1
)</f>
        <v>88</v>
      </c>
      <c r="P1425" s="2">
        <f>Cleaned[[#This Row],[Net Amount]] *  Cleaned[[#This Row],[FX_rates]]</f>
        <v>-130562.08</v>
      </c>
    </row>
    <row r="1426" spans="1:16" x14ac:dyDescent="0.45">
      <c r="A1426" t="s">
        <v>1434</v>
      </c>
      <c r="B1426" s="1">
        <v>45019</v>
      </c>
      <c r="C1426" s="2" t="s">
        <v>2013</v>
      </c>
      <c r="D1426" t="s">
        <v>2018</v>
      </c>
      <c r="E1426">
        <v>1752.32</v>
      </c>
      <c r="F1426">
        <f>Cleaned[[#This Row],[Debit]] * Cleaned[[#This Row],[FX_rates]]</f>
        <v>106891.51999999999</v>
      </c>
      <c r="G1426">
        <v>0</v>
      </c>
      <c r="H1426">
        <f>Cleaned[[#This Row],[Credit]] *  Cleaned[[#This Row],[FX_rates]]</f>
        <v>0</v>
      </c>
      <c r="I1426" t="s">
        <v>2020</v>
      </c>
      <c r="J1426" t="s">
        <v>2028</v>
      </c>
      <c r="K1426" t="s">
        <v>3455</v>
      </c>
      <c r="L1426" t="s">
        <v>4035</v>
      </c>
      <c r="M1426">
        <f>Cleaned[[#This Row],[Credit]]-Cleaned[[#This Row],[Debit]]</f>
        <v>-1752.32</v>
      </c>
      <c r="N1426" t="str">
        <f>_xlfn.XLOOKUP(Cleaned[[#This Row],[AccountName]], Account_Mapping!A:A, Account_Mapping!B:B,"Unmapped")</f>
        <v>Operating Expense</v>
      </c>
      <c r="O1426" cm="1">
        <f t="array" ref="O1426">_xlfn.XLOOKUP(
  1,
  (FX_Rates[Currency]=Cleaned[[#This Row],[Currency]])*
  (FX_Rates[RateDate]&lt;=Cleaned[[#This Row],[TxnDate]]),
  FX_Rates[Rate_To_INR],
  ,
  -1
)</f>
        <v>61</v>
      </c>
      <c r="P1426" s="2">
        <f>Cleaned[[#This Row],[Net Amount]] *  Cleaned[[#This Row],[FX_rates]]</f>
        <v>-106891.51999999999</v>
      </c>
    </row>
    <row r="1427" spans="1:16" x14ac:dyDescent="0.45">
      <c r="A1427" t="s">
        <v>1435</v>
      </c>
      <c r="B1427" s="1">
        <v>45255</v>
      </c>
      <c r="C1427" s="2" t="s">
        <v>2010</v>
      </c>
      <c r="D1427" t="s">
        <v>2015</v>
      </c>
      <c r="E1427">
        <v>0</v>
      </c>
      <c r="F1427">
        <f>Cleaned[[#This Row],[Debit]] * Cleaned[[#This Row],[FX_rates]]</f>
        <v>0</v>
      </c>
      <c r="G1427">
        <v>1556.95</v>
      </c>
      <c r="H1427">
        <f>Cleaned[[#This Row],[Credit]] *  Cleaned[[#This Row],[FX_rates]]</f>
        <v>94973.95</v>
      </c>
      <c r="I1427" t="s">
        <v>2023</v>
      </c>
      <c r="J1427" t="s">
        <v>2030</v>
      </c>
      <c r="K1427" t="s">
        <v>3456</v>
      </c>
      <c r="L1427" t="s">
        <v>4035</v>
      </c>
      <c r="M1427">
        <f>Cleaned[[#This Row],[Credit]]-Cleaned[[#This Row],[Debit]]</f>
        <v>1556.95</v>
      </c>
      <c r="N1427" t="str">
        <f>_xlfn.XLOOKUP(Cleaned[[#This Row],[AccountName]], Account_Mapping!A:A, Account_Mapping!B:B,"Unmapped")</f>
        <v>Revenue</v>
      </c>
      <c r="O1427" cm="1">
        <f t="array" ref="O1427">_xlfn.XLOOKUP(
  1,
  (FX_Rates[Currency]=Cleaned[[#This Row],[Currency]])*
  (FX_Rates[RateDate]&lt;=Cleaned[[#This Row],[TxnDate]]),
  FX_Rates[Rate_To_INR],
  ,
  -1
)</f>
        <v>61</v>
      </c>
      <c r="P1427" s="2">
        <f>Cleaned[[#This Row],[Net Amount]] *  Cleaned[[#This Row],[FX_rates]]</f>
        <v>94973.95</v>
      </c>
    </row>
    <row r="1428" spans="1:16" x14ac:dyDescent="0.45">
      <c r="A1428" t="s">
        <v>1436</v>
      </c>
      <c r="B1428" s="1">
        <v>45621</v>
      </c>
      <c r="C1428" s="2" t="s">
        <v>2013</v>
      </c>
      <c r="D1428" t="s">
        <v>2018</v>
      </c>
      <c r="E1428">
        <v>1162.76</v>
      </c>
      <c r="F1428">
        <f>Cleaned[[#This Row],[Debit]] * Cleaned[[#This Row],[FX_rates]]</f>
        <v>70928.36</v>
      </c>
      <c r="G1428">
        <v>0</v>
      </c>
      <c r="H1428">
        <f>Cleaned[[#This Row],[Credit]] *  Cleaned[[#This Row],[FX_rates]]</f>
        <v>0</v>
      </c>
      <c r="I1428" t="s">
        <v>2025</v>
      </c>
      <c r="J1428" t="s">
        <v>2029</v>
      </c>
      <c r="K1428" t="s">
        <v>3457</v>
      </c>
      <c r="L1428" t="s">
        <v>4035</v>
      </c>
      <c r="M1428">
        <f>Cleaned[[#This Row],[Credit]]-Cleaned[[#This Row],[Debit]]</f>
        <v>-1162.76</v>
      </c>
      <c r="N1428" t="str">
        <f>_xlfn.XLOOKUP(Cleaned[[#This Row],[AccountName]], Account_Mapping!A:A, Account_Mapping!B:B,"Unmapped")</f>
        <v>Operating Expense</v>
      </c>
      <c r="O1428" cm="1">
        <f t="array" ref="O1428">_xlfn.XLOOKUP(
  1,
  (FX_Rates[Currency]=Cleaned[[#This Row],[Currency]])*
  (FX_Rates[RateDate]&lt;=Cleaned[[#This Row],[TxnDate]]),
  FX_Rates[Rate_To_INR],
  ,
  -1
)</f>
        <v>61</v>
      </c>
      <c r="P1428" s="2">
        <f>Cleaned[[#This Row],[Net Amount]] *  Cleaned[[#This Row],[FX_rates]]</f>
        <v>-70928.36</v>
      </c>
    </row>
    <row r="1429" spans="1:16" x14ac:dyDescent="0.45">
      <c r="A1429" t="s">
        <v>1437</v>
      </c>
      <c r="B1429" s="1">
        <v>45304</v>
      </c>
      <c r="C1429" s="2" t="s">
        <v>2010</v>
      </c>
      <c r="D1429" t="s">
        <v>2015</v>
      </c>
      <c r="E1429">
        <v>0</v>
      </c>
      <c r="F1429">
        <f>Cleaned[[#This Row],[Debit]] * Cleaned[[#This Row],[FX_rates]]</f>
        <v>0</v>
      </c>
      <c r="G1429">
        <v>3293.95</v>
      </c>
      <c r="H1429">
        <f>Cleaned[[#This Row],[Credit]] *  Cleaned[[#This Row],[FX_rates]]</f>
        <v>200930.94999999998</v>
      </c>
      <c r="I1429" t="s">
        <v>2024</v>
      </c>
      <c r="J1429" t="s">
        <v>2029</v>
      </c>
      <c r="K1429" t="s">
        <v>3458</v>
      </c>
      <c r="L1429" t="s">
        <v>4035</v>
      </c>
      <c r="M1429">
        <f>Cleaned[[#This Row],[Credit]]-Cleaned[[#This Row],[Debit]]</f>
        <v>3293.95</v>
      </c>
      <c r="N1429" t="str">
        <f>_xlfn.XLOOKUP(Cleaned[[#This Row],[AccountName]], Account_Mapping!A:A, Account_Mapping!B:B,"Unmapped")</f>
        <v>Revenue</v>
      </c>
      <c r="O1429" cm="1">
        <f t="array" ref="O1429">_xlfn.XLOOKUP(
  1,
  (FX_Rates[Currency]=Cleaned[[#This Row],[Currency]])*
  (FX_Rates[RateDate]&lt;=Cleaned[[#This Row],[TxnDate]]),
  FX_Rates[Rate_To_INR],
  ,
  -1
)</f>
        <v>61</v>
      </c>
      <c r="P1429" s="2">
        <f>Cleaned[[#This Row],[Net Amount]] *  Cleaned[[#This Row],[FX_rates]]</f>
        <v>200930.94999999998</v>
      </c>
    </row>
    <row r="1430" spans="1:16" x14ac:dyDescent="0.45">
      <c r="A1430" t="s">
        <v>1438</v>
      </c>
      <c r="B1430" s="1">
        <v>45340</v>
      </c>
      <c r="C1430" s="2" t="s">
        <v>2013</v>
      </c>
      <c r="D1430" t="s">
        <v>2018</v>
      </c>
      <c r="E1430">
        <v>949.79</v>
      </c>
      <c r="F1430">
        <f>Cleaned[[#This Row],[Debit]] * Cleaned[[#This Row],[FX_rates]]</f>
        <v>97828.37</v>
      </c>
      <c r="G1430">
        <v>0</v>
      </c>
      <c r="H1430">
        <f>Cleaned[[#This Row],[Credit]] *  Cleaned[[#This Row],[FX_rates]]</f>
        <v>0</v>
      </c>
      <c r="I1430" t="s">
        <v>2020</v>
      </c>
      <c r="J1430" t="s">
        <v>2030</v>
      </c>
      <c r="K1430" t="s">
        <v>3459</v>
      </c>
      <c r="L1430" t="s">
        <v>4031</v>
      </c>
      <c r="M1430">
        <f>Cleaned[[#This Row],[Credit]]-Cleaned[[#This Row],[Debit]]</f>
        <v>-949.79</v>
      </c>
      <c r="N1430" t="str">
        <f>_xlfn.XLOOKUP(Cleaned[[#This Row],[AccountName]], Account_Mapping!A:A, Account_Mapping!B:B,"Unmapped")</f>
        <v>Operating Expense</v>
      </c>
      <c r="O1430" cm="1">
        <f t="array" ref="O1430">_xlfn.XLOOKUP(
  1,
  (FX_Rates[Currency]=Cleaned[[#This Row],[Currency]])*
  (FX_Rates[RateDate]&lt;=Cleaned[[#This Row],[TxnDate]]),
  FX_Rates[Rate_To_INR],
  ,
  -1
)</f>
        <v>103</v>
      </c>
      <c r="P1430" s="2">
        <f>Cleaned[[#This Row],[Net Amount]] *  Cleaned[[#This Row],[FX_rates]]</f>
        <v>-97828.37</v>
      </c>
    </row>
    <row r="1431" spans="1:16" x14ac:dyDescent="0.45">
      <c r="A1431" t="s">
        <v>1439</v>
      </c>
      <c r="B1431" s="1">
        <v>45364</v>
      </c>
      <c r="C1431" s="2" t="s">
        <v>2014</v>
      </c>
      <c r="D1431" t="s">
        <v>2019</v>
      </c>
      <c r="E1431">
        <v>0</v>
      </c>
      <c r="F1431">
        <f>Cleaned[[#This Row],[Debit]] * Cleaned[[#This Row],[FX_rates]]</f>
        <v>0</v>
      </c>
      <c r="G1431">
        <v>536.59</v>
      </c>
      <c r="H1431">
        <f>Cleaned[[#This Row],[Credit]] *  Cleaned[[#This Row],[FX_rates]]</f>
        <v>44000.380000000005</v>
      </c>
      <c r="I1431" t="s">
        <v>2020</v>
      </c>
      <c r="J1431" t="s">
        <v>2030</v>
      </c>
      <c r="K1431" t="s">
        <v>3460</v>
      </c>
      <c r="L1431" t="s">
        <v>4034</v>
      </c>
      <c r="M1431">
        <f>Cleaned[[#This Row],[Credit]]-Cleaned[[#This Row],[Debit]]</f>
        <v>536.59</v>
      </c>
      <c r="N1431" t="str">
        <f>_xlfn.XLOOKUP(Cleaned[[#This Row],[AccountName]], Account_Mapping!A:A, Account_Mapping!B:B,"Unmapped")</f>
        <v>Revenue</v>
      </c>
      <c r="O1431" cm="1">
        <f t="array" ref="O1431">_xlfn.XLOOKUP(
  1,
  (FX_Rates[Currency]=Cleaned[[#This Row],[Currency]])*
  (FX_Rates[RateDate]&lt;=Cleaned[[#This Row],[TxnDate]]),
  FX_Rates[Rate_To_INR],
  ,
  -1
)</f>
        <v>82</v>
      </c>
      <c r="P1431" s="2">
        <f>Cleaned[[#This Row],[Net Amount]] *  Cleaned[[#This Row],[FX_rates]]</f>
        <v>44000.380000000005</v>
      </c>
    </row>
    <row r="1432" spans="1:16" x14ac:dyDescent="0.45">
      <c r="A1432" t="s">
        <v>1440</v>
      </c>
      <c r="B1432" s="1">
        <v>45088</v>
      </c>
      <c r="C1432" s="2" t="s">
        <v>2010</v>
      </c>
      <c r="D1432" t="s">
        <v>2015</v>
      </c>
      <c r="E1432">
        <v>0</v>
      </c>
      <c r="F1432">
        <f>Cleaned[[#This Row],[Debit]] * Cleaned[[#This Row],[FX_rates]]</f>
        <v>0</v>
      </c>
      <c r="G1432">
        <v>352.44</v>
      </c>
      <c r="H1432">
        <f>Cleaned[[#This Row],[Credit]] *  Cleaned[[#This Row],[FX_rates]]</f>
        <v>21498.84</v>
      </c>
      <c r="I1432" t="s">
        <v>2024</v>
      </c>
      <c r="J1432" t="s">
        <v>2028</v>
      </c>
      <c r="K1432" t="s">
        <v>3461</v>
      </c>
      <c r="L1432" t="s">
        <v>4035</v>
      </c>
      <c r="M1432">
        <f>Cleaned[[#This Row],[Credit]]-Cleaned[[#This Row],[Debit]]</f>
        <v>352.44</v>
      </c>
      <c r="N1432" t="str">
        <f>_xlfn.XLOOKUP(Cleaned[[#This Row],[AccountName]], Account_Mapping!A:A, Account_Mapping!B:B,"Unmapped")</f>
        <v>Revenue</v>
      </c>
      <c r="O1432" cm="1">
        <f t="array" ref="O1432">_xlfn.XLOOKUP(
  1,
  (FX_Rates[Currency]=Cleaned[[#This Row],[Currency]])*
  (FX_Rates[RateDate]&lt;=Cleaned[[#This Row],[TxnDate]]),
  FX_Rates[Rate_To_INR],
  ,
  -1
)</f>
        <v>61</v>
      </c>
      <c r="P1432" s="2">
        <f>Cleaned[[#This Row],[Net Amount]] *  Cleaned[[#This Row],[FX_rates]]</f>
        <v>21498.84</v>
      </c>
    </row>
    <row r="1433" spans="1:16" x14ac:dyDescent="0.45">
      <c r="A1433" t="s">
        <v>1441</v>
      </c>
      <c r="B1433" s="1">
        <v>45484</v>
      </c>
      <c r="C1433" s="2" t="s">
        <v>2011</v>
      </c>
      <c r="D1433" t="s">
        <v>2016</v>
      </c>
      <c r="E1433">
        <v>479.39</v>
      </c>
      <c r="F1433">
        <f>Cleaned[[#This Row],[Debit]] * Cleaned[[#This Row],[FX_rates]]</f>
        <v>42186.32</v>
      </c>
      <c r="G1433">
        <v>0</v>
      </c>
      <c r="H1433">
        <f>Cleaned[[#This Row],[Credit]] *  Cleaned[[#This Row],[FX_rates]]</f>
        <v>0</v>
      </c>
      <c r="I1433" t="s">
        <v>2020</v>
      </c>
      <c r="J1433" t="s">
        <v>2026</v>
      </c>
      <c r="K1433" t="s">
        <v>3462</v>
      </c>
      <c r="L1433" t="s">
        <v>4032</v>
      </c>
      <c r="M1433">
        <f>Cleaned[[#This Row],[Credit]]-Cleaned[[#This Row],[Debit]]</f>
        <v>-479.39</v>
      </c>
      <c r="N1433" t="str">
        <f>_xlfn.XLOOKUP(Cleaned[[#This Row],[AccountName]], Account_Mapping!A:A, Account_Mapping!B:B,"Unmapped")</f>
        <v>COGS</v>
      </c>
      <c r="O1433" cm="1">
        <f t="array" ref="O1433">_xlfn.XLOOKUP(
  1,
  (FX_Rates[Currency]=Cleaned[[#This Row],[Currency]])*
  (FX_Rates[RateDate]&lt;=Cleaned[[#This Row],[TxnDate]]),
  FX_Rates[Rate_To_INR],
  ,
  -1
)</f>
        <v>88</v>
      </c>
      <c r="P1433" s="2">
        <f>Cleaned[[#This Row],[Net Amount]] *  Cleaned[[#This Row],[FX_rates]]</f>
        <v>-42186.32</v>
      </c>
    </row>
    <row r="1434" spans="1:16" x14ac:dyDescent="0.45">
      <c r="A1434" t="s">
        <v>1442</v>
      </c>
      <c r="B1434" s="1">
        <v>45663</v>
      </c>
      <c r="C1434" s="2" t="s">
        <v>2012</v>
      </c>
      <c r="D1434" t="s">
        <v>2017</v>
      </c>
      <c r="E1434">
        <v>875.44</v>
      </c>
      <c r="F1434">
        <f>Cleaned[[#This Row],[Debit]] * Cleaned[[#This Row],[FX_rates]]</f>
        <v>71786.080000000002</v>
      </c>
      <c r="G1434">
        <v>0</v>
      </c>
      <c r="H1434">
        <f>Cleaned[[#This Row],[Credit]] *  Cleaned[[#This Row],[FX_rates]]</f>
        <v>0</v>
      </c>
      <c r="I1434" t="s">
        <v>2021</v>
      </c>
      <c r="J1434" t="s">
        <v>2026</v>
      </c>
      <c r="K1434" t="s">
        <v>3463</v>
      </c>
      <c r="L1434" t="s">
        <v>4034</v>
      </c>
      <c r="M1434">
        <f>Cleaned[[#This Row],[Credit]]-Cleaned[[#This Row],[Debit]]</f>
        <v>-875.44</v>
      </c>
      <c r="N1434" t="str">
        <f>_xlfn.XLOOKUP(Cleaned[[#This Row],[AccountName]], Account_Mapping!A:A, Account_Mapping!B:B,"Unmapped")</f>
        <v>Operating Expense</v>
      </c>
      <c r="O1434" cm="1">
        <f t="array" ref="O1434">_xlfn.XLOOKUP(
  1,
  (FX_Rates[Currency]=Cleaned[[#This Row],[Currency]])*
  (FX_Rates[RateDate]&lt;=Cleaned[[#This Row],[TxnDate]]),
  FX_Rates[Rate_To_INR],
  ,
  -1
)</f>
        <v>82</v>
      </c>
      <c r="P1434" s="2">
        <f>Cleaned[[#This Row],[Net Amount]] *  Cleaned[[#This Row],[FX_rates]]</f>
        <v>-71786.080000000002</v>
      </c>
    </row>
    <row r="1435" spans="1:16" x14ac:dyDescent="0.45">
      <c r="A1435" t="s">
        <v>1443</v>
      </c>
      <c r="B1435" s="1">
        <v>45676</v>
      </c>
      <c r="C1435" s="2" t="s">
        <v>2011</v>
      </c>
      <c r="D1435" t="s">
        <v>2016</v>
      </c>
      <c r="E1435">
        <v>726.79</v>
      </c>
      <c r="F1435">
        <f>Cleaned[[#This Row],[Debit]] * Cleaned[[#This Row],[FX_rates]]</f>
        <v>74859.37</v>
      </c>
      <c r="G1435">
        <v>0</v>
      </c>
      <c r="H1435">
        <f>Cleaned[[#This Row],[Credit]] *  Cleaned[[#This Row],[FX_rates]]</f>
        <v>0</v>
      </c>
      <c r="I1435" t="s">
        <v>2025</v>
      </c>
      <c r="J1435" t="s">
        <v>2027</v>
      </c>
      <c r="K1435" t="s">
        <v>3464</v>
      </c>
      <c r="L1435" t="s">
        <v>4031</v>
      </c>
      <c r="M1435">
        <f>Cleaned[[#This Row],[Credit]]-Cleaned[[#This Row],[Debit]]</f>
        <v>-726.79</v>
      </c>
      <c r="N1435" t="str">
        <f>_xlfn.XLOOKUP(Cleaned[[#This Row],[AccountName]], Account_Mapping!A:A, Account_Mapping!B:B,"Unmapped")</f>
        <v>COGS</v>
      </c>
      <c r="O1435" cm="1">
        <f t="array" ref="O1435">_xlfn.XLOOKUP(
  1,
  (FX_Rates[Currency]=Cleaned[[#This Row],[Currency]])*
  (FX_Rates[RateDate]&lt;=Cleaned[[#This Row],[TxnDate]]),
  FX_Rates[Rate_To_INR],
  ,
  -1
)</f>
        <v>103</v>
      </c>
      <c r="P1435" s="2">
        <f>Cleaned[[#This Row],[Net Amount]] *  Cleaned[[#This Row],[FX_rates]]</f>
        <v>-74859.37</v>
      </c>
    </row>
    <row r="1436" spans="1:16" x14ac:dyDescent="0.45">
      <c r="A1436" t="s">
        <v>1444</v>
      </c>
      <c r="B1436" s="1">
        <v>45114</v>
      </c>
      <c r="C1436" s="2" t="s">
        <v>2014</v>
      </c>
      <c r="D1436" t="s">
        <v>2019</v>
      </c>
      <c r="E1436">
        <v>0</v>
      </c>
      <c r="F1436">
        <f>Cleaned[[#This Row],[Debit]] * Cleaned[[#This Row],[FX_rates]]</f>
        <v>0</v>
      </c>
      <c r="G1436">
        <v>3492.12</v>
      </c>
      <c r="H1436">
        <f>Cleaned[[#This Row],[Credit]] *  Cleaned[[#This Row],[FX_rates]]</f>
        <v>286353.83999999997</v>
      </c>
      <c r="I1436" t="s">
        <v>2021</v>
      </c>
      <c r="J1436" t="s">
        <v>2026</v>
      </c>
      <c r="K1436" t="s">
        <v>3465</v>
      </c>
      <c r="L1436" t="s">
        <v>4034</v>
      </c>
      <c r="M1436">
        <f>Cleaned[[#This Row],[Credit]]-Cleaned[[#This Row],[Debit]]</f>
        <v>3492.12</v>
      </c>
      <c r="N1436" t="str">
        <f>_xlfn.XLOOKUP(Cleaned[[#This Row],[AccountName]], Account_Mapping!A:A, Account_Mapping!B:B,"Unmapped")</f>
        <v>Revenue</v>
      </c>
      <c r="O1436" cm="1">
        <f t="array" ref="O1436">_xlfn.XLOOKUP(
  1,
  (FX_Rates[Currency]=Cleaned[[#This Row],[Currency]])*
  (FX_Rates[RateDate]&lt;=Cleaned[[#This Row],[TxnDate]]),
  FX_Rates[Rate_To_INR],
  ,
  -1
)</f>
        <v>82</v>
      </c>
      <c r="P1436" s="2">
        <f>Cleaned[[#This Row],[Net Amount]] *  Cleaned[[#This Row],[FX_rates]]</f>
        <v>286353.83999999997</v>
      </c>
    </row>
    <row r="1437" spans="1:16" x14ac:dyDescent="0.45">
      <c r="A1437" t="s">
        <v>1445</v>
      </c>
      <c r="B1437" s="1">
        <v>45422</v>
      </c>
      <c r="C1437" s="2" t="s">
        <v>2013</v>
      </c>
      <c r="D1437" t="s">
        <v>2018</v>
      </c>
      <c r="E1437">
        <v>868.34</v>
      </c>
      <c r="F1437">
        <f>Cleaned[[#This Row],[Debit]] * Cleaned[[#This Row],[FX_rates]]</f>
        <v>71203.88</v>
      </c>
      <c r="G1437">
        <v>0</v>
      </c>
      <c r="H1437">
        <f>Cleaned[[#This Row],[Credit]] *  Cleaned[[#This Row],[FX_rates]]</f>
        <v>0</v>
      </c>
      <c r="I1437" t="s">
        <v>2021</v>
      </c>
      <c r="J1437" t="s">
        <v>2028</v>
      </c>
      <c r="K1437" t="s">
        <v>3466</v>
      </c>
      <c r="L1437" t="s">
        <v>4034</v>
      </c>
      <c r="M1437">
        <f>Cleaned[[#This Row],[Credit]]-Cleaned[[#This Row],[Debit]]</f>
        <v>-868.34</v>
      </c>
      <c r="N1437" t="str">
        <f>_xlfn.XLOOKUP(Cleaned[[#This Row],[AccountName]], Account_Mapping!A:A, Account_Mapping!B:B,"Unmapped")</f>
        <v>Operating Expense</v>
      </c>
      <c r="O1437" cm="1">
        <f t="array" ref="O1437">_xlfn.XLOOKUP(
  1,
  (FX_Rates[Currency]=Cleaned[[#This Row],[Currency]])*
  (FX_Rates[RateDate]&lt;=Cleaned[[#This Row],[TxnDate]]),
  FX_Rates[Rate_To_INR],
  ,
  -1
)</f>
        <v>82</v>
      </c>
      <c r="P1437" s="2">
        <f>Cleaned[[#This Row],[Net Amount]] *  Cleaned[[#This Row],[FX_rates]]</f>
        <v>-71203.88</v>
      </c>
    </row>
    <row r="1438" spans="1:16" x14ac:dyDescent="0.45">
      <c r="A1438" t="s">
        <v>1446</v>
      </c>
      <c r="B1438" s="1">
        <v>44998</v>
      </c>
      <c r="C1438" s="2" t="s">
        <v>2010</v>
      </c>
      <c r="D1438" t="s">
        <v>2015</v>
      </c>
      <c r="E1438">
        <v>0</v>
      </c>
      <c r="F1438">
        <f>Cleaned[[#This Row],[Debit]] * Cleaned[[#This Row],[FX_rates]]</f>
        <v>0</v>
      </c>
      <c r="G1438">
        <v>1610.63</v>
      </c>
      <c r="H1438">
        <f>Cleaned[[#This Row],[Credit]] *  Cleaned[[#This Row],[FX_rates]]</f>
        <v>98248.430000000008</v>
      </c>
      <c r="I1438" t="s">
        <v>2024</v>
      </c>
      <c r="J1438" t="s">
        <v>2026</v>
      </c>
      <c r="K1438" t="s">
        <v>3467</v>
      </c>
      <c r="L1438" t="s">
        <v>4035</v>
      </c>
      <c r="M1438">
        <f>Cleaned[[#This Row],[Credit]]-Cleaned[[#This Row],[Debit]]</f>
        <v>1610.63</v>
      </c>
      <c r="N1438" t="str">
        <f>_xlfn.XLOOKUP(Cleaned[[#This Row],[AccountName]], Account_Mapping!A:A, Account_Mapping!B:B,"Unmapped")</f>
        <v>Revenue</v>
      </c>
      <c r="O1438" cm="1">
        <f t="array" ref="O1438">_xlfn.XLOOKUP(
  1,
  (FX_Rates[Currency]=Cleaned[[#This Row],[Currency]])*
  (FX_Rates[RateDate]&lt;=Cleaned[[#This Row],[TxnDate]]),
  FX_Rates[Rate_To_INR],
  ,
  -1
)</f>
        <v>61</v>
      </c>
      <c r="P1438" s="2">
        <f>Cleaned[[#This Row],[Net Amount]] *  Cleaned[[#This Row],[FX_rates]]</f>
        <v>98248.430000000008</v>
      </c>
    </row>
    <row r="1439" spans="1:16" x14ac:dyDescent="0.45">
      <c r="A1439" t="s">
        <v>1447</v>
      </c>
      <c r="B1439" s="1">
        <v>45089</v>
      </c>
      <c r="C1439" s="2" t="s">
        <v>2012</v>
      </c>
      <c r="D1439" t="s">
        <v>2017</v>
      </c>
      <c r="E1439">
        <v>1429.61</v>
      </c>
      <c r="F1439">
        <f>Cleaned[[#This Row],[Debit]] * Cleaned[[#This Row],[FX_rates]]</f>
        <v>125805.68</v>
      </c>
      <c r="G1439">
        <v>0</v>
      </c>
      <c r="H1439">
        <f>Cleaned[[#This Row],[Credit]] *  Cleaned[[#This Row],[FX_rates]]</f>
        <v>0</v>
      </c>
      <c r="I1439" t="s">
        <v>2021</v>
      </c>
      <c r="J1439" t="s">
        <v>2027</v>
      </c>
      <c r="K1439" t="s">
        <v>3468</v>
      </c>
      <c r="L1439" t="s">
        <v>4032</v>
      </c>
      <c r="M1439">
        <f>Cleaned[[#This Row],[Credit]]-Cleaned[[#This Row],[Debit]]</f>
        <v>-1429.61</v>
      </c>
      <c r="N1439" t="str">
        <f>_xlfn.XLOOKUP(Cleaned[[#This Row],[AccountName]], Account_Mapping!A:A, Account_Mapping!B:B,"Unmapped")</f>
        <v>Operating Expense</v>
      </c>
      <c r="O1439" cm="1">
        <f t="array" ref="O1439">_xlfn.XLOOKUP(
  1,
  (FX_Rates[Currency]=Cleaned[[#This Row],[Currency]])*
  (FX_Rates[RateDate]&lt;=Cleaned[[#This Row],[TxnDate]]),
  FX_Rates[Rate_To_INR],
  ,
  -1
)</f>
        <v>88</v>
      </c>
      <c r="P1439" s="2">
        <f>Cleaned[[#This Row],[Net Amount]] *  Cleaned[[#This Row],[FX_rates]]</f>
        <v>-125805.68</v>
      </c>
    </row>
    <row r="1440" spans="1:16" x14ac:dyDescent="0.45">
      <c r="A1440" t="s">
        <v>1448</v>
      </c>
      <c r="B1440" s="1">
        <v>45251</v>
      </c>
      <c r="C1440" s="2" t="s">
        <v>2011</v>
      </c>
      <c r="D1440" t="s">
        <v>2016</v>
      </c>
      <c r="E1440">
        <v>918.99</v>
      </c>
      <c r="F1440">
        <f>Cleaned[[#This Row],[Debit]] * Cleaned[[#This Row],[FX_rates]]</f>
        <v>80871.12</v>
      </c>
      <c r="G1440">
        <v>0</v>
      </c>
      <c r="H1440">
        <f>Cleaned[[#This Row],[Credit]] *  Cleaned[[#This Row],[FX_rates]]</f>
        <v>0</v>
      </c>
      <c r="I1440" t="s">
        <v>2024</v>
      </c>
      <c r="J1440" t="s">
        <v>2029</v>
      </c>
      <c r="K1440" t="s">
        <v>3469</v>
      </c>
      <c r="L1440" t="s">
        <v>4032</v>
      </c>
      <c r="M1440">
        <f>Cleaned[[#This Row],[Credit]]-Cleaned[[#This Row],[Debit]]</f>
        <v>-918.99</v>
      </c>
      <c r="N1440" t="str">
        <f>_xlfn.XLOOKUP(Cleaned[[#This Row],[AccountName]], Account_Mapping!A:A, Account_Mapping!B:B,"Unmapped")</f>
        <v>COGS</v>
      </c>
      <c r="O1440" cm="1">
        <f t="array" ref="O1440">_xlfn.XLOOKUP(
  1,
  (FX_Rates[Currency]=Cleaned[[#This Row],[Currency]])*
  (FX_Rates[RateDate]&lt;=Cleaned[[#This Row],[TxnDate]]),
  FX_Rates[Rate_To_INR],
  ,
  -1
)</f>
        <v>88</v>
      </c>
      <c r="P1440" s="2">
        <f>Cleaned[[#This Row],[Net Amount]] *  Cleaned[[#This Row],[FX_rates]]</f>
        <v>-80871.12</v>
      </c>
    </row>
    <row r="1441" spans="1:16" x14ac:dyDescent="0.45">
      <c r="A1441" t="s">
        <v>1449</v>
      </c>
      <c r="B1441" s="1">
        <v>45829</v>
      </c>
      <c r="C1441" s="2" t="s">
        <v>2013</v>
      </c>
      <c r="D1441" t="s">
        <v>2018</v>
      </c>
      <c r="E1441">
        <v>189.23</v>
      </c>
      <c r="F1441">
        <f>Cleaned[[#This Row],[Debit]] * Cleaned[[#This Row],[FX_rates]]</f>
        <v>16652.239999999998</v>
      </c>
      <c r="G1441">
        <v>0</v>
      </c>
      <c r="H1441">
        <f>Cleaned[[#This Row],[Credit]] *  Cleaned[[#This Row],[FX_rates]]</f>
        <v>0</v>
      </c>
      <c r="I1441" t="s">
        <v>2021</v>
      </c>
      <c r="J1441" t="s">
        <v>2030</v>
      </c>
      <c r="K1441" t="s">
        <v>3470</v>
      </c>
      <c r="L1441" t="s">
        <v>4032</v>
      </c>
      <c r="M1441">
        <f>Cleaned[[#This Row],[Credit]]-Cleaned[[#This Row],[Debit]]</f>
        <v>-189.23</v>
      </c>
      <c r="N1441" t="str">
        <f>_xlfn.XLOOKUP(Cleaned[[#This Row],[AccountName]], Account_Mapping!A:A, Account_Mapping!B:B,"Unmapped")</f>
        <v>Operating Expense</v>
      </c>
      <c r="O1441" cm="1">
        <f t="array" ref="O1441">_xlfn.XLOOKUP(
  1,
  (FX_Rates[Currency]=Cleaned[[#This Row],[Currency]])*
  (FX_Rates[RateDate]&lt;=Cleaned[[#This Row],[TxnDate]]),
  FX_Rates[Rate_To_INR],
  ,
  -1
)</f>
        <v>88</v>
      </c>
      <c r="P1441" s="2">
        <f>Cleaned[[#This Row],[Net Amount]] *  Cleaned[[#This Row],[FX_rates]]</f>
        <v>-16652.239999999998</v>
      </c>
    </row>
    <row r="1442" spans="1:16" x14ac:dyDescent="0.45">
      <c r="A1442" t="s">
        <v>1450</v>
      </c>
      <c r="B1442" s="1">
        <v>45818</v>
      </c>
      <c r="C1442" s="2" t="s">
        <v>2014</v>
      </c>
      <c r="D1442" t="s">
        <v>2019</v>
      </c>
      <c r="E1442">
        <v>0</v>
      </c>
      <c r="F1442">
        <f>Cleaned[[#This Row],[Debit]] * Cleaned[[#This Row],[FX_rates]]</f>
        <v>0</v>
      </c>
      <c r="G1442">
        <v>4553.74</v>
      </c>
      <c r="H1442">
        <f>Cleaned[[#This Row],[Credit]] *  Cleaned[[#This Row],[FX_rates]]</f>
        <v>373406.68</v>
      </c>
      <c r="I1442" t="s">
        <v>2022</v>
      </c>
      <c r="J1442" t="s">
        <v>2026</v>
      </c>
      <c r="K1442" t="s">
        <v>3471</v>
      </c>
      <c r="L1442" t="s">
        <v>4034</v>
      </c>
      <c r="M1442">
        <f>Cleaned[[#This Row],[Credit]]-Cleaned[[#This Row],[Debit]]</f>
        <v>4553.74</v>
      </c>
      <c r="N1442" t="str">
        <f>_xlfn.XLOOKUP(Cleaned[[#This Row],[AccountName]], Account_Mapping!A:A, Account_Mapping!B:B,"Unmapped")</f>
        <v>Revenue</v>
      </c>
      <c r="O1442" cm="1">
        <f t="array" ref="O1442">_xlfn.XLOOKUP(
  1,
  (FX_Rates[Currency]=Cleaned[[#This Row],[Currency]])*
  (FX_Rates[RateDate]&lt;=Cleaned[[#This Row],[TxnDate]]),
  FX_Rates[Rate_To_INR],
  ,
  -1
)</f>
        <v>82</v>
      </c>
      <c r="P1442" s="2">
        <f>Cleaned[[#This Row],[Net Amount]] *  Cleaned[[#This Row],[FX_rates]]</f>
        <v>373406.68</v>
      </c>
    </row>
    <row r="1443" spans="1:16" x14ac:dyDescent="0.45">
      <c r="A1443" t="s">
        <v>1451</v>
      </c>
      <c r="B1443" s="1">
        <v>45618</v>
      </c>
      <c r="C1443" s="2" t="s">
        <v>2014</v>
      </c>
      <c r="D1443" t="s">
        <v>2019</v>
      </c>
      <c r="E1443">
        <v>0</v>
      </c>
      <c r="F1443">
        <f>Cleaned[[#This Row],[Debit]] * Cleaned[[#This Row],[FX_rates]]</f>
        <v>0</v>
      </c>
      <c r="G1443">
        <v>224.69</v>
      </c>
      <c r="H1443">
        <f>Cleaned[[#This Row],[Credit]] *  Cleaned[[#This Row],[FX_rates]]</f>
        <v>12582.64</v>
      </c>
      <c r="I1443" t="s">
        <v>2025</v>
      </c>
      <c r="J1443" t="s">
        <v>2029</v>
      </c>
      <c r="K1443" t="s">
        <v>3472</v>
      </c>
      <c r="L1443" t="s">
        <v>4033</v>
      </c>
      <c r="M1443">
        <f>Cleaned[[#This Row],[Credit]]-Cleaned[[#This Row],[Debit]]</f>
        <v>224.69</v>
      </c>
      <c r="N1443" t="str">
        <f>_xlfn.XLOOKUP(Cleaned[[#This Row],[AccountName]], Account_Mapping!A:A, Account_Mapping!B:B,"Unmapped")</f>
        <v>Revenue</v>
      </c>
      <c r="O1443" cm="1">
        <f t="array" ref="O1443">_xlfn.XLOOKUP(
  1,
  (FX_Rates[Currency]=Cleaned[[#This Row],[Currency]])*
  (FX_Rates[RateDate]&lt;=Cleaned[[#This Row],[TxnDate]]),
  FX_Rates[Rate_To_INR],
  ,
  -1
)</f>
        <v>56</v>
      </c>
      <c r="P1443" s="2">
        <f>Cleaned[[#This Row],[Net Amount]] *  Cleaned[[#This Row],[FX_rates]]</f>
        <v>12582.64</v>
      </c>
    </row>
    <row r="1444" spans="1:16" x14ac:dyDescent="0.45">
      <c r="A1444" t="s">
        <v>1452</v>
      </c>
      <c r="B1444" s="1">
        <v>45359</v>
      </c>
      <c r="C1444" s="2" t="s">
        <v>2011</v>
      </c>
      <c r="D1444" t="s">
        <v>2016</v>
      </c>
      <c r="E1444">
        <v>1447.98</v>
      </c>
      <c r="F1444">
        <f>Cleaned[[#This Row],[Debit]] * Cleaned[[#This Row],[FX_rates]]</f>
        <v>149141.94</v>
      </c>
      <c r="G1444">
        <v>0</v>
      </c>
      <c r="H1444">
        <f>Cleaned[[#This Row],[Credit]] *  Cleaned[[#This Row],[FX_rates]]</f>
        <v>0</v>
      </c>
      <c r="I1444" t="s">
        <v>2024</v>
      </c>
      <c r="J1444" t="s">
        <v>2029</v>
      </c>
      <c r="K1444" t="s">
        <v>3473</v>
      </c>
      <c r="L1444" t="s">
        <v>4031</v>
      </c>
      <c r="M1444">
        <f>Cleaned[[#This Row],[Credit]]-Cleaned[[#This Row],[Debit]]</f>
        <v>-1447.98</v>
      </c>
      <c r="N1444" t="str">
        <f>_xlfn.XLOOKUP(Cleaned[[#This Row],[AccountName]], Account_Mapping!A:A, Account_Mapping!B:B,"Unmapped")</f>
        <v>COGS</v>
      </c>
      <c r="O1444" cm="1">
        <f t="array" ref="O1444">_xlfn.XLOOKUP(
  1,
  (FX_Rates[Currency]=Cleaned[[#This Row],[Currency]])*
  (FX_Rates[RateDate]&lt;=Cleaned[[#This Row],[TxnDate]]),
  FX_Rates[Rate_To_INR],
  ,
  -1
)</f>
        <v>103</v>
      </c>
      <c r="P1444" s="2">
        <f>Cleaned[[#This Row],[Net Amount]] *  Cleaned[[#This Row],[FX_rates]]</f>
        <v>-149141.94</v>
      </c>
    </row>
    <row r="1445" spans="1:16" x14ac:dyDescent="0.45">
      <c r="A1445" t="s">
        <v>1453</v>
      </c>
      <c r="B1445" s="1">
        <v>44964</v>
      </c>
      <c r="C1445" s="2" t="s">
        <v>2012</v>
      </c>
      <c r="D1445" t="s">
        <v>2017</v>
      </c>
      <c r="E1445">
        <v>1846.98</v>
      </c>
      <c r="F1445">
        <f>Cleaned[[#This Row],[Debit]] * Cleaned[[#This Row],[FX_rates]]</f>
        <v>151452.36000000002</v>
      </c>
      <c r="G1445">
        <v>0</v>
      </c>
      <c r="H1445">
        <f>Cleaned[[#This Row],[Credit]] *  Cleaned[[#This Row],[FX_rates]]</f>
        <v>0</v>
      </c>
      <c r="I1445" t="s">
        <v>2021</v>
      </c>
      <c r="J1445" t="s">
        <v>2028</v>
      </c>
      <c r="K1445" t="s">
        <v>3474</v>
      </c>
      <c r="L1445" t="s">
        <v>4034</v>
      </c>
      <c r="M1445">
        <f>Cleaned[[#This Row],[Credit]]-Cleaned[[#This Row],[Debit]]</f>
        <v>-1846.98</v>
      </c>
      <c r="N1445" t="str">
        <f>_xlfn.XLOOKUP(Cleaned[[#This Row],[AccountName]], Account_Mapping!A:A, Account_Mapping!B:B,"Unmapped")</f>
        <v>Operating Expense</v>
      </c>
      <c r="O1445" cm="1">
        <f t="array" ref="O1445">_xlfn.XLOOKUP(
  1,
  (FX_Rates[Currency]=Cleaned[[#This Row],[Currency]])*
  (FX_Rates[RateDate]&lt;=Cleaned[[#This Row],[TxnDate]]),
  FX_Rates[Rate_To_INR],
  ,
  -1
)</f>
        <v>82</v>
      </c>
      <c r="P1445" s="2">
        <f>Cleaned[[#This Row],[Net Amount]] *  Cleaned[[#This Row],[FX_rates]]</f>
        <v>-151452.36000000002</v>
      </c>
    </row>
    <row r="1446" spans="1:16" x14ac:dyDescent="0.45">
      <c r="A1446" t="s">
        <v>1454</v>
      </c>
      <c r="B1446" s="1">
        <v>45680</v>
      </c>
      <c r="C1446" s="2" t="s">
        <v>2013</v>
      </c>
      <c r="D1446" t="s">
        <v>2018</v>
      </c>
      <c r="E1446">
        <v>1709.33</v>
      </c>
      <c r="F1446">
        <f>Cleaned[[#This Row],[Debit]] * Cleaned[[#This Row],[FX_rates]]</f>
        <v>104269.12999999999</v>
      </c>
      <c r="G1446">
        <v>0</v>
      </c>
      <c r="H1446">
        <f>Cleaned[[#This Row],[Credit]] *  Cleaned[[#This Row],[FX_rates]]</f>
        <v>0</v>
      </c>
      <c r="I1446" t="s">
        <v>2022</v>
      </c>
      <c r="J1446" t="s">
        <v>2027</v>
      </c>
      <c r="K1446" t="s">
        <v>3475</v>
      </c>
      <c r="L1446" t="s">
        <v>4035</v>
      </c>
      <c r="M1446">
        <f>Cleaned[[#This Row],[Credit]]-Cleaned[[#This Row],[Debit]]</f>
        <v>-1709.33</v>
      </c>
      <c r="N1446" t="str">
        <f>_xlfn.XLOOKUP(Cleaned[[#This Row],[AccountName]], Account_Mapping!A:A, Account_Mapping!B:B,"Unmapped")</f>
        <v>Operating Expense</v>
      </c>
      <c r="O1446" cm="1">
        <f t="array" ref="O1446">_xlfn.XLOOKUP(
  1,
  (FX_Rates[Currency]=Cleaned[[#This Row],[Currency]])*
  (FX_Rates[RateDate]&lt;=Cleaned[[#This Row],[TxnDate]]),
  FX_Rates[Rate_To_INR],
  ,
  -1
)</f>
        <v>61</v>
      </c>
      <c r="P1446" s="2">
        <f>Cleaned[[#This Row],[Net Amount]] *  Cleaned[[#This Row],[FX_rates]]</f>
        <v>-104269.12999999999</v>
      </c>
    </row>
    <row r="1447" spans="1:16" x14ac:dyDescent="0.45">
      <c r="A1447" t="s">
        <v>1455</v>
      </c>
      <c r="B1447" s="1">
        <v>45171</v>
      </c>
      <c r="C1447" s="2" t="s">
        <v>2014</v>
      </c>
      <c r="D1447" t="s">
        <v>2019</v>
      </c>
      <c r="E1447">
        <v>0</v>
      </c>
      <c r="F1447">
        <f>Cleaned[[#This Row],[Debit]] * Cleaned[[#This Row],[FX_rates]]</f>
        <v>0</v>
      </c>
      <c r="G1447">
        <v>4210.6499999999996</v>
      </c>
      <c r="H1447">
        <f>Cleaned[[#This Row],[Credit]] *  Cleaned[[#This Row],[FX_rates]]</f>
        <v>370537.19999999995</v>
      </c>
      <c r="I1447" t="s">
        <v>2021</v>
      </c>
      <c r="J1447" t="s">
        <v>2026</v>
      </c>
      <c r="K1447" t="s">
        <v>3476</v>
      </c>
      <c r="L1447" t="s">
        <v>4032</v>
      </c>
      <c r="M1447">
        <f>Cleaned[[#This Row],[Credit]]-Cleaned[[#This Row],[Debit]]</f>
        <v>4210.6499999999996</v>
      </c>
      <c r="N1447" t="str">
        <f>_xlfn.XLOOKUP(Cleaned[[#This Row],[AccountName]], Account_Mapping!A:A, Account_Mapping!B:B,"Unmapped")</f>
        <v>Revenue</v>
      </c>
      <c r="O1447" cm="1">
        <f t="array" ref="O1447">_xlfn.XLOOKUP(
  1,
  (FX_Rates[Currency]=Cleaned[[#This Row],[Currency]])*
  (FX_Rates[RateDate]&lt;=Cleaned[[#This Row],[TxnDate]]),
  FX_Rates[Rate_To_INR],
  ,
  -1
)</f>
        <v>88</v>
      </c>
      <c r="P1447" s="2">
        <f>Cleaned[[#This Row],[Net Amount]] *  Cleaned[[#This Row],[FX_rates]]</f>
        <v>370537.19999999995</v>
      </c>
    </row>
    <row r="1448" spans="1:16" x14ac:dyDescent="0.45">
      <c r="A1448" t="s">
        <v>1456</v>
      </c>
      <c r="B1448" s="1">
        <v>45519</v>
      </c>
      <c r="C1448" s="2" t="s">
        <v>2013</v>
      </c>
      <c r="D1448" t="s">
        <v>2018</v>
      </c>
      <c r="E1448">
        <v>1733.89</v>
      </c>
      <c r="F1448">
        <f>Cleaned[[#This Row],[Debit]] * Cleaned[[#This Row],[FX_rates]]</f>
        <v>152582.32</v>
      </c>
      <c r="G1448">
        <v>0</v>
      </c>
      <c r="H1448">
        <f>Cleaned[[#This Row],[Credit]] *  Cleaned[[#This Row],[FX_rates]]</f>
        <v>0</v>
      </c>
      <c r="I1448" t="s">
        <v>2023</v>
      </c>
      <c r="J1448" t="s">
        <v>2026</v>
      </c>
      <c r="K1448" t="s">
        <v>3477</v>
      </c>
      <c r="L1448" t="s">
        <v>4032</v>
      </c>
      <c r="M1448">
        <f>Cleaned[[#This Row],[Credit]]-Cleaned[[#This Row],[Debit]]</f>
        <v>-1733.89</v>
      </c>
      <c r="N1448" t="str">
        <f>_xlfn.XLOOKUP(Cleaned[[#This Row],[AccountName]], Account_Mapping!A:A, Account_Mapping!B:B,"Unmapped")</f>
        <v>Operating Expense</v>
      </c>
      <c r="O1448" cm="1">
        <f t="array" ref="O1448">_xlfn.XLOOKUP(
  1,
  (FX_Rates[Currency]=Cleaned[[#This Row],[Currency]])*
  (FX_Rates[RateDate]&lt;=Cleaned[[#This Row],[TxnDate]]),
  FX_Rates[Rate_To_INR],
  ,
  -1
)</f>
        <v>88</v>
      </c>
      <c r="P1448" s="2">
        <f>Cleaned[[#This Row],[Net Amount]] *  Cleaned[[#This Row],[FX_rates]]</f>
        <v>-152582.32</v>
      </c>
    </row>
    <row r="1449" spans="1:16" x14ac:dyDescent="0.45">
      <c r="A1449" t="s">
        <v>1457</v>
      </c>
      <c r="B1449" s="1">
        <v>45317</v>
      </c>
      <c r="C1449" s="2" t="s">
        <v>2010</v>
      </c>
      <c r="D1449" t="s">
        <v>2015</v>
      </c>
      <c r="E1449">
        <v>0</v>
      </c>
      <c r="F1449">
        <f>Cleaned[[#This Row],[Debit]] * Cleaned[[#This Row],[FX_rates]]</f>
        <v>0</v>
      </c>
      <c r="G1449">
        <v>4741</v>
      </c>
      <c r="H1449">
        <f>Cleaned[[#This Row],[Credit]] *  Cleaned[[#This Row],[FX_rates]]</f>
        <v>388762</v>
      </c>
      <c r="I1449" t="s">
        <v>2022</v>
      </c>
      <c r="J1449" t="s">
        <v>2027</v>
      </c>
      <c r="K1449" t="s">
        <v>3478</v>
      </c>
      <c r="L1449" t="s">
        <v>4034</v>
      </c>
      <c r="M1449">
        <f>Cleaned[[#This Row],[Credit]]-Cleaned[[#This Row],[Debit]]</f>
        <v>4741</v>
      </c>
      <c r="N1449" t="str">
        <f>_xlfn.XLOOKUP(Cleaned[[#This Row],[AccountName]], Account_Mapping!A:A, Account_Mapping!B:B,"Unmapped")</f>
        <v>Revenue</v>
      </c>
      <c r="O1449" cm="1">
        <f t="array" ref="O1449">_xlfn.XLOOKUP(
  1,
  (FX_Rates[Currency]=Cleaned[[#This Row],[Currency]])*
  (FX_Rates[RateDate]&lt;=Cleaned[[#This Row],[TxnDate]]),
  FX_Rates[Rate_To_INR],
  ,
  -1
)</f>
        <v>82</v>
      </c>
      <c r="P1449" s="2">
        <f>Cleaned[[#This Row],[Net Amount]] *  Cleaned[[#This Row],[FX_rates]]</f>
        <v>388762</v>
      </c>
    </row>
    <row r="1450" spans="1:16" x14ac:dyDescent="0.45">
      <c r="A1450" t="s">
        <v>1458</v>
      </c>
      <c r="B1450" s="1">
        <v>45197</v>
      </c>
      <c r="C1450" s="2" t="s">
        <v>2012</v>
      </c>
      <c r="D1450" t="s">
        <v>2017</v>
      </c>
      <c r="E1450">
        <v>1800.94</v>
      </c>
      <c r="F1450">
        <f>Cleaned[[#This Row],[Debit]] * Cleaned[[#This Row],[FX_rates]]</f>
        <v>158482.72</v>
      </c>
      <c r="G1450">
        <v>0</v>
      </c>
      <c r="H1450">
        <f>Cleaned[[#This Row],[Credit]] *  Cleaned[[#This Row],[FX_rates]]</f>
        <v>0</v>
      </c>
      <c r="I1450" t="s">
        <v>2025</v>
      </c>
      <c r="J1450" t="s">
        <v>2026</v>
      </c>
      <c r="K1450" t="s">
        <v>3479</v>
      </c>
      <c r="L1450" t="s">
        <v>4032</v>
      </c>
      <c r="M1450">
        <f>Cleaned[[#This Row],[Credit]]-Cleaned[[#This Row],[Debit]]</f>
        <v>-1800.94</v>
      </c>
      <c r="N1450" t="str">
        <f>_xlfn.XLOOKUP(Cleaned[[#This Row],[AccountName]], Account_Mapping!A:A, Account_Mapping!B:B,"Unmapped")</f>
        <v>Operating Expense</v>
      </c>
      <c r="O1450" cm="1">
        <f t="array" ref="O1450">_xlfn.XLOOKUP(
  1,
  (FX_Rates[Currency]=Cleaned[[#This Row],[Currency]])*
  (FX_Rates[RateDate]&lt;=Cleaned[[#This Row],[TxnDate]]),
  FX_Rates[Rate_To_INR],
  ,
  -1
)</f>
        <v>88</v>
      </c>
      <c r="P1450" s="2">
        <f>Cleaned[[#This Row],[Net Amount]] *  Cleaned[[#This Row],[FX_rates]]</f>
        <v>-158482.72</v>
      </c>
    </row>
    <row r="1451" spans="1:16" x14ac:dyDescent="0.45">
      <c r="A1451" t="s">
        <v>1459</v>
      </c>
      <c r="B1451" s="1">
        <v>45431</v>
      </c>
      <c r="C1451" s="2" t="s">
        <v>2012</v>
      </c>
      <c r="D1451" t="s">
        <v>2017</v>
      </c>
      <c r="E1451">
        <v>1648.82</v>
      </c>
      <c r="F1451">
        <f>Cleaned[[#This Row],[Debit]] * Cleaned[[#This Row],[FX_rates]]</f>
        <v>92333.92</v>
      </c>
      <c r="G1451">
        <v>0</v>
      </c>
      <c r="H1451">
        <f>Cleaned[[#This Row],[Credit]] *  Cleaned[[#This Row],[FX_rates]]</f>
        <v>0</v>
      </c>
      <c r="I1451" t="s">
        <v>2022</v>
      </c>
      <c r="J1451" t="s">
        <v>2030</v>
      </c>
      <c r="K1451" t="s">
        <v>3480</v>
      </c>
      <c r="L1451" t="s">
        <v>4033</v>
      </c>
      <c r="M1451">
        <f>Cleaned[[#This Row],[Credit]]-Cleaned[[#This Row],[Debit]]</f>
        <v>-1648.82</v>
      </c>
      <c r="N1451" t="str">
        <f>_xlfn.XLOOKUP(Cleaned[[#This Row],[AccountName]], Account_Mapping!A:A, Account_Mapping!B:B,"Unmapped")</f>
        <v>Operating Expense</v>
      </c>
      <c r="O1451" cm="1">
        <f t="array" ref="O1451">_xlfn.XLOOKUP(
  1,
  (FX_Rates[Currency]=Cleaned[[#This Row],[Currency]])*
  (FX_Rates[RateDate]&lt;=Cleaned[[#This Row],[TxnDate]]),
  FX_Rates[Rate_To_INR],
  ,
  -1
)</f>
        <v>56</v>
      </c>
      <c r="P1451" s="2">
        <f>Cleaned[[#This Row],[Net Amount]] *  Cleaned[[#This Row],[FX_rates]]</f>
        <v>-92333.92</v>
      </c>
    </row>
    <row r="1452" spans="1:16" x14ac:dyDescent="0.45">
      <c r="A1452" t="s">
        <v>1460</v>
      </c>
      <c r="B1452" s="1">
        <v>45781</v>
      </c>
      <c r="C1452" s="2" t="s">
        <v>2014</v>
      </c>
      <c r="D1452" t="s">
        <v>2019</v>
      </c>
      <c r="E1452">
        <v>0</v>
      </c>
      <c r="F1452">
        <f>Cleaned[[#This Row],[Debit]] * Cleaned[[#This Row],[FX_rates]]</f>
        <v>0</v>
      </c>
      <c r="G1452">
        <v>174.57</v>
      </c>
      <c r="H1452">
        <f>Cleaned[[#This Row],[Credit]] *  Cleaned[[#This Row],[FX_rates]]</f>
        <v>14314.74</v>
      </c>
      <c r="I1452" t="s">
        <v>2025</v>
      </c>
      <c r="J1452" t="s">
        <v>2026</v>
      </c>
      <c r="K1452" t="s">
        <v>3481</v>
      </c>
      <c r="L1452" t="s">
        <v>4034</v>
      </c>
      <c r="M1452">
        <f>Cleaned[[#This Row],[Credit]]-Cleaned[[#This Row],[Debit]]</f>
        <v>174.57</v>
      </c>
      <c r="N1452" t="str">
        <f>_xlfn.XLOOKUP(Cleaned[[#This Row],[AccountName]], Account_Mapping!A:A, Account_Mapping!B:B,"Unmapped")</f>
        <v>Revenue</v>
      </c>
      <c r="O1452" cm="1">
        <f t="array" ref="O1452">_xlfn.XLOOKUP(
  1,
  (FX_Rates[Currency]=Cleaned[[#This Row],[Currency]])*
  (FX_Rates[RateDate]&lt;=Cleaned[[#This Row],[TxnDate]]),
  FX_Rates[Rate_To_INR],
  ,
  -1
)</f>
        <v>82</v>
      </c>
      <c r="P1452" s="2">
        <f>Cleaned[[#This Row],[Net Amount]] *  Cleaned[[#This Row],[FX_rates]]</f>
        <v>14314.74</v>
      </c>
    </row>
    <row r="1453" spans="1:16" x14ac:dyDescent="0.45">
      <c r="A1453" t="s">
        <v>1461</v>
      </c>
      <c r="B1453" s="1">
        <v>45366</v>
      </c>
      <c r="C1453" s="2" t="s">
        <v>2012</v>
      </c>
      <c r="D1453" t="s">
        <v>2017</v>
      </c>
      <c r="E1453">
        <v>302.02999999999997</v>
      </c>
      <c r="F1453">
        <f>Cleaned[[#This Row],[Debit]] * Cleaned[[#This Row],[FX_rates]]</f>
        <v>26578.639999999999</v>
      </c>
      <c r="G1453">
        <v>0</v>
      </c>
      <c r="H1453">
        <f>Cleaned[[#This Row],[Credit]] *  Cleaned[[#This Row],[FX_rates]]</f>
        <v>0</v>
      </c>
      <c r="I1453" t="s">
        <v>2021</v>
      </c>
      <c r="J1453" t="s">
        <v>2029</v>
      </c>
      <c r="K1453" t="s">
        <v>3482</v>
      </c>
      <c r="L1453" t="s">
        <v>4032</v>
      </c>
      <c r="M1453">
        <f>Cleaned[[#This Row],[Credit]]-Cleaned[[#This Row],[Debit]]</f>
        <v>-302.02999999999997</v>
      </c>
      <c r="N1453" t="str">
        <f>_xlfn.XLOOKUP(Cleaned[[#This Row],[AccountName]], Account_Mapping!A:A, Account_Mapping!B:B,"Unmapped")</f>
        <v>Operating Expense</v>
      </c>
      <c r="O1453" cm="1">
        <f t="array" ref="O1453">_xlfn.XLOOKUP(
  1,
  (FX_Rates[Currency]=Cleaned[[#This Row],[Currency]])*
  (FX_Rates[RateDate]&lt;=Cleaned[[#This Row],[TxnDate]]),
  FX_Rates[Rate_To_INR],
  ,
  -1
)</f>
        <v>88</v>
      </c>
      <c r="P1453" s="2">
        <f>Cleaned[[#This Row],[Net Amount]] *  Cleaned[[#This Row],[FX_rates]]</f>
        <v>-26578.639999999999</v>
      </c>
    </row>
    <row r="1454" spans="1:16" x14ac:dyDescent="0.45">
      <c r="A1454" t="s">
        <v>1462</v>
      </c>
      <c r="B1454" s="1">
        <v>45450</v>
      </c>
      <c r="C1454" s="2" t="s">
        <v>2012</v>
      </c>
      <c r="D1454" t="s">
        <v>2017</v>
      </c>
      <c r="E1454">
        <v>226.75</v>
      </c>
      <c r="F1454">
        <f>Cleaned[[#This Row],[Debit]] * Cleaned[[#This Row],[FX_rates]]</f>
        <v>13831.75</v>
      </c>
      <c r="G1454">
        <v>0</v>
      </c>
      <c r="H1454">
        <f>Cleaned[[#This Row],[Credit]] *  Cleaned[[#This Row],[FX_rates]]</f>
        <v>0</v>
      </c>
      <c r="I1454" t="s">
        <v>2021</v>
      </c>
      <c r="J1454" t="s">
        <v>2027</v>
      </c>
      <c r="K1454" t="s">
        <v>3483</v>
      </c>
      <c r="L1454" t="s">
        <v>4035</v>
      </c>
      <c r="M1454">
        <f>Cleaned[[#This Row],[Credit]]-Cleaned[[#This Row],[Debit]]</f>
        <v>-226.75</v>
      </c>
      <c r="N1454" t="str">
        <f>_xlfn.XLOOKUP(Cleaned[[#This Row],[AccountName]], Account_Mapping!A:A, Account_Mapping!B:B,"Unmapped")</f>
        <v>Operating Expense</v>
      </c>
      <c r="O1454" cm="1">
        <f t="array" ref="O1454">_xlfn.XLOOKUP(
  1,
  (FX_Rates[Currency]=Cleaned[[#This Row],[Currency]])*
  (FX_Rates[RateDate]&lt;=Cleaned[[#This Row],[TxnDate]]),
  FX_Rates[Rate_To_INR],
  ,
  -1
)</f>
        <v>61</v>
      </c>
      <c r="P1454" s="2">
        <f>Cleaned[[#This Row],[Net Amount]] *  Cleaned[[#This Row],[FX_rates]]</f>
        <v>-13831.75</v>
      </c>
    </row>
    <row r="1455" spans="1:16" x14ac:dyDescent="0.45">
      <c r="A1455" t="s">
        <v>1463</v>
      </c>
      <c r="B1455" s="1">
        <v>45141</v>
      </c>
      <c r="C1455" s="2" t="s">
        <v>2014</v>
      </c>
      <c r="D1455" t="s">
        <v>2019</v>
      </c>
      <c r="E1455">
        <v>0</v>
      </c>
      <c r="F1455">
        <f>Cleaned[[#This Row],[Debit]] * Cleaned[[#This Row],[FX_rates]]</f>
        <v>0</v>
      </c>
      <c r="G1455">
        <v>3167.06</v>
      </c>
      <c r="H1455">
        <f>Cleaned[[#This Row],[Credit]] *  Cleaned[[#This Row],[FX_rates]]</f>
        <v>177355.36</v>
      </c>
      <c r="I1455" t="s">
        <v>2020</v>
      </c>
      <c r="J1455" t="s">
        <v>2028</v>
      </c>
      <c r="K1455" t="s">
        <v>3484</v>
      </c>
      <c r="L1455" t="s">
        <v>4033</v>
      </c>
      <c r="M1455">
        <f>Cleaned[[#This Row],[Credit]]-Cleaned[[#This Row],[Debit]]</f>
        <v>3167.06</v>
      </c>
      <c r="N1455" t="str">
        <f>_xlfn.XLOOKUP(Cleaned[[#This Row],[AccountName]], Account_Mapping!A:A, Account_Mapping!B:B,"Unmapped")</f>
        <v>Revenue</v>
      </c>
      <c r="O1455" cm="1">
        <f t="array" ref="O1455">_xlfn.XLOOKUP(
  1,
  (FX_Rates[Currency]=Cleaned[[#This Row],[Currency]])*
  (FX_Rates[RateDate]&lt;=Cleaned[[#This Row],[TxnDate]]),
  FX_Rates[Rate_To_INR],
  ,
  -1
)</f>
        <v>56</v>
      </c>
      <c r="P1455" s="2">
        <f>Cleaned[[#This Row],[Net Amount]] *  Cleaned[[#This Row],[FX_rates]]</f>
        <v>177355.36</v>
      </c>
    </row>
    <row r="1456" spans="1:16" x14ac:dyDescent="0.45">
      <c r="A1456" t="s">
        <v>1464</v>
      </c>
      <c r="B1456" s="1">
        <v>44929</v>
      </c>
      <c r="C1456" s="2" t="s">
        <v>2011</v>
      </c>
      <c r="D1456" t="s">
        <v>2016</v>
      </c>
      <c r="E1456">
        <v>1135.3699999999999</v>
      </c>
      <c r="F1456">
        <f>Cleaned[[#This Row],[Debit]] * Cleaned[[#This Row],[FX_rates]]</f>
        <v>63580.719999999994</v>
      </c>
      <c r="G1456">
        <v>0</v>
      </c>
      <c r="H1456">
        <f>Cleaned[[#This Row],[Credit]] *  Cleaned[[#This Row],[FX_rates]]</f>
        <v>0</v>
      </c>
      <c r="I1456" t="s">
        <v>2023</v>
      </c>
      <c r="J1456" t="s">
        <v>2030</v>
      </c>
      <c r="K1456" t="s">
        <v>3485</v>
      </c>
      <c r="L1456" t="s">
        <v>4033</v>
      </c>
      <c r="M1456">
        <f>Cleaned[[#This Row],[Credit]]-Cleaned[[#This Row],[Debit]]</f>
        <v>-1135.3699999999999</v>
      </c>
      <c r="N1456" t="str">
        <f>_xlfn.XLOOKUP(Cleaned[[#This Row],[AccountName]], Account_Mapping!A:A, Account_Mapping!B:B,"Unmapped")</f>
        <v>COGS</v>
      </c>
      <c r="O1456" cm="1">
        <f t="array" ref="O1456">_xlfn.XLOOKUP(
  1,
  (FX_Rates[Currency]=Cleaned[[#This Row],[Currency]])*
  (FX_Rates[RateDate]&lt;=Cleaned[[#This Row],[TxnDate]]),
  FX_Rates[Rate_To_INR],
  ,
  -1
)</f>
        <v>56</v>
      </c>
      <c r="P1456" s="2">
        <f>Cleaned[[#This Row],[Net Amount]] *  Cleaned[[#This Row],[FX_rates]]</f>
        <v>-63580.719999999994</v>
      </c>
    </row>
    <row r="1457" spans="1:16" x14ac:dyDescent="0.45">
      <c r="A1457" t="s">
        <v>1465</v>
      </c>
      <c r="B1457" s="1">
        <v>45649</v>
      </c>
      <c r="C1457" s="2" t="s">
        <v>2012</v>
      </c>
      <c r="D1457" t="s">
        <v>2017</v>
      </c>
      <c r="E1457">
        <v>418.07</v>
      </c>
      <c r="F1457">
        <f>Cleaned[[#This Row],[Debit]] * Cleaned[[#This Row],[FX_rates]]</f>
        <v>25502.27</v>
      </c>
      <c r="G1457">
        <v>0</v>
      </c>
      <c r="H1457">
        <f>Cleaned[[#This Row],[Credit]] *  Cleaned[[#This Row],[FX_rates]]</f>
        <v>0</v>
      </c>
      <c r="I1457" t="s">
        <v>2025</v>
      </c>
      <c r="J1457" t="s">
        <v>2030</v>
      </c>
      <c r="K1457" t="s">
        <v>3486</v>
      </c>
      <c r="L1457" t="s">
        <v>4035</v>
      </c>
      <c r="M1457">
        <f>Cleaned[[#This Row],[Credit]]-Cleaned[[#This Row],[Debit]]</f>
        <v>-418.07</v>
      </c>
      <c r="N1457" t="str">
        <f>_xlfn.XLOOKUP(Cleaned[[#This Row],[AccountName]], Account_Mapping!A:A, Account_Mapping!B:B,"Unmapped")</f>
        <v>Operating Expense</v>
      </c>
      <c r="O1457" cm="1">
        <f t="array" ref="O1457">_xlfn.XLOOKUP(
  1,
  (FX_Rates[Currency]=Cleaned[[#This Row],[Currency]])*
  (FX_Rates[RateDate]&lt;=Cleaned[[#This Row],[TxnDate]]),
  FX_Rates[Rate_To_INR],
  ,
  -1
)</f>
        <v>61</v>
      </c>
      <c r="P1457" s="2">
        <f>Cleaned[[#This Row],[Net Amount]] *  Cleaned[[#This Row],[FX_rates]]</f>
        <v>-25502.27</v>
      </c>
    </row>
    <row r="1458" spans="1:16" x14ac:dyDescent="0.45">
      <c r="A1458" t="s">
        <v>1466</v>
      </c>
      <c r="B1458" s="1">
        <v>45635</v>
      </c>
      <c r="C1458" s="2" t="s">
        <v>2010</v>
      </c>
      <c r="D1458" t="s">
        <v>2015</v>
      </c>
      <c r="E1458">
        <v>0</v>
      </c>
      <c r="F1458">
        <f>Cleaned[[#This Row],[Debit]] * Cleaned[[#This Row],[FX_rates]]</f>
        <v>0</v>
      </c>
      <c r="G1458">
        <v>3400.48</v>
      </c>
      <c r="H1458">
        <f>Cleaned[[#This Row],[Credit]] *  Cleaned[[#This Row],[FX_rates]]</f>
        <v>190426.88</v>
      </c>
      <c r="I1458" t="s">
        <v>2020</v>
      </c>
      <c r="J1458" t="s">
        <v>2030</v>
      </c>
      <c r="K1458" t="s">
        <v>3487</v>
      </c>
      <c r="L1458" t="s">
        <v>4033</v>
      </c>
      <c r="M1458">
        <f>Cleaned[[#This Row],[Credit]]-Cleaned[[#This Row],[Debit]]</f>
        <v>3400.48</v>
      </c>
      <c r="N1458" t="str">
        <f>_xlfn.XLOOKUP(Cleaned[[#This Row],[AccountName]], Account_Mapping!A:A, Account_Mapping!B:B,"Unmapped")</f>
        <v>Revenue</v>
      </c>
      <c r="O1458" cm="1">
        <f t="array" ref="O1458">_xlfn.XLOOKUP(
  1,
  (FX_Rates[Currency]=Cleaned[[#This Row],[Currency]])*
  (FX_Rates[RateDate]&lt;=Cleaned[[#This Row],[TxnDate]]),
  FX_Rates[Rate_To_INR],
  ,
  -1
)</f>
        <v>56</v>
      </c>
      <c r="P1458" s="2">
        <f>Cleaned[[#This Row],[Net Amount]] *  Cleaned[[#This Row],[FX_rates]]</f>
        <v>190426.88</v>
      </c>
    </row>
    <row r="1459" spans="1:16" x14ac:dyDescent="0.45">
      <c r="A1459" t="s">
        <v>1467</v>
      </c>
      <c r="B1459" s="1">
        <v>45327</v>
      </c>
      <c r="C1459" s="2" t="s">
        <v>2011</v>
      </c>
      <c r="D1459" t="s">
        <v>2016</v>
      </c>
      <c r="E1459">
        <v>67.56</v>
      </c>
      <c r="F1459">
        <f>Cleaned[[#This Row],[Debit]] * Cleaned[[#This Row],[FX_rates]]</f>
        <v>6958.68</v>
      </c>
      <c r="G1459">
        <v>0</v>
      </c>
      <c r="H1459">
        <f>Cleaned[[#This Row],[Credit]] *  Cleaned[[#This Row],[FX_rates]]</f>
        <v>0</v>
      </c>
      <c r="I1459" t="s">
        <v>2025</v>
      </c>
      <c r="J1459" t="s">
        <v>2026</v>
      </c>
      <c r="K1459" t="s">
        <v>3488</v>
      </c>
      <c r="L1459" t="s">
        <v>4031</v>
      </c>
      <c r="M1459">
        <f>Cleaned[[#This Row],[Credit]]-Cleaned[[#This Row],[Debit]]</f>
        <v>-67.56</v>
      </c>
      <c r="N1459" t="str">
        <f>_xlfn.XLOOKUP(Cleaned[[#This Row],[AccountName]], Account_Mapping!A:A, Account_Mapping!B:B,"Unmapped")</f>
        <v>COGS</v>
      </c>
      <c r="O1459" cm="1">
        <f t="array" ref="O1459">_xlfn.XLOOKUP(
  1,
  (FX_Rates[Currency]=Cleaned[[#This Row],[Currency]])*
  (FX_Rates[RateDate]&lt;=Cleaned[[#This Row],[TxnDate]]),
  FX_Rates[Rate_To_INR],
  ,
  -1
)</f>
        <v>103</v>
      </c>
      <c r="P1459" s="2">
        <f>Cleaned[[#This Row],[Net Amount]] *  Cleaned[[#This Row],[FX_rates]]</f>
        <v>-6958.68</v>
      </c>
    </row>
    <row r="1460" spans="1:16" x14ac:dyDescent="0.45">
      <c r="A1460" t="s">
        <v>1468</v>
      </c>
      <c r="B1460" s="1">
        <v>45430</v>
      </c>
      <c r="C1460" s="2" t="s">
        <v>2010</v>
      </c>
      <c r="D1460" t="s">
        <v>2015</v>
      </c>
      <c r="E1460">
        <v>0</v>
      </c>
      <c r="F1460">
        <f>Cleaned[[#This Row],[Debit]] * Cleaned[[#This Row],[FX_rates]]</f>
        <v>0</v>
      </c>
      <c r="G1460">
        <v>2980.92</v>
      </c>
      <c r="H1460">
        <f>Cleaned[[#This Row],[Credit]] *  Cleaned[[#This Row],[FX_rates]]</f>
        <v>166931.52000000002</v>
      </c>
      <c r="I1460" t="s">
        <v>2023</v>
      </c>
      <c r="J1460" t="s">
        <v>2028</v>
      </c>
      <c r="K1460" t="s">
        <v>3489</v>
      </c>
      <c r="L1460" t="s">
        <v>4033</v>
      </c>
      <c r="M1460">
        <f>Cleaned[[#This Row],[Credit]]-Cleaned[[#This Row],[Debit]]</f>
        <v>2980.92</v>
      </c>
      <c r="N1460" t="str">
        <f>_xlfn.XLOOKUP(Cleaned[[#This Row],[AccountName]], Account_Mapping!A:A, Account_Mapping!B:B,"Unmapped")</f>
        <v>Revenue</v>
      </c>
      <c r="O1460" cm="1">
        <f t="array" ref="O1460">_xlfn.XLOOKUP(
  1,
  (FX_Rates[Currency]=Cleaned[[#This Row],[Currency]])*
  (FX_Rates[RateDate]&lt;=Cleaned[[#This Row],[TxnDate]]),
  FX_Rates[Rate_To_INR],
  ,
  -1
)</f>
        <v>56</v>
      </c>
      <c r="P1460" s="2">
        <f>Cleaned[[#This Row],[Net Amount]] *  Cleaned[[#This Row],[FX_rates]]</f>
        <v>166931.52000000002</v>
      </c>
    </row>
    <row r="1461" spans="1:16" x14ac:dyDescent="0.45">
      <c r="A1461" t="s">
        <v>1469</v>
      </c>
      <c r="B1461" s="1">
        <v>45452</v>
      </c>
      <c r="C1461" s="2" t="s">
        <v>2013</v>
      </c>
      <c r="D1461" t="s">
        <v>2018</v>
      </c>
      <c r="E1461">
        <v>1093.1300000000001</v>
      </c>
      <c r="F1461">
        <f>Cleaned[[#This Row],[Debit]] * Cleaned[[#This Row],[FX_rates]]</f>
        <v>89636.66</v>
      </c>
      <c r="G1461">
        <v>0</v>
      </c>
      <c r="H1461">
        <f>Cleaned[[#This Row],[Credit]] *  Cleaned[[#This Row],[FX_rates]]</f>
        <v>0</v>
      </c>
      <c r="I1461" t="s">
        <v>2022</v>
      </c>
      <c r="J1461" t="s">
        <v>2029</v>
      </c>
      <c r="K1461" t="s">
        <v>3490</v>
      </c>
      <c r="L1461" t="s">
        <v>4034</v>
      </c>
      <c r="M1461">
        <f>Cleaned[[#This Row],[Credit]]-Cleaned[[#This Row],[Debit]]</f>
        <v>-1093.1300000000001</v>
      </c>
      <c r="N1461" t="str">
        <f>_xlfn.XLOOKUP(Cleaned[[#This Row],[AccountName]], Account_Mapping!A:A, Account_Mapping!B:B,"Unmapped")</f>
        <v>Operating Expense</v>
      </c>
      <c r="O1461" cm="1">
        <f t="array" ref="O1461">_xlfn.XLOOKUP(
  1,
  (FX_Rates[Currency]=Cleaned[[#This Row],[Currency]])*
  (FX_Rates[RateDate]&lt;=Cleaned[[#This Row],[TxnDate]]),
  FX_Rates[Rate_To_INR],
  ,
  -1
)</f>
        <v>82</v>
      </c>
      <c r="P1461" s="2">
        <f>Cleaned[[#This Row],[Net Amount]] *  Cleaned[[#This Row],[FX_rates]]</f>
        <v>-89636.66</v>
      </c>
    </row>
    <row r="1462" spans="1:16" x14ac:dyDescent="0.45">
      <c r="A1462" t="s">
        <v>1470</v>
      </c>
      <c r="B1462" s="1">
        <v>45823</v>
      </c>
      <c r="C1462" s="2" t="s">
        <v>2014</v>
      </c>
      <c r="D1462" t="s">
        <v>2019</v>
      </c>
      <c r="E1462">
        <v>0</v>
      </c>
      <c r="F1462">
        <f>Cleaned[[#This Row],[Debit]] * Cleaned[[#This Row],[FX_rates]]</f>
        <v>0</v>
      </c>
      <c r="G1462">
        <v>3048.03</v>
      </c>
      <c r="H1462">
        <f>Cleaned[[#This Row],[Credit]] *  Cleaned[[#This Row],[FX_rates]]</f>
        <v>185929.83000000002</v>
      </c>
      <c r="I1462" t="s">
        <v>2024</v>
      </c>
      <c r="J1462" t="s">
        <v>2030</v>
      </c>
      <c r="K1462" t="s">
        <v>3491</v>
      </c>
      <c r="L1462" t="s">
        <v>4035</v>
      </c>
      <c r="M1462">
        <f>Cleaned[[#This Row],[Credit]]-Cleaned[[#This Row],[Debit]]</f>
        <v>3048.03</v>
      </c>
      <c r="N1462" t="str">
        <f>_xlfn.XLOOKUP(Cleaned[[#This Row],[AccountName]], Account_Mapping!A:A, Account_Mapping!B:B,"Unmapped")</f>
        <v>Revenue</v>
      </c>
      <c r="O1462" cm="1">
        <f t="array" ref="O1462">_xlfn.XLOOKUP(
  1,
  (FX_Rates[Currency]=Cleaned[[#This Row],[Currency]])*
  (FX_Rates[RateDate]&lt;=Cleaned[[#This Row],[TxnDate]]),
  FX_Rates[Rate_To_INR],
  ,
  -1
)</f>
        <v>61</v>
      </c>
      <c r="P1462" s="2">
        <f>Cleaned[[#This Row],[Net Amount]] *  Cleaned[[#This Row],[FX_rates]]</f>
        <v>185929.83000000002</v>
      </c>
    </row>
    <row r="1463" spans="1:16" x14ac:dyDescent="0.45">
      <c r="A1463" t="s">
        <v>1471</v>
      </c>
      <c r="B1463" s="1">
        <v>45649</v>
      </c>
      <c r="C1463" s="2" t="s">
        <v>2012</v>
      </c>
      <c r="D1463" t="s">
        <v>2017</v>
      </c>
      <c r="E1463">
        <v>1020.63</v>
      </c>
      <c r="F1463">
        <f>Cleaned[[#This Row],[Debit]] * Cleaned[[#This Row],[FX_rates]]</f>
        <v>57155.28</v>
      </c>
      <c r="G1463">
        <v>0</v>
      </c>
      <c r="H1463">
        <f>Cleaned[[#This Row],[Credit]] *  Cleaned[[#This Row],[FX_rates]]</f>
        <v>0</v>
      </c>
      <c r="I1463" t="s">
        <v>2023</v>
      </c>
      <c r="J1463" t="s">
        <v>2028</v>
      </c>
      <c r="K1463" t="s">
        <v>3492</v>
      </c>
      <c r="L1463" t="s">
        <v>4033</v>
      </c>
      <c r="M1463">
        <f>Cleaned[[#This Row],[Credit]]-Cleaned[[#This Row],[Debit]]</f>
        <v>-1020.63</v>
      </c>
      <c r="N1463" t="str">
        <f>_xlfn.XLOOKUP(Cleaned[[#This Row],[AccountName]], Account_Mapping!A:A, Account_Mapping!B:B,"Unmapped")</f>
        <v>Operating Expense</v>
      </c>
      <c r="O1463" cm="1">
        <f t="array" ref="O1463">_xlfn.XLOOKUP(
  1,
  (FX_Rates[Currency]=Cleaned[[#This Row],[Currency]])*
  (FX_Rates[RateDate]&lt;=Cleaned[[#This Row],[TxnDate]]),
  FX_Rates[Rate_To_INR],
  ,
  -1
)</f>
        <v>56</v>
      </c>
      <c r="P1463" s="2">
        <f>Cleaned[[#This Row],[Net Amount]] *  Cleaned[[#This Row],[FX_rates]]</f>
        <v>-57155.28</v>
      </c>
    </row>
    <row r="1464" spans="1:16" x14ac:dyDescent="0.45">
      <c r="A1464" t="s">
        <v>1472</v>
      </c>
      <c r="B1464" s="1">
        <v>45047</v>
      </c>
      <c r="C1464" s="2" t="s">
        <v>2013</v>
      </c>
      <c r="D1464" t="s">
        <v>2018</v>
      </c>
      <c r="E1464">
        <v>1162.8900000000001</v>
      </c>
      <c r="F1464">
        <f>Cleaned[[#This Row],[Debit]] * Cleaned[[#This Row],[FX_rates]]</f>
        <v>119777.67000000001</v>
      </c>
      <c r="G1464">
        <v>0</v>
      </c>
      <c r="H1464">
        <f>Cleaned[[#This Row],[Credit]] *  Cleaned[[#This Row],[FX_rates]]</f>
        <v>0</v>
      </c>
      <c r="I1464" t="s">
        <v>2020</v>
      </c>
      <c r="J1464" t="s">
        <v>2026</v>
      </c>
      <c r="K1464" t="s">
        <v>3493</v>
      </c>
      <c r="L1464" t="s">
        <v>4031</v>
      </c>
      <c r="M1464">
        <f>Cleaned[[#This Row],[Credit]]-Cleaned[[#This Row],[Debit]]</f>
        <v>-1162.8900000000001</v>
      </c>
      <c r="N1464" t="str">
        <f>_xlfn.XLOOKUP(Cleaned[[#This Row],[AccountName]], Account_Mapping!A:A, Account_Mapping!B:B,"Unmapped")</f>
        <v>Operating Expense</v>
      </c>
      <c r="O1464" cm="1">
        <f t="array" ref="O1464">_xlfn.XLOOKUP(
  1,
  (FX_Rates[Currency]=Cleaned[[#This Row],[Currency]])*
  (FX_Rates[RateDate]&lt;=Cleaned[[#This Row],[TxnDate]]),
  FX_Rates[Rate_To_INR],
  ,
  -1
)</f>
        <v>103</v>
      </c>
      <c r="P1464" s="2">
        <f>Cleaned[[#This Row],[Net Amount]] *  Cleaned[[#This Row],[FX_rates]]</f>
        <v>-119777.67000000001</v>
      </c>
    </row>
    <row r="1465" spans="1:16" x14ac:dyDescent="0.45">
      <c r="A1465" t="s">
        <v>1473</v>
      </c>
      <c r="B1465" s="1">
        <v>45824</v>
      </c>
      <c r="C1465" s="2" t="s">
        <v>2011</v>
      </c>
      <c r="D1465" t="s">
        <v>2016</v>
      </c>
      <c r="E1465">
        <v>783.53</v>
      </c>
      <c r="F1465">
        <f>Cleaned[[#This Row],[Debit]] * Cleaned[[#This Row],[FX_rates]]</f>
        <v>80703.59</v>
      </c>
      <c r="G1465">
        <v>0</v>
      </c>
      <c r="H1465">
        <f>Cleaned[[#This Row],[Credit]] *  Cleaned[[#This Row],[FX_rates]]</f>
        <v>0</v>
      </c>
      <c r="I1465" t="s">
        <v>2025</v>
      </c>
      <c r="J1465" t="s">
        <v>2027</v>
      </c>
      <c r="K1465" t="s">
        <v>3494</v>
      </c>
      <c r="L1465" t="s">
        <v>4031</v>
      </c>
      <c r="M1465">
        <f>Cleaned[[#This Row],[Credit]]-Cleaned[[#This Row],[Debit]]</f>
        <v>-783.53</v>
      </c>
      <c r="N1465" t="str">
        <f>_xlfn.XLOOKUP(Cleaned[[#This Row],[AccountName]], Account_Mapping!A:A, Account_Mapping!B:B,"Unmapped")</f>
        <v>COGS</v>
      </c>
      <c r="O1465" cm="1">
        <f t="array" ref="O1465">_xlfn.XLOOKUP(
  1,
  (FX_Rates[Currency]=Cleaned[[#This Row],[Currency]])*
  (FX_Rates[RateDate]&lt;=Cleaned[[#This Row],[TxnDate]]),
  FX_Rates[Rate_To_INR],
  ,
  -1
)</f>
        <v>103</v>
      </c>
      <c r="P1465" s="2">
        <f>Cleaned[[#This Row],[Net Amount]] *  Cleaned[[#This Row],[FX_rates]]</f>
        <v>-80703.59</v>
      </c>
    </row>
    <row r="1466" spans="1:16" x14ac:dyDescent="0.45">
      <c r="A1466" t="s">
        <v>1474</v>
      </c>
      <c r="B1466" s="1">
        <v>45337</v>
      </c>
      <c r="C1466" s="2" t="s">
        <v>2010</v>
      </c>
      <c r="D1466" t="s">
        <v>2015</v>
      </c>
      <c r="E1466">
        <v>0</v>
      </c>
      <c r="F1466">
        <f>Cleaned[[#This Row],[Debit]] * Cleaned[[#This Row],[FX_rates]]</f>
        <v>0</v>
      </c>
      <c r="G1466">
        <v>3125.16</v>
      </c>
      <c r="H1466">
        <f>Cleaned[[#This Row],[Credit]] *  Cleaned[[#This Row],[FX_rates]]</f>
        <v>275014.07999999996</v>
      </c>
      <c r="I1466" t="s">
        <v>2020</v>
      </c>
      <c r="J1466" t="s">
        <v>2029</v>
      </c>
      <c r="K1466" t="s">
        <v>3495</v>
      </c>
      <c r="L1466" t="s">
        <v>4032</v>
      </c>
      <c r="M1466">
        <f>Cleaned[[#This Row],[Credit]]-Cleaned[[#This Row],[Debit]]</f>
        <v>3125.16</v>
      </c>
      <c r="N1466" t="str">
        <f>_xlfn.XLOOKUP(Cleaned[[#This Row],[AccountName]], Account_Mapping!A:A, Account_Mapping!B:B,"Unmapped")</f>
        <v>Revenue</v>
      </c>
      <c r="O1466" cm="1">
        <f t="array" ref="O1466">_xlfn.XLOOKUP(
  1,
  (FX_Rates[Currency]=Cleaned[[#This Row],[Currency]])*
  (FX_Rates[RateDate]&lt;=Cleaned[[#This Row],[TxnDate]]),
  FX_Rates[Rate_To_INR],
  ,
  -1
)</f>
        <v>88</v>
      </c>
      <c r="P1466" s="2">
        <f>Cleaned[[#This Row],[Net Amount]] *  Cleaned[[#This Row],[FX_rates]]</f>
        <v>275014.07999999996</v>
      </c>
    </row>
    <row r="1467" spans="1:16" x14ac:dyDescent="0.45">
      <c r="A1467" t="s">
        <v>1475</v>
      </c>
      <c r="B1467" s="1">
        <v>45508</v>
      </c>
      <c r="C1467" s="2" t="s">
        <v>2011</v>
      </c>
      <c r="D1467" t="s">
        <v>2016</v>
      </c>
      <c r="E1467">
        <v>1578.71</v>
      </c>
      <c r="F1467">
        <f>Cleaned[[#This Row],[Debit]] * Cleaned[[#This Row],[FX_rates]]</f>
        <v>138926.48000000001</v>
      </c>
      <c r="G1467">
        <v>0</v>
      </c>
      <c r="H1467">
        <f>Cleaned[[#This Row],[Credit]] *  Cleaned[[#This Row],[FX_rates]]</f>
        <v>0</v>
      </c>
      <c r="I1467" t="s">
        <v>2024</v>
      </c>
      <c r="J1467" t="s">
        <v>2027</v>
      </c>
      <c r="K1467" t="s">
        <v>3496</v>
      </c>
      <c r="L1467" t="s">
        <v>4032</v>
      </c>
      <c r="M1467">
        <f>Cleaned[[#This Row],[Credit]]-Cleaned[[#This Row],[Debit]]</f>
        <v>-1578.71</v>
      </c>
      <c r="N1467" t="str">
        <f>_xlfn.XLOOKUP(Cleaned[[#This Row],[AccountName]], Account_Mapping!A:A, Account_Mapping!B:B,"Unmapped")</f>
        <v>COGS</v>
      </c>
      <c r="O1467" cm="1">
        <f t="array" ref="O1467">_xlfn.XLOOKUP(
  1,
  (FX_Rates[Currency]=Cleaned[[#This Row],[Currency]])*
  (FX_Rates[RateDate]&lt;=Cleaned[[#This Row],[TxnDate]]),
  FX_Rates[Rate_To_INR],
  ,
  -1
)</f>
        <v>88</v>
      </c>
      <c r="P1467" s="2">
        <f>Cleaned[[#This Row],[Net Amount]] *  Cleaned[[#This Row],[FX_rates]]</f>
        <v>-138926.48000000001</v>
      </c>
    </row>
    <row r="1468" spans="1:16" x14ac:dyDescent="0.45">
      <c r="A1468" t="s">
        <v>1476</v>
      </c>
      <c r="B1468" s="1">
        <v>45247</v>
      </c>
      <c r="C1468" s="2" t="s">
        <v>2010</v>
      </c>
      <c r="D1468" t="s">
        <v>2015</v>
      </c>
      <c r="E1468">
        <v>0</v>
      </c>
      <c r="F1468">
        <f>Cleaned[[#This Row],[Debit]] * Cleaned[[#This Row],[FX_rates]]</f>
        <v>0</v>
      </c>
      <c r="G1468">
        <v>4453.8</v>
      </c>
      <c r="H1468">
        <f>Cleaned[[#This Row],[Credit]] *  Cleaned[[#This Row],[FX_rates]]</f>
        <v>365211.60000000003</v>
      </c>
      <c r="I1468" t="s">
        <v>2024</v>
      </c>
      <c r="J1468" t="s">
        <v>2028</v>
      </c>
      <c r="K1468" t="s">
        <v>3497</v>
      </c>
      <c r="L1468" t="s">
        <v>4034</v>
      </c>
      <c r="M1468">
        <f>Cleaned[[#This Row],[Credit]]-Cleaned[[#This Row],[Debit]]</f>
        <v>4453.8</v>
      </c>
      <c r="N1468" t="str">
        <f>_xlfn.XLOOKUP(Cleaned[[#This Row],[AccountName]], Account_Mapping!A:A, Account_Mapping!B:B,"Unmapped")</f>
        <v>Revenue</v>
      </c>
      <c r="O1468" cm="1">
        <f t="array" ref="O1468">_xlfn.XLOOKUP(
  1,
  (FX_Rates[Currency]=Cleaned[[#This Row],[Currency]])*
  (FX_Rates[RateDate]&lt;=Cleaned[[#This Row],[TxnDate]]),
  FX_Rates[Rate_To_INR],
  ,
  -1
)</f>
        <v>82</v>
      </c>
      <c r="P1468" s="2">
        <f>Cleaned[[#This Row],[Net Amount]] *  Cleaned[[#This Row],[FX_rates]]</f>
        <v>365211.60000000003</v>
      </c>
    </row>
    <row r="1469" spans="1:16" x14ac:dyDescent="0.45">
      <c r="A1469" t="s">
        <v>1477</v>
      </c>
      <c r="B1469" s="1">
        <v>45173</v>
      </c>
      <c r="C1469" s="2" t="s">
        <v>2010</v>
      </c>
      <c r="D1469" t="s">
        <v>2015</v>
      </c>
      <c r="E1469">
        <v>0</v>
      </c>
      <c r="F1469">
        <f>Cleaned[[#This Row],[Debit]] * Cleaned[[#This Row],[FX_rates]]</f>
        <v>0</v>
      </c>
      <c r="G1469">
        <v>4929.5200000000004</v>
      </c>
      <c r="H1469">
        <f>Cleaned[[#This Row],[Credit]] *  Cleaned[[#This Row],[FX_rates]]</f>
        <v>507740.56000000006</v>
      </c>
      <c r="I1469" t="s">
        <v>2025</v>
      </c>
      <c r="J1469" t="s">
        <v>2028</v>
      </c>
      <c r="K1469" t="s">
        <v>3498</v>
      </c>
      <c r="L1469" t="s">
        <v>4031</v>
      </c>
      <c r="M1469">
        <f>Cleaned[[#This Row],[Credit]]-Cleaned[[#This Row],[Debit]]</f>
        <v>4929.5200000000004</v>
      </c>
      <c r="N1469" t="str">
        <f>_xlfn.XLOOKUP(Cleaned[[#This Row],[AccountName]], Account_Mapping!A:A, Account_Mapping!B:B,"Unmapped")</f>
        <v>Revenue</v>
      </c>
      <c r="O1469" cm="1">
        <f t="array" ref="O1469">_xlfn.XLOOKUP(
  1,
  (FX_Rates[Currency]=Cleaned[[#This Row],[Currency]])*
  (FX_Rates[RateDate]&lt;=Cleaned[[#This Row],[TxnDate]]),
  FX_Rates[Rate_To_INR],
  ,
  -1
)</f>
        <v>103</v>
      </c>
      <c r="P1469" s="2">
        <f>Cleaned[[#This Row],[Net Amount]] *  Cleaned[[#This Row],[FX_rates]]</f>
        <v>507740.56000000006</v>
      </c>
    </row>
    <row r="1470" spans="1:16" x14ac:dyDescent="0.45">
      <c r="A1470" t="s">
        <v>1478</v>
      </c>
      <c r="B1470" s="1">
        <v>44976</v>
      </c>
      <c r="C1470" s="2" t="s">
        <v>2011</v>
      </c>
      <c r="D1470" t="s">
        <v>2016</v>
      </c>
      <c r="E1470">
        <v>537.51</v>
      </c>
      <c r="F1470">
        <f>Cleaned[[#This Row],[Debit]] * Cleaned[[#This Row],[FX_rates]]</f>
        <v>55363.53</v>
      </c>
      <c r="G1470">
        <v>0</v>
      </c>
      <c r="H1470">
        <f>Cleaned[[#This Row],[Credit]] *  Cleaned[[#This Row],[FX_rates]]</f>
        <v>0</v>
      </c>
      <c r="I1470" t="s">
        <v>2024</v>
      </c>
      <c r="J1470" t="s">
        <v>2028</v>
      </c>
      <c r="K1470" t="s">
        <v>3499</v>
      </c>
      <c r="L1470" t="s">
        <v>4031</v>
      </c>
      <c r="M1470">
        <f>Cleaned[[#This Row],[Credit]]-Cleaned[[#This Row],[Debit]]</f>
        <v>-537.51</v>
      </c>
      <c r="N1470" t="str">
        <f>_xlfn.XLOOKUP(Cleaned[[#This Row],[AccountName]], Account_Mapping!A:A, Account_Mapping!B:B,"Unmapped")</f>
        <v>COGS</v>
      </c>
      <c r="O1470" cm="1">
        <f t="array" ref="O1470">_xlfn.XLOOKUP(
  1,
  (FX_Rates[Currency]=Cleaned[[#This Row],[Currency]])*
  (FX_Rates[RateDate]&lt;=Cleaned[[#This Row],[TxnDate]]),
  FX_Rates[Rate_To_INR],
  ,
  -1
)</f>
        <v>103</v>
      </c>
      <c r="P1470" s="2">
        <f>Cleaned[[#This Row],[Net Amount]] *  Cleaned[[#This Row],[FX_rates]]</f>
        <v>-55363.53</v>
      </c>
    </row>
    <row r="1471" spans="1:16" x14ac:dyDescent="0.45">
      <c r="A1471" t="s">
        <v>1479</v>
      </c>
      <c r="B1471" s="1">
        <v>45641</v>
      </c>
      <c r="C1471" s="2" t="s">
        <v>2011</v>
      </c>
      <c r="D1471" t="s">
        <v>2016</v>
      </c>
      <c r="E1471">
        <v>554.87</v>
      </c>
      <c r="F1471">
        <f>Cleaned[[#This Row],[Debit]] * Cleaned[[#This Row],[FX_rates]]</f>
        <v>57151.61</v>
      </c>
      <c r="G1471">
        <v>0</v>
      </c>
      <c r="H1471">
        <f>Cleaned[[#This Row],[Credit]] *  Cleaned[[#This Row],[FX_rates]]</f>
        <v>0</v>
      </c>
      <c r="I1471" t="s">
        <v>2023</v>
      </c>
      <c r="J1471" t="s">
        <v>2027</v>
      </c>
      <c r="K1471" t="s">
        <v>3500</v>
      </c>
      <c r="L1471" t="s">
        <v>4031</v>
      </c>
      <c r="M1471">
        <f>Cleaned[[#This Row],[Credit]]-Cleaned[[#This Row],[Debit]]</f>
        <v>-554.87</v>
      </c>
      <c r="N1471" t="str">
        <f>_xlfn.XLOOKUP(Cleaned[[#This Row],[AccountName]], Account_Mapping!A:A, Account_Mapping!B:B,"Unmapped")</f>
        <v>COGS</v>
      </c>
      <c r="O1471" cm="1">
        <f t="array" ref="O1471">_xlfn.XLOOKUP(
  1,
  (FX_Rates[Currency]=Cleaned[[#This Row],[Currency]])*
  (FX_Rates[RateDate]&lt;=Cleaned[[#This Row],[TxnDate]]),
  FX_Rates[Rate_To_INR],
  ,
  -1
)</f>
        <v>103</v>
      </c>
      <c r="P1471" s="2">
        <f>Cleaned[[#This Row],[Net Amount]] *  Cleaned[[#This Row],[FX_rates]]</f>
        <v>-57151.61</v>
      </c>
    </row>
    <row r="1472" spans="1:16" x14ac:dyDescent="0.45">
      <c r="A1472" t="s">
        <v>1480</v>
      </c>
      <c r="B1472" s="1">
        <v>45406</v>
      </c>
      <c r="C1472" s="2" t="s">
        <v>2014</v>
      </c>
      <c r="D1472" t="s">
        <v>2019</v>
      </c>
      <c r="E1472">
        <v>0</v>
      </c>
      <c r="F1472">
        <f>Cleaned[[#This Row],[Debit]] * Cleaned[[#This Row],[FX_rates]]</f>
        <v>0</v>
      </c>
      <c r="G1472">
        <v>4941.29</v>
      </c>
      <c r="H1472">
        <f>Cleaned[[#This Row],[Credit]] *  Cleaned[[#This Row],[FX_rates]]</f>
        <v>276712.24</v>
      </c>
      <c r="I1472" t="s">
        <v>2023</v>
      </c>
      <c r="J1472" t="s">
        <v>2029</v>
      </c>
      <c r="K1472" t="s">
        <v>3501</v>
      </c>
      <c r="L1472" t="s">
        <v>4033</v>
      </c>
      <c r="M1472">
        <f>Cleaned[[#This Row],[Credit]]-Cleaned[[#This Row],[Debit]]</f>
        <v>4941.29</v>
      </c>
      <c r="N1472" t="str">
        <f>_xlfn.XLOOKUP(Cleaned[[#This Row],[AccountName]], Account_Mapping!A:A, Account_Mapping!B:B,"Unmapped")</f>
        <v>Revenue</v>
      </c>
      <c r="O1472" cm="1">
        <f t="array" ref="O1472">_xlfn.XLOOKUP(
  1,
  (FX_Rates[Currency]=Cleaned[[#This Row],[Currency]])*
  (FX_Rates[RateDate]&lt;=Cleaned[[#This Row],[TxnDate]]),
  FX_Rates[Rate_To_INR],
  ,
  -1
)</f>
        <v>56</v>
      </c>
      <c r="P1472" s="2">
        <f>Cleaned[[#This Row],[Net Amount]] *  Cleaned[[#This Row],[FX_rates]]</f>
        <v>276712.24</v>
      </c>
    </row>
    <row r="1473" spans="1:16" x14ac:dyDescent="0.45">
      <c r="A1473" t="s">
        <v>1481</v>
      </c>
      <c r="B1473" s="1">
        <v>45246</v>
      </c>
      <c r="C1473" s="2" t="s">
        <v>2011</v>
      </c>
      <c r="D1473" t="s">
        <v>2016</v>
      </c>
      <c r="E1473">
        <v>1427.31</v>
      </c>
      <c r="F1473">
        <f>Cleaned[[#This Row],[Debit]] * Cleaned[[#This Row],[FX_rates]]</f>
        <v>125603.28</v>
      </c>
      <c r="G1473">
        <v>0</v>
      </c>
      <c r="H1473">
        <f>Cleaned[[#This Row],[Credit]] *  Cleaned[[#This Row],[FX_rates]]</f>
        <v>0</v>
      </c>
      <c r="I1473" t="s">
        <v>2021</v>
      </c>
      <c r="J1473" t="s">
        <v>2029</v>
      </c>
      <c r="K1473" t="s">
        <v>3502</v>
      </c>
      <c r="L1473" t="s">
        <v>4032</v>
      </c>
      <c r="M1473">
        <f>Cleaned[[#This Row],[Credit]]-Cleaned[[#This Row],[Debit]]</f>
        <v>-1427.31</v>
      </c>
      <c r="N1473" t="str">
        <f>_xlfn.XLOOKUP(Cleaned[[#This Row],[AccountName]], Account_Mapping!A:A, Account_Mapping!B:B,"Unmapped")</f>
        <v>COGS</v>
      </c>
      <c r="O1473" cm="1">
        <f t="array" ref="O1473">_xlfn.XLOOKUP(
  1,
  (FX_Rates[Currency]=Cleaned[[#This Row],[Currency]])*
  (FX_Rates[RateDate]&lt;=Cleaned[[#This Row],[TxnDate]]),
  FX_Rates[Rate_To_INR],
  ,
  -1
)</f>
        <v>88</v>
      </c>
      <c r="P1473" s="2">
        <f>Cleaned[[#This Row],[Net Amount]] *  Cleaned[[#This Row],[FX_rates]]</f>
        <v>-125603.28</v>
      </c>
    </row>
    <row r="1474" spans="1:16" x14ac:dyDescent="0.45">
      <c r="A1474" t="s">
        <v>1482</v>
      </c>
      <c r="B1474" s="1">
        <v>45234</v>
      </c>
      <c r="C1474" s="2" t="s">
        <v>2010</v>
      </c>
      <c r="D1474" t="s">
        <v>2015</v>
      </c>
      <c r="E1474">
        <v>0</v>
      </c>
      <c r="F1474">
        <f>Cleaned[[#This Row],[Debit]] * Cleaned[[#This Row],[FX_rates]]</f>
        <v>0</v>
      </c>
      <c r="G1474">
        <v>1063.56</v>
      </c>
      <c r="H1474">
        <f>Cleaned[[#This Row],[Credit]] *  Cleaned[[#This Row],[FX_rates]]</f>
        <v>93593.279999999999</v>
      </c>
      <c r="I1474" t="s">
        <v>2024</v>
      </c>
      <c r="J1474" t="s">
        <v>2030</v>
      </c>
      <c r="K1474" t="s">
        <v>3503</v>
      </c>
      <c r="L1474" t="s">
        <v>4032</v>
      </c>
      <c r="M1474">
        <f>Cleaned[[#This Row],[Credit]]-Cleaned[[#This Row],[Debit]]</f>
        <v>1063.56</v>
      </c>
      <c r="N1474" t="str">
        <f>_xlfn.XLOOKUP(Cleaned[[#This Row],[AccountName]], Account_Mapping!A:A, Account_Mapping!B:B,"Unmapped")</f>
        <v>Revenue</v>
      </c>
      <c r="O1474" cm="1">
        <f t="array" ref="O1474">_xlfn.XLOOKUP(
  1,
  (FX_Rates[Currency]=Cleaned[[#This Row],[Currency]])*
  (FX_Rates[RateDate]&lt;=Cleaned[[#This Row],[TxnDate]]),
  FX_Rates[Rate_To_INR],
  ,
  -1
)</f>
        <v>88</v>
      </c>
      <c r="P1474" s="2">
        <f>Cleaned[[#This Row],[Net Amount]] *  Cleaned[[#This Row],[FX_rates]]</f>
        <v>93593.279999999999</v>
      </c>
    </row>
    <row r="1475" spans="1:16" x14ac:dyDescent="0.45">
      <c r="A1475" t="s">
        <v>1483</v>
      </c>
      <c r="B1475" s="1">
        <v>45061</v>
      </c>
      <c r="C1475" s="2" t="s">
        <v>2012</v>
      </c>
      <c r="D1475" t="s">
        <v>2017</v>
      </c>
      <c r="E1475">
        <v>665.12</v>
      </c>
      <c r="F1475">
        <f>Cleaned[[#This Row],[Debit]] * Cleaned[[#This Row],[FX_rates]]</f>
        <v>40572.32</v>
      </c>
      <c r="G1475">
        <v>0</v>
      </c>
      <c r="H1475">
        <f>Cleaned[[#This Row],[Credit]] *  Cleaned[[#This Row],[FX_rates]]</f>
        <v>0</v>
      </c>
      <c r="I1475" t="s">
        <v>2023</v>
      </c>
      <c r="J1475" t="s">
        <v>2029</v>
      </c>
      <c r="K1475" t="s">
        <v>3504</v>
      </c>
      <c r="L1475" t="s">
        <v>4035</v>
      </c>
      <c r="M1475">
        <f>Cleaned[[#This Row],[Credit]]-Cleaned[[#This Row],[Debit]]</f>
        <v>-665.12</v>
      </c>
      <c r="N1475" t="str">
        <f>_xlfn.XLOOKUP(Cleaned[[#This Row],[AccountName]], Account_Mapping!A:A, Account_Mapping!B:B,"Unmapped")</f>
        <v>Operating Expense</v>
      </c>
      <c r="O1475" cm="1">
        <f t="array" ref="O1475">_xlfn.XLOOKUP(
  1,
  (FX_Rates[Currency]=Cleaned[[#This Row],[Currency]])*
  (FX_Rates[RateDate]&lt;=Cleaned[[#This Row],[TxnDate]]),
  FX_Rates[Rate_To_INR],
  ,
  -1
)</f>
        <v>61</v>
      </c>
      <c r="P1475" s="2">
        <f>Cleaned[[#This Row],[Net Amount]] *  Cleaned[[#This Row],[FX_rates]]</f>
        <v>-40572.32</v>
      </c>
    </row>
    <row r="1476" spans="1:16" x14ac:dyDescent="0.45">
      <c r="A1476" t="s">
        <v>1484</v>
      </c>
      <c r="B1476" s="1">
        <v>45427</v>
      </c>
      <c r="C1476" s="2" t="s">
        <v>2010</v>
      </c>
      <c r="D1476" t="s">
        <v>2015</v>
      </c>
      <c r="E1476">
        <v>0</v>
      </c>
      <c r="F1476">
        <f>Cleaned[[#This Row],[Debit]] * Cleaned[[#This Row],[FX_rates]]</f>
        <v>0</v>
      </c>
      <c r="G1476">
        <v>185.76</v>
      </c>
      <c r="H1476">
        <f>Cleaned[[#This Row],[Credit]] *  Cleaned[[#This Row],[FX_rates]]</f>
        <v>15232.32</v>
      </c>
      <c r="I1476" t="s">
        <v>2023</v>
      </c>
      <c r="J1476" t="s">
        <v>2027</v>
      </c>
      <c r="K1476" t="s">
        <v>3505</v>
      </c>
      <c r="L1476" t="s">
        <v>4034</v>
      </c>
      <c r="M1476">
        <f>Cleaned[[#This Row],[Credit]]-Cleaned[[#This Row],[Debit]]</f>
        <v>185.76</v>
      </c>
      <c r="N1476" t="str">
        <f>_xlfn.XLOOKUP(Cleaned[[#This Row],[AccountName]], Account_Mapping!A:A, Account_Mapping!B:B,"Unmapped")</f>
        <v>Revenue</v>
      </c>
      <c r="O1476" cm="1">
        <f t="array" ref="O1476">_xlfn.XLOOKUP(
  1,
  (FX_Rates[Currency]=Cleaned[[#This Row],[Currency]])*
  (FX_Rates[RateDate]&lt;=Cleaned[[#This Row],[TxnDate]]),
  FX_Rates[Rate_To_INR],
  ,
  -1
)</f>
        <v>82</v>
      </c>
      <c r="P1476" s="2">
        <f>Cleaned[[#This Row],[Net Amount]] *  Cleaned[[#This Row],[FX_rates]]</f>
        <v>15232.32</v>
      </c>
    </row>
    <row r="1477" spans="1:16" x14ac:dyDescent="0.45">
      <c r="A1477" t="s">
        <v>1485</v>
      </c>
      <c r="B1477" s="1">
        <v>45695</v>
      </c>
      <c r="C1477" s="2" t="s">
        <v>2014</v>
      </c>
      <c r="D1477" t="s">
        <v>2019</v>
      </c>
      <c r="E1477">
        <v>0</v>
      </c>
      <c r="F1477">
        <f>Cleaned[[#This Row],[Debit]] * Cleaned[[#This Row],[FX_rates]]</f>
        <v>0</v>
      </c>
      <c r="G1477">
        <v>278.45999999999998</v>
      </c>
      <c r="H1477">
        <f>Cleaned[[#This Row],[Credit]] *  Cleaned[[#This Row],[FX_rates]]</f>
        <v>15593.759999999998</v>
      </c>
      <c r="I1477" t="s">
        <v>2023</v>
      </c>
      <c r="J1477" t="s">
        <v>2028</v>
      </c>
      <c r="K1477" t="s">
        <v>3506</v>
      </c>
      <c r="L1477" t="s">
        <v>4033</v>
      </c>
      <c r="M1477">
        <f>Cleaned[[#This Row],[Credit]]-Cleaned[[#This Row],[Debit]]</f>
        <v>278.45999999999998</v>
      </c>
      <c r="N1477" t="str">
        <f>_xlfn.XLOOKUP(Cleaned[[#This Row],[AccountName]], Account_Mapping!A:A, Account_Mapping!B:B,"Unmapped")</f>
        <v>Revenue</v>
      </c>
      <c r="O1477" cm="1">
        <f t="array" ref="O1477">_xlfn.XLOOKUP(
  1,
  (FX_Rates[Currency]=Cleaned[[#This Row],[Currency]])*
  (FX_Rates[RateDate]&lt;=Cleaned[[#This Row],[TxnDate]]),
  FX_Rates[Rate_To_INR],
  ,
  -1
)</f>
        <v>56</v>
      </c>
      <c r="P1477" s="2">
        <f>Cleaned[[#This Row],[Net Amount]] *  Cleaned[[#This Row],[FX_rates]]</f>
        <v>15593.759999999998</v>
      </c>
    </row>
    <row r="1478" spans="1:16" x14ac:dyDescent="0.45">
      <c r="A1478" t="s">
        <v>1486</v>
      </c>
      <c r="B1478" s="1">
        <v>45336</v>
      </c>
      <c r="C1478" s="2" t="s">
        <v>2010</v>
      </c>
      <c r="D1478" t="s">
        <v>2015</v>
      </c>
      <c r="E1478">
        <v>0</v>
      </c>
      <c r="F1478">
        <f>Cleaned[[#This Row],[Debit]] * Cleaned[[#This Row],[FX_rates]]</f>
        <v>0</v>
      </c>
      <c r="G1478">
        <v>4294.84</v>
      </c>
      <c r="H1478">
        <f>Cleaned[[#This Row],[Credit]] *  Cleaned[[#This Row],[FX_rates]]</f>
        <v>261985.24000000002</v>
      </c>
      <c r="I1478" t="s">
        <v>2023</v>
      </c>
      <c r="J1478" t="s">
        <v>2026</v>
      </c>
      <c r="K1478" t="s">
        <v>3507</v>
      </c>
      <c r="L1478" t="s">
        <v>4035</v>
      </c>
      <c r="M1478">
        <f>Cleaned[[#This Row],[Credit]]-Cleaned[[#This Row],[Debit]]</f>
        <v>4294.84</v>
      </c>
      <c r="N1478" t="str">
        <f>_xlfn.XLOOKUP(Cleaned[[#This Row],[AccountName]], Account_Mapping!A:A, Account_Mapping!B:B,"Unmapped")</f>
        <v>Revenue</v>
      </c>
      <c r="O1478" cm="1">
        <f t="array" ref="O1478">_xlfn.XLOOKUP(
  1,
  (FX_Rates[Currency]=Cleaned[[#This Row],[Currency]])*
  (FX_Rates[RateDate]&lt;=Cleaned[[#This Row],[TxnDate]]),
  FX_Rates[Rate_To_INR],
  ,
  -1
)</f>
        <v>61</v>
      </c>
      <c r="P1478" s="2">
        <f>Cleaned[[#This Row],[Net Amount]] *  Cleaned[[#This Row],[FX_rates]]</f>
        <v>261985.24000000002</v>
      </c>
    </row>
    <row r="1479" spans="1:16" x14ac:dyDescent="0.45">
      <c r="A1479" t="s">
        <v>1487</v>
      </c>
      <c r="B1479" s="1">
        <v>45199</v>
      </c>
      <c r="C1479" s="2" t="s">
        <v>2013</v>
      </c>
      <c r="D1479" t="s">
        <v>2018</v>
      </c>
      <c r="E1479">
        <v>1675.83</v>
      </c>
      <c r="F1479">
        <f>Cleaned[[#This Row],[Debit]] * Cleaned[[#This Row],[FX_rates]]</f>
        <v>137418.06</v>
      </c>
      <c r="G1479">
        <v>0</v>
      </c>
      <c r="H1479">
        <f>Cleaned[[#This Row],[Credit]] *  Cleaned[[#This Row],[FX_rates]]</f>
        <v>0</v>
      </c>
      <c r="I1479" t="s">
        <v>2020</v>
      </c>
      <c r="J1479" t="s">
        <v>2028</v>
      </c>
      <c r="K1479" t="s">
        <v>3508</v>
      </c>
      <c r="L1479" t="s">
        <v>4034</v>
      </c>
      <c r="M1479">
        <f>Cleaned[[#This Row],[Credit]]-Cleaned[[#This Row],[Debit]]</f>
        <v>-1675.83</v>
      </c>
      <c r="N1479" t="str">
        <f>_xlfn.XLOOKUP(Cleaned[[#This Row],[AccountName]], Account_Mapping!A:A, Account_Mapping!B:B,"Unmapped")</f>
        <v>Operating Expense</v>
      </c>
      <c r="O1479" cm="1">
        <f t="array" ref="O1479">_xlfn.XLOOKUP(
  1,
  (FX_Rates[Currency]=Cleaned[[#This Row],[Currency]])*
  (FX_Rates[RateDate]&lt;=Cleaned[[#This Row],[TxnDate]]),
  FX_Rates[Rate_To_INR],
  ,
  -1
)</f>
        <v>82</v>
      </c>
      <c r="P1479" s="2">
        <f>Cleaned[[#This Row],[Net Amount]] *  Cleaned[[#This Row],[FX_rates]]</f>
        <v>-137418.06</v>
      </c>
    </row>
    <row r="1480" spans="1:16" x14ac:dyDescent="0.45">
      <c r="A1480" t="s">
        <v>1488</v>
      </c>
      <c r="B1480" s="1">
        <v>45578</v>
      </c>
      <c r="C1480" s="2" t="s">
        <v>2013</v>
      </c>
      <c r="D1480" t="s">
        <v>2018</v>
      </c>
      <c r="E1480">
        <v>658.13</v>
      </c>
      <c r="F1480">
        <f>Cleaned[[#This Row],[Debit]] * Cleaned[[#This Row],[FX_rates]]</f>
        <v>67787.39</v>
      </c>
      <c r="G1480">
        <v>0</v>
      </c>
      <c r="H1480">
        <f>Cleaned[[#This Row],[Credit]] *  Cleaned[[#This Row],[FX_rates]]</f>
        <v>0</v>
      </c>
      <c r="I1480" t="s">
        <v>2022</v>
      </c>
      <c r="J1480" t="s">
        <v>2026</v>
      </c>
      <c r="K1480" t="s">
        <v>3509</v>
      </c>
      <c r="L1480" t="s">
        <v>4031</v>
      </c>
      <c r="M1480">
        <f>Cleaned[[#This Row],[Credit]]-Cleaned[[#This Row],[Debit]]</f>
        <v>-658.13</v>
      </c>
      <c r="N1480" t="str">
        <f>_xlfn.XLOOKUP(Cleaned[[#This Row],[AccountName]], Account_Mapping!A:A, Account_Mapping!B:B,"Unmapped")</f>
        <v>Operating Expense</v>
      </c>
      <c r="O1480" cm="1">
        <f t="array" ref="O1480">_xlfn.XLOOKUP(
  1,
  (FX_Rates[Currency]=Cleaned[[#This Row],[Currency]])*
  (FX_Rates[RateDate]&lt;=Cleaned[[#This Row],[TxnDate]]),
  FX_Rates[Rate_To_INR],
  ,
  -1
)</f>
        <v>103</v>
      </c>
      <c r="P1480" s="2">
        <f>Cleaned[[#This Row],[Net Amount]] *  Cleaned[[#This Row],[FX_rates]]</f>
        <v>-67787.39</v>
      </c>
    </row>
    <row r="1481" spans="1:16" x14ac:dyDescent="0.45">
      <c r="A1481" t="s">
        <v>1489</v>
      </c>
      <c r="B1481" s="1">
        <v>45794</v>
      </c>
      <c r="C1481" s="2" t="s">
        <v>2012</v>
      </c>
      <c r="D1481" t="s">
        <v>2017</v>
      </c>
      <c r="E1481">
        <v>1615.35</v>
      </c>
      <c r="F1481">
        <f>Cleaned[[#This Row],[Debit]] * Cleaned[[#This Row],[FX_rates]]</f>
        <v>98536.349999999991</v>
      </c>
      <c r="G1481">
        <v>0</v>
      </c>
      <c r="H1481">
        <f>Cleaned[[#This Row],[Credit]] *  Cleaned[[#This Row],[FX_rates]]</f>
        <v>0</v>
      </c>
      <c r="I1481" t="s">
        <v>2022</v>
      </c>
      <c r="J1481" t="s">
        <v>2026</v>
      </c>
      <c r="K1481" t="s">
        <v>3510</v>
      </c>
      <c r="L1481" t="s">
        <v>4035</v>
      </c>
      <c r="M1481">
        <f>Cleaned[[#This Row],[Credit]]-Cleaned[[#This Row],[Debit]]</f>
        <v>-1615.35</v>
      </c>
      <c r="N1481" t="str">
        <f>_xlfn.XLOOKUP(Cleaned[[#This Row],[AccountName]], Account_Mapping!A:A, Account_Mapping!B:B,"Unmapped")</f>
        <v>Operating Expense</v>
      </c>
      <c r="O1481" cm="1">
        <f t="array" ref="O1481">_xlfn.XLOOKUP(
  1,
  (FX_Rates[Currency]=Cleaned[[#This Row],[Currency]])*
  (FX_Rates[RateDate]&lt;=Cleaned[[#This Row],[TxnDate]]),
  FX_Rates[Rate_To_INR],
  ,
  -1
)</f>
        <v>61</v>
      </c>
      <c r="P1481" s="2">
        <f>Cleaned[[#This Row],[Net Amount]] *  Cleaned[[#This Row],[FX_rates]]</f>
        <v>-98536.349999999991</v>
      </c>
    </row>
    <row r="1482" spans="1:16" x14ac:dyDescent="0.45">
      <c r="A1482" t="s">
        <v>1490</v>
      </c>
      <c r="B1482" s="1">
        <v>45195</v>
      </c>
      <c r="C1482" s="2" t="s">
        <v>2014</v>
      </c>
      <c r="D1482" t="s">
        <v>2019</v>
      </c>
      <c r="E1482">
        <v>0</v>
      </c>
      <c r="F1482">
        <f>Cleaned[[#This Row],[Debit]] * Cleaned[[#This Row],[FX_rates]]</f>
        <v>0</v>
      </c>
      <c r="G1482">
        <v>4040.21</v>
      </c>
      <c r="H1482">
        <f>Cleaned[[#This Row],[Credit]] *  Cleaned[[#This Row],[FX_rates]]</f>
        <v>246452.81</v>
      </c>
      <c r="I1482" t="s">
        <v>2023</v>
      </c>
      <c r="J1482" t="s">
        <v>2029</v>
      </c>
      <c r="K1482" t="s">
        <v>3511</v>
      </c>
      <c r="L1482" t="s">
        <v>4035</v>
      </c>
      <c r="M1482">
        <f>Cleaned[[#This Row],[Credit]]-Cleaned[[#This Row],[Debit]]</f>
        <v>4040.21</v>
      </c>
      <c r="N1482" t="str">
        <f>_xlfn.XLOOKUP(Cleaned[[#This Row],[AccountName]], Account_Mapping!A:A, Account_Mapping!B:B,"Unmapped")</f>
        <v>Revenue</v>
      </c>
      <c r="O1482" cm="1">
        <f t="array" ref="O1482">_xlfn.XLOOKUP(
  1,
  (FX_Rates[Currency]=Cleaned[[#This Row],[Currency]])*
  (FX_Rates[RateDate]&lt;=Cleaned[[#This Row],[TxnDate]]),
  FX_Rates[Rate_To_INR],
  ,
  -1
)</f>
        <v>61</v>
      </c>
      <c r="P1482" s="2">
        <f>Cleaned[[#This Row],[Net Amount]] *  Cleaned[[#This Row],[FX_rates]]</f>
        <v>246452.81</v>
      </c>
    </row>
    <row r="1483" spans="1:16" x14ac:dyDescent="0.45">
      <c r="A1483" t="s">
        <v>1491</v>
      </c>
      <c r="B1483" s="1">
        <v>45804</v>
      </c>
      <c r="C1483" s="2" t="s">
        <v>2010</v>
      </c>
      <c r="D1483" t="s">
        <v>2015</v>
      </c>
      <c r="E1483">
        <v>0</v>
      </c>
      <c r="F1483">
        <f>Cleaned[[#This Row],[Debit]] * Cleaned[[#This Row],[FX_rates]]</f>
        <v>0</v>
      </c>
      <c r="G1483">
        <v>1080.5</v>
      </c>
      <c r="H1483">
        <f>Cleaned[[#This Row],[Credit]] *  Cleaned[[#This Row],[FX_rates]]</f>
        <v>95084</v>
      </c>
      <c r="I1483" t="s">
        <v>2020</v>
      </c>
      <c r="J1483" t="s">
        <v>2030</v>
      </c>
      <c r="K1483" t="s">
        <v>3512</v>
      </c>
      <c r="L1483" t="s">
        <v>4032</v>
      </c>
      <c r="M1483">
        <f>Cleaned[[#This Row],[Credit]]-Cleaned[[#This Row],[Debit]]</f>
        <v>1080.5</v>
      </c>
      <c r="N1483" t="str">
        <f>_xlfn.XLOOKUP(Cleaned[[#This Row],[AccountName]], Account_Mapping!A:A, Account_Mapping!B:B,"Unmapped")</f>
        <v>Revenue</v>
      </c>
      <c r="O1483" cm="1">
        <f t="array" ref="O1483">_xlfn.XLOOKUP(
  1,
  (FX_Rates[Currency]=Cleaned[[#This Row],[Currency]])*
  (FX_Rates[RateDate]&lt;=Cleaned[[#This Row],[TxnDate]]),
  FX_Rates[Rate_To_INR],
  ,
  -1
)</f>
        <v>88</v>
      </c>
      <c r="P1483" s="2">
        <f>Cleaned[[#This Row],[Net Amount]] *  Cleaned[[#This Row],[FX_rates]]</f>
        <v>95084</v>
      </c>
    </row>
    <row r="1484" spans="1:16" x14ac:dyDescent="0.45">
      <c r="A1484" t="s">
        <v>1492</v>
      </c>
      <c r="B1484" s="1">
        <v>45754</v>
      </c>
      <c r="C1484" s="2" t="s">
        <v>2012</v>
      </c>
      <c r="D1484" t="s">
        <v>2017</v>
      </c>
      <c r="E1484">
        <v>1674.78</v>
      </c>
      <c r="F1484">
        <f>Cleaned[[#This Row],[Debit]] * Cleaned[[#This Row],[FX_rates]]</f>
        <v>147380.63999999998</v>
      </c>
      <c r="G1484">
        <v>0</v>
      </c>
      <c r="H1484">
        <f>Cleaned[[#This Row],[Credit]] *  Cleaned[[#This Row],[FX_rates]]</f>
        <v>0</v>
      </c>
      <c r="I1484" t="s">
        <v>2024</v>
      </c>
      <c r="J1484" t="s">
        <v>2028</v>
      </c>
      <c r="K1484" t="s">
        <v>3513</v>
      </c>
      <c r="L1484" t="s">
        <v>4032</v>
      </c>
      <c r="M1484">
        <f>Cleaned[[#This Row],[Credit]]-Cleaned[[#This Row],[Debit]]</f>
        <v>-1674.78</v>
      </c>
      <c r="N1484" t="str">
        <f>_xlfn.XLOOKUP(Cleaned[[#This Row],[AccountName]], Account_Mapping!A:A, Account_Mapping!B:B,"Unmapped")</f>
        <v>Operating Expense</v>
      </c>
      <c r="O1484" cm="1">
        <f t="array" ref="O1484">_xlfn.XLOOKUP(
  1,
  (FX_Rates[Currency]=Cleaned[[#This Row],[Currency]])*
  (FX_Rates[RateDate]&lt;=Cleaned[[#This Row],[TxnDate]]),
  FX_Rates[Rate_To_INR],
  ,
  -1
)</f>
        <v>88</v>
      </c>
      <c r="P1484" s="2">
        <f>Cleaned[[#This Row],[Net Amount]] *  Cleaned[[#This Row],[FX_rates]]</f>
        <v>-147380.63999999998</v>
      </c>
    </row>
    <row r="1485" spans="1:16" x14ac:dyDescent="0.45">
      <c r="A1485" t="s">
        <v>1493</v>
      </c>
      <c r="B1485" s="1">
        <v>45611</v>
      </c>
      <c r="C1485" s="2" t="s">
        <v>2013</v>
      </c>
      <c r="D1485" t="s">
        <v>2018</v>
      </c>
      <c r="E1485">
        <v>959.69</v>
      </c>
      <c r="F1485">
        <f>Cleaned[[#This Row],[Debit]] * Cleaned[[#This Row],[FX_rates]]</f>
        <v>78694.58</v>
      </c>
      <c r="G1485">
        <v>0</v>
      </c>
      <c r="H1485">
        <f>Cleaned[[#This Row],[Credit]] *  Cleaned[[#This Row],[FX_rates]]</f>
        <v>0</v>
      </c>
      <c r="I1485" t="s">
        <v>2025</v>
      </c>
      <c r="J1485" t="s">
        <v>2027</v>
      </c>
      <c r="K1485" t="s">
        <v>3514</v>
      </c>
      <c r="L1485" t="s">
        <v>4034</v>
      </c>
      <c r="M1485">
        <f>Cleaned[[#This Row],[Credit]]-Cleaned[[#This Row],[Debit]]</f>
        <v>-959.69</v>
      </c>
      <c r="N1485" t="str">
        <f>_xlfn.XLOOKUP(Cleaned[[#This Row],[AccountName]], Account_Mapping!A:A, Account_Mapping!B:B,"Unmapped")</f>
        <v>Operating Expense</v>
      </c>
      <c r="O1485" cm="1">
        <f t="array" ref="O1485">_xlfn.XLOOKUP(
  1,
  (FX_Rates[Currency]=Cleaned[[#This Row],[Currency]])*
  (FX_Rates[RateDate]&lt;=Cleaned[[#This Row],[TxnDate]]),
  FX_Rates[Rate_To_INR],
  ,
  -1
)</f>
        <v>82</v>
      </c>
      <c r="P1485" s="2">
        <f>Cleaned[[#This Row],[Net Amount]] *  Cleaned[[#This Row],[FX_rates]]</f>
        <v>-78694.58</v>
      </c>
    </row>
    <row r="1486" spans="1:16" x14ac:dyDescent="0.45">
      <c r="A1486" t="s">
        <v>1494</v>
      </c>
      <c r="B1486" s="1">
        <v>45461</v>
      </c>
      <c r="C1486" s="2" t="s">
        <v>2011</v>
      </c>
      <c r="D1486" t="s">
        <v>2016</v>
      </c>
      <c r="E1486">
        <v>1883.44</v>
      </c>
      <c r="F1486">
        <f>Cleaned[[#This Row],[Debit]] * Cleaned[[#This Row],[FX_rates]]</f>
        <v>105472.64</v>
      </c>
      <c r="G1486">
        <v>0</v>
      </c>
      <c r="H1486">
        <f>Cleaned[[#This Row],[Credit]] *  Cleaned[[#This Row],[FX_rates]]</f>
        <v>0</v>
      </c>
      <c r="I1486" t="s">
        <v>2024</v>
      </c>
      <c r="J1486" t="s">
        <v>2030</v>
      </c>
      <c r="K1486" t="s">
        <v>3515</v>
      </c>
      <c r="L1486" t="s">
        <v>4033</v>
      </c>
      <c r="M1486">
        <f>Cleaned[[#This Row],[Credit]]-Cleaned[[#This Row],[Debit]]</f>
        <v>-1883.44</v>
      </c>
      <c r="N1486" t="str">
        <f>_xlfn.XLOOKUP(Cleaned[[#This Row],[AccountName]], Account_Mapping!A:A, Account_Mapping!B:B,"Unmapped")</f>
        <v>COGS</v>
      </c>
      <c r="O1486" cm="1">
        <f t="array" ref="O1486">_xlfn.XLOOKUP(
  1,
  (FX_Rates[Currency]=Cleaned[[#This Row],[Currency]])*
  (FX_Rates[RateDate]&lt;=Cleaned[[#This Row],[TxnDate]]),
  FX_Rates[Rate_To_INR],
  ,
  -1
)</f>
        <v>56</v>
      </c>
      <c r="P1486" s="2">
        <f>Cleaned[[#This Row],[Net Amount]] *  Cleaned[[#This Row],[FX_rates]]</f>
        <v>-105472.64</v>
      </c>
    </row>
    <row r="1487" spans="1:16" x14ac:dyDescent="0.45">
      <c r="A1487" t="s">
        <v>1495</v>
      </c>
      <c r="B1487" s="1">
        <v>45285</v>
      </c>
      <c r="C1487" s="2" t="s">
        <v>2010</v>
      </c>
      <c r="D1487" t="s">
        <v>2015</v>
      </c>
      <c r="E1487">
        <v>0</v>
      </c>
      <c r="F1487">
        <f>Cleaned[[#This Row],[Debit]] * Cleaned[[#This Row],[FX_rates]]</f>
        <v>0</v>
      </c>
      <c r="G1487">
        <v>1071.33</v>
      </c>
      <c r="H1487">
        <f>Cleaned[[#This Row],[Credit]] *  Cleaned[[#This Row],[FX_rates]]</f>
        <v>87849.06</v>
      </c>
      <c r="I1487" t="s">
        <v>2024</v>
      </c>
      <c r="J1487" t="s">
        <v>2030</v>
      </c>
      <c r="K1487" t="s">
        <v>3516</v>
      </c>
      <c r="L1487" t="s">
        <v>4034</v>
      </c>
      <c r="M1487">
        <f>Cleaned[[#This Row],[Credit]]-Cleaned[[#This Row],[Debit]]</f>
        <v>1071.33</v>
      </c>
      <c r="N1487" t="str">
        <f>_xlfn.XLOOKUP(Cleaned[[#This Row],[AccountName]], Account_Mapping!A:A, Account_Mapping!B:B,"Unmapped")</f>
        <v>Revenue</v>
      </c>
      <c r="O1487" cm="1">
        <f t="array" ref="O1487">_xlfn.XLOOKUP(
  1,
  (FX_Rates[Currency]=Cleaned[[#This Row],[Currency]])*
  (FX_Rates[RateDate]&lt;=Cleaned[[#This Row],[TxnDate]]),
  FX_Rates[Rate_To_INR],
  ,
  -1
)</f>
        <v>82</v>
      </c>
      <c r="P1487" s="2">
        <f>Cleaned[[#This Row],[Net Amount]] *  Cleaned[[#This Row],[FX_rates]]</f>
        <v>87849.06</v>
      </c>
    </row>
    <row r="1488" spans="1:16" x14ac:dyDescent="0.45">
      <c r="A1488" t="s">
        <v>1496</v>
      </c>
      <c r="B1488" s="1">
        <v>45412</v>
      </c>
      <c r="C1488" s="2" t="s">
        <v>2014</v>
      </c>
      <c r="D1488" t="s">
        <v>2019</v>
      </c>
      <c r="E1488">
        <v>0</v>
      </c>
      <c r="F1488">
        <f>Cleaned[[#This Row],[Debit]] * Cleaned[[#This Row],[FX_rates]]</f>
        <v>0</v>
      </c>
      <c r="G1488">
        <v>3543.57</v>
      </c>
      <c r="H1488">
        <f>Cleaned[[#This Row],[Credit]] *  Cleaned[[#This Row],[FX_rates]]</f>
        <v>290572.74</v>
      </c>
      <c r="I1488" t="s">
        <v>2025</v>
      </c>
      <c r="J1488" t="s">
        <v>2030</v>
      </c>
      <c r="K1488" t="s">
        <v>3517</v>
      </c>
      <c r="L1488" t="s">
        <v>4034</v>
      </c>
      <c r="M1488">
        <f>Cleaned[[#This Row],[Credit]]-Cleaned[[#This Row],[Debit]]</f>
        <v>3543.57</v>
      </c>
      <c r="N1488" t="str">
        <f>_xlfn.XLOOKUP(Cleaned[[#This Row],[AccountName]], Account_Mapping!A:A, Account_Mapping!B:B,"Unmapped")</f>
        <v>Revenue</v>
      </c>
      <c r="O1488" cm="1">
        <f t="array" ref="O1488">_xlfn.XLOOKUP(
  1,
  (FX_Rates[Currency]=Cleaned[[#This Row],[Currency]])*
  (FX_Rates[RateDate]&lt;=Cleaned[[#This Row],[TxnDate]]),
  FX_Rates[Rate_To_INR],
  ,
  -1
)</f>
        <v>82</v>
      </c>
      <c r="P1488" s="2">
        <f>Cleaned[[#This Row],[Net Amount]] *  Cleaned[[#This Row],[FX_rates]]</f>
        <v>290572.74</v>
      </c>
    </row>
    <row r="1489" spans="1:16" x14ac:dyDescent="0.45">
      <c r="A1489" t="s">
        <v>1497</v>
      </c>
      <c r="B1489" s="1">
        <v>45379</v>
      </c>
      <c r="C1489" s="2" t="s">
        <v>2011</v>
      </c>
      <c r="D1489" t="s">
        <v>2016</v>
      </c>
      <c r="E1489">
        <v>489.81</v>
      </c>
      <c r="F1489">
        <f>Cleaned[[#This Row],[Debit]] * Cleaned[[#This Row],[FX_rates]]</f>
        <v>27429.360000000001</v>
      </c>
      <c r="G1489">
        <v>0</v>
      </c>
      <c r="H1489">
        <f>Cleaned[[#This Row],[Credit]] *  Cleaned[[#This Row],[FX_rates]]</f>
        <v>0</v>
      </c>
      <c r="I1489" t="s">
        <v>2021</v>
      </c>
      <c r="J1489" t="s">
        <v>2030</v>
      </c>
      <c r="K1489" t="s">
        <v>3518</v>
      </c>
      <c r="L1489" t="s">
        <v>4033</v>
      </c>
      <c r="M1489">
        <f>Cleaned[[#This Row],[Credit]]-Cleaned[[#This Row],[Debit]]</f>
        <v>-489.81</v>
      </c>
      <c r="N1489" t="str">
        <f>_xlfn.XLOOKUP(Cleaned[[#This Row],[AccountName]], Account_Mapping!A:A, Account_Mapping!B:B,"Unmapped")</f>
        <v>COGS</v>
      </c>
      <c r="O1489" cm="1">
        <f t="array" ref="O1489">_xlfn.XLOOKUP(
  1,
  (FX_Rates[Currency]=Cleaned[[#This Row],[Currency]])*
  (FX_Rates[RateDate]&lt;=Cleaned[[#This Row],[TxnDate]]),
  FX_Rates[Rate_To_INR],
  ,
  -1
)</f>
        <v>56</v>
      </c>
      <c r="P1489" s="2">
        <f>Cleaned[[#This Row],[Net Amount]] *  Cleaned[[#This Row],[FX_rates]]</f>
        <v>-27429.360000000001</v>
      </c>
    </row>
    <row r="1490" spans="1:16" x14ac:dyDescent="0.45">
      <c r="A1490" t="s">
        <v>1498</v>
      </c>
      <c r="B1490" s="1">
        <v>45624</v>
      </c>
      <c r="C1490" s="2" t="s">
        <v>2013</v>
      </c>
      <c r="D1490" t="s">
        <v>2018</v>
      </c>
      <c r="E1490">
        <v>505.72</v>
      </c>
      <c r="F1490">
        <f>Cleaned[[#This Row],[Debit]] * Cleaned[[#This Row],[FX_rates]]</f>
        <v>30848.920000000002</v>
      </c>
      <c r="G1490">
        <v>0</v>
      </c>
      <c r="H1490">
        <f>Cleaned[[#This Row],[Credit]] *  Cleaned[[#This Row],[FX_rates]]</f>
        <v>0</v>
      </c>
      <c r="I1490" t="s">
        <v>2024</v>
      </c>
      <c r="J1490" t="s">
        <v>2029</v>
      </c>
      <c r="K1490" t="s">
        <v>3519</v>
      </c>
      <c r="L1490" t="s">
        <v>4035</v>
      </c>
      <c r="M1490">
        <f>Cleaned[[#This Row],[Credit]]-Cleaned[[#This Row],[Debit]]</f>
        <v>-505.72</v>
      </c>
      <c r="N1490" t="str">
        <f>_xlfn.XLOOKUP(Cleaned[[#This Row],[AccountName]], Account_Mapping!A:A, Account_Mapping!B:B,"Unmapped")</f>
        <v>Operating Expense</v>
      </c>
      <c r="O1490" cm="1">
        <f t="array" ref="O1490">_xlfn.XLOOKUP(
  1,
  (FX_Rates[Currency]=Cleaned[[#This Row],[Currency]])*
  (FX_Rates[RateDate]&lt;=Cleaned[[#This Row],[TxnDate]]),
  FX_Rates[Rate_To_INR],
  ,
  -1
)</f>
        <v>61</v>
      </c>
      <c r="P1490" s="2">
        <f>Cleaned[[#This Row],[Net Amount]] *  Cleaned[[#This Row],[FX_rates]]</f>
        <v>-30848.920000000002</v>
      </c>
    </row>
    <row r="1491" spans="1:16" x14ac:dyDescent="0.45">
      <c r="A1491" t="s">
        <v>1499</v>
      </c>
      <c r="B1491" s="1">
        <v>45263</v>
      </c>
      <c r="C1491" s="2" t="s">
        <v>2013</v>
      </c>
      <c r="D1491" t="s">
        <v>2018</v>
      </c>
      <c r="E1491">
        <v>178.76</v>
      </c>
      <c r="F1491">
        <f>Cleaned[[#This Row],[Debit]] * Cleaned[[#This Row],[FX_rates]]</f>
        <v>15730.88</v>
      </c>
      <c r="G1491">
        <v>0</v>
      </c>
      <c r="H1491">
        <f>Cleaned[[#This Row],[Credit]] *  Cleaned[[#This Row],[FX_rates]]</f>
        <v>0</v>
      </c>
      <c r="I1491" t="s">
        <v>2025</v>
      </c>
      <c r="J1491" t="s">
        <v>2030</v>
      </c>
      <c r="K1491" t="s">
        <v>3520</v>
      </c>
      <c r="L1491" t="s">
        <v>4032</v>
      </c>
      <c r="M1491">
        <f>Cleaned[[#This Row],[Credit]]-Cleaned[[#This Row],[Debit]]</f>
        <v>-178.76</v>
      </c>
      <c r="N1491" t="str">
        <f>_xlfn.XLOOKUP(Cleaned[[#This Row],[AccountName]], Account_Mapping!A:A, Account_Mapping!B:B,"Unmapped")</f>
        <v>Operating Expense</v>
      </c>
      <c r="O1491" cm="1">
        <f t="array" ref="O1491">_xlfn.XLOOKUP(
  1,
  (FX_Rates[Currency]=Cleaned[[#This Row],[Currency]])*
  (FX_Rates[RateDate]&lt;=Cleaned[[#This Row],[TxnDate]]),
  FX_Rates[Rate_To_INR],
  ,
  -1
)</f>
        <v>88</v>
      </c>
      <c r="P1491" s="2">
        <f>Cleaned[[#This Row],[Net Amount]] *  Cleaned[[#This Row],[FX_rates]]</f>
        <v>-15730.88</v>
      </c>
    </row>
    <row r="1492" spans="1:16" x14ac:dyDescent="0.45">
      <c r="A1492" t="s">
        <v>1500</v>
      </c>
      <c r="B1492" s="1">
        <v>45681</v>
      </c>
      <c r="C1492" s="2" t="s">
        <v>2012</v>
      </c>
      <c r="D1492" t="s">
        <v>2017</v>
      </c>
      <c r="E1492">
        <v>495.06</v>
      </c>
      <c r="F1492">
        <f>Cleaned[[#This Row],[Debit]] * Cleaned[[#This Row],[FX_rates]]</f>
        <v>50991.18</v>
      </c>
      <c r="G1492">
        <v>0</v>
      </c>
      <c r="H1492">
        <f>Cleaned[[#This Row],[Credit]] *  Cleaned[[#This Row],[FX_rates]]</f>
        <v>0</v>
      </c>
      <c r="I1492" t="s">
        <v>2024</v>
      </c>
      <c r="J1492" t="s">
        <v>2026</v>
      </c>
      <c r="K1492" t="s">
        <v>3521</v>
      </c>
      <c r="L1492" t="s">
        <v>4031</v>
      </c>
      <c r="M1492">
        <f>Cleaned[[#This Row],[Credit]]-Cleaned[[#This Row],[Debit]]</f>
        <v>-495.06</v>
      </c>
      <c r="N1492" t="str">
        <f>_xlfn.XLOOKUP(Cleaned[[#This Row],[AccountName]], Account_Mapping!A:A, Account_Mapping!B:B,"Unmapped")</f>
        <v>Operating Expense</v>
      </c>
      <c r="O1492" cm="1">
        <f t="array" ref="O1492">_xlfn.XLOOKUP(
  1,
  (FX_Rates[Currency]=Cleaned[[#This Row],[Currency]])*
  (FX_Rates[RateDate]&lt;=Cleaned[[#This Row],[TxnDate]]),
  FX_Rates[Rate_To_INR],
  ,
  -1
)</f>
        <v>103</v>
      </c>
      <c r="P1492" s="2">
        <f>Cleaned[[#This Row],[Net Amount]] *  Cleaned[[#This Row],[FX_rates]]</f>
        <v>-50991.18</v>
      </c>
    </row>
    <row r="1493" spans="1:16" x14ac:dyDescent="0.45">
      <c r="A1493" t="s">
        <v>1501</v>
      </c>
      <c r="B1493" s="1">
        <v>45732</v>
      </c>
      <c r="C1493" s="2" t="s">
        <v>2014</v>
      </c>
      <c r="D1493" t="s">
        <v>2019</v>
      </c>
      <c r="E1493">
        <v>0</v>
      </c>
      <c r="F1493">
        <f>Cleaned[[#This Row],[Debit]] * Cleaned[[#This Row],[FX_rates]]</f>
        <v>0</v>
      </c>
      <c r="G1493">
        <v>309.72000000000003</v>
      </c>
      <c r="H1493">
        <f>Cleaned[[#This Row],[Credit]] *  Cleaned[[#This Row],[FX_rates]]</f>
        <v>31901.160000000003</v>
      </c>
      <c r="I1493" t="s">
        <v>2020</v>
      </c>
      <c r="J1493" t="s">
        <v>2030</v>
      </c>
      <c r="K1493" t="s">
        <v>3522</v>
      </c>
      <c r="L1493" t="s">
        <v>4031</v>
      </c>
      <c r="M1493">
        <f>Cleaned[[#This Row],[Credit]]-Cleaned[[#This Row],[Debit]]</f>
        <v>309.72000000000003</v>
      </c>
      <c r="N1493" t="str">
        <f>_xlfn.XLOOKUP(Cleaned[[#This Row],[AccountName]], Account_Mapping!A:A, Account_Mapping!B:B,"Unmapped")</f>
        <v>Revenue</v>
      </c>
      <c r="O1493" cm="1">
        <f t="array" ref="O1493">_xlfn.XLOOKUP(
  1,
  (FX_Rates[Currency]=Cleaned[[#This Row],[Currency]])*
  (FX_Rates[RateDate]&lt;=Cleaned[[#This Row],[TxnDate]]),
  FX_Rates[Rate_To_INR],
  ,
  -1
)</f>
        <v>103</v>
      </c>
      <c r="P1493" s="2">
        <f>Cleaned[[#This Row],[Net Amount]] *  Cleaned[[#This Row],[FX_rates]]</f>
        <v>31901.160000000003</v>
      </c>
    </row>
    <row r="1494" spans="1:16" x14ac:dyDescent="0.45">
      <c r="A1494" t="s">
        <v>1502</v>
      </c>
      <c r="B1494" s="1">
        <v>44941</v>
      </c>
      <c r="C1494" s="2" t="s">
        <v>2013</v>
      </c>
      <c r="D1494" t="s">
        <v>2018</v>
      </c>
      <c r="E1494">
        <v>1106.6600000000001</v>
      </c>
      <c r="F1494">
        <f>Cleaned[[#This Row],[Debit]] * Cleaned[[#This Row],[FX_rates]]</f>
        <v>61972.960000000006</v>
      </c>
      <c r="G1494">
        <v>0</v>
      </c>
      <c r="H1494">
        <f>Cleaned[[#This Row],[Credit]] *  Cleaned[[#This Row],[FX_rates]]</f>
        <v>0</v>
      </c>
      <c r="I1494" t="s">
        <v>2022</v>
      </c>
      <c r="J1494" t="s">
        <v>2026</v>
      </c>
      <c r="K1494" t="s">
        <v>3523</v>
      </c>
      <c r="L1494" t="s">
        <v>4033</v>
      </c>
      <c r="M1494">
        <f>Cleaned[[#This Row],[Credit]]-Cleaned[[#This Row],[Debit]]</f>
        <v>-1106.6600000000001</v>
      </c>
      <c r="N1494" t="str">
        <f>_xlfn.XLOOKUP(Cleaned[[#This Row],[AccountName]], Account_Mapping!A:A, Account_Mapping!B:B,"Unmapped")</f>
        <v>Operating Expense</v>
      </c>
      <c r="O1494" cm="1">
        <f t="array" ref="O1494">_xlfn.XLOOKUP(
  1,
  (FX_Rates[Currency]=Cleaned[[#This Row],[Currency]])*
  (FX_Rates[RateDate]&lt;=Cleaned[[#This Row],[TxnDate]]),
  FX_Rates[Rate_To_INR],
  ,
  -1
)</f>
        <v>56</v>
      </c>
      <c r="P1494" s="2">
        <f>Cleaned[[#This Row],[Net Amount]] *  Cleaned[[#This Row],[FX_rates]]</f>
        <v>-61972.960000000006</v>
      </c>
    </row>
    <row r="1495" spans="1:16" x14ac:dyDescent="0.45">
      <c r="A1495" t="s">
        <v>1503</v>
      </c>
      <c r="B1495" s="1">
        <v>45771</v>
      </c>
      <c r="C1495" s="2" t="s">
        <v>2014</v>
      </c>
      <c r="D1495" t="s">
        <v>2019</v>
      </c>
      <c r="E1495">
        <v>0</v>
      </c>
      <c r="F1495">
        <f>Cleaned[[#This Row],[Debit]] * Cleaned[[#This Row],[FX_rates]]</f>
        <v>0</v>
      </c>
      <c r="G1495">
        <v>4204.9399999999996</v>
      </c>
      <c r="H1495">
        <f>Cleaned[[#This Row],[Credit]] *  Cleaned[[#This Row],[FX_rates]]</f>
        <v>256501.33999999997</v>
      </c>
      <c r="I1495" t="s">
        <v>2025</v>
      </c>
      <c r="J1495" t="s">
        <v>2028</v>
      </c>
      <c r="K1495" t="s">
        <v>3524</v>
      </c>
      <c r="L1495" t="s">
        <v>4035</v>
      </c>
      <c r="M1495">
        <f>Cleaned[[#This Row],[Credit]]-Cleaned[[#This Row],[Debit]]</f>
        <v>4204.9399999999996</v>
      </c>
      <c r="N1495" t="str">
        <f>_xlfn.XLOOKUP(Cleaned[[#This Row],[AccountName]], Account_Mapping!A:A, Account_Mapping!B:B,"Unmapped")</f>
        <v>Revenue</v>
      </c>
      <c r="O1495" cm="1">
        <f t="array" ref="O1495">_xlfn.XLOOKUP(
  1,
  (FX_Rates[Currency]=Cleaned[[#This Row],[Currency]])*
  (FX_Rates[RateDate]&lt;=Cleaned[[#This Row],[TxnDate]]),
  FX_Rates[Rate_To_INR],
  ,
  -1
)</f>
        <v>61</v>
      </c>
      <c r="P1495" s="2">
        <f>Cleaned[[#This Row],[Net Amount]] *  Cleaned[[#This Row],[FX_rates]]</f>
        <v>256501.33999999997</v>
      </c>
    </row>
    <row r="1496" spans="1:16" x14ac:dyDescent="0.45">
      <c r="A1496" t="s">
        <v>1504</v>
      </c>
      <c r="B1496" s="1">
        <v>45039</v>
      </c>
      <c r="C1496" s="2" t="s">
        <v>2012</v>
      </c>
      <c r="D1496" t="s">
        <v>2017</v>
      </c>
      <c r="E1496">
        <v>850.43</v>
      </c>
      <c r="F1496">
        <f>Cleaned[[#This Row],[Debit]] * Cleaned[[#This Row],[FX_rates]]</f>
        <v>51876.229999999996</v>
      </c>
      <c r="G1496">
        <v>0</v>
      </c>
      <c r="H1496">
        <f>Cleaned[[#This Row],[Credit]] *  Cleaned[[#This Row],[FX_rates]]</f>
        <v>0</v>
      </c>
      <c r="I1496" t="s">
        <v>2020</v>
      </c>
      <c r="J1496" t="s">
        <v>2028</v>
      </c>
      <c r="K1496" t="s">
        <v>3525</v>
      </c>
      <c r="L1496" t="s">
        <v>4035</v>
      </c>
      <c r="M1496">
        <f>Cleaned[[#This Row],[Credit]]-Cleaned[[#This Row],[Debit]]</f>
        <v>-850.43</v>
      </c>
      <c r="N1496" t="str">
        <f>_xlfn.XLOOKUP(Cleaned[[#This Row],[AccountName]], Account_Mapping!A:A, Account_Mapping!B:B,"Unmapped")</f>
        <v>Operating Expense</v>
      </c>
      <c r="O1496" cm="1">
        <f t="array" ref="O1496">_xlfn.XLOOKUP(
  1,
  (FX_Rates[Currency]=Cleaned[[#This Row],[Currency]])*
  (FX_Rates[RateDate]&lt;=Cleaned[[#This Row],[TxnDate]]),
  FX_Rates[Rate_To_INR],
  ,
  -1
)</f>
        <v>61</v>
      </c>
      <c r="P1496" s="2">
        <f>Cleaned[[#This Row],[Net Amount]] *  Cleaned[[#This Row],[FX_rates]]</f>
        <v>-51876.229999999996</v>
      </c>
    </row>
    <row r="1497" spans="1:16" x14ac:dyDescent="0.45">
      <c r="A1497" t="s">
        <v>1505</v>
      </c>
      <c r="B1497" s="1">
        <v>45288</v>
      </c>
      <c r="C1497" s="2" t="s">
        <v>2010</v>
      </c>
      <c r="D1497" t="s">
        <v>2015</v>
      </c>
      <c r="E1497">
        <v>0</v>
      </c>
      <c r="F1497">
        <f>Cleaned[[#This Row],[Debit]] * Cleaned[[#This Row],[FX_rates]]</f>
        <v>0</v>
      </c>
      <c r="G1497">
        <v>4145.32</v>
      </c>
      <c r="H1497">
        <f>Cleaned[[#This Row],[Credit]] *  Cleaned[[#This Row],[FX_rates]]</f>
        <v>426967.95999999996</v>
      </c>
      <c r="I1497" t="s">
        <v>2025</v>
      </c>
      <c r="J1497" t="s">
        <v>2030</v>
      </c>
      <c r="K1497" t="s">
        <v>3526</v>
      </c>
      <c r="L1497" t="s">
        <v>4031</v>
      </c>
      <c r="M1497">
        <f>Cleaned[[#This Row],[Credit]]-Cleaned[[#This Row],[Debit]]</f>
        <v>4145.32</v>
      </c>
      <c r="N1497" t="str">
        <f>_xlfn.XLOOKUP(Cleaned[[#This Row],[AccountName]], Account_Mapping!A:A, Account_Mapping!B:B,"Unmapped")</f>
        <v>Revenue</v>
      </c>
      <c r="O1497" cm="1">
        <f t="array" ref="O1497">_xlfn.XLOOKUP(
  1,
  (FX_Rates[Currency]=Cleaned[[#This Row],[Currency]])*
  (FX_Rates[RateDate]&lt;=Cleaned[[#This Row],[TxnDate]]),
  FX_Rates[Rate_To_INR],
  ,
  -1
)</f>
        <v>103</v>
      </c>
      <c r="P1497" s="2">
        <f>Cleaned[[#This Row],[Net Amount]] *  Cleaned[[#This Row],[FX_rates]]</f>
        <v>426967.95999999996</v>
      </c>
    </row>
    <row r="1498" spans="1:16" x14ac:dyDescent="0.45">
      <c r="A1498" t="s">
        <v>1506</v>
      </c>
      <c r="B1498" s="1">
        <v>45328</v>
      </c>
      <c r="C1498" s="2" t="s">
        <v>2013</v>
      </c>
      <c r="D1498" t="s">
        <v>2018</v>
      </c>
      <c r="E1498">
        <v>1312.14</v>
      </c>
      <c r="F1498">
        <f>Cleaned[[#This Row],[Debit]] * Cleaned[[#This Row],[FX_rates]]</f>
        <v>80040.540000000008</v>
      </c>
      <c r="G1498">
        <v>0</v>
      </c>
      <c r="H1498">
        <f>Cleaned[[#This Row],[Credit]] *  Cleaned[[#This Row],[FX_rates]]</f>
        <v>0</v>
      </c>
      <c r="I1498" t="s">
        <v>2023</v>
      </c>
      <c r="J1498" t="s">
        <v>2028</v>
      </c>
      <c r="K1498" t="s">
        <v>3527</v>
      </c>
      <c r="L1498" t="s">
        <v>4035</v>
      </c>
      <c r="M1498">
        <f>Cleaned[[#This Row],[Credit]]-Cleaned[[#This Row],[Debit]]</f>
        <v>-1312.14</v>
      </c>
      <c r="N1498" t="str">
        <f>_xlfn.XLOOKUP(Cleaned[[#This Row],[AccountName]], Account_Mapping!A:A, Account_Mapping!B:B,"Unmapped")</f>
        <v>Operating Expense</v>
      </c>
      <c r="O1498" cm="1">
        <f t="array" ref="O1498">_xlfn.XLOOKUP(
  1,
  (FX_Rates[Currency]=Cleaned[[#This Row],[Currency]])*
  (FX_Rates[RateDate]&lt;=Cleaned[[#This Row],[TxnDate]]),
  FX_Rates[Rate_To_INR],
  ,
  -1
)</f>
        <v>61</v>
      </c>
      <c r="P1498" s="2">
        <f>Cleaned[[#This Row],[Net Amount]] *  Cleaned[[#This Row],[FX_rates]]</f>
        <v>-80040.540000000008</v>
      </c>
    </row>
    <row r="1499" spans="1:16" x14ac:dyDescent="0.45">
      <c r="A1499" t="s">
        <v>1507</v>
      </c>
      <c r="B1499" s="1">
        <v>45152</v>
      </c>
      <c r="C1499" s="2" t="s">
        <v>2013</v>
      </c>
      <c r="D1499" t="s">
        <v>2018</v>
      </c>
      <c r="E1499">
        <v>1270.1400000000001</v>
      </c>
      <c r="F1499">
        <f>Cleaned[[#This Row],[Debit]] * Cleaned[[#This Row],[FX_rates]]</f>
        <v>130824.42000000001</v>
      </c>
      <c r="G1499">
        <v>0</v>
      </c>
      <c r="H1499">
        <f>Cleaned[[#This Row],[Credit]] *  Cleaned[[#This Row],[FX_rates]]</f>
        <v>0</v>
      </c>
      <c r="I1499" t="s">
        <v>2021</v>
      </c>
      <c r="J1499" t="s">
        <v>2029</v>
      </c>
      <c r="K1499" t="s">
        <v>3528</v>
      </c>
      <c r="L1499" t="s">
        <v>4031</v>
      </c>
      <c r="M1499">
        <f>Cleaned[[#This Row],[Credit]]-Cleaned[[#This Row],[Debit]]</f>
        <v>-1270.1400000000001</v>
      </c>
      <c r="N1499" t="str">
        <f>_xlfn.XLOOKUP(Cleaned[[#This Row],[AccountName]], Account_Mapping!A:A, Account_Mapping!B:B,"Unmapped")</f>
        <v>Operating Expense</v>
      </c>
      <c r="O1499" cm="1">
        <f t="array" ref="O1499">_xlfn.XLOOKUP(
  1,
  (FX_Rates[Currency]=Cleaned[[#This Row],[Currency]])*
  (FX_Rates[RateDate]&lt;=Cleaned[[#This Row],[TxnDate]]),
  FX_Rates[Rate_To_INR],
  ,
  -1
)</f>
        <v>103</v>
      </c>
      <c r="P1499" s="2">
        <f>Cleaned[[#This Row],[Net Amount]] *  Cleaned[[#This Row],[FX_rates]]</f>
        <v>-130824.42000000001</v>
      </c>
    </row>
    <row r="1500" spans="1:16" x14ac:dyDescent="0.45">
      <c r="A1500" t="s">
        <v>1508</v>
      </c>
      <c r="B1500" s="1">
        <v>44948</v>
      </c>
      <c r="C1500" s="2" t="s">
        <v>2011</v>
      </c>
      <c r="D1500" t="s">
        <v>2016</v>
      </c>
      <c r="E1500">
        <v>1891.12</v>
      </c>
      <c r="F1500">
        <f>Cleaned[[#This Row],[Debit]] * Cleaned[[#This Row],[FX_rates]]</f>
        <v>194785.36</v>
      </c>
      <c r="G1500">
        <v>0</v>
      </c>
      <c r="H1500">
        <f>Cleaned[[#This Row],[Credit]] *  Cleaned[[#This Row],[FX_rates]]</f>
        <v>0</v>
      </c>
      <c r="I1500" t="s">
        <v>2021</v>
      </c>
      <c r="J1500" t="s">
        <v>2029</v>
      </c>
      <c r="K1500" t="s">
        <v>3529</v>
      </c>
      <c r="L1500" t="s">
        <v>4031</v>
      </c>
      <c r="M1500">
        <f>Cleaned[[#This Row],[Credit]]-Cleaned[[#This Row],[Debit]]</f>
        <v>-1891.12</v>
      </c>
      <c r="N1500" t="str">
        <f>_xlfn.XLOOKUP(Cleaned[[#This Row],[AccountName]], Account_Mapping!A:A, Account_Mapping!B:B,"Unmapped")</f>
        <v>COGS</v>
      </c>
      <c r="O1500" cm="1">
        <f t="array" ref="O1500">_xlfn.XLOOKUP(
  1,
  (FX_Rates[Currency]=Cleaned[[#This Row],[Currency]])*
  (FX_Rates[RateDate]&lt;=Cleaned[[#This Row],[TxnDate]]),
  FX_Rates[Rate_To_INR],
  ,
  -1
)</f>
        <v>103</v>
      </c>
      <c r="P1500" s="2">
        <f>Cleaned[[#This Row],[Net Amount]] *  Cleaned[[#This Row],[FX_rates]]</f>
        <v>-194785.36</v>
      </c>
    </row>
    <row r="1501" spans="1:16" x14ac:dyDescent="0.45">
      <c r="A1501" t="s">
        <v>1509</v>
      </c>
      <c r="B1501" s="1">
        <v>45005</v>
      </c>
      <c r="C1501" s="2" t="s">
        <v>2010</v>
      </c>
      <c r="D1501" t="s">
        <v>2015</v>
      </c>
      <c r="E1501">
        <v>0</v>
      </c>
      <c r="F1501">
        <f>Cleaned[[#This Row],[Debit]] * Cleaned[[#This Row],[FX_rates]]</f>
        <v>0</v>
      </c>
      <c r="G1501">
        <v>4859.24</v>
      </c>
      <c r="H1501">
        <f>Cleaned[[#This Row],[Credit]] *  Cleaned[[#This Row],[FX_rates]]</f>
        <v>500501.72</v>
      </c>
      <c r="I1501" t="s">
        <v>2024</v>
      </c>
      <c r="J1501" t="s">
        <v>2028</v>
      </c>
      <c r="K1501" t="s">
        <v>3530</v>
      </c>
      <c r="L1501" t="s">
        <v>4031</v>
      </c>
      <c r="M1501">
        <f>Cleaned[[#This Row],[Credit]]-Cleaned[[#This Row],[Debit]]</f>
        <v>4859.24</v>
      </c>
      <c r="N1501" t="str">
        <f>_xlfn.XLOOKUP(Cleaned[[#This Row],[AccountName]], Account_Mapping!A:A, Account_Mapping!B:B,"Unmapped")</f>
        <v>Revenue</v>
      </c>
      <c r="O1501" cm="1">
        <f t="array" ref="O1501">_xlfn.XLOOKUP(
  1,
  (FX_Rates[Currency]=Cleaned[[#This Row],[Currency]])*
  (FX_Rates[RateDate]&lt;=Cleaned[[#This Row],[TxnDate]]),
  FX_Rates[Rate_To_INR],
  ,
  -1
)</f>
        <v>103</v>
      </c>
      <c r="P1501" s="2">
        <f>Cleaned[[#This Row],[Net Amount]] *  Cleaned[[#This Row],[FX_rates]]</f>
        <v>500501.72</v>
      </c>
    </row>
    <row r="1502" spans="1:16" x14ac:dyDescent="0.45">
      <c r="A1502" t="s">
        <v>1510</v>
      </c>
      <c r="B1502" s="1">
        <v>45221</v>
      </c>
      <c r="C1502" s="2" t="s">
        <v>2010</v>
      </c>
      <c r="D1502" t="s">
        <v>2015</v>
      </c>
      <c r="E1502">
        <v>0</v>
      </c>
      <c r="F1502">
        <f>Cleaned[[#This Row],[Debit]] * Cleaned[[#This Row],[FX_rates]]</f>
        <v>0</v>
      </c>
      <c r="G1502">
        <v>2711.83</v>
      </c>
      <c r="H1502">
        <f>Cleaned[[#This Row],[Credit]] *  Cleaned[[#This Row],[FX_rates]]</f>
        <v>279318.49</v>
      </c>
      <c r="I1502" t="s">
        <v>2024</v>
      </c>
      <c r="J1502" t="s">
        <v>2029</v>
      </c>
      <c r="K1502" t="s">
        <v>3531</v>
      </c>
      <c r="L1502" t="s">
        <v>4031</v>
      </c>
      <c r="M1502">
        <f>Cleaned[[#This Row],[Credit]]-Cleaned[[#This Row],[Debit]]</f>
        <v>2711.83</v>
      </c>
      <c r="N1502" t="str">
        <f>_xlfn.XLOOKUP(Cleaned[[#This Row],[AccountName]], Account_Mapping!A:A, Account_Mapping!B:B,"Unmapped")</f>
        <v>Revenue</v>
      </c>
      <c r="O1502" cm="1">
        <f t="array" ref="O1502">_xlfn.XLOOKUP(
  1,
  (FX_Rates[Currency]=Cleaned[[#This Row],[Currency]])*
  (FX_Rates[RateDate]&lt;=Cleaned[[#This Row],[TxnDate]]),
  FX_Rates[Rate_To_INR],
  ,
  -1
)</f>
        <v>103</v>
      </c>
      <c r="P1502" s="2">
        <f>Cleaned[[#This Row],[Net Amount]] *  Cleaned[[#This Row],[FX_rates]]</f>
        <v>279318.49</v>
      </c>
    </row>
    <row r="1503" spans="1:16" x14ac:dyDescent="0.45">
      <c r="A1503" t="s">
        <v>1511</v>
      </c>
      <c r="B1503" s="1">
        <v>45751</v>
      </c>
      <c r="C1503" s="2" t="s">
        <v>2012</v>
      </c>
      <c r="D1503" t="s">
        <v>2017</v>
      </c>
      <c r="E1503">
        <v>648.23</v>
      </c>
      <c r="F1503">
        <f>Cleaned[[#This Row],[Debit]] * Cleaned[[#This Row],[FX_rates]]</f>
        <v>39542.03</v>
      </c>
      <c r="G1503">
        <v>0</v>
      </c>
      <c r="H1503">
        <f>Cleaned[[#This Row],[Credit]] *  Cleaned[[#This Row],[FX_rates]]</f>
        <v>0</v>
      </c>
      <c r="I1503" t="s">
        <v>2021</v>
      </c>
      <c r="J1503" t="s">
        <v>2027</v>
      </c>
      <c r="K1503" t="s">
        <v>3532</v>
      </c>
      <c r="L1503" t="s">
        <v>4035</v>
      </c>
      <c r="M1503">
        <f>Cleaned[[#This Row],[Credit]]-Cleaned[[#This Row],[Debit]]</f>
        <v>-648.23</v>
      </c>
      <c r="N1503" t="str">
        <f>_xlfn.XLOOKUP(Cleaned[[#This Row],[AccountName]], Account_Mapping!A:A, Account_Mapping!B:B,"Unmapped")</f>
        <v>Operating Expense</v>
      </c>
      <c r="O1503" cm="1">
        <f t="array" ref="O1503">_xlfn.XLOOKUP(
  1,
  (FX_Rates[Currency]=Cleaned[[#This Row],[Currency]])*
  (FX_Rates[RateDate]&lt;=Cleaned[[#This Row],[TxnDate]]),
  FX_Rates[Rate_To_INR],
  ,
  -1
)</f>
        <v>61</v>
      </c>
      <c r="P1503" s="2">
        <f>Cleaned[[#This Row],[Net Amount]] *  Cleaned[[#This Row],[FX_rates]]</f>
        <v>-39542.03</v>
      </c>
    </row>
    <row r="1504" spans="1:16" x14ac:dyDescent="0.45">
      <c r="A1504" t="s">
        <v>1512</v>
      </c>
      <c r="B1504" s="1">
        <v>45238</v>
      </c>
      <c r="C1504" s="2" t="s">
        <v>2014</v>
      </c>
      <c r="D1504" t="s">
        <v>2019</v>
      </c>
      <c r="E1504">
        <v>0</v>
      </c>
      <c r="F1504">
        <f>Cleaned[[#This Row],[Debit]] * Cleaned[[#This Row],[FX_rates]]</f>
        <v>0</v>
      </c>
      <c r="G1504">
        <v>3468.1</v>
      </c>
      <c r="H1504">
        <f>Cleaned[[#This Row],[Credit]] *  Cleaned[[#This Row],[FX_rates]]</f>
        <v>305192.8</v>
      </c>
      <c r="I1504" t="s">
        <v>2023</v>
      </c>
      <c r="J1504" t="s">
        <v>2027</v>
      </c>
      <c r="K1504" t="s">
        <v>3533</v>
      </c>
      <c r="L1504" t="s">
        <v>4032</v>
      </c>
      <c r="M1504">
        <f>Cleaned[[#This Row],[Credit]]-Cleaned[[#This Row],[Debit]]</f>
        <v>3468.1</v>
      </c>
      <c r="N1504" t="str">
        <f>_xlfn.XLOOKUP(Cleaned[[#This Row],[AccountName]], Account_Mapping!A:A, Account_Mapping!B:B,"Unmapped")</f>
        <v>Revenue</v>
      </c>
      <c r="O1504" cm="1">
        <f t="array" ref="O1504">_xlfn.XLOOKUP(
  1,
  (FX_Rates[Currency]=Cleaned[[#This Row],[Currency]])*
  (FX_Rates[RateDate]&lt;=Cleaned[[#This Row],[TxnDate]]),
  FX_Rates[Rate_To_INR],
  ,
  -1
)</f>
        <v>88</v>
      </c>
      <c r="P1504" s="2">
        <f>Cleaned[[#This Row],[Net Amount]] *  Cleaned[[#This Row],[FX_rates]]</f>
        <v>305192.8</v>
      </c>
    </row>
    <row r="1505" spans="1:16" x14ac:dyDescent="0.45">
      <c r="A1505" t="s">
        <v>1513</v>
      </c>
      <c r="B1505" s="1">
        <v>45526</v>
      </c>
      <c r="C1505" s="2" t="s">
        <v>2014</v>
      </c>
      <c r="D1505" t="s">
        <v>2019</v>
      </c>
      <c r="E1505">
        <v>0</v>
      </c>
      <c r="F1505">
        <f>Cleaned[[#This Row],[Debit]] * Cleaned[[#This Row],[FX_rates]]</f>
        <v>0</v>
      </c>
      <c r="G1505">
        <v>252.83</v>
      </c>
      <c r="H1505">
        <f>Cleaned[[#This Row],[Credit]] *  Cleaned[[#This Row],[FX_rates]]</f>
        <v>15422.630000000001</v>
      </c>
      <c r="I1505" t="s">
        <v>2023</v>
      </c>
      <c r="J1505" t="s">
        <v>2028</v>
      </c>
      <c r="K1505" t="s">
        <v>3534</v>
      </c>
      <c r="L1505" t="s">
        <v>4035</v>
      </c>
      <c r="M1505">
        <f>Cleaned[[#This Row],[Credit]]-Cleaned[[#This Row],[Debit]]</f>
        <v>252.83</v>
      </c>
      <c r="N1505" t="str">
        <f>_xlfn.XLOOKUP(Cleaned[[#This Row],[AccountName]], Account_Mapping!A:A, Account_Mapping!B:B,"Unmapped")</f>
        <v>Revenue</v>
      </c>
      <c r="O1505" cm="1">
        <f t="array" ref="O1505">_xlfn.XLOOKUP(
  1,
  (FX_Rates[Currency]=Cleaned[[#This Row],[Currency]])*
  (FX_Rates[RateDate]&lt;=Cleaned[[#This Row],[TxnDate]]),
  FX_Rates[Rate_To_INR],
  ,
  -1
)</f>
        <v>61</v>
      </c>
      <c r="P1505" s="2">
        <f>Cleaned[[#This Row],[Net Amount]] *  Cleaned[[#This Row],[FX_rates]]</f>
        <v>15422.630000000001</v>
      </c>
    </row>
    <row r="1506" spans="1:16" x14ac:dyDescent="0.45">
      <c r="A1506" t="s">
        <v>1514</v>
      </c>
      <c r="B1506" s="1">
        <v>45437</v>
      </c>
      <c r="C1506" s="2" t="s">
        <v>2013</v>
      </c>
      <c r="D1506" t="s">
        <v>2018</v>
      </c>
      <c r="E1506">
        <v>1268.1099999999999</v>
      </c>
      <c r="F1506">
        <f>Cleaned[[#This Row],[Debit]] * Cleaned[[#This Row],[FX_rates]]</f>
        <v>77354.709999999992</v>
      </c>
      <c r="G1506">
        <v>0</v>
      </c>
      <c r="H1506">
        <f>Cleaned[[#This Row],[Credit]] *  Cleaned[[#This Row],[FX_rates]]</f>
        <v>0</v>
      </c>
      <c r="I1506" t="s">
        <v>2021</v>
      </c>
      <c r="J1506" t="s">
        <v>2030</v>
      </c>
      <c r="K1506" t="s">
        <v>3535</v>
      </c>
      <c r="L1506" t="s">
        <v>4035</v>
      </c>
      <c r="M1506">
        <f>Cleaned[[#This Row],[Credit]]-Cleaned[[#This Row],[Debit]]</f>
        <v>-1268.1099999999999</v>
      </c>
      <c r="N1506" t="str">
        <f>_xlfn.XLOOKUP(Cleaned[[#This Row],[AccountName]], Account_Mapping!A:A, Account_Mapping!B:B,"Unmapped")</f>
        <v>Operating Expense</v>
      </c>
      <c r="O1506" cm="1">
        <f t="array" ref="O1506">_xlfn.XLOOKUP(
  1,
  (FX_Rates[Currency]=Cleaned[[#This Row],[Currency]])*
  (FX_Rates[RateDate]&lt;=Cleaned[[#This Row],[TxnDate]]),
  FX_Rates[Rate_To_INR],
  ,
  -1
)</f>
        <v>61</v>
      </c>
      <c r="P1506" s="2">
        <f>Cleaned[[#This Row],[Net Amount]] *  Cleaned[[#This Row],[FX_rates]]</f>
        <v>-77354.709999999992</v>
      </c>
    </row>
    <row r="1507" spans="1:16" x14ac:dyDescent="0.45">
      <c r="A1507" t="s">
        <v>1515</v>
      </c>
      <c r="B1507" s="1">
        <v>45574</v>
      </c>
      <c r="C1507" s="2" t="s">
        <v>2011</v>
      </c>
      <c r="D1507" t="s">
        <v>2016</v>
      </c>
      <c r="E1507">
        <v>574.22</v>
      </c>
      <c r="F1507">
        <f>Cleaned[[#This Row],[Debit]] * Cleaned[[#This Row],[FX_rates]]</f>
        <v>32156.32</v>
      </c>
      <c r="G1507">
        <v>0</v>
      </c>
      <c r="H1507">
        <f>Cleaned[[#This Row],[Credit]] *  Cleaned[[#This Row],[FX_rates]]</f>
        <v>0</v>
      </c>
      <c r="I1507" t="s">
        <v>2023</v>
      </c>
      <c r="J1507" t="s">
        <v>2027</v>
      </c>
      <c r="K1507" t="s">
        <v>3536</v>
      </c>
      <c r="L1507" t="s">
        <v>4033</v>
      </c>
      <c r="M1507">
        <f>Cleaned[[#This Row],[Credit]]-Cleaned[[#This Row],[Debit]]</f>
        <v>-574.22</v>
      </c>
      <c r="N1507" t="str">
        <f>_xlfn.XLOOKUP(Cleaned[[#This Row],[AccountName]], Account_Mapping!A:A, Account_Mapping!B:B,"Unmapped")</f>
        <v>COGS</v>
      </c>
      <c r="O1507" cm="1">
        <f t="array" ref="O1507">_xlfn.XLOOKUP(
  1,
  (FX_Rates[Currency]=Cleaned[[#This Row],[Currency]])*
  (FX_Rates[RateDate]&lt;=Cleaned[[#This Row],[TxnDate]]),
  FX_Rates[Rate_To_INR],
  ,
  -1
)</f>
        <v>56</v>
      </c>
      <c r="P1507" s="2">
        <f>Cleaned[[#This Row],[Net Amount]] *  Cleaned[[#This Row],[FX_rates]]</f>
        <v>-32156.32</v>
      </c>
    </row>
    <row r="1508" spans="1:16" x14ac:dyDescent="0.45">
      <c r="A1508" t="s">
        <v>1516</v>
      </c>
      <c r="B1508" s="1">
        <v>45367</v>
      </c>
      <c r="C1508" s="2" t="s">
        <v>2013</v>
      </c>
      <c r="D1508" t="s">
        <v>2018</v>
      </c>
      <c r="E1508">
        <v>406.62</v>
      </c>
      <c r="F1508">
        <f>Cleaned[[#This Row],[Debit]] * Cleaned[[#This Row],[FX_rates]]</f>
        <v>35782.559999999998</v>
      </c>
      <c r="G1508">
        <v>0</v>
      </c>
      <c r="H1508">
        <f>Cleaned[[#This Row],[Credit]] *  Cleaned[[#This Row],[FX_rates]]</f>
        <v>0</v>
      </c>
      <c r="I1508" t="s">
        <v>2021</v>
      </c>
      <c r="J1508" t="s">
        <v>2030</v>
      </c>
      <c r="K1508" t="s">
        <v>3537</v>
      </c>
      <c r="L1508" t="s">
        <v>4032</v>
      </c>
      <c r="M1508">
        <f>Cleaned[[#This Row],[Credit]]-Cleaned[[#This Row],[Debit]]</f>
        <v>-406.62</v>
      </c>
      <c r="N1508" t="str">
        <f>_xlfn.XLOOKUP(Cleaned[[#This Row],[AccountName]], Account_Mapping!A:A, Account_Mapping!B:B,"Unmapped")</f>
        <v>Operating Expense</v>
      </c>
      <c r="O1508" cm="1">
        <f t="array" ref="O1508">_xlfn.XLOOKUP(
  1,
  (FX_Rates[Currency]=Cleaned[[#This Row],[Currency]])*
  (FX_Rates[RateDate]&lt;=Cleaned[[#This Row],[TxnDate]]),
  FX_Rates[Rate_To_INR],
  ,
  -1
)</f>
        <v>88</v>
      </c>
      <c r="P1508" s="2">
        <f>Cleaned[[#This Row],[Net Amount]] *  Cleaned[[#This Row],[FX_rates]]</f>
        <v>-35782.559999999998</v>
      </c>
    </row>
    <row r="1509" spans="1:16" x14ac:dyDescent="0.45">
      <c r="A1509" t="s">
        <v>1517</v>
      </c>
      <c r="B1509" s="1">
        <v>45366</v>
      </c>
      <c r="C1509" s="2" t="s">
        <v>2014</v>
      </c>
      <c r="D1509" t="s">
        <v>2019</v>
      </c>
      <c r="E1509">
        <v>0</v>
      </c>
      <c r="F1509">
        <f>Cleaned[[#This Row],[Debit]] * Cleaned[[#This Row],[FX_rates]]</f>
        <v>0</v>
      </c>
      <c r="G1509">
        <v>4055.84</v>
      </c>
      <c r="H1509">
        <f>Cleaned[[#This Row],[Credit]] *  Cleaned[[#This Row],[FX_rates]]</f>
        <v>417751.52</v>
      </c>
      <c r="I1509" t="s">
        <v>2025</v>
      </c>
      <c r="J1509" t="s">
        <v>2030</v>
      </c>
      <c r="K1509" t="s">
        <v>3538</v>
      </c>
      <c r="L1509" t="s">
        <v>4031</v>
      </c>
      <c r="M1509">
        <f>Cleaned[[#This Row],[Credit]]-Cleaned[[#This Row],[Debit]]</f>
        <v>4055.84</v>
      </c>
      <c r="N1509" t="str">
        <f>_xlfn.XLOOKUP(Cleaned[[#This Row],[AccountName]], Account_Mapping!A:A, Account_Mapping!B:B,"Unmapped")</f>
        <v>Revenue</v>
      </c>
      <c r="O1509" cm="1">
        <f t="array" ref="O1509">_xlfn.XLOOKUP(
  1,
  (FX_Rates[Currency]=Cleaned[[#This Row],[Currency]])*
  (FX_Rates[RateDate]&lt;=Cleaned[[#This Row],[TxnDate]]),
  FX_Rates[Rate_To_INR],
  ,
  -1
)</f>
        <v>103</v>
      </c>
      <c r="P1509" s="2">
        <f>Cleaned[[#This Row],[Net Amount]] *  Cleaned[[#This Row],[FX_rates]]</f>
        <v>417751.52</v>
      </c>
    </row>
    <row r="1510" spans="1:16" x14ac:dyDescent="0.45">
      <c r="A1510" t="s">
        <v>1518</v>
      </c>
      <c r="B1510" s="1">
        <v>45394</v>
      </c>
      <c r="C1510" s="2" t="s">
        <v>2010</v>
      </c>
      <c r="D1510" t="s">
        <v>2015</v>
      </c>
      <c r="E1510">
        <v>0</v>
      </c>
      <c r="F1510">
        <f>Cleaned[[#This Row],[Debit]] * Cleaned[[#This Row],[FX_rates]]</f>
        <v>0</v>
      </c>
      <c r="G1510">
        <v>3804.94</v>
      </c>
      <c r="H1510">
        <f>Cleaned[[#This Row],[Credit]] *  Cleaned[[#This Row],[FX_rates]]</f>
        <v>391908.82</v>
      </c>
      <c r="I1510" t="s">
        <v>2020</v>
      </c>
      <c r="J1510" t="s">
        <v>2030</v>
      </c>
      <c r="K1510" t="s">
        <v>3539</v>
      </c>
      <c r="L1510" t="s">
        <v>4031</v>
      </c>
      <c r="M1510">
        <f>Cleaned[[#This Row],[Credit]]-Cleaned[[#This Row],[Debit]]</f>
        <v>3804.94</v>
      </c>
      <c r="N1510" t="str">
        <f>_xlfn.XLOOKUP(Cleaned[[#This Row],[AccountName]], Account_Mapping!A:A, Account_Mapping!B:B,"Unmapped")</f>
        <v>Revenue</v>
      </c>
      <c r="O1510" cm="1">
        <f t="array" ref="O1510">_xlfn.XLOOKUP(
  1,
  (FX_Rates[Currency]=Cleaned[[#This Row],[Currency]])*
  (FX_Rates[RateDate]&lt;=Cleaned[[#This Row],[TxnDate]]),
  FX_Rates[Rate_To_INR],
  ,
  -1
)</f>
        <v>103</v>
      </c>
      <c r="P1510" s="2">
        <f>Cleaned[[#This Row],[Net Amount]] *  Cleaned[[#This Row],[FX_rates]]</f>
        <v>391908.82</v>
      </c>
    </row>
    <row r="1511" spans="1:16" x14ac:dyDescent="0.45">
      <c r="A1511" t="s">
        <v>1519</v>
      </c>
      <c r="B1511" s="1">
        <v>45277</v>
      </c>
      <c r="C1511" s="2" t="s">
        <v>2010</v>
      </c>
      <c r="D1511" t="s">
        <v>2015</v>
      </c>
      <c r="E1511">
        <v>0</v>
      </c>
      <c r="F1511">
        <f>Cleaned[[#This Row],[Debit]] * Cleaned[[#This Row],[FX_rates]]</f>
        <v>0</v>
      </c>
      <c r="G1511">
        <v>2037.61</v>
      </c>
      <c r="H1511">
        <f>Cleaned[[#This Row],[Credit]] *  Cleaned[[#This Row],[FX_rates]]</f>
        <v>114106.15999999999</v>
      </c>
      <c r="I1511" t="s">
        <v>2025</v>
      </c>
      <c r="J1511" t="s">
        <v>2028</v>
      </c>
      <c r="K1511" t="s">
        <v>3540</v>
      </c>
      <c r="L1511" t="s">
        <v>4033</v>
      </c>
      <c r="M1511">
        <f>Cleaned[[#This Row],[Credit]]-Cleaned[[#This Row],[Debit]]</f>
        <v>2037.61</v>
      </c>
      <c r="N1511" t="str">
        <f>_xlfn.XLOOKUP(Cleaned[[#This Row],[AccountName]], Account_Mapping!A:A, Account_Mapping!B:B,"Unmapped")</f>
        <v>Revenue</v>
      </c>
      <c r="O1511" cm="1">
        <f t="array" ref="O1511">_xlfn.XLOOKUP(
  1,
  (FX_Rates[Currency]=Cleaned[[#This Row],[Currency]])*
  (FX_Rates[RateDate]&lt;=Cleaned[[#This Row],[TxnDate]]),
  FX_Rates[Rate_To_INR],
  ,
  -1
)</f>
        <v>56</v>
      </c>
      <c r="P1511" s="2">
        <f>Cleaned[[#This Row],[Net Amount]] *  Cleaned[[#This Row],[FX_rates]]</f>
        <v>114106.15999999999</v>
      </c>
    </row>
    <row r="1512" spans="1:16" x14ac:dyDescent="0.45">
      <c r="A1512" t="s">
        <v>1520</v>
      </c>
      <c r="B1512" s="1">
        <v>45537</v>
      </c>
      <c r="C1512" s="2" t="s">
        <v>2011</v>
      </c>
      <c r="D1512" t="s">
        <v>2016</v>
      </c>
      <c r="E1512">
        <v>1702.53</v>
      </c>
      <c r="F1512">
        <f>Cleaned[[#This Row],[Debit]] * Cleaned[[#This Row],[FX_rates]]</f>
        <v>175360.59</v>
      </c>
      <c r="G1512">
        <v>0</v>
      </c>
      <c r="H1512">
        <f>Cleaned[[#This Row],[Credit]] *  Cleaned[[#This Row],[FX_rates]]</f>
        <v>0</v>
      </c>
      <c r="I1512" t="s">
        <v>2022</v>
      </c>
      <c r="J1512" t="s">
        <v>2030</v>
      </c>
      <c r="K1512" t="s">
        <v>3541</v>
      </c>
      <c r="L1512" t="s">
        <v>4031</v>
      </c>
      <c r="M1512">
        <f>Cleaned[[#This Row],[Credit]]-Cleaned[[#This Row],[Debit]]</f>
        <v>-1702.53</v>
      </c>
      <c r="N1512" t="str">
        <f>_xlfn.XLOOKUP(Cleaned[[#This Row],[AccountName]], Account_Mapping!A:A, Account_Mapping!B:B,"Unmapped")</f>
        <v>COGS</v>
      </c>
      <c r="O1512" cm="1">
        <f t="array" ref="O1512">_xlfn.XLOOKUP(
  1,
  (FX_Rates[Currency]=Cleaned[[#This Row],[Currency]])*
  (FX_Rates[RateDate]&lt;=Cleaned[[#This Row],[TxnDate]]),
  FX_Rates[Rate_To_INR],
  ,
  -1
)</f>
        <v>103</v>
      </c>
      <c r="P1512" s="2">
        <f>Cleaned[[#This Row],[Net Amount]] *  Cleaned[[#This Row],[FX_rates]]</f>
        <v>-175360.59</v>
      </c>
    </row>
    <row r="1513" spans="1:16" x14ac:dyDescent="0.45">
      <c r="A1513" t="s">
        <v>1521</v>
      </c>
      <c r="B1513" s="1">
        <v>45210</v>
      </c>
      <c r="C1513" s="2" t="s">
        <v>2010</v>
      </c>
      <c r="D1513" t="s">
        <v>2015</v>
      </c>
      <c r="E1513">
        <v>0</v>
      </c>
      <c r="F1513">
        <f>Cleaned[[#This Row],[Debit]] * Cleaned[[#This Row],[FX_rates]]</f>
        <v>0</v>
      </c>
      <c r="G1513">
        <v>829.97</v>
      </c>
      <c r="H1513">
        <f>Cleaned[[#This Row],[Credit]] *  Cleaned[[#This Row],[FX_rates]]</f>
        <v>68057.540000000008</v>
      </c>
      <c r="I1513" t="s">
        <v>2024</v>
      </c>
      <c r="J1513" t="s">
        <v>2027</v>
      </c>
      <c r="K1513" t="s">
        <v>3542</v>
      </c>
      <c r="L1513" t="s">
        <v>4034</v>
      </c>
      <c r="M1513">
        <f>Cleaned[[#This Row],[Credit]]-Cleaned[[#This Row],[Debit]]</f>
        <v>829.97</v>
      </c>
      <c r="N1513" t="str">
        <f>_xlfn.XLOOKUP(Cleaned[[#This Row],[AccountName]], Account_Mapping!A:A, Account_Mapping!B:B,"Unmapped")</f>
        <v>Revenue</v>
      </c>
      <c r="O1513" cm="1">
        <f t="array" ref="O1513">_xlfn.XLOOKUP(
  1,
  (FX_Rates[Currency]=Cleaned[[#This Row],[Currency]])*
  (FX_Rates[RateDate]&lt;=Cleaned[[#This Row],[TxnDate]]),
  FX_Rates[Rate_To_INR],
  ,
  -1
)</f>
        <v>82</v>
      </c>
      <c r="P1513" s="2">
        <f>Cleaned[[#This Row],[Net Amount]] *  Cleaned[[#This Row],[FX_rates]]</f>
        <v>68057.540000000008</v>
      </c>
    </row>
    <row r="1514" spans="1:16" x14ac:dyDescent="0.45">
      <c r="A1514" t="s">
        <v>1522</v>
      </c>
      <c r="B1514" s="1">
        <v>45715</v>
      </c>
      <c r="C1514" s="2" t="s">
        <v>2010</v>
      </c>
      <c r="D1514" t="s">
        <v>2015</v>
      </c>
      <c r="E1514">
        <v>0</v>
      </c>
      <c r="F1514">
        <f>Cleaned[[#This Row],[Debit]] * Cleaned[[#This Row],[FX_rates]]</f>
        <v>0</v>
      </c>
      <c r="G1514">
        <v>4946.1000000000004</v>
      </c>
      <c r="H1514">
        <f>Cleaned[[#This Row],[Credit]] *  Cleaned[[#This Row],[FX_rates]]</f>
        <v>276981.60000000003</v>
      </c>
      <c r="I1514" t="s">
        <v>2021</v>
      </c>
      <c r="J1514" t="s">
        <v>2026</v>
      </c>
      <c r="K1514" t="s">
        <v>3543</v>
      </c>
      <c r="L1514" t="s">
        <v>4033</v>
      </c>
      <c r="M1514">
        <f>Cleaned[[#This Row],[Credit]]-Cleaned[[#This Row],[Debit]]</f>
        <v>4946.1000000000004</v>
      </c>
      <c r="N1514" t="str">
        <f>_xlfn.XLOOKUP(Cleaned[[#This Row],[AccountName]], Account_Mapping!A:A, Account_Mapping!B:B,"Unmapped")</f>
        <v>Revenue</v>
      </c>
      <c r="O1514" cm="1">
        <f t="array" ref="O1514">_xlfn.XLOOKUP(
  1,
  (FX_Rates[Currency]=Cleaned[[#This Row],[Currency]])*
  (FX_Rates[RateDate]&lt;=Cleaned[[#This Row],[TxnDate]]),
  FX_Rates[Rate_To_INR],
  ,
  -1
)</f>
        <v>56</v>
      </c>
      <c r="P1514" s="2">
        <f>Cleaned[[#This Row],[Net Amount]] *  Cleaned[[#This Row],[FX_rates]]</f>
        <v>276981.60000000003</v>
      </c>
    </row>
    <row r="1515" spans="1:16" x14ac:dyDescent="0.45">
      <c r="A1515" t="s">
        <v>1523</v>
      </c>
      <c r="B1515" s="1">
        <v>44981</v>
      </c>
      <c r="C1515" s="2" t="s">
        <v>2010</v>
      </c>
      <c r="D1515" t="s">
        <v>2015</v>
      </c>
      <c r="E1515">
        <v>0</v>
      </c>
      <c r="F1515">
        <f>Cleaned[[#This Row],[Debit]] * Cleaned[[#This Row],[FX_rates]]</f>
        <v>0</v>
      </c>
      <c r="G1515">
        <v>2736.74</v>
      </c>
      <c r="H1515">
        <f>Cleaned[[#This Row],[Credit]] *  Cleaned[[#This Row],[FX_rates]]</f>
        <v>153257.44</v>
      </c>
      <c r="I1515" t="s">
        <v>2021</v>
      </c>
      <c r="J1515" t="s">
        <v>2028</v>
      </c>
      <c r="K1515" t="s">
        <v>3544</v>
      </c>
      <c r="L1515" t="s">
        <v>4033</v>
      </c>
      <c r="M1515">
        <f>Cleaned[[#This Row],[Credit]]-Cleaned[[#This Row],[Debit]]</f>
        <v>2736.74</v>
      </c>
      <c r="N1515" t="str">
        <f>_xlfn.XLOOKUP(Cleaned[[#This Row],[AccountName]], Account_Mapping!A:A, Account_Mapping!B:B,"Unmapped")</f>
        <v>Revenue</v>
      </c>
      <c r="O1515" cm="1">
        <f t="array" ref="O1515">_xlfn.XLOOKUP(
  1,
  (FX_Rates[Currency]=Cleaned[[#This Row],[Currency]])*
  (FX_Rates[RateDate]&lt;=Cleaned[[#This Row],[TxnDate]]),
  FX_Rates[Rate_To_INR],
  ,
  -1
)</f>
        <v>56</v>
      </c>
      <c r="P1515" s="2">
        <f>Cleaned[[#This Row],[Net Amount]] *  Cleaned[[#This Row],[FX_rates]]</f>
        <v>153257.44</v>
      </c>
    </row>
    <row r="1516" spans="1:16" x14ac:dyDescent="0.45">
      <c r="A1516" t="s">
        <v>1524</v>
      </c>
      <c r="B1516" s="1">
        <v>45513</v>
      </c>
      <c r="C1516" s="2" t="s">
        <v>2012</v>
      </c>
      <c r="D1516" t="s">
        <v>2017</v>
      </c>
      <c r="E1516">
        <v>1372.85</v>
      </c>
      <c r="F1516">
        <f>Cleaned[[#This Row],[Debit]] * Cleaned[[#This Row],[FX_rates]]</f>
        <v>141403.54999999999</v>
      </c>
      <c r="G1516">
        <v>0</v>
      </c>
      <c r="H1516">
        <f>Cleaned[[#This Row],[Credit]] *  Cleaned[[#This Row],[FX_rates]]</f>
        <v>0</v>
      </c>
      <c r="I1516" t="s">
        <v>2022</v>
      </c>
      <c r="J1516" t="s">
        <v>2026</v>
      </c>
      <c r="K1516" t="s">
        <v>3545</v>
      </c>
      <c r="L1516" t="s">
        <v>4031</v>
      </c>
      <c r="M1516">
        <f>Cleaned[[#This Row],[Credit]]-Cleaned[[#This Row],[Debit]]</f>
        <v>-1372.85</v>
      </c>
      <c r="N1516" t="str">
        <f>_xlfn.XLOOKUP(Cleaned[[#This Row],[AccountName]], Account_Mapping!A:A, Account_Mapping!B:B,"Unmapped")</f>
        <v>Operating Expense</v>
      </c>
      <c r="O1516" cm="1">
        <f t="array" ref="O1516">_xlfn.XLOOKUP(
  1,
  (FX_Rates[Currency]=Cleaned[[#This Row],[Currency]])*
  (FX_Rates[RateDate]&lt;=Cleaned[[#This Row],[TxnDate]]),
  FX_Rates[Rate_To_INR],
  ,
  -1
)</f>
        <v>103</v>
      </c>
      <c r="P1516" s="2">
        <f>Cleaned[[#This Row],[Net Amount]] *  Cleaned[[#This Row],[FX_rates]]</f>
        <v>-141403.54999999999</v>
      </c>
    </row>
    <row r="1517" spans="1:16" x14ac:dyDescent="0.45">
      <c r="A1517" t="s">
        <v>1525</v>
      </c>
      <c r="B1517" s="1">
        <v>45496</v>
      </c>
      <c r="C1517" s="2" t="s">
        <v>2013</v>
      </c>
      <c r="D1517" t="s">
        <v>2018</v>
      </c>
      <c r="E1517">
        <v>1842.13</v>
      </c>
      <c r="F1517">
        <f>Cleaned[[#This Row],[Debit]] * Cleaned[[#This Row],[FX_rates]]</f>
        <v>103159.28</v>
      </c>
      <c r="G1517">
        <v>0</v>
      </c>
      <c r="H1517">
        <f>Cleaned[[#This Row],[Credit]] *  Cleaned[[#This Row],[FX_rates]]</f>
        <v>0</v>
      </c>
      <c r="I1517" t="s">
        <v>2022</v>
      </c>
      <c r="J1517" t="s">
        <v>2029</v>
      </c>
      <c r="K1517" t="s">
        <v>3546</v>
      </c>
      <c r="L1517" t="s">
        <v>4033</v>
      </c>
      <c r="M1517">
        <f>Cleaned[[#This Row],[Credit]]-Cleaned[[#This Row],[Debit]]</f>
        <v>-1842.13</v>
      </c>
      <c r="N1517" t="str">
        <f>_xlfn.XLOOKUP(Cleaned[[#This Row],[AccountName]], Account_Mapping!A:A, Account_Mapping!B:B,"Unmapped")</f>
        <v>Operating Expense</v>
      </c>
      <c r="O1517" cm="1">
        <f t="array" ref="O1517">_xlfn.XLOOKUP(
  1,
  (FX_Rates[Currency]=Cleaned[[#This Row],[Currency]])*
  (FX_Rates[RateDate]&lt;=Cleaned[[#This Row],[TxnDate]]),
  FX_Rates[Rate_To_INR],
  ,
  -1
)</f>
        <v>56</v>
      </c>
      <c r="P1517" s="2">
        <f>Cleaned[[#This Row],[Net Amount]] *  Cleaned[[#This Row],[FX_rates]]</f>
        <v>-103159.28</v>
      </c>
    </row>
    <row r="1518" spans="1:16" x14ac:dyDescent="0.45">
      <c r="A1518" t="s">
        <v>1526</v>
      </c>
      <c r="B1518" s="1">
        <v>45673</v>
      </c>
      <c r="C1518" s="2" t="s">
        <v>2010</v>
      </c>
      <c r="D1518" t="s">
        <v>2015</v>
      </c>
      <c r="E1518">
        <v>0</v>
      </c>
      <c r="F1518">
        <f>Cleaned[[#This Row],[Debit]] * Cleaned[[#This Row],[FX_rates]]</f>
        <v>0</v>
      </c>
      <c r="G1518">
        <v>4447.99</v>
      </c>
      <c r="H1518">
        <f>Cleaned[[#This Row],[Credit]] *  Cleaned[[#This Row],[FX_rates]]</f>
        <v>249087.44</v>
      </c>
      <c r="I1518" t="s">
        <v>2020</v>
      </c>
      <c r="J1518" t="s">
        <v>2027</v>
      </c>
      <c r="K1518" t="s">
        <v>3547</v>
      </c>
      <c r="L1518" t="s">
        <v>4033</v>
      </c>
      <c r="M1518">
        <f>Cleaned[[#This Row],[Credit]]-Cleaned[[#This Row],[Debit]]</f>
        <v>4447.99</v>
      </c>
      <c r="N1518" t="str">
        <f>_xlfn.XLOOKUP(Cleaned[[#This Row],[AccountName]], Account_Mapping!A:A, Account_Mapping!B:B,"Unmapped")</f>
        <v>Revenue</v>
      </c>
      <c r="O1518" cm="1">
        <f t="array" ref="O1518">_xlfn.XLOOKUP(
  1,
  (FX_Rates[Currency]=Cleaned[[#This Row],[Currency]])*
  (FX_Rates[RateDate]&lt;=Cleaned[[#This Row],[TxnDate]]),
  FX_Rates[Rate_To_INR],
  ,
  -1
)</f>
        <v>56</v>
      </c>
      <c r="P1518" s="2">
        <f>Cleaned[[#This Row],[Net Amount]] *  Cleaned[[#This Row],[FX_rates]]</f>
        <v>249087.44</v>
      </c>
    </row>
    <row r="1519" spans="1:16" x14ac:dyDescent="0.45">
      <c r="A1519" t="s">
        <v>1527</v>
      </c>
      <c r="B1519" s="1">
        <v>45401</v>
      </c>
      <c r="C1519" s="2" t="s">
        <v>2014</v>
      </c>
      <c r="D1519" t="s">
        <v>2019</v>
      </c>
      <c r="E1519">
        <v>0</v>
      </c>
      <c r="F1519">
        <f>Cleaned[[#This Row],[Debit]] * Cleaned[[#This Row],[FX_rates]]</f>
        <v>0</v>
      </c>
      <c r="G1519">
        <v>758.28</v>
      </c>
      <c r="H1519">
        <f>Cleaned[[#This Row],[Credit]] *  Cleaned[[#This Row],[FX_rates]]</f>
        <v>78102.84</v>
      </c>
      <c r="I1519" t="s">
        <v>2025</v>
      </c>
      <c r="J1519" t="s">
        <v>2027</v>
      </c>
      <c r="K1519" t="s">
        <v>3548</v>
      </c>
      <c r="L1519" t="s">
        <v>4031</v>
      </c>
      <c r="M1519">
        <f>Cleaned[[#This Row],[Credit]]-Cleaned[[#This Row],[Debit]]</f>
        <v>758.28</v>
      </c>
      <c r="N1519" t="str">
        <f>_xlfn.XLOOKUP(Cleaned[[#This Row],[AccountName]], Account_Mapping!A:A, Account_Mapping!B:B,"Unmapped")</f>
        <v>Revenue</v>
      </c>
      <c r="O1519" cm="1">
        <f t="array" ref="O1519">_xlfn.XLOOKUP(
  1,
  (FX_Rates[Currency]=Cleaned[[#This Row],[Currency]])*
  (FX_Rates[RateDate]&lt;=Cleaned[[#This Row],[TxnDate]]),
  FX_Rates[Rate_To_INR],
  ,
  -1
)</f>
        <v>103</v>
      </c>
      <c r="P1519" s="2">
        <f>Cleaned[[#This Row],[Net Amount]] *  Cleaned[[#This Row],[FX_rates]]</f>
        <v>78102.84</v>
      </c>
    </row>
    <row r="1520" spans="1:16" x14ac:dyDescent="0.45">
      <c r="A1520" t="s">
        <v>1528</v>
      </c>
      <c r="B1520" s="1">
        <v>45343</v>
      </c>
      <c r="C1520" s="2" t="s">
        <v>2010</v>
      </c>
      <c r="D1520" t="s">
        <v>2015</v>
      </c>
      <c r="E1520">
        <v>0</v>
      </c>
      <c r="F1520">
        <f>Cleaned[[#This Row],[Debit]] * Cleaned[[#This Row],[FX_rates]]</f>
        <v>0</v>
      </c>
      <c r="G1520">
        <v>934.01</v>
      </c>
      <c r="H1520">
        <f>Cleaned[[#This Row],[Credit]] *  Cleaned[[#This Row],[FX_rates]]</f>
        <v>82192.88</v>
      </c>
      <c r="I1520" t="s">
        <v>2021</v>
      </c>
      <c r="J1520" t="s">
        <v>2026</v>
      </c>
      <c r="K1520" t="s">
        <v>3549</v>
      </c>
      <c r="L1520" t="s">
        <v>4032</v>
      </c>
      <c r="M1520">
        <f>Cleaned[[#This Row],[Credit]]-Cleaned[[#This Row],[Debit]]</f>
        <v>934.01</v>
      </c>
      <c r="N1520" t="str">
        <f>_xlfn.XLOOKUP(Cleaned[[#This Row],[AccountName]], Account_Mapping!A:A, Account_Mapping!B:B,"Unmapped")</f>
        <v>Revenue</v>
      </c>
      <c r="O1520" cm="1">
        <f t="array" ref="O1520">_xlfn.XLOOKUP(
  1,
  (FX_Rates[Currency]=Cleaned[[#This Row],[Currency]])*
  (FX_Rates[RateDate]&lt;=Cleaned[[#This Row],[TxnDate]]),
  FX_Rates[Rate_To_INR],
  ,
  -1
)</f>
        <v>88</v>
      </c>
      <c r="P1520" s="2">
        <f>Cleaned[[#This Row],[Net Amount]] *  Cleaned[[#This Row],[FX_rates]]</f>
        <v>82192.88</v>
      </c>
    </row>
    <row r="1521" spans="1:16" x14ac:dyDescent="0.45">
      <c r="A1521" t="s">
        <v>1529</v>
      </c>
      <c r="B1521" s="1">
        <v>45601</v>
      </c>
      <c r="C1521" s="2" t="s">
        <v>2013</v>
      </c>
      <c r="D1521" t="s">
        <v>2018</v>
      </c>
      <c r="E1521">
        <v>1161.7</v>
      </c>
      <c r="F1521">
        <f>Cleaned[[#This Row],[Debit]] * Cleaned[[#This Row],[FX_rates]]</f>
        <v>70863.7</v>
      </c>
      <c r="G1521">
        <v>0</v>
      </c>
      <c r="H1521">
        <f>Cleaned[[#This Row],[Credit]] *  Cleaned[[#This Row],[FX_rates]]</f>
        <v>0</v>
      </c>
      <c r="I1521" t="s">
        <v>2022</v>
      </c>
      <c r="J1521" t="s">
        <v>2030</v>
      </c>
      <c r="K1521" t="s">
        <v>3550</v>
      </c>
      <c r="L1521" t="s">
        <v>4035</v>
      </c>
      <c r="M1521">
        <f>Cleaned[[#This Row],[Credit]]-Cleaned[[#This Row],[Debit]]</f>
        <v>-1161.7</v>
      </c>
      <c r="N1521" t="str">
        <f>_xlfn.XLOOKUP(Cleaned[[#This Row],[AccountName]], Account_Mapping!A:A, Account_Mapping!B:B,"Unmapped")</f>
        <v>Operating Expense</v>
      </c>
      <c r="O1521" cm="1">
        <f t="array" ref="O1521">_xlfn.XLOOKUP(
  1,
  (FX_Rates[Currency]=Cleaned[[#This Row],[Currency]])*
  (FX_Rates[RateDate]&lt;=Cleaned[[#This Row],[TxnDate]]),
  FX_Rates[Rate_To_INR],
  ,
  -1
)</f>
        <v>61</v>
      </c>
      <c r="P1521" s="2">
        <f>Cleaned[[#This Row],[Net Amount]] *  Cleaned[[#This Row],[FX_rates]]</f>
        <v>-70863.7</v>
      </c>
    </row>
    <row r="1522" spans="1:16" x14ac:dyDescent="0.45">
      <c r="A1522" t="s">
        <v>1530</v>
      </c>
      <c r="B1522" s="1">
        <v>45047</v>
      </c>
      <c r="C1522" s="2" t="s">
        <v>2013</v>
      </c>
      <c r="D1522" t="s">
        <v>2018</v>
      </c>
      <c r="E1522">
        <v>1276.22</v>
      </c>
      <c r="F1522">
        <f>Cleaned[[#This Row],[Debit]] * Cleaned[[#This Row],[FX_rates]]</f>
        <v>104650.04000000001</v>
      </c>
      <c r="G1522">
        <v>0</v>
      </c>
      <c r="H1522">
        <f>Cleaned[[#This Row],[Credit]] *  Cleaned[[#This Row],[FX_rates]]</f>
        <v>0</v>
      </c>
      <c r="I1522" t="s">
        <v>2020</v>
      </c>
      <c r="J1522" t="s">
        <v>2026</v>
      </c>
      <c r="K1522" t="s">
        <v>3551</v>
      </c>
      <c r="L1522" t="s">
        <v>4034</v>
      </c>
      <c r="M1522">
        <f>Cleaned[[#This Row],[Credit]]-Cleaned[[#This Row],[Debit]]</f>
        <v>-1276.22</v>
      </c>
      <c r="N1522" t="str">
        <f>_xlfn.XLOOKUP(Cleaned[[#This Row],[AccountName]], Account_Mapping!A:A, Account_Mapping!B:B,"Unmapped")</f>
        <v>Operating Expense</v>
      </c>
      <c r="O1522" cm="1">
        <f t="array" ref="O1522">_xlfn.XLOOKUP(
  1,
  (FX_Rates[Currency]=Cleaned[[#This Row],[Currency]])*
  (FX_Rates[RateDate]&lt;=Cleaned[[#This Row],[TxnDate]]),
  FX_Rates[Rate_To_INR],
  ,
  -1
)</f>
        <v>82</v>
      </c>
      <c r="P1522" s="2">
        <f>Cleaned[[#This Row],[Net Amount]] *  Cleaned[[#This Row],[FX_rates]]</f>
        <v>-104650.04000000001</v>
      </c>
    </row>
    <row r="1523" spans="1:16" x14ac:dyDescent="0.45">
      <c r="A1523" t="s">
        <v>1531</v>
      </c>
      <c r="B1523" s="1">
        <v>45305</v>
      </c>
      <c r="C1523" s="2" t="s">
        <v>2011</v>
      </c>
      <c r="D1523" t="s">
        <v>2016</v>
      </c>
      <c r="E1523">
        <v>383.71</v>
      </c>
      <c r="F1523">
        <f>Cleaned[[#This Row],[Debit]] * Cleaned[[#This Row],[FX_rates]]</f>
        <v>31464.219999999998</v>
      </c>
      <c r="G1523">
        <v>0</v>
      </c>
      <c r="H1523">
        <f>Cleaned[[#This Row],[Credit]] *  Cleaned[[#This Row],[FX_rates]]</f>
        <v>0</v>
      </c>
      <c r="I1523" t="s">
        <v>2023</v>
      </c>
      <c r="J1523" t="s">
        <v>2030</v>
      </c>
      <c r="K1523" t="s">
        <v>3552</v>
      </c>
      <c r="L1523" t="s">
        <v>4034</v>
      </c>
      <c r="M1523">
        <f>Cleaned[[#This Row],[Credit]]-Cleaned[[#This Row],[Debit]]</f>
        <v>-383.71</v>
      </c>
      <c r="N1523" t="str">
        <f>_xlfn.XLOOKUP(Cleaned[[#This Row],[AccountName]], Account_Mapping!A:A, Account_Mapping!B:B,"Unmapped")</f>
        <v>COGS</v>
      </c>
      <c r="O1523" cm="1">
        <f t="array" ref="O1523">_xlfn.XLOOKUP(
  1,
  (FX_Rates[Currency]=Cleaned[[#This Row],[Currency]])*
  (FX_Rates[RateDate]&lt;=Cleaned[[#This Row],[TxnDate]]),
  FX_Rates[Rate_To_INR],
  ,
  -1
)</f>
        <v>82</v>
      </c>
      <c r="P1523" s="2">
        <f>Cleaned[[#This Row],[Net Amount]] *  Cleaned[[#This Row],[FX_rates]]</f>
        <v>-31464.219999999998</v>
      </c>
    </row>
    <row r="1524" spans="1:16" x14ac:dyDescent="0.45">
      <c r="A1524" t="s">
        <v>1532</v>
      </c>
      <c r="B1524" s="1">
        <v>45738</v>
      </c>
      <c r="C1524" s="2" t="s">
        <v>2010</v>
      </c>
      <c r="D1524" t="s">
        <v>2015</v>
      </c>
      <c r="E1524">
        <v>0</v>
      </c>
      <c r="F1524">
        <f>Cleaned[[#This Row],[Debit]] * Cleaned[[#This Row],[FX_rates]]</f>
        <v>0</v>
      </c>
      <c r="G1524">
        <v>3468.9</v>
      </c>
      <c r="H1524">
        <f>Cleaned[[#This Row],[Credit]] *  Cleaned[[#This Row],[FX_rates]]</f>
        <v>305263.2</v>
      </c>
      <c r="I1524" t="s">
        <v>2021</v>
      </c>
      <c r="J1524" t="s">
        <v>2026</v>
      </c>
      <c r="K1524" t="s">
        <v>3553</v>
      </c>
      <c r="L1524" t="s">
        <v>4032</v>
      </c>
      <c r="M1524">
        <f>Cleaned[[#This Row],[Credit]]-Cleaned[[#This Row],[Debit]]</f>
        <v>3468.9</v>
      </c>
      <c r="N1524" t="str">
        <f>_xlfn.XLOOKUP(Cleaned[[#This Row],[AccountName]], Account_Mapping!A:A, Account_Mapping!B:B,"Unmapped")</f>
        <v>Revenue</v>
      </c>
      <c r="O1524" cm="1">
        <f t="array" ref="O1524">_xlfn.XLOOKUP(
  1,
  (FX_Rates[Currency]=Cleaned[[#This Row],[Currency]])*
  (FX_Rates[RateDate]&lt;=Cleaned[[#This Row],[TxnDate]]),
  FX_Rates[Rate_To_INR],
  ,
  -1
)</f>
        <v>88</v>
      </c>
      <c r="P1524" s="2">
        <f>Cleaned[[#This Row],[Net Amount]] *  Cleaned[[#This Row],[FX_rates]]</f>
        <v>305263.2</v>
      </c>
    </row>
    <row r="1525" spans="1:16" x14ac:dyDescent="0.45">
      <c r="A1525" t="s">
        <v>1533</v>
      </c>
      <c r="B1525" s="1">
        <v>45177</v>
      </c>
      <c r="C1525" s="2" t="s">
        <v>2011</v>
      </c>
      <c r="D1525" t="s">
        <v>2016</v>
      </c>
      <c r="E1525">
        <v>1158.8</v>
      </c>
      <c r="F1525">
        <f>Cleaned[[#This Row],[Debit]] * Cleaned[[#This Row],[FX_rates]]</f>
        <v>95021.599999999991</v>
      </c>
      <c r="G1525">
        <v>0</v>
      </c>
      <c r="H1525">
        <f>Cleaned[[#This Row],[Credit]] *  Cleaned[[#This Row],[FX_rates]]</f>
        <v>0</v>
      </c>
      <c r="I1525" t="s">
        <v>2025</v>
      </c>
      <c r="J1525" t="s">
        <v>2027</v>
      </c>
      <c r="K1525" t="s">
        <v>3554</v>
      </c>
      <c r="L1525" t="s">
        <v>4034</v>
      </c>
      <c r="M1525">
        <f>Cleaned[[#This Row],[Credit]]-Cleaned[[#This Row],[Debit]]</f>
        <v>-1158.8</v>
      </c>
      <c r="N1525" t="str">
        <f>_xlfn.XLOOKUP(Cleaned[[#This Row],[AccountName]], Account_Mapping!A:A, Account_Mapping!B:B,"Unmapped")</f>
        <v>COGS</v>
      </c>
      <c r="O1525" cm="1">
        <f t="array" ref="O1525">_xlfn.XLOOKUP(
  1,
  (FX_Rates[Currency]=Cleaned[[#This Row],[Currency]])*
  (FX_Rates[RateDate]&lt;=Cleaned[[#This Row],[TxnDate]]),
  FX_Rates[Rate_To_INR],
  ,
  -1
)</f>
        <v>82</v>
      </c>
      <c r="P1525" s="2">
        <f>Cleaned[[#This Row],[Net Amount]] *  Cleaned[[#This Row],[FX_rates]]</f>
        <v>-95021.599999999991</v>
      </c>
    </row>
    <row r="1526" spans="1:16" x14ac:dyDescent="0.45">
      <c r="A1526" t="s">
        <v>1534</v>
      </c>
      <c r="B1526" s="1">
        <v>44935</v>
      </c>
      <c r="C1526" s="2" t="s">
        <v>2010</v>
      </c>
      <c r="D1526" t="s">
        <v>2015</v>
      </c>
      <c r="E1526">
        <v>0</v>
      </c>
      <c r="F1526">
        <f>Cleaned[[#This Row],[Debit]] * Cleaned[[#This Row],[FX_rates]]</f>
        <v>0</v>
      </c>
      <c r="G1526">
        <v>2396.8000000000002</v>
      </c>
      <c r="H1526">
        <f>Cleaned[[#This Row],[Credit]] *  Cleaned[[#This Row],[FX_rates]]</f>
        <v>146204.80000000002</v>
      </c>
      <c r="I1526" t="s">
        <v>2022</v>
      </c>
      <c r="J1526" t="s">
        <v>2029</v>
      </c>
      <c r="K1526" t="s">
        <v>3555</v>
      </c>
      <c r="L1526" t="s">
        <v>4035</v>
      </c>
      <c r="M1526">
        <f>Cleaned[[#This Row],[Credit]]-Cleaned[[#This Row],[Debit]]</f>
        <v>2396.8000000000002</v>
      </c>
      <c r="N1526" t="str">
        <f>_xlfn.XLOOKUP(Cleaned[[#This Row],[AccountName]], Account_Mapping!A:A, Account_Mapping!B:B,"Unmapped")</f>
        <v>Revenue</v>
      </c>
      <c r="O1526" cm="1">
        <f t="array" ref="O1526">_xlfn.XLOOKUP(
  1,
  (FX_Rates[Currency]=Cleaned[[#This Row],[Currency]])*
  (FX_Rates[RateDate]&lt;=Cleaned[[#This Row],[TxnDate]]),
  FX_Rates[Rate_To_INR],
  ,
  -1
)</f>
        <v>61</v>
      </c>
      <c r="P1526" s="2">
        <f>Cleaned[[#This Row],[Net Amount]] *  Cleaned[[#This Row],[FX_rates]]</f>
        <v>146204.80000000002</v>
      </c>
    </row>
    <row r="1527" spans="1:16" x14ac:dyDescent="0.45">
      <c r="A1527" t="s">
        <v>1535</v>
      </c>
      <c r="B1527" s="1">
        <v>45538</v>
      </c>
      <c r="C1527" s="2" t="s">
        <v>2014</v>
      </c>
      <c r="D1527" t="s">
        <v>2019</v>
      </c>
      <c r="E1527">
        <v>0</v>
      </c>
      <c r="F1527">
        <f>Cleaned[[#This Row],[Debit]] * Cleaned[[#This Row],[FX_rates]]</f>
        <v>0</v>
      </c>
      <c r="G1527">
        <v>2827.95</v>
      </c>
      <c r="H1527">
        <f>Cleaned[[#This Row],[Credit]] *  Cleaned[[#This Row],[FX_rates]]</f>
        <v>231891.9</v>
      </c>
      <c r="I1527" t="s">
        <v>2024</v>
      </c>
      <c r="J1527" t="s">
        <v>2029</v>
      </c>
      <c r="K1527" t="s">
        <v>3556</v>
      </c>
      <c r="L1527" t="s">
        <v>4034</v>
      </c>
      <c r="M1527">
        <f>Cleaned[[#This Row],[Credit]]-Cleaned[[#This Row],[Debit]]</f>
        <v>2827.95</v>
      </c>
      <c r="N1527" t="str">
        <f>_xlfn.XLOOKUP(Cleaned[[#This Row],[AccountName]], Account_Mapping!A:A, Account_Mapping!B:B,"Unmapped")</f>
        <v>Revenue</v>
      </c>
      <c r="O1527" cm="1">
        <f t="array" ref="O1527">_xlfn.XLOOKUP(
  1,
  (FX_Rates[Currency]=Cleaned[[#This Row],[Currency]])*
  (FX_Rates[RateDate]&lt;=Cleaned[[#This Row],[TxnDate]]),
  FX_Rates[Rate_To_INR],
  ,
  -1
)</f>
        <v>82</v>
      </c>
      <c r="P1527" s="2">
        <f>Cleaned[[#This Row],[Net Amount]] *  Cleaned[[#This Row],[FX_rates]]</f>
        <v>231891.9</v>
      </c>
    </row>
    <row r="1528" spans="1:16" x14ac:dyDescent="0.45">
      <c r="A1528" t="s">
        <v>1536</v>
      </c>
      <c r="B1528" s="1">
        <v>45418</v>
      </c>
      <c r="C1528" s="2" t="s">
        <v>2012</v>
      </c>
      <c r="D1528" t="s">
        <v>2017</v>
      </c>
      <c r="E1528">
        <v>1359.89</v>
      </c>
      <c r="F1528">
        <f>Cleaned[[#This Row],[Debit]] * Cleaned[[#This Row],[FX_rates]]</f>
        <v>140068.67000000001</v>
      </c>
      <c r="G1528">
        <v>0</v>
      </c>
      <c r="H1528">
        <f>Cleaned[[#This Row],[Credit]] *  Cleaned[[#This Row],[FX_rates]]</f>
        <v>0</v>
      </c>
      <c r="I1528" t="s">
        <v>2020</v>
      </c>
      <c r="J1528" t="s">
        <v>2030</v>
      </c>
      <c r="K1528" t="s">
        <v>3557</v>
      </c>
      <c r="L1528" t="s">
        <v>4031</v>
      </c>
      <c r="M1528">
        <f>Cleaned[[#This Row],[Credit]]-Cleaned[[#This Row],[Debit]]</f>
        <v>-1359.89</v>
      </c>
      <c r="N1528" t="str">
        <f>_xlfn.XLOOKUP(Cleaned[[#This Row],[AccountName]], Account_Mapping!A:A, Account_Mapping!B:B,"Unmapped")</f>
        <v>Operating Expense</v>
      </c>
      <c r="O1528" cm="1">
        <f t="array" ref="O1528">_xlfn.XLOOKUP(
  1,
  (FX_Rates[Currency]=Cleaned[[#This Row],[Currency]])*
  (FX_Rates[RateDate]&lt;=Cleaned[[#This Row],[TxnDate]]),
  FX_Rates[Rate_To_INR],
  ,
  -1
)</f>
        <v>103</v>
      </c>
      <c r="P1528" s="2">
        <f>Cleaned[[#This Row],[Net Amount]] *  Cleaned[[#This Row],[FX_rates]]</f>
        <v>-140068.67000000001</v>
      </c>
    </row>
    <row r="1529" spans="1:16" x14ac:dyDescent="0.45">
      <c r="A1529" t="s">
        <v>1537</v>
      </c>
      <c r="B1529" s="1">
        <v>45747</v>
      </c>
      <c r="C1529" s="2" t="s">
        <v>2010</v>
      </c>
      <c r="D1529" t="s">
        <v>2015</v>
      </c>
      <c r="E1529">
        <v>0</v>
      </c>
      <c r="F1529">
        <f>Cleaned[[#This Row],[Debit]] * Cleaned[[#This Row],[FX_rates]]</f>
        <v>0</v>
      </c>
      <c r="G1529">
        <v>663.19</v>
      </c>
      <c r="H1529">
        <f>Cleaned[[#This Row],[Credit]] *  Cleaned[[#This Row],[FX_rates]]</f>
        <v>54381.58</v>
      </c>
      <c r="I1529" t="s">
        <v>2025</v>
      </c>
      <c r="J1529" t="s">
        <v>2030</v>
      </c>
      <c r="K1529" t="s">
        <v>3558</v>
      </c>
      <c r="L1529" t="s">
        <v>4034</v>
      </c>
      <c r="M1529">
        <f>Cleaned[[#This Row],[Credit]]-Cleaned[[#This Row],[Debit]]</f>
        <v>663.19</v>
      </c>
      <c r="N1529" t="str">
        <f>_xlfn.XLOOKUP(Cleaned[[#This Row],[AccountName]], Account_Mapping!A:A, Account_Mapping!B:B,"Unmapped")</f>
        <v>Revenue</v>
      </c>
      <c r="O1529" cm="1">
        <f t="array" ref="O1529">_xlfn.XLOOKUP(
  1,
  (FX_Rates[Currency]=Cleaned[[#This Row],[Currency]])*
  (FX_Rates[RateDate]&lt;=Cleaned[[#This Row],[TxnDate]]),
  FX_Rates[Rate_To_INR],
  ,
  -1
)</f>
        <v>82</v>
      </c>
      <c r="P1529" s="2">
        <f>Cleaned[[#This Row],[Net Amount]] *  Cleaned[[#This Row],[FX_rates]]</f>
        <v>54381.58</v>
      </c>
    </row>
    <row r="1530" spans="1:16" x14ac:dyDescent="0.45">
      <c r="A1530" t="s">
        <v>1538</v>
      </c>
      <c r="B1530" s="1">
        <v>45553</v>
      </c>
      <c r="C1530" s="2" t="s">
        <v>2013</v>
      </c>
      <c r="D1530" t="s">
        <v>2018</v>
      </c>
      <c r="E1530">
        <v>1878.74</v>
      </c>
      <c r="F1530">
        <f>Cleaned[[#This Row],[Debit]] * Cleaned[[#This Row],[FX_rates]]</f>
        <v>193510.22</v>
      </c>
      <c r="G1530">
        <v>0</v>
      </c>
      <c r="H1530">
        <f>Cleaned[[#This Row],[Credit]] *  Cleaned[[#This Row],[FX_rates]]</f>
        <v>0</v>
      </c>
      <c r="I1530" t="s">
        <v>2021</v>
      </c>
      <c r="J1530" t="s">
        <v>2027</v>
      </c>
      <c r="K1530" t="s">
        <v>3559</v>
      </c>
      <c r="L1530" t="s">
        <v>4031</v>
      </c>
      <c r="M1530">
        <f>Cleaned[[#This Row],[Credit]]-Cleaned[[#This Row],[Debit]]</f>
        <v>-1878.74</v>
      </c>
      <c r="N1530" t="str">
        <f>_xlfn.XLOOKUP(Cleaned[[#This Row],[AccountName]], Account_Mapping!A:A, Account_Mapping!B:B,"Unmapped")</f>
        <v>Operating Expense</v>
      </c>
      <c r="O1530" cm="1">
        <f t="array" ref="O1530">_xlfn.XLOOKUP(
  1,
  (FX_Rates[Currency]=Cleaned[[#This Row],[Currency]])*
  (FX_Rates[RateDate]&lt;=Cleaned[[#This Row],[TxnDate]]),
  FX_Rates[Rate_To_INR],
  ,
  -1
)</f>
        <v>103</v>
      </c>
      <c r="P1530" s="2">
        <f>Cleaned[[#This Row],[Net Amount]] *  Cleaned[[#This Row],[FX_rates]]</f>
        <v>-193510.22</v>
      </c>
    </row>
    <row r="1531" spans="1:16" x14ac:dyDescent="0.45">
      <c r="A1531" t="s">
        <v>1539</v>
      </c>
      <c r="B1531" s="1">
        <v>45534</v>
      </c>
      <c r="C1531" s="2" t="s">
        <v>2011</v>
      </c>
      <c r="D1531" t="s">
        <v>2016</v>
      </c>
      <c r="E1531">
        <v>741.28</v>
      </c>
      <c r="F1531">
        <f>Cleaned[[#This Row],[Debit]] * Cleaned[[#This Row],[FX_rates]]</f>
        <v>76351.839999999997</v>
      </c>
      <c r="G1531">
        <v>0</v>
      </c>
      <c r="H1531">
        <f>Cleaned[[#This Row],[Credit]] *  Cleaned[[#This Row],[FX_rates]]</f>
        <v>0</v>
      </c>
      <c r="I1531" t="s">
        <v>2021</v>
      </c>
      <c r="J1531" t="s">
        <v>2029</v>
      </c>
      <c r="K1531" t="s">
        <v>3560</v>
      </c>
      <c r="L1531" t="s">
        <v>4031</v>
      </c>
      <c r="M1531">
        <f>Cleaned[[#This Row],[Credit]]-Cleaned[[#This Row],[Debit]]</f>
        <v>-741.28</v>
      </c>
      <c r="N1531" t="str">
        <f>_xlfn.XLOOKUP(Cleaned[[#This Row],[AccountName]], Account_Mapping!A:A, Account_Mapping!B:B,"Unmapped")</f>
        <v>COGS</v>
      </c>
      <c r="O1531" cm="1">
        <f t="array" ref="O1531">_xlfn.XLOOKUP(
  1,
  (FX_Rates[Currency]=Cleaned[[#This Row],[Currency]])*
  (FX_Rates[RateDate]&lt;=Cleaned[[#This Row],[TxnDate]]),
  FX_Rates[Rate_To_INR],
  ,
  -1
)</f>
        <v>103</v>
      </c>
      <c r="P1531" s="2">
        <f>Cleaned[[#This Row],[Net Amount]] *  Cleaned[[#This Row],[FX_rates]]</f>
        <v>-76351.839999999997</v>
      </c>
    </row>
    <row r="1532" spans="1:16" x14ac:dyDescent="0.45">
      <c r="A1532" t="s">
        <v>1540</v>
      </c>
      <c r="B1532" s="1">
        <v>45798</v>
      </c>
      <c r="C1532" s="2" t="s">
        <v>2010</v>
      </c>
      <c r="D1532" t="s">
        <v>2015</v>
      </c>
      <c r="E1532">
        <v>0</v>
      </c>
      <c r="F1532">
        <f>Cleaned[[#This Row],[Debit]] * Cleaned[[#This Row],[FX_rates]]</f>
        <v>0</v>
      </c>
      <c r="G1532">
        <v>1824.31</v>
      </c>
      <c r="H1532">
        <f>Cleaned[[#This Row],[Credit]] *  Cleaned[[#This Row],[FX_rates]]</f>
        <v>160539.28</v>
      </c>
      <c r="I1532" t="s">
        <v>2021</v>
      </c>
      <c r="J1532" t="s">
        <v>2029</v>
      </c>
      <c r="K1532" t="s">
        <v>3561</v>
      </c>
      <c r="L1532" t="s">
        <v>4032</v>
      </c>
      <c r="M1532">
        <f>Cleaned[[#This Row],[Credit]]-Cleaned[[#This Row],[Debit]]</f>
        <v>1824.31</v>
      </c>
      <c r="N1532" t="str">
        <f>_xlfn.XLOOKUP(Cleaned[[#This Row],[AccountName]], Account_Mapping!A:A, Account_Mapping!B:B,"Unmapped")</f>
        <v>Revenue</v>
      </c>
      <c r="O1532" cm="1">
        <f t="array" ref="O1532">_xlfn.XLOOKUP(
  1,
  (FX_Rates[Currency]=Cleaned[[#This Row],[Currency]])*
  (FX_Rates[RateDate]&lt;=Cleaned[[#This Row],[TxnDate]]),
  FX_Rates[Rate_To_INR],
  ,
  -1
)</f>
        <v>88</v>
      </c>
      <c r="P1532" s="2">
        <f>Cleaned[[#This Row],[Net Amount]] *  Cleaned[[#This Row],[FX_rates]]</f>
        <v>160539.28</v>
      </c>
    </row>
    <row r="1533" spans="1:16" x14ac:dyDescent="0.45">
      <c r="A1533" t="s">
        <v>1541</v>
      </c>
      <c r="B1533" s="1">
        <v>45257</v>
      </c>
      <c r="C1533" s="2" t="s">
        <v>2014</v>
      </c>
      <c r="D1533" t="s">
        <v>2019</v>
      </c>
      <c r="E1533">
        <v>0</v>
      </c>
      <c r="F1533">
        <f>Cleaned[[#This Row],[Debit]] * Cleaned[[#This Row],[FX_rates]]</f>
        <v>0</v>
      </c>
      <c r="G1533">
        <v>4296.04</v>
      </c>
      <c r="H1533">
        <f>Cleaned[[#This Row],[Credit]] *  Cleaned[[#This Row],[FX_rates]]</f>
        <v>240578.24</v>
      </c>
      <c r="I1533" t="s">
        <v>2021</v>
      </c>
      <c r="J1533" t="s">
        <v>2027</v>
      </c>
      <c r="K1533" t="s">
        <v>3562</v>
      </c>
      <c r="L1533" t="s">
        <v>4033</v>
      </c>
      <c r="M1533">
        <f>Cleaned[[#This Row],[Credit]]-Cleaned[[#This Row],[Debit]]</f>
        <v>4296.04</v>
      </c>
      <c r="N1533" t="str">
        <f>_xlfn.XLOOKUP(Cleaned[[#This Row],[AccountName]], Account_Mapping!A:A, Account_Mapping!B:B,"Unmapped")</f>
        <v>Revenue</v>
      </c>
      <c r="O1533" cm="1">
        <f t="array" ref="O1533">_xlfn.XLOOKUP(
  1,
  (FX_Rates[Currency]=Cleaned[[#This Row],[Currency]])*
  (FX_Rates[RateDate]&lt;=Cleaned[[#This Row],[TxnDate]]),
  FX_Rates[Rate_To_INR],
  ,
  -1
)</f>
        <v>56</v>
      </c>
      <c r="P1533" s="2">
        <f>Cleaned[[#This Row],[Net Amount]] *  Cleaned[[#This Row],[FX_rates]]</f>
        <v>240578.24</v>
      </c>
    </row>
    <row r="1534" spans="1:16" x14ac:dyDescent="0.45">
      <c r="A1534" t="s">
        <v>1542</v>
      </c>
      <c r="B1534" s="1">
        <v>45388</v>
      </c>
      <c r="C1534" s="2" t="s">
        <v>2013</v>
      </c>
      <c r="D1534" t="s">
        <v>2018</v>
      </c>
      <c r="E1534">
        <v>1969.36</v>
      </c>
      <c r="F1534">
        <f>Cleaned[[#This Row],[Debit]] * Cleaned[[#This Row],[FX_rates]]</f>
        <v>120130.95999999999</v>
      </c>
      <c r="G1534">
        <v>0</v>
      </c>
      <c r="H1534">
        <f>Cleaned[[#This Row],[Credit]] *  Cleaned[[#This Row],[FX_rates]]</f>
        <v>0</v>
      </c>
      <c r="I1534" t="s">
        <v>2022</v>
      </c>
      <c r="J1534" t="s">
        <v>2026</v>
      </c>
      <c r="K1534" t="s">
        <v>3563</v>
      </c>
      <c r="L1534" t="s">
        <v>4035</v>
      </c>
      <c r="M1534">
        <f>Cleaned[[#This Row],[Credit]]-Cleaned[[#This Row],[Debit]]</f>
        <v>-1969.36</v>
      </c>
      <c r="N1534" t="str">
        <f>_xlfn.XLOOKUP(Cleaned[[#This Row],[AccountName]], Account_Mapping!A:A, Account_Mapping!B:B,"Unmapped")</f>
        <v>Operating Expense</v>
      </c>
      <c r="O1534" cm="1">
        <f t="array" ref="O1534">_xlfn.XLOOKUP(
  1,
  (FX_Rates[Currency]=Cleaned[[#This Row],[Currency]])*
  (FX_Rates[RateDate]&lt;=Cleaned[[#This Row],[TxnDate]]),
  FX_Rates[Rate_To_INR],
  ,
  -1
)</f>
        <v>61</v>
      </c>
      <c r="P1534" s="2">
        <f>Cleaned[[#This Row],[Net Amount]] *  Cleaned[[#This Row],[FX_rates]]</f>
        <v>-120130.95999999999</v>
      </c>
    </row>
    <row r="1535" spans="1:16" x14ac:dyDescent="0.45">
      <c r="A1535" t="s">
        <v>1543</v>
      </c>
      <c r="B1535" s="1">
        <v>45759</v>
      </c>
      <c r="C1535" s="2" t="s">
        <v>2013</v>
      </c>
      <c r="D1535" t="s">
        <v>2018</v>
      </c>
      <c r="E1535">
        <v>980.89</v>
      </c>
      <c r="F1535">
        <f>Cleaned[[#This Row],[Debit]] * Cleaned[[#This Row],[FX_rates]]</f>
        <v>86318.319999999992</v>
      </c>
      <c r="G1535">
        <v>0</v>
      </c>
      <c r="H1535">
        <f>Cleaned[[#This Row],[Credit]] *  Cleaned[[#This Row],[FX_rates]]</f>
        <v>0</v>
      </c>
      <c r="I1535" t="s">
        <v>2025</v>
      </c>
      <c r="J1535" t="s">
        <v>2026</v>
      </c>
      <c r="K1535" t="s">
        <v>3564</v>
      </c>
      <c r="L1535" t="s">
        <v>4032</v>
      </c>
      <c r="M1535">
        <f>Cleaned[[#This Row],[Credit]]-Cleaned[[#This Row],[Debit]]</f>
        <v>-980.89</v>
      </c>
      <c r="N1535" t="str">
        <f>_xlfn.XLOOKUP(Cleaned[[#This Row],[AccountName]], Account_Mapping!A:A, Account_Mapping!B:B,"Unmapped")</f>
        <v>Operating Expense</v>
      </c>
      <c r="O1535" cm="1">
        <f t="array" ref="O1535">_xlfn.XLOOKUP(
  1,
  (FX_Rates[Currency]=Cleaned[[#This Row],[Currency]])*
  (FX_Rates[RateDate]&lt;=Cleaned[[#This Row],[TxnDate]]),
  FX_Rates[Rate_To_INR],
  ,
  -1
)</f>
        <v>88</v>
      </c>
      <c r="P1535" s="2">
        <f>Cleaned[[#This Row],[Net Amount]] *  Cleaned[[#This Row],[FX_rates]]</f>
        <v>-86318.319999999992</v>
      </c>
    </row>
    <row r="1536" spans="1:16" x14ac:dyDescent="0.45">
      <c r="A1536" t="s">
        <v>1544</v>
      </c>
      <c r="B1536" s="1">
        <v>45548</v>
      </c>
      <c r="C1536" s="2" t="s">
        <v>2012</v>
      </c>
      <c r="D1536" t="s">
        <v>2017</v>
      </c>
      <c r="E1536">
        <v>618.26</v>
      </c>
      <c r="F1536">
        <f>Cleaned[[#This Row],[Debit]] * Cleaned[[#This Row],[FX_rates]]</f>
        <v>50697.32</v>
      </c>
      <c r="G1536">
        <v>0</v>
      </c>
      <c r="H1536">
        <f>Cleaned[[#This Row],[Credit]] *  Cleaned[[#This Row],[FX_rates]]</f>
        <v>0</v>
      </c>
      <c r="I1536" t="s">
        <v>2022</v>
      </c>
      <c r="J1536" t="s">
        <v>2030</v>
      </c>
      <c r="K1536" t="s">
        <v>3565</v>
      </c>
      <c r="L1536" t="s">
        <v>4034</v>
      </c>
      <c r="M1536">
        <f>Cleaned[[#This Row],[Credit]]-Cleaned[[#This Row],[Debit]]</f>
        <v>-618.26</v>
      </c>
      <c r="N1536" t="str">
        <f>_xlfn.XLOOKUP(Cleaned[[#This Row],[AccountName]], Account_Mapping!A:A, Account_Mapping!B:B,"Unmapped")</f>
        <v>Operating Expense</v>
      </c>
      <c r="O1536" cm="1">
        <f t="array" ref="O1536">_xlfn.XLOOKUP(
  1,
  (FX_Rates[Currency]=Cleaned[[#This Row],[Currency]])*
  (FX_Rates[RateDate]&lt;=Cleaned[[#This Row],[TxnDate]]),
  FX_Rates[Rate_To_INR],
  ,
  -1
)</f>
        <v>82</v>
      </c>
      <c r="P1536" s="2">
        <f>Cleaned[[#This Row],[Net Amount]] *  Cleaned[[#This Row],[FX_rates]]</f>
        <v>-50697.32</v>
      </c>
    </row>
    <row r="1537" spans="1:16" x14ac:dyDescent="0.45">
      <c r="A1537" t="s">
        <v>1545</v>
      </c>
      <c r="B1537" s="1">
        <v>45459</v>
      </c>
      <c r="C1537" s="2" t="s">
        <v>2013</v>
      </c>
      <c r="D1537" t="s">
        <v>2018</v>
      </c>
      <c r="E1537">
        <v>665.47</v>
      </c>
      <c r="F1537">
        <f>Cleaned[[#This Row],[Debit]] * Cleaned[[#This Row],[FX_rates]]</f>
        <v>58561.36</v>
      </c>
      <c r="G1537">
        <v>0</v>
      </c>
      <c r="H1537">
        <f>Cleaned[[#This Row],[Credit]] *  Cleaned[[#This Row],[FX_rates]]</f>
        <v>0</v>
      </c>
      <c r="I1537" t="s">
        <v>2022</v>
      </c>
      <c r="J1537" t="s">
        <v>2026</v>
      </c>
      <c r="K1537" t="s">
        <v>3566</v>
      </c>
      <c r="L1537" t="s">
        <v>4032</v>
      </c>
      <c r="M1537">
        <f>Cleaned[[#This Row],[Credit]]-Cleaned[[#This Row],[Debit]]</f>
        <v>-665.47</v>
      </c>
      <c r="N1537" t="str">
        <f>_xlfn.XLOOKUP(Cleaned[[#This Row],[AccountName]], Account_Mapping!A:A, Account_Mapping!B:B,"Unmapped")</f>
        <v>Operating Expense</v>
      </c>
      <c r="O1537" cm="1">
        <f t="array" ref="O1537">_xlfn.XLOOKUP(
  1,
  (FX_Rates[Currency]=Cleaned[[#This Row],[Currency]])*
  (FX_Rates[RateDate]&lt;=Cleaned[[#This Row],[TxnDate]]),
  FX_Rates[Rate_To_INR],
  ,
  -1
)</f>
        <v>88</v>
      </c>
      <c r="P1537" s="2">
        <f>Cleaned[[#This Row],[Net Amount]] *  Cleaned[[#This Row],[FX_rates]]</f>
        <v>-58561.36</v>
      </c>
    </row>
    <row r="1538" spans="1:16" x14ac:dyDescent="0.45">
      <c r="A1538" t="s">
        <v>1546</v>
      </c>
      <c r="B1538" s="1">
        <v>45465</v>
      </c>
      <c r="C1538" s="2" t="s">
        <v>2011</v>
      </c>
      <c r="D1538" t="s">
        <v>2016</v>
      </c>
      <c r="E1538">
        <v>982.03</v>
      </c>
      <c r="F1538">
        <f>Cleaned[[#This Row],[Debit]] * Cleaned[[#This Row],[FX_rates]]</f>
        <v>101149.09</v>
      </c>
      <c r="G1538">
        <v>0</v>
      </c>
      <c r="H1538">
        <f>Cleaned[[#This Row],[Credit]] *  Cleaned[[#This Row],[FX_rates]]</f>
        <v>0</v>
      </c>
      <c r="I1538" t="s">
        <v>2024</v>
      </c>
      <c r="J1538" t="s">
        <v>2030</v>
      </c>
      <c r="K1538" t="s">
        <v>3567</v>
      </c>
      <c r="L1538" t="s">
        <v>4031</v>
      </c>
      <c r="M1538">
        <f>Cleaned[[#This Row],[Credit]]-Cleaned[[#This Row],[Debit]]</f>
        <v>-982.03</v>
      </c>
      <c r="N1538" t="str">
        <f>_xlfn.XLOOKUP(Cleaned[[#This Row],[AccountName]], Account_Mapping!A:A, Account_Mapping!B:B,"Unmapped")</f>
        <v>COGS</v>
      </c>
      <c r="O1538" cm="1">
        <f t="array" ref="O1538">_xlfn.XLOOKUP(
  1,
  (FX_Rates[Currency]=Cleaned[[#This Row],[Currency]])*
  (FX_Rates[RateDate]&lt;=Cleaned[[#This Row],[TxnDate]]),
  FX_Rates[Rate_To_INR],
  ,
  -1
)</f>
        <v>103</v>
      </c>
      <c r="P1538" s="2">
        <f>Cleaned[[#This Row],[Net Amount]] *  Cleaned[[#This Row],[FX_rates]]</f>
        <v>-101149.09</v>
      </c>
    </row>
    <row r="1539" spans="1:16" x14ac:dyDescent="0.45">
      <c r="A1539" t="s">
        <v>1547</v>
      </c>
      <c r="B1539" s="1">
        <v>45375</v>
      </c>
      <c r="C1539" s="2" t="s">
        <v>2011</v>
      </c>
      <c r="D1539" t="s">
        <v>2016</v>
      </c>
      <c r="E1539">
        <v>339.89</v>
      </c>
      <c r="F1539">
        <f>Cleaned[[#This Row],[Debit]] * Cleaned[[#This Row],[FX_rates]]</f>
        <v>19033.84</v>
      </c>
      <c r="G1539">
        <v>0</v>
      </c>
      <c r="H1539">
        <f>Cleaned[[#This Row],[Credit]] *  Cleaned[[#This Row],[FX_rates]]</f>
        <v>0</v>
      </c>
      <c r="I1539" t="s">
        <v>2024</v>
      </c>
      <c r="J1539" t="s">
        <v>2030</v>
      </c>
      <c r="K1539" t="s">
        <v>3568</v>
      </c>
      <c r="L1539" t="s">
        <v>4033</v>
      </c>
      <c r="M1539">
        <f>Cleaned[[#This Row],[Credit]]-Cleaned[[#This Row],[Debit]]</f>
        <v>-339.89</v>
      </c>
      <c r="N1539" t="str">
        <f>_xlfn.XLOOKUP(Cleaned[[#This Row],[AccountName]], Account_Mapping!A:A, Account_Mapping!B:B,"Unmapped")</f>
        <v>COGS</v>
      </c>
      <c r="O1539" cm="1">
        <f t="array" ref="O1539">_xlfn.XLOOKUP(
  1,
  (FX_Rates[Currency]=Cleaned[[#This Row],[Currency]])*
  (FX_Rates[RateDate]&lt;=Cleaned[[#This Row],[TxnDate]]),
  FX_Rates[Rate_To_INR],
  ,
  -1
)</f>
        <v>56</v>
      </c>
      <c r="P1539" s="2">
        <f>Cleaned[[#This Row],[Net Amount]] *  Cleaned[[#This Row],[FX_rates]]</f>
        <v>-19033.84</v>
      </c>
    </row>
    <row r="1540" spans="1:16" x14ac:dyDescent="0.45">
      <c r="A1540" t="s">
        <v>1548</v>
      </c>
      <c r="B1540" s="1">
        <v>45537</v>
      </c>
      <c r="C1540" s="2" t="s">
        <v>2013</v>
      </c>
      <c r="D1540" t="s">
        <v>2018</v>
      </c>
      <c r="E1540">
        <v>535.34</v>
      </c>
      <c r="F1540">
        <f>Cleaned[[#This Row],[Debit]] * Cleaned[[#This Row],[FX_rates]]</f>
        <v>29979.040000000001</v>
      </c>
      <c r="G1540">
        <v>0</v>
      </c>
      <c r="H1540">
        <f>Cleaned[[#This Row],[Credit]] *  Cleaned[[#This Row],[FX_rates]]</f>
        <v>0</v>
      </c>
      <c r="I1540" t="s">
        <v>2021</v>
      </c>
      <c r="J1540" t="s">
        <v>2029</v>
      </c>
      <c r="K1540" t="s">
        <v>3569</v>
      </c>
      <c r="L1540" t="s">
        <v>4033</v>
      </c>
      <c r="M1540">
        <f>Cleaned[[#This Row],[Credit]]-Cleaned[[#This Row],[Debit]]</f>
        <v>-535.34</v>
      </c>
      <c r="N1540" t="str">
        <f>_xlfn.XLOOKUP(Cleaned[[#This Row],[AccountName]], Account_Mapping!A:A, Account_Mapping!B:B,"Unmapped")</f>
        <v>Operating Expense</v>
      </c>
      <c r="O1540" cm="1">
        <f t="array" ref="O1540">_xlfn.XLOOKUP(
  1,
  (FX_Rates[Currency]=Cleaned[[#This Row],[Currency]])*
  (FX_Rates[RateDate]&lt;=Cleaned[[#This Row],[TxnDate]]),
  FX_Rates[Rate_To_INR],
  ,
  -1
)</f>
        <v>56</v>
      </c>
      <c r="P1540" s="2">
        <f>Cleaned[[#This Row],[Net Amount]] *  Cleaned[[#This Row],[FX_rates]]</f>
        <v>-29979.040000000001</v>
      </c>
    </row>
    <row r="1541" spans="1:16" x14ac:dyDescent="0.45">
      <c r="A1541" t="s">
        <v>1549</v>
      </c>
      <c r="B1541" s="1">
        <v>45785</v>
      </c>
      <c r="C1541" s="2" t="s">
        <v>2013</v>
      </c>
      <c r="D1541" t="s">
        <v>2018</v>
      </c>
      <c r="E1541">
        <v>1582.13</v>
      </c>
      <c r="F1541">
        <f>Cleaned[[#This Row],[Debit]] * Cleaned[[#This Row],[FX_rates]]</f>
        <v>96509.930000000008</v>
      </c>
      <c r="G1541">
        <v>0</v>
      </c>
      <c r="H1541">
        <f>Cleaned[[#This Row],[Credit]] *  Cleaned[[#This Row],[FX_rates]]</f>
        <v>0</v>
      </c>
      <c r="I1541" t="s">
        <v>2022</v>
      </c>
      <c r="J1541" t="s">
        <v>2029</v>
      </c>
      <c r="K1541" t="s">
        <v>3570</v>
      </c>
      <c r="L1541" t="s">
        <v>4035</v>
      </c>
      <c r="M1541">
        <f>Cleaned[[#This Row],[Credit]]-Cleaned[[#This Row],[Debit]]</f>
        <v>-1582.13</v>
      </c>
      <c r="N1541" t="str">
        <f>_xlfn.XLOOKUP(Cleaned[[#This Row],[AccountName]], Account_Mapping!A:A, Account_Mapping!B:B,"Unmapped")</f>
        <v>Operating Expense</v>
      </c>
      <c r="O1541" cm="1">
        <f t="array" ref="O1541">_xlfn.XLOOKUP(
  1,
  (FX_Rates[Currency]=Cleaned[[#This Row],[Currency]])*
  (FX_Rates[RateDate]&lt;=Cleaned[[#This Row],[TxnDate]]),
  FX_Rates[Rate_To_INR],
  ,
  -1
)</f>
        <v>61</v>
      </c>
      <c r="P1541" s="2">
        <f>Cleaned[[#This Row],[Net Amount]] *  Cleaned[[#This Row],[FX_rates]]</f>
        <v>-96509.930000000008</v>
      </c>
    </row>
    <row r="1542" spans="1:16" x14ac:dyDescent="0.45">
      <c r="A1542" t="s">
        <v>1550</v>
      </c>
      <c r="B1542" s="1">
        <v>45626</v>
      </c>
      <c r="C1542" s="2" t="s">
        <v>2011</v>
      </c>
      <c r="D1542" t="s">
        <v>2016</v>
      </c>
      <c r="E1542">
        <v>350.21</v>
      </c>
      <c r="F1542">
        <f>Cleaned[[#This Row],[Debit]] * Cleaned[[#This Row],[FX_rates]]</f>
        <v>36071.629999999997</v>
      </c>
      <c r="G1542">
        <v>0</v>
      </c>
      <c r="H1542">
        <f>Cleaned[[#This Row],[Credit]] *  Cleaned[[#This Row],[FX_rates]]</f>
        <v>0</v>
      </c>
      <c r="I1542" t="s">
        <v>2024</v>
      </c>
      <c r="J1542" t="s">
        <v>2028</v>
      </c>
      <c r="K1542" t="s">
        <v>3571</v>
      </c>
      <c r="L1542" t="s">
        <v>4031</v>
      </c>
      <c r="M1542">
        <f>Cleaned[[#This Row],[Credit]]-Cleaned[[#This Row],[Debit]]</f>
        <v>-350.21</v>
      </c>
      <c r="N1542" t="str">
        <f>_xlfn.XLOOKUP(Cleaned[[#This Row],[AccountName]], Account_Mapping!A:A, Account_Mapping!B:B,"Unmapped")</f>
        <v>COGS</v>
      </c>
      <c r="O1542" cm="1">
        <f t="array" ref="O1542">_xlfn.XLOOKUP(
  1,
  (FX_Rates[Currency]=Cleaned[[#This Row],[Currency]])*
  (FX_Rates[RateDate]&lt;=Cleaned[[#This Row],[TxnDate]]),
  FX_Rates[Rate_To_INR],
  ,
  -1
)</f>
        <v>103</v>
      </c>
      <c r="P1542" s="2">
        <f>Cleaned[[#This Row],[Net Amount]] *  Cleaned[[#This Row],[FX_rates]]</f>
        <v>-36071.629999999997</v>
      </c>
    </row>
    <row r="1543" spans="1:16" x14ac:dyDescent="0.45">
      <c r="A1543" t="s">
        <v>1551</v>
      </c>
      <c r="B1543" s="1">
        <v>45429</v>
      </c>
      <c r="C1543" s="2" t="s">
        <v>2011</v>
      </c>
      <c r="D1543" t="s">
        <v>2016</v>
      </c>
      <c r="E1543">
        <v>889.68</v>
      </c>
      <c r="F1543">
        <f>Cleaned[[#This Row],[Debit]] * Cleaned[[#This Row],[FX_rates]]</f>
        <v>49822.079999999994</v>
      </c>
      <c r="G1543">
        <v>0</v>
      </c>
      <c r="H1543">
        <f>Cleaned[[#This Row],[Credit]] *  Cleaned[[#This Row],[FX_rates]]</f>
        <v>0</v>
      </c>
      <c r="I1543" t="s">
        <v>2023</v>
      </c>
      <c r="J1543" t="s">
        <v>2027</v>
      </c>
      <c r="K1543" t="s">
        <v>3572</v>
      </c>
      <c r="L1543" t="s">
        <v>4033</v>
      </c>
      <c r="M1543">
        <f>Cleaned[[#This Row],[Credit]]-Cleaned[[#This Row],[Debit]]</f>
        <v>-889.68</v>
      </c>
      <c r="N1543" t="str">
        <f>_xlfn.XLOOKUP(Cleaned[[#This Row],[AccountName]], Account_Mapping!A:A, Account_Mapping!B:B,"Unmapped")</f>
        <v>COGS</v>
      </c>
      <c r="O1543" cm="1">
        <f t="array" ref="O1543">_xlfn.XLOOKUP(
  1,
  (FX_Rates[Currency]=Cleaned[[#This Row],[Currency]])*
  (FX_Rates[RateDate]&lt;=Cleaned[[#This Row],[TxnDate]]),
  FX_Rates[Rate_To_INR],
  ,
  -1
)</f>
        <v>56</v>
      </c>
      <c r="P1543" s="2">
        <f>Cleaned[[#This Row],[Net Amount]] *  Cleaned[[#This Row],[FX_rates]]</f>
        <v>-49822.079999999994</v>
      </c>
    </row>
    <row r="1544" spans="1:16" x14ac:dyDescent="0.45">
      <c r="A1544" t="s">
        <v>1552</v>
      </c>
      <c r="B1544" s="1">
        <v>45336</v>
      </c>
      <c r="C1544" s="2" t="s">
        <v>2011</v>
      </c>
      <c r="D1544" t="s">
        <v>2016</v>
      </c>
      <c r="E1544">
        <v>1155.53</v>
      </c>
      <c r="F1544">
        <f>Cleaned[[#This Row],[Debit]] * Cleaned[[#This Row],[FX_rates]]</f>
        <v>64709.68</v>
      </c>
      <c r="G1544">
        <v>0</v>
      </c>
      <c r="H1544">
        <f>Cleaned[[#This Row],[Credit]] *  Cleaned[[#This Row],[FX_rates]]</f>
        <v>0</v>
      </c>
      <c r="I1544" t="s">
        <v>2021</v>
      </c>
      <c r="J1544" t="s">
        <v>2028</v>
      </c>
      <c r="K1544" t="s">
        <v>3573</v>
      </c>
      <c r="L1544" t="s">
        <v>4033</v>
      </c>
      <c r="M1544">
        <f>Cleaned[[#This Row],[Credit]]-Cleaned[[#This Row],[Debit]]</f>
        <v>-1155.53</v>
      </c>
      <c r="N1544" t="str">
        <f>_xlfn.XLOOKUP(Cleaned[[#This Row],[AccountName]], Account_Mapping!A:A, Account_Mapping!B:B,"Unmapped")</f>
        <v>COGS</v>
      </c>
      <c r="O1544" cm="1">
        <f t="array" ref="O1544">_xlfn.XLOOKUP(
  1,
  (FX_Rates[Currency]=Cleaned[[#This Row],[Currency]])*
  (FX_Rates[RateDate]&lt;=Cleaned[[#This Row],[TxnDate]]),
  FX_Rates[Rate_To_INR],
  ,
  -1
)</f>
        <v>56</v>
      </c>
      <c r="P1544" s="2">
        <f>Cleaned[[#This Row],[Net Amount]] *  Cleaned[[#This Row],[FX_rates]]</f>
        <v>-64709.68</v>
      </c>
    </row>
    <row r="1545" spans="1:16" x14ac:dyDescent="0.45">
      <c r="A1545" t="s">
        <v>1553</v>
      </c>
      <c r="B1545" s="1">
        <v>45525</v>
      </c>
      <c r="C1545" s="2" t="s">
        <v>2014</v>
      </c>
      <c r="D1545" t="s">
        <v>2019</v>
      </c>
      <c r="E1545">
        <v>0</v>
      </c>
      <c r="F1545">
        <f>Cleaned[[#This Row],[Debit]] * Cleaned[[#This Row],[FX_rates]]</f>
        <v>0</v>
      </c>
      <c r="G1545">
        <v>827.97</v>
      </c>
      <c r="H1545">
        <f>Cleaned[[#This Row],[Credit]] *  Cleaned[[#This Row],[FX_rates]]</f>
        <v>67893.540000000008</v>
      </c>
      <c r="I1545" t="s">
        <v>2020</v>
      </c>
      <c r="J1545" t="s">
        <v>2029</v>
      </c>
      <c r="K1545" t="s">
        <v>3574</v>
      </c>
      <c r="L1545" t="s">
        <v>4034</v>
      </c>
      <c r="M1545">
        <f>Cleaned[[#This Row],[Credit]]-Cleaned[[#This Row],[Debit]]</f>
        <v>827.97</v>
      </c>
      <c r="N1545" t="str">
        <f>_xlfn.XLOOKUP(Cleaned[[#This Row],[AccountName]], Account_Mapping!A:A, Account_Mapping!B:B,"Unmapped")</f>
        <v>Revenue</v>
      </c>
      <c r="O1545" cm="1">
        <f t="array" ref="O1545">_xlfn.XLOOKUP(
  1,
  (FX_Rates[Currency]=Cleaned[[#This Row],[Currency]])*
  (FX_Rates[RateDate]&lt;=Cleaned[[#This Row],[TxnDate]]),
  FX_Rates[Rate_To_INR],
  ,
  -1
)</f>
        <v>82</v>
      </c>
      <c r="P1545" s="2">
        <f>Cleaned[[#This Row],[Net Amount]] *  Cleaned[[#This Row],[FX_rates]]</f>
        <v>67893.540000000008</v>
      </c>
    </row>
    <row r="1546" spans="1:16" x14ac:dyDescent="0.45">
      <c r="A1546" t="s">
        <v>1554</v>
      </c>
      <c r="B1546" s="1">
        <v>45235</v>
      </c>
      <c r="C1546" s="2" t="s">
        <v>2014</v>
      </c>
      <c r="D1546" t="s">
        <v>2019</v>
      </c>
      <c r="E1546">
        <v>0</v>
      </c>
      <c r="F1546">
        <f>Cleaned[[#This Row],[Debit]] * Cleaned[[#This Row],[FX_rates]]</f>
        <v>0</v>
      </c>
      <c r="G1546">
        <v>2525.69</v>
      </c>
      <c r="H1546">
        <f>Cleaned[[#This Row],[Credit]] *  Cleaned[[#This Row],[FX_rates]]</f>
        <v>222260.72</v>
      </c>
      <c r="I1546" t="s">
        <v>2023</v>
      </c>
      <c r="J1546" t="s">
        <v>2030</v>
      </c>
      <c r="K1546" t="s">
        <v>3575</v>
      </c>
      <c r="L1546" t="s">
        <v>4032</v>
      </c>
      <c r="M1546">
        <f>Cleaned[[#This Row],[Credit]]-Cleaned[[#This Row],[Debit]]</f>
        <v>2525.69</v>
      </c>
      <c r="N1546" t="str">
        <f>_xlfn.XLOOKUP(Cleaned[[#This Row],[AccountName]], Account_Mapping!A:A, Account_Mapping!B:B,"Unmapped")</f>
        <v>Revenue</v>
      </c>
      <c r="O1546" cm="1">
        <f t="array" ref="O1546">_xlfn.XLOOKUP(
  1,
  (FX_Rates[Currency]=Cleaned[[#This Row],[Currency]])*
  (FX_Rates[RateDate]&lt;=Cleaned[[#This Row],[TxnDate]]),
  FX_Rates[Rate_To_INR],
  ,
  -1
)</f>
        <v>88</v>
      </c>
      <c r="P1546" s="2">
        <f>Cleaned[[#This Row],[Net Amount]] *  Cleaned[[#This Row],[FX_rates]]</f>
        <v>222260.72</v>
      </c>
    </row>
    <row r="1547" spans="1:16" x14ac:dyDescent="0.45">
      <c r="A1547" t="s">
        <v>1555</v>
      </c>
      <c r="B1547" s="1">
        <v>45495</v>
      </c>
      <c r="C1547" s="2" t="s">
        <v>2011</v>
      </c>
      <c r="D1547" t="s">
        <v>2016</v>
      </c>
      <c r="E1547">
        <v>1395.73</v>
      </c>
      <c r="F1547">
        <f>Cleaned[[#This Row],[Debit]] * Cleaned[[#This Row],[FX_rates]]</f>
        <v>143760.19</v>
      </c>
      <c r="G1547">
        <v>0</v>
      </c>
      <c r="H1547">
        <f>Cleaned[[#This Row],[Credit]] *  Cleaned[[#This Row],[FX_rates]]</f>
        <v>0</v>
      </c>
      <c r="I1547" t="s">
        <v>2024</v>
      </c>
      <c r="J1547" t="s">
        <v>2026</v>
      </c>
      <c r="K1547" t="s">
        <v>3576</v>
      </c>
      <c r="L1547" t="s">
        <v>4031</v>
      </c>
      <c r="M1547">
        <f>Cleaned[[#This Row],[Credit]]-Cleaned[[#This Row],[Debit]]</f>
        <v>-1395.73</v>
      </c>
      <c r="N1547" t="str">
        <f>_xlfn.XLOOKUP(Cleaned[[#This Row],[AccountName]], Account_Mapping!A:A, Account_Mapping!B:B,"Unmapped")</f>
        <v>COGS</v>
      </c>
      <c r="O1547" cm="1">
        <f t="array" ref="O1547">_xlfn.XLOOKUP(
  1,
  (FX_Rates[Currency]=Cleaned[[#This Row],[Currency]])*
  (FX_Rates[RateDate]&lt;=Cleaned[[#This Row],[TxnDate]]),
  FX_Rates[Rate_To_INR],
  ,
  -1
)</f>
        <v>103</v>
      </c>
      <c r="P1547" s="2">
        <f>Cleaned[[#This Row],[Net Amount]] *  Cleaned[[#This Row],[FX_rates]]</f>
        <v>-143760.19</v>
      </c>
    </row>
    <row r="1548" spans="1:16" x14ac:dyDescent="0.45">
      <c r="A1548" t="s">
        <v>1556</v>
      </c>
      <c r="B1548" s="1">
        <v>45776</v>
      </c>
      <c r="C1548" s="2" t="s">
        <v>2014</v>
      </c>
      <c r="D1548" t="s">
        <v>2019</v>
      </c>
      <c r="E1548">
        <v>0</v>
      </c>
      <c r="F1548">
        <f>Cleaned[[#This Row],[Debit]] * Cleaned[[#This Row],[FX_rates]]</f>
        <v>0</v>
      </c>
      <c r="G1548">
        <v>1888.44</v>
      </c>
      <c r="H1548">
        <f>Cleaned[[#This Row],[Credit]] *  Cleaned[[#This Row],[FX_rates]]</f>
        <v>194509.32</v>
      </c>
      <c r="I1548" t="s">
        <v>2024</v>
      </c>
      <c r="J1548" t="s">
        <v>2026</v>
      </c>
      <c r="K1548" t="s">
        <v>3577</v>
      </c>
      <c r="L1548" t="s">
        <v>4031</v>
      </c>
      <c r="M1548">
        <f>Cleaned[[#This Row],[Credit]]-Cleaned[[#This Row],[Debit]]</f>
        <v>1888.44</v>
      </c>
      <c r="N1548" t="str">
        <f>_xlfn.XLOOKUP(Cleaned[[#This Row],[AccountName]], Account_Mapping!A:A, Account_Mapping!B:B,"Unmapped")</f>
        <v>Revenue</v>
      </c>
      <c r="O1548" cm="1">
        <f t="array" ref="O1548">_xlfn.XLOOKUP(
  1,
  (FX_Rates[Currency]=Cleaned[[#This Row],[Currency]])*
  (FX_Rates[RateDate]&lt;=Cleaned[[#This Row],[TxnDate]]),
  FX_Rates[Rate_To_INR],
  ,
  -1
)</f>
        <v>103</v>
      </c>
      <c r="P1548" s="2">
        <f>Cleaned[[#This Row],[Net Amount]] *  Cleaned[[#This Row],[FX_rates]]</f>
        <v>194509.32</v>
      </c>
    </row>
    <row r="1549" spans="1:16" x14ac:dyDescent="0.45">
      <c r="A1549" t="s">
        <v>1557</v>
      </c>
      <c r="B1549" s="1">
        <v>45609</v>
      </c>
      <c r="C1549" s="2" t="s">
        <v>2014</v>
      </c>
      <c r="D1549" t="s">
        <v>2019</v>
      </c>
      <c r="E1549">
        <v>0</v>
      </c>
      <c r="F1549">
        <f>Cleaned[[#This Row],[Debit]] * Cleaned[[#This Row],[FX_rates]]</f>
        <v>0</v>
      </c>
      <c r="G1549">
        <v>718.52</v>
      </c>
      <c r="H1549">
        <f>Cleaned[[#This Row],[Credit]] *  Cleaned[[#This Row],[FX_rates]]</f>
        <v>43829.72</v>
      </c>
      <c r="I1549" t="s">
        <v>2022</v>
      </c>
      <c r="J1549" t="s">
        <v>2028</v>
      </c>
      <c r="K1549" t="s">
        <v>3578</v>
      </c>
      <c r="L1549" t="s">
        <v>4035</v>
      </c>
      <c r="M1549">
        <f>Cleaned[[#This Row],[Credit]]-Cleaned[[#This Row],[Debit]]</f>
        <v>718.52</v>
      </c>
      <c r="N1549" t="str">
        <f>_xlfn.XLOOKUP(Cleaned[[#This Row],[AccountName]], Account_Mapping!A:A, Account_Mapping!B:B,"Unmapped")</f>
        <v>Revenue</v>
      </c>
      <c r="O1549" cm="1">
        <f t="array" ref="O1549">_xlfn.XLOOKUP(
  1,
  (FX_Rates[Currency]=Cleaned[[#This Row],[Currency]])*
  (FX_Rates[RateDate]&lt;=Cleaned[[#This Row],[TxnDate]]),
  FX_Rates[Rate_To_INR],
  ,
  -1
)</f>
        <v>61</v>
      </c>
      <c r="P1549" s="2">
        <f>Cleaned[[#This Row],[Net Amount]] *  Cleaned[[#This Row],[FX_rates]]</f>
        <v>43829.72</v>
      </c>
    </row>
    <row r="1550" spans="1:16" x14ac:dyDescent="0.45">
      <c r="A1550" t="s">
        <v>1558</v>
      </c>
      <c r="B1550" s="1">
        <v>45566</v>
      </c>
      <c r="C1550" s="2" t="s">
        <v>2012</v>
      </c>
      <c r="D1550" t="s">
        <v>2017</v>
      </c>
      <c r="E1550">
        <v>378.77</v>
      </c>
      <c r="F1550">
        <f>Cleaned[[#This Row],[Debit]] * Cleaned[[#This Row],[FX_rates]]</f>
        <v>39013.31</v>
      </c>
      <c r="G1550">
        <v>0</v>
      </c>
      <c r="H1550">
        <f>Cleaned[[#This Row],[Credit]] *  Cleaned[[#This Row],[FX_rates]]</f>
        <v>0</v>
      </c>
      <c r="I1550" t="s">
        <v>2024</v>
      </c>
      <c r="J1550" t="s">
        <v>2026</v>
      </c>
      <c r="K1550" t="s">
        <v>3579</v>
      </c>
      <c r="L1550" t="s">
        <v>4031</v>
      </c>
      <c r="M1550">
        <f>Cleaned[[#This Row],[Credit]]-Cleaned[[#This Row],[Debit]]</f>
        <v>-378.77</v>
      </c>
      <c r="N1550" t="str">
        <f>_xlfn.XLOOKUP(Cleaned[[#This Row],[AccountName]], Account_Mapping!A:A, Account_Mapping!B:B,"Unmapped")</f>
        <v>Operating Expense</v>
      </c>
      <c r="O1550" cm="1">
        <f t="array" ref="O1550">_xlfn.XLOOKUP(
  1,
  (FX_Rates[Currency]=Cleaned[[#This Row],[Currency]])*
  (FX_Rates[RateDate]&lt;=Cleaned[[#This Row],[TxnDate]]),
  FX_Rates[Rate_To_INR],
  ,
  -1
)</f>
        <v>103</v>
      </c>
      <c r="P1550" s="2">
        <f>Cleaned[[#This Row],[Net Amount]] *  Cleaned[[#This Row],[FX_rates]]</f>
        <v>-39013.31</v>
      </c>
    </row>
    <row r="1551" spans="1:16" x14ac:dyDescent="0.45">
      <c r="A1551" t="s">
        <v>1559</v>
      </c>
      <c r="B1551" s="1">
        <v>45104</v>
      </c>
      <c r="C1551" s="2" t="s">
        <v>2012</v>
      </c>
      <c r="D1551" t="s">
        <v>2017</v>
      </c>
      <c r="E1551">
        <v>1317.88</v>
      </c>
      <c r="F1551">
        <f>Cleaned[[#This Row],[Debit]] * Cleaned[[#This Row],[FX_rates]]</f>
        <v>80390.680000000008</v>
      </c>
      <c r="G1551">
        <v>0</v>
      </c>
      <c r="H1551">
        <f>Cleaned[[#This Row],[Credit]] *  Cleaned[[#This Row],[FX_rates]]</f>
        <v>0</v>
      </c>
      <c r="I1551" t="s">
        <v>2025</v>
      </c>
      <c r="J1551" t="s">
        <v>2027</v>
      </c>
      <c r="K1551" t="s">
        <v>3580</v>
      </c>
      <c r="L1551" t="s">
        <v>4035</v>
      </c>
      <c r="M1551">
        <f>Cleaned[[#This Row],[Credit]]-Cleaned[[#This Row],[Debit]]</f>
        <v>-1317.88</v>
      </c>
      <c r="N1551" t="str">
        <f>_xlfn.XLOOKUP(Cleaned[[#This Row],[AccountName]], Account_Mapping!A:A, Account_Mapping!B:B,"Unmapped")</f>
        <v>Operating Expense</v>
      </c>
      <c r="O1551" cm="1">
        <f t="array" ref="O1551">_xlfn.XLOOKUP(
  1,
  (FX_Rates[Currency]=Cleaned[[#This Row],[Currency]])*
  (FX_Rates[RateDate]&lt;=Cleaned[[#This Row],[TxnDate]]),
  FX_Rates[Rate_To_INR],
  ,
  -1
)</f>
        <v>61</v>
      </c>
      <c r="P1551" s="2">
        <f>Cleaned[[#This Row],[Net Amount]] *  Cleaned[[#This Row],[FX_rates]]</f>
        <v>-80390.680000000008</v>
      </c>
    </row>
    <row r="1552" spans="1:16" x14ac:dyDescent="0.45">
      <c r="A1552" t="s">
        <v>1560</v>
      </c>
      <c r="B1552" s="1">
        <v>44950</v>
      </c>
      <c r="C1552" s="2" t="s">
        <v>2011</v>
      </c>
      <c r="D1552" t="s">
        <v>2016</v>
      </c>
      <c r="E1552">
        <v>636.6</v>
      </c>
      <c r="F1552">
        <f>Cleaned[[#This Row],[Debit]] * Cleaned[[#This Row],[FX_rates]]</f>
        <v>56020.800000000003</v>
      </c>
      <c r="G1552">
        <v>0</v>
      </c>
      <c r="H1552">
        <f>Cleaned[[#This Row],[Credit]] *  Cleaned[[#This Row],[FX_rates]]</f>
        <v>0</v>
      </c>
      <c r="I1552" t="s">
        <v>2024</v>
      </c>
      <c r="J1552" t="s">
        <v>2028</v>
      </c>
      <c r="K1552" t="s">
        <v>3581</v>
      </c>
      <c r="L1552" t="s">
        <v>4032</v>
      </c>
      <c r="M1552">
        <f>Cleaned[[#This Row],[Credit]]-Cleaned[[#This Row],[Debit]]</f>
        <v>-636.6</v>
      </c>
      <c r="N1552" t="str">
        <f>_xlfn.XLOOKUP(Cleaned[[#This Row],[AccountName]], Account_Mapping!A:A, Account_Mapping!B:B,"Unmapped")</f>
        <v>COGS</v>
      </c>
      <c r="O1552" cm="1">
        <f t="array" ref="O1552">_xlfn.XLOOKUP(
  1,
  (FX_Rates[Currency]=Cleaned[[#This Row],[Currency]])*
  (FX_Rates[RateDate]&lt;=Cleaned[[#This Row],[TxnDate]]),
  FX_Rates[Rate_To_INR],
  ,
  -1
)</f>
        <v>88</v>
      </c>
      <c r="P1552" s="2">
        <f>Cleaned[[#This Row],[Net Amount]] *  Cleaned[[#This Row],[FX_rates]]</f>
        <v>-56020.800000000003</v>
      </c>
    </row>
    <row r="1553" spans="1:16" x14ac:dyDescent="0.45">
      <c r="A1553" t="s">
        <v>1561</v>
      </c>
      <c r="B1553" s="1">
        <v>45453</v>
      </c>
      <c r="C1553" s="2" t="s">
        <v>2010</v>
      </c>
      <c r="D1553" t="s">
        <v>2015</v>
      </c>
      <c r="E1553">
        <v>0</v>
      </c>
      <c r="F1553">
        <f>Cleaned[[#This Row],[Debit]] * Cleaned[[#This Row],[FX_rates]]</f>
        <v>0</v>
      </c>
      <c r="G1553">
        <v>4170.5</v>
      </c>
      <c r="H1553">
        <f>Cleaned[[#This Row],[Credit]] *  Cleaned[[#This Row],[FX_rates]]</f>
        <v>367004</v>
      </c>
      <c r="I1553" t="s">
        <v>2022</v>
      </c>
      <c r="J1553" t="s">
        <v>2030</v>
      </c>
      <c r="K1553" t="s">
        <v>3582</v>
      </c>
      <c r="L1553" t="s">
        <v>4032</v>
      </c>
      <c r="M1553">
        <f>Cleaned[[#This Row],[Credit]]-Cleaned[[#This Row],[Debit]]</f>
        <v>4170.5</v>
      </c>
      <c r="N1553" t="str">
        <f>_xlfn.XLOOKUP(Cleaned[[#This Row],[AccountName]], Account_Mapping!A:A, Account_Mapping!B:B,"Unmapped")</f>
        <v>Revenue</v>
      </c>
      <c r="O1553" cm="1">
        <f t="array" ref="O1553">_xlfn.XLOOKUP(
  1,
  (FX_Rates[Currency]=Cleaned[[#This Row],[Currency]])*
  (FX_Rates[RateDate]&lt;=Cleaned[[#This Row],[TxnDate]]),
  FX_Rates[Rate_To_INR],
  ,
  -1
)</f>
        <v>88</v>
      </c>
      <c r="P1553" s="2">
        <f>Cleaned[[#This Row],[Net Amount]] *  Cleaned[[#This Row],[FX_rates]]</f>
        <v>367004</v>
      </c>
    </row>
    <row r="1554" spans="1:16" x14ac:dyDescent="0.45">
      <c r="A1554" t="s">
        <v>1562</v>
      </c>
      <c r="B1554" s="1">
        <v>45251</v>
      </c>
      <c r="C1554" s="2" t="s">
        <v>2010</v>
      </c>
      <c r="D1554" t="s">
        <v>2015</v>
      </c>
      <c r="E1554">
        <v>0</v>
      </c>
      <c r="F1554">
        <f>Cleaned[[#This Row],[Debit]] * Cleaned[[#This Row],[FX_rates]]</f>
        <v>0</v>
      </c>
      <c r="G1554">
        <v>1923.84</v>
      </c>
      <c r="H1554">
        <f>Cleaned[[#This Row],[Credit]] *  Cleaned[[#This Row],[FX_rates]]</f>
        <v>117354.23999999999</v>
      </c>
      <c r="I1554" t="s">
        <v>2025</v>
      </c>
      <c r="J1554" t="s">
        <v>2030</v>
      </c>
      <c r="K1554" t="s">
        <v>3583</v>
      </c>
      <c r="L1554" t="s">
        <v>4035</v>
      </c>
      <c r="M1554">
        <f>Cleaned[[#This Row],[Credit]]-Cleaned[[#This Row],[Debit]]</f>
        <v>1923.84</v>
      </c>
      <c r="N1554" t="str">
        <f>_xlfn.XLOOKUP(Cleaned[[#This Row],[AccountName]], Account_Mapping!A:A, Account_Mapping!B:B,"Unmapped")</f>
        <v>Revenue</v>
      </c>
      <c r="O1554" cm="1">
        <f t="array" ref="O1554">_xlfn.XLOOKUP(
  1,
  (FX_Rates[Currency]=Cleaned[[#This Row],[Currency]])*
  (FX_Rates[RateDate]&lt;=Cleaned[[#This Row],[TxnDate]]),
  FX_Rates[Rate_To_INR],
  ,
  -1
)</f>
        <v>61</v>
      </c>
      <c r="P1554" s="2">
        <f>Cleaned[[#This Row],[Net Amount]] *  Cleaned[[#This Row],[FX_rates]]</f>
        <v>117354.23999999999</v>
      </c>
    </row>
    <row r="1555" spans="1:16" x14ac:dyDescent="0.45">
      <c r="A1555" t="s">
        <v>1563</v>
      </c>
      <c r="B1555" s="1">
        <v>45526</v>
      </c>
      <c r="C1555" s="2" t="s">
        <v>2012</v>
      </c>
      <c r="D1555" t="s">
        <v>2017</v>
      </c>
      <c r="E1555">
        <v>736.29</v>
      </c>
      <c r="F1555">
        <f>Cleaned[[#This Row],[Debit]] * Cleaned[[#This Row],[FX_rates]]</f>
        <v>44913.689999999995</v>
      </c>
      <c r="G1555">
        <v>0</v>
      </c>
      <c r="H1555">
        <f>Cleaned[[#This Row],[Credit]] *  Cleaned[[#This Row],[FX_rates]]</f>
        <v>0</v>
      </c>
      <c r="I1555" t="s">
        <v>2020</v>
      </c>
      <c r="J1555" t="s">
        <v>2028</v>
      </c>
      <c r="K1555" t="s">
        <v>3584</v>
      </c>
      <c r="L1555" t="s">
        <v>4035</v>
      </c>
      <c r="M1555">
        <f>Cleaned[[#This Row],[Credit]]-Cleaned[[#This Row],[Debit]]</f>
        <v>-736.29</v>
      </c>
      <c r="N1555" t="str">
        <f>_xlfn.XLOOKUP(Cleaned[[#This Row],[AccountName]], Account_Mapping!A:A, Account_Mapping!B:B,"Unmapped")</f>
        <v>Operating Expense</v>
      </c>
      <c r="O1555" cm="1">
        <f t="array" ref="O1555">_xlfn.XLOOKUP(
  1,
  (FX_Rates[Currency]=Cleaned[[#This Row],[Currency]])*
  (FX_Rates[RateDate]&lt;=Cleaned[[#This Row],[TxnDate]]),
  FX_Rates[Rate_To_INR],
  ,
  -1
)</f>
        <v>61</v>
      </c>
      <c r="P1555" s="2">
        <f>Cleaned[[#This Row],[Net Amount]] *  Cleaned[[#This Row],[FX_rates]]</f>
        <v>-44913.689999999995</v>
      </c>
    </row>
    <row r="1556" spans="1:16" x14ac:dyDescent="0.45">
      <c r="A1556" t="s">
        <v>1564</v>
      </c>
      <c r="B1556" s="1">
        <v>45682</v>
      </c>
      <c r="C1556" s="2" t="s">
        <v>2014</v>
      </c>
      <c r="D1556" t="s">
        <v>2019</v>
      </c>
      <c r="E1556">
        <v>0</v>
      </c>
      <c r="F1556">
        <f>Cleaned[[#This Row],[Debit]] * Cleaned[[#This Row],[FX_rates]]</f>
        <v>0</v>
      </c>
      <c r="G1556">
        <v>4712.88</v>
      </c>
      <c r="H1556">
        <f>Cleaned[[#This Row],[Credit]] *  Cleaned[[#This Row],[FX_rates]]</f>
        <v>263921.28000000003</v>
      </c>
      <c r="I1556" t="s">
        <v>2025</v>
      </c>
      <c r="J1556" t="s">
        <v>2029</v>
      </c>
      <c r="K1556" t="s">
        <v>3585</v>
      </c>
      <c r="L1556" t="s">
        <v>4033</v>
      </c>
      <c r="M1556">
        <f>Cleaned[[#This Row],[Credit]]-Cleaned[[#This Row],[Debit]]</f>
        <v>4712.88</v>
      </c>
      <c r="N1556" t="str">
        <f>_xlfn.XLOOKUP(Cleaned[[#This Row],[AccountName]], Account_Mapping!A:A, Account_Mapping!B:B,"Unmapped")</f>
        <v>Revenue</v>
      </c>
      <c r="O1556" cm="1">
        <f t="array" ref="O1556">_xlfn.XLOOKUP(
  1,
  (FX_Rates[Currency]=Cleaned[[#This Row],[Currency]])*
  (FX_Rates[RateDate]&lt;=Cleaned[[#This Row],[TxnDate]]),
  FX_Rates[Rate_To_INR],
  ,
  -1
)</f>
        <v>56</v>
      </c>
      <c r="P1556" s="2">
        <f>Cleaned[[#This Row],[Net Amount]] *  Cleaned[[#This Row],[FX_rates]]</f>
        <v>263921.28000000003</v>
      </c>
    </row>
    <row r="1557" spans="1:16" x14ac:dyDescent="0.45">
      <c r="A1557" t="s">
        <v>1565</v>
      </c>
      <c r="B1557" s="1">
        <v>45438</v>
      </c>
      <c r="C1557" s="2" t="s">
        <v>2014</v>
      </c>
      <c r="D1557" t="s">
        <v>2019</v>
      </c>
      <c r="E1557">
        <v>0</v>
      </c>
      <c r="F1557">
        <f>Cleaned[[#This Row],[Debit]] * Cleaned[[#This Row],[FX_rates]]</f>
        <v>0</v>
      </c>
      <c r="G1557">
        <v>2946.82</v>
      </c>
      <c r="H1557">
        <f>Cleaned[[#This Row],[Credit]] *  Cleaned[[#This Row],[FX_rates]]</f>
        <v>165021.92000000001</v>
      </c>
      <c r="I1557" t="s">
        <v>2024</v>
      </c>
      <c r="J1557" t="s">
        <v>2028</v>
      </c>
      <c r="K1557" t="s">
        <v>3586</v>
      </c>
      <c r="L1557" t="s">
        <v>4033</v>
      </c>
      <c r="M1557">
        <f>Cleaned[[#This Row],[Credit]]-Cleaned[[#This Row],[Debit]]</f>
        <v>2946.82</v>
      </c>
      <c r="N1557" t="str">
        <f>_xlfn.XLOOKUP(Cleaned[[#This Row],[AccountName]], Account_Mapping!A:A, Account_Mapping!B:B,"Unmapped")</f>
        <v>Revenue</v>
      </c>
      <c r="O1557" cm="1">
        <f t="array" ref="O1557">_xlfn.XLOOKUP(
  1,
  (FX_Rates[Currency]=Cleaned[[#This Row],[Currency]])*
  (FX_Rates[RateDate]&lt;=Cleaned[[#This Row],[TxnDate]]),
  FX_Rates[Rate_To_INR],
  ,
  -1
)</f>
        <v>56</v>
      </c>
      <c r="P1557" s="2">
        <f>Cleaned[[#This Row],[Net Amount]] *  Cleaned[[#This Row],[FX_rates]]</f>
        <v>165021.92000000001</v>
      </c>
    </row>
    <row r="1558" spans="1:16" x14ac:dyDescent="0.45">
      <c r="A1558" t="s">
        <v>1566</v>
      </c>
      <c r="B1558" s="1">
        <v>45765</v>
      </c>
      <c r="C1558" s="2" t="s">
        <v>2012</v>
      </c>
      <c r="D1558" t="s">
        <v>2017</v>
      </c>
      <c r="E1558">
        <v>1985.74</v>
      </c>
      <c r="F1558">
        <f>Cleaned[[#This Row],[Debit]] * Cleaned[[#This Row],[FX_rates]]</f>
        <v>111201.44</v>
      </c>
      <c r="G1558">
        <v>0</v>
      </c>
      <c r="H1558">
        <f>Cleaned[[#This Row],[Credit]] *  Cleaned[[#This Row],[FX_rates]]</f>
        <v>0</v>
      </c>
      <c r="I1558" t="s">
        <v>2020</v>
      </c>
      <c r="J1558" t="s">
        <v>2027</v>
      </c>
      <c r="K1558" t="s">
        <v>3587</v>
      </c>
      <c r="L1558" t="s">
        <v>4033</v>
      </c>
      <c r="M1558">
        <f>Cleaned[[#This Row],[Credit]]-Cleaned[[#This Row],[Debit]]</f>
        <v>-1985.74</v>
      </c>
      <c r="N1558" t="str">
        <f>_xlfn.XLOOKUP(Cleaned[[#This Row],[AccountName]], Account_Mapping!A:A, Account_Mapping!B:B,"Unmapped")</f>
        <v>Operating Expense</v>
      </c>
      <c r="O1558" cm="1">
        <f t="array" ref="O1558">_xlfn.XLOOKUP(
  1,
  (FX_Rates[Currency]=Cleaned[[#This Row],[Currency]])*
  (FX_Rates[RateDate]&lt;=Cleaned[[#This Row],[TxnDate]]),
  FX_Rates[Rate_To_INR],
  ,
  -1
)</f>
        <v>56</v>
      </c>
      <c r="P1558" s="2">
        <f>Cleaned[[#This Row],[Net Amount]] *  Cleaned[[#This Row],[FX_rates]]</f>
        <v>-111201.44</v>
      </c>
    </row>
    <row r="1559" spans="1:16" x14ac:dyDescent="0.45">
      <c r="A1559" t="s">
        <v>1567</v>
      </c>
      <c r="B1559" s="1">
        <v>45341</v>
      </c>
      <c r="C1559" s="2" t="s">
        <v>2011</v>
      </c>
      <c r="D1559" t="s">
        <v>2016</v>
      </c>
      <c r="E1559">
        <v>1835.61</v>
      </c>
      <c r="F1559">
        <f>Cleaned[[#This Row],[Debit]] * Cleaned[[#This Row],[FX_rates]]</f>
        <v>150520.01999999999</v>
      </c>
      <c r="G1559">
        <v>0</v>
      </c>
      <c r="H1559">
        <f>Cleaned[[#This Row],[Credit]] *  Cleaned[[#This Row],[FX_rates]]</f>
        <v>0</v>
      </c>
      <c r="I1559" t="s">
        <v>2020</v>
      </c>
      <c r="J1559" t="s">
        <v>2029</v>
      </c>
      <c r="K1559" t="s">
        <v>3588</v>
      </c>
      <c r="L1559" t="s">
        <v>4034</v>
      </c>
      <c r="M1559">
        <f>Cleaned[[#This Row],[Credit]]-Cleaned[[#This Row],[Debit]]</f>
        <v>-1835.61</v>
      </c>
      <c r="N1559" t="str">
        <f>_xlfn.XLOOKUP(Cleaned[[#This Row],[AccountName]], Account_Mapping!A:A, Account_Mapping!B:B,"Unmapped")</f>
        <v>COGS</v>
      </c>
      <c r="O1559" cm="1">
        <f t="array" ref="O1559">_xlfn.XLOOKUP(
  1,
  (FX_Rates[Currency]=Cleaned[[#This Row],[Currency]])*
  (FX_Rates[RateDate]&lt;=Cleaned[[#This Row],[TxnDate]]),
  FX_Rates[Rate_To_INR],
  ,
  -1
)</f>
        <v>82</v>
      </c>
      <c r="P1559" s="2">
        <f>Cleaned[[#This Row],[Net Amount]] *  Cleaned[[#This Row],[FX_rates]]</f>
        <v>-150520.01999999999</v>
      </c>
    </row>
    <row r="1560" spans="1:16" x14ac:dyDescent="0.45">
      <c r="A1560" t="s">
        <v>1568</v>
      </c>
      <c r="B1560" s="1">
        <v>45100</v>
      </c>
      <c r="C1560" s="2" t="s">
        <v>2011</v>
      </c>
      <c r="D1560" t="s">
        <v>2016</v>
      </c>
      <c r="E1560">
        <v>509.51</v>
      </c>
      <c r="F1560">
        <f>Cleaned[[#This Row],[Debit]] * Cleaned[[#This Row],[FX_rates]]</f>
        <v>31080.11</v>
      </c>
      <c r="G1560">
        <v>0</v>
      </c>
      <c r="H1560">
        <f>Cleaned[[#This Row],[Credit]] *  Cleaned[[#This Row],[FX_rates]]</f>
        <v>0</v>
      </c>
      <c r="I1560" t="s">
        <v>2024</v>
      </c>
      <c r="J1560" t="s">
        <v>2030</v>
      </c>
      <c r="K1560" t="s">
        <v>3589</v>
      </c>
      <c r="L1560" t="s">
        <v>4035</v>
      </c>
      <c r="M1560">
        <f>Cleaned[[#This Row],[Credit]]-Cleaned[[#This Row],[Debit]]</f>
        <v>-509.51</v>
      </c>
      <c r="N1560" t="str">
        <f>_xlfn.XLOOKUP(Cleaned[[#This Row],[AccountName]], Account_Mapping!A:A, Account_Mapping!B:B,"Unmapped")</f>
        <v>COGS</v>
      </c>
      <c r="O1560" cm="1">
        <f t="array" ref="O1560">_xlfn.XLOOKUP(
  1,
  (FX_Rates[Currency]=Cleaned[[#This Row],[Currency]])*
  (FX_Rates[RateDate]&lt;=Cleaned[[#This Row],[TxnDate]]),
  FX_Rates[Rate_To_INR],
  ,
  -1
)</f>
        <v>61</v>
      </c>
      <c r="P1560" s="2">
        <f>Cleaned[[#This Row],[Net Amount]] *  Cleaned[[#This Row],[FX_rates]]</f>
        <v>-31080.11</v>
      </c>
    </row>
    <row r="1561" spans="1:16" x14ac:dyDescent="0.45">
      <c r="A1561" t="s">
        <v>1569</v>
      </c>
      <c r="B1561" s="1">
        <v>45284</v>
      </c>
      <c r="C1561" s="2" t="s">
        <v>2014</v>
      </c>
      <c r="D1561" t="s">
        <v>2019</v>
      </c>
      <c r="E1561">
        <v>0</v>
      </c>
      <c r="F1561">
        <f>Cleaned[[#This Row],[Debit]] * Cleaned[[#This Row],[FX_rates]]</f>
        <v>0</v>
      </c>
      <c r="G1561">
        <v>573.51</v>
      </c>
      <c r="H1561">
        <f>Cleaned[[#This Row],[Credit]] *  Cleaned[[#This Row],[FX_rates]]</f>
        <v>47027.82</v>
      </c>
      <c r="I1561" t="s">
        <v>2024</v>
      </c>
      <c r="J1561" t="s">
        <v>2026</v>
      </c>
      <c r="K1561" t="s">
        <v>3590</v>
      </c>
      <c r="L1561" t="s">
        <v>4034</v>
      </c>
      <c r="M1561">
        <f>Cleaned[[#This Row],[Credit]]-Cleaned[[#This Row],[Debit]]</f>
        <v>573.51</v>
      </c>
      <c r="N1561" t="str">
        <f>_xlfn.XLOOKUP(Cleaned[[#This Row],[AccountName]], Account_Mapping!A:A, Account_Mapping!B:B,"Unmapped")</f>
        <v>Revenue</v>
      </c>
      <c r="O1561" cm="1">
        <f t="array" ref="O1561">_xlfn.XLOOKUP(
  1,
  (FX_Rates[Currency]=Cleaned[[#This Row],[Currency]])*
  (FX_Rates[RateDate]&lt;=Cleaned[[#This Row],[TxnDate]]),
  FX_Rates[Rate_To_INR],
  ,
  -1
)</f>
        <v>82</v>
      </c>
      <c r="P1561" s="2">
        <f>Cleaned[[#This Row],[Net Amount]] *  Cleaned[[#This Row],[FX_rates]]</f>
        <v>47027.82</v>
      </c>
    </row>
    <row r="1562" spans="1:16" x14ac:dyDescent="0.45">
      <c r="A1562" t="s">
        <v>1570</v>
      </c>
      <c r="B1562" s="1">
        <v>45462</v>
      </c>
      <c r="C1562" s="2" t="s">
        <v>2010</v>
      </c>
      <c r="D1562" t="s">
        <v>2015</v>
      </c>
      <c r="E1562">
        <v>0</v>
      </c>
      <c r="F1562">
        <f>Cleaned[[#This Row],[Debit]] * Cleaned[[#This Row],[FX_rates]]</f>
        <v>0</v>
      </c>
      <c r="G1562">
        <v>3740.72</v>
      </c>
      <c r="H1562">
        <f>Cleaned[[#This Row],[Credit]] *  Cleaned[[#This Row],[FX_rates]]</f>
        <v>306739.03999999998</v>
      </c>
      <c r="I1562" t="s">
        <v>2023</v>
      </c>
      <c r="J1562" t="s">
        <v>2027</v>
      </c>
      <c r="K1562" t="s">
        <v>3591</v>
      </c>
      <c r="L1562" t="s">
        <v>4034</v>
      </c>
      <c r="M1562">
        <f>Cleaned[[#This Row],[Credit]]-Cleaned[[#This Row],[Debit]]</f>
        <v>3740.72</v>
      </c>
      <c r="N1562" t="str">
        <f>_xlfn.XLOOKUP(Cleaned[[#This Row],[AccountName]], Account_Mapping!A:A, Account_Mapping!B:B,"Unmapped")</f>
        <v>Revenue</v>
      </c>
      <c r="O1562" cm="1">
        <f t="array" ref="O1562">_xlfn.XLOOKUP(
  1,
  (FX_Rates[Currency]=Cleaned[[#This Row],[Currency]])*
  (FX_Rates[RateDate]&lt;=Cleaned[[#This Row],[TxnDate]]),
  FX_Rates[Rate_To_INR],
  ,
  -1
)</f>
        <v>82</v>
      </c>
      <c r="P1562" s="2">
        <f>Cleaned[[#This Row],[Net Amount]] *  Cleaned[[#This Row],[FX_rates]]</f>
        <v>306739.03999999998</v>
      </c>
    </row>
    <row r="1563" spans="1:16" x14ac:dyDescent="0.45">
      <c r="A1563" t="s">
        <v>1571</v>
      </c>
      <c r="B1563" s="1">
        <v>45049</v>
      </c>
      <c r="C1563" s="2" t="s">
        <v>2011</v>
      </c>
      <c r="D1563" t="s">
        <v>2016</v>
      </c>
      <c r="E1563">
        <v>1930.33</v>
      </c>
      <c r="F1563">
        <f>Cleaned[[#This Row],[Debit]] * Cleaned[[#This Row],[FX_rates]]</f>
        <v>117750.12999999999</v>
      </c>
      <c r="G1563">
        <v>0</v>
      </c>
      <c r="H1563">
        <f>Cleaned[[#This Row],[Credit]] *  Cleaned[[#This Row],[FX_rates]]</f>
        <v>0</v>
      </c>
      <c r="I1563" t="s">
        <v>2022</v>
      </c>
      <c r="J1563" t="s">
        <v>2030</v>
      </c>
      <c r="K1563" t="s">
        <v>3592</v>
      </c>
      <c r="L1563" t="s">
        <v>4035</v>
      </c>
      <c r="M1563">
        <f>Cleaned[[#This Row],[Credit]]-Cleaned[[#This Row],[Debit]]</f>
        <v>-1930.33</v>
      </c>
      <c r="N1563" t="str">
        <f>_xlfn.XLOOKUP(Cleaned[[#This Row],[AccountName]], Account_Mapping!A:A, Account_Mapping!B:B,"Unmapped")</f>
        <v>COGS</v>
      </c>
      <c r="O1563" cm="1">
        <f t="array" ref="O1563">_xlfn.XLOOKUP(
  1,
  (FX_Rates[Currency]=Cleaned[[#This Row],[Currency]])*
  (FX_Rates[RateDate]&lt;=Cleaned[[#This Row],[TxnDate]]),
  FX_Rates[Rate_To_INR],
  ,
  -1
)</f>
        <v>61</v>
      </c>
      <c r="P1563" s="2">
        <f>Cleaned[[#This Row],[Net Amount]] *  Cleaned[[#This Row],[FX_rates]]</f>
        <v>-117750.12999999999</v>
      </c>
    </row>
    <row r="1564" spans="1:16" x14ac:dyDescent="0.45">
      <c r="A1564" t="s">
        <v>1572</v>
      </c>
      <c r="B1564" s="1">
        <v>45276</v>
      </c>
      <c r="C1564" s="2" t="s">
        <v>2013</v>
      </c>
      <c r="D1564" t="s">
        <v>2018</v>
      </c>
      <c r="E1564">
        <v>1936.61</v>
      </c>
      <c r="F1564">
        <f>Cleaned[[#This Row],[Debit]] * Cleaned[[#This Row],[FX_rates]]</f>
        <v>170421.68</v>
      </c>
      <c r="G1564">
        <v>0</v>
      </c>
      <c r="H1564">
        <f>Cleaned[[#This Row],[Credit]] *  Cleaned[[#This Row],[FX_rates]]</f>
        <v>0</v>
      </c>
      <c r="I1564" t="s">
        <v>2024</v>
      </c>
      <c r="J1564" t="s">
        <v>2027</v>
      </c>
      <c r="K1564" t="s">
        <v>3593</v>
      </c>
      <c r="L1564" t="s">
        <v>4032</v>
      </c>
      <c r="M1564">
        <f>Cleaned[[#This Row],[Credit]]-Cleaned[[#This Row],[Debit]]</f>
        <v>-1936.61</v>
      </c>
      <c r="N1564" t="str">
        <f>_xlfn.XLOOKUP(Cleaned[[#This Row],[AccountName]], Account_Mapping!A:A, Account_Mapping!B:B,"Unmapped")</f>
        <v>Operating Expense</v>
      </c>
      <c r="O1564" cm="1">
        <f t="array" ref="O1564">_xlfn.XLOOKUP(
  1,
  (FX_Rates[Currency]=Cleaned[[#This Row],[Currency]])*
  (FX_Rates[RateDate]&lt;=Cleaned[[#This Row],[TxnDate]]),
  FX_Rates[Rate_To_INR],
  ,
  -1
)</f>
        <v>88</v>
      </c>
      <c r="P1564" s="2">
        <f>Cleaned[[#This Row],[Net Amount]] *  Cleaned[[#This Row],[FX_rates]]</f>
        <v>-170421.68</v>
      </c>
    </row>
    <row r="1565" spans="1:16" x14ac:dyDescent="0.45">
      <c r="A1565" t="s">
        <v>1573</v>
      </c>
      <c r="B1565" s="1">
        <v>45592</v>
      </c>
      <c r="C1565" s="2" t="s">
        <v>2010</v>
      </c>
      <c r="D1565" t="s">
        <v>2015</v>
      </c>
      <c r="E1565">
        <v>0</v>
      </c>
      <c r="F1565">
        <f>Cleaned[[#This Row],[Debit]] * Cleaned[[#This Row],[FX_rates]]</f>
        <v>0</v>
      </c>
      <c r="G1565">
        <v>3625.02</v>
      </c>
      <c r="H1565">
        <f>Cleaned[[#This Row],[Credit]] *  Cleaned[[#This Row],[FX_rates]]</f>
        <v>221126.22</v>
      </c>
      <c r="I1565" t="s">
        <v>2024</v>
      </c>
      <c r="J1565" t="s">
        <v>2030</v>
      </c>
      <c r="K1565" t="s">
        <v>3594</v>
      </c>
      <c r="L1565" t="s">
        <v>4035</v>
      </c>
      <c r="M1565">
        <f>Cleaned[[#This Row],[Credit]]-Cleaned[[#This Row],[Debit]]</f>
        <v>3625.02</v>
      </c>
      <c r="N1565" t="str">
        <f>_xlfn.XLOOKUP(Cleaned[[#This Row],[AccountName]], Account_Mapping!A:A, Account_Mapping!B:B,"Unmapped")</f>
        <v>Revenue</v>
      </c>
      <c r="O1565" cm="1">
        <f t="array" ref="O1565">_xlfn.XLOOKUP(
  1,
  (FX_Rates[Currency]=Cleaned[[#This Row],[Currency]])*
  (FX_Rates[RateDate]&lt;=Cleaned[[#This Row],[TxnDate]]),
  FX_Rates[Rate_To_INR],
  ,
  -1
)</f>
        <v>61</v>
      </c>
      <c r="P1565" s="2">
        <f>Cleaned[[#This Row],[Net Amount]] *  Cleaned[[#This Row],[FX_rates]]</f>
        <v>221126.22</v>
      </c>
    </row>
    <row r="1566" spans="1:16" x14ac:dyDescent="0.45">
      <c r="A1566" t="s">
        <v>1574</v>
      </c>
      <c r="B1566" s="1">
        <v>45332</v>
      </c>
      <c r="C1566" s="2" t="s">
        <v>2010</v>
      </c>
      <c r="D1566" t="s">
        <v>2015</v>
      </c>
      <c r="E1566">
        <v>0</v>
      </c>
      <c r="F1566">
        <f>Cleaned[[#This Row],[Debit]] * Cleaned[[#This Row],[FX_rates]]</f>
        <v>0</v>
      </c>
      <c r="G1566">
        <v>3348.1</v>
      </c>
      <c r="H1566">
        <f>Cleaned[[#This Row],[Credit]] *  Cleaned[[#This Row],[FX_rates]]</f>
        <v>294632.8</v>
      </c>
      <c r="I1566" t="s">
        <v>2023</v>
      </c>
      <c r="J1566" t="s">
        <v>2026</v>
      </c>
      <c r="K1566" t="s">
        <v>3595</v>
      </c>
      <c r="L1566" t="s">
        <v>4032</v>
      </c>
      <c r="M1566">
        <f>Cleaned[[#This Row],[Credit]]-Cleaned[[#This Row],[Debit]]</f>
        <v>3348.1</v>
      </c>
      <c r="N1566" t="str">
        <f>_xlfn.XLOOKUP(Cleaned[[#This Row],[AccountName]], Account_Mapping!A:A, Account_Mapping!B:B,"Unmapped")</f>
        <v>Revenue</v>
      </c>
      <c r="O1566" cm="1">
        <f t="array" ref="O1566">_xlfn.XLOOKUP(
  1,
  (FX_Rates[Currency]=Cleaned[[#This Row],[Currency]])*
  (FX_Rates[RateDate]&lt;=Cleaned[[#This Row],[TxnDate]]),
  FX_Rates[Rate_To_INR],
  ,
  -1
)</f>
        <v>88</v>
      </c>
      <c r="P1566" s="2">
        <f>Cleaned[[#This Row],[Net Amount]] *  Cleaned[[#This Row],[FX_rates]]</f>
        <v>294632.8</v>
      </c>
    </row>
    <row r="1567" spans="1:16" x14ac:dyDescent="0.45">
      <c r="A1567" t="s">
        <v>1575</v>
      </c>
      <c r="B1567" s="1">
        <v>44939</v>
      </c>
      <c r="C1567" s="2" t="s">
        <v>2013</v>
      </c>
      <c r="D1567" t="s">
        <v>2018</v>
      </c>
      <c r="E1567">
        <v>760.59</v>
      </c>
      <c r="F1567">
        <f>Cleaned[[#This Row],[Debit]] * Cleaned[[#This Row],[FX_rates]]</f>
        <v>46395.990000000005</v>
      </c>
      <c r="G1567">
        <v>0</v>
      </c>
      <c r="H1567">
        <f>Cleaned[[#This Row],[Credit]] *  Cleaned[[#This Row],[FX_rates]]</f>
        <v>0</v>
      </c>
      <c r="I1567" t="s">
        <v>2021</v>
      </c>
      <c r="J1567" t="s">
        <v>2028</v>
      </c>
      <c r="K1567" t="s">
        <v>3596</v>
      </c>
      <c r="L1567" t="s">
        <v>4035</v>
      </c>
      <c r="M1567">
        <f>Cleaned[[#This Row],[Credit]]-Cleaned[[#This Row],[Debit]]</f>
        <v>-760.59</v>
      </c>
      <c r="N1567" t="str">
        <f>_xlfn.XLOOKUP(Cleaned[[#This Row],[AccountName]], Account_Mapping!A:A, Account_Mapping!B:B,"Unmapped")</f>
        <v>Operating Expense</v>
      </c>
      <c r="O1567" cm="1">
        <f t="array" ref="O1567">_xlfn.XLOOKUP(
  1,
  (FX_Rates[Currency]=Cleaned[[#This Row],[Currency]])*
  (FX_Rates[RateDate]&lt;=Cleaned[[#This Row],[TxnDate]]),
  FX_Rates[Rate_To_INR],
  ,
  -1
)</f>
        <v>61</v>
      </c>
      <c r="P1567" s="2">
        <f>Cleaned[[#This Row],[Net Amount]] *  Cleaned[[#This Row],[FX_rates]]</f>
        <v>-46395.990000000005</v>
      </c>
    </row>
    <row r="1568" spans="1:16" x14ac:dyDescent="0.45">
      <c r="A1568" t="s">
        <v>1576</v>
      </c>
      <c r="B1568" s="1">
        <v>45377</v>
      </c>
      <c r="C1568" s="2" t="s">
        <v>2014</v>
      </c>
      <c r="D1568" t="s">
        <v>2019</v>
      </c>
      <c r="E1568">
        <v>0</v>
      </c>
      <c r="F1568">
        <f>Cleaned[[#This Row],[Debit]] * Cleaned[[#This Row],[FX_rates]]</f>
        <v>0</v>
      </c>
      <c r="G1568">
        <v>3208.4</v>
      </c>
      <c r="H1568">
        <f>Cleaned[[#This Row],[Credit]] *  Cleaned[[#This Row],[FX_rates]]</f>
        <v>282339.20000000001</v>
      </c>
      <c r="I1568" t="s">
        <v>2023</v>
      </c>
      <c r="J1568" t="s">
        <v>2026</v>
      </c>
      <c r="K1568" t="s">
        <v>3597</v>
      </c>
      <c r="L1568" t="s">
        <v>4032</v>
      </c>
      <c r="M1568">
        <f>Cleaned[[#This Row],[Credit]]-Cleaned[[#This Row],[Debit]]</f>
        <v>3208.4</v>
      </c>
      <c r="N1568" t="str">
        <f>_xlfn.XLOOKUP(Cleaned[[#This Row],[AccountName]], Account_Mapping!A:A, Account_Mapping!B:B,"Unmapped")</f>
        <v>Revenue</v>
      </c>
      <c r="O1568" cm="1">
        <f t="array" ref="O1568">_xlfn.XLOOKUP(
  1,
  (FX_Rates[Currency]=Cleaned[[#This Row],[Currency]])*
  (FX_Rates[RateDate]&lt;=Cleaned[[#This Row],[TxnDate]]),
  FX_Rates[Rate_To_INR],
  ,
  -1
)</f>
        <v>88</v>
      </c>
      <c r="P1568" s="2">
        <f>Cleaned[[#This Row],[Net Amount]] *  Cleaned[[#This Row],[FX_rates]]</f>
        <v>282339.20000000001</v>
      </c>
    </row>
    <row r="1569" spans="1:16" x14ac:dyDescent="0.45">
      <c r="A1569" t="s">
        <v>1577</v>
      </c>
      <c r="B1569" s="1">
        <v>45653</v>
      </c>
      <c r="C1569" s="2" t="s">
        <v>2012</v>
      </c>
      <c r="D1569" t="s">
        <v>2017</v>
      </c>
      <c r="E1569">
        <v>420.76</v>
      </c>
      <c r="F1569">
        <f>Cleaned[[#This Row],[Debit]] * Cleaned[[#This Row],[FX_rates]]</f>
        <v>43338.28</v>
      </c>
      <c r="G1569">
        <v>0</v>
      </c>
      <c r="H1569">
        <f>Cleaned[[#This Row],[Credit]] *  Cleaned[[#This Row],[FX_rates]]</f>
        <v>0</v>
      </c>
      <c r="I1569" t="s">
        <v>2023</v>
      </c>
      <c r="J1569" t="s">
        <v>2027</v>
      </c>
      <c r="K1569" t="s">
        <v>3598</v>
      </c>
      <c r="L1569" t="s">
        <v>4031</v>
      </c>
      <c r="M1569">
        <f>Cleaned[[#This Row],[Credit]]-Cleaned[[#This Row],[Debit]]</f>
        <v>-420.76</v>
      </c>
      <c r="N1569" t="str">
        <f>_xlfn.XLOOKUP(Cleaned[[#This Row],[AccountName]], Account_Mapping!A:A, Account_Mapping!B:B,"Unmapped")</f>
        <v>Operating Expense</v>
      </c>
      <c r="O1569" cm="1">
        <f t="array" ref="O1569">_xlfn.XLOOKUP(
  1,
  (FX_Rates[Currency]=Cleaned[[#This Row],[Currency]])*
  (FX_Rates[RateDate]&lt;=Cleaned[[#This Row],[TxnDate]]),
  FX_Rates[Rate_To_INR],
  ,
  -1
)</f>
        <v>103</v>
      </c>
      <c r="P1569" s="2">
        <f>Cleaned[[#This Row],[Net Amount]] *  Cleaned[[#This Row],[FX_rates]]</f>
        <v>-43338.28</v>
      </c>
    </row>
    <row r="1570" spans="1:16" x14ac:dyDescent="0.45">
      <c r="A1570" t="s">
        <v>1578</v>
      </c>
      <c r="B1570" s="1">
        <v>45021</v>
      </c>
      <c r="C1570" s="2" t="s">
        <v>2013</v>
      </c>
      <c r="D1570" t="s">
        <v>2018</v>
      </c>
      <c r="E1570">
        <v>1497.64</v>
      </c>
      <c r="F1570">
        <f>Cleaned[[#This Row],[Debit]] * Cleaned[[#This Row],[FX_rates]]</f>
        <v>122806.48000000001</v>
      </c>
      <c r="G1570">
        <v>0</v>
      </c>
      <c r="H1570">
        <f>Cleaned[[#This Row],[Credit]] *  Cleaned[[#This Row],[FX_rates]]</f>
        <v>0</v>
      </c>
      <c r="I1570" t="s">
        <v>2021</v>
      </c>
      <c r="J1570" t="s">
        <v>2028</v>
      </c>
      <c r="K1570" t="s">
        <v>3599</v>
      </c>
      <c r="L1570" t="s">
        <v>4034</v>
      </c>
      <c r="M1570">
        <f>Cleaned[[#This Row],[Credit]]-Cleaned[[#This Row],[Debit]]</f>
        <v>-1497.64</v>
      </c>
      <c r="N1570" t="str">
        <f>_xlfn.XLOOKUP(Cleaned[[#This Row],[AccountName]], Account_Mapping!A:A, Account_Mapping!B:B,"Unmapped")</f>
        <v>Operating Expense</v>
      </c>
      <c r="O1570" cm="1">
        <f t="array" ref="O1570">_xlfn.XLOOKUP(
  1,
  (FX_Rates[Currency]=Cleaned[[#This Row],[Currency]])*
  (FX_Rates[RateDate]&lt;=Cleaned[[#This Row],[TxnDate]]),
  FX_Rates[Rate_To_INR],
  ,
  -1
)</f>
        <v>82</v>
      </c>
      <c r="P1570" s="2">
        <f>Cleaned[[#This Row],[Net Amount]] *  Cleaned[[#This Row],[FX_rates]]</f>
        <v>-122806.48000000001</v>
      </c>
    </row>
    <row r="1571" spans="1:16" x14ac:dyDescent="0.45">
      <c r="A1571" t="s">
        <v>1579</v>
      </c>
      <c r="B1571" s="1">
        <v>45623</v>
      </c>
      <c r="C1571" s="2" t="s">
        <v>2014</v>
      </c>
      <c r="D1571" t="s">
        <v>2019</v>
      </c>
      <c r="E1571">
        <v>0</v>
      </c>
      <c r="F1571">
        <f>Cleaned[[#This Row],[Debit]] * Cleaned[[#This Row],[FX_rates]]</f>
        <v>0</v>
      </c>
      <c r="G1571">
        <v>3033.61</v>
      </c>
      <c r="H1571">
        <f>Cleaned[[#This Row],[Credit]] *  Cleaned[[#This Row],[FX_rates]]</f>
        <v>312461.83</v>
      </c>
      <c r="I1571" t="s">
        <v>2021</v>
      </c>
      <c r="J1571" t="s">
        <v>2030</v>
      </c>
      <c r="K1571" t="s">
        <v>3600</v>
      </c>
      <c r="L1571" t="s">
        <v>4031</v>
      </c>
      <c r="M1571">
        <f>Cleaned[[#This Row],[Credit]]-Cleaned[[#This Row],[Debit]]</f>
        <v>3033.61</v>
      </c>
      <c r="N1571" t="str">
        <f>_xlfn.XLOOKUP(Cleaned[[#This Row],[AccountName]], Account_Mapping!A:A, Account_Mapping!B:B,"Unmapped")</f>
        <v>Revenue</v>
      </c>
      <c r="O1571" cm="1">
        <f t="array" ref="O1571">_xlfn.XLOOKUP(
  1,
  (FX_Rates[Currency]=Cleaned[[#This Row],[Currency]])*
  (FX_Rates[RateDate]&lt;=Cleaned[[#This Row],[TxnDate]]),
  FX_Rates[Rate_To_INR],
  ,
  -1
)</f>
        <v>103</v>
      </c>
      <c r="P1571" s="2">
        <f>Cleaned[[#This Row],[Net Amount]] *  Cleaned[[#This Row],[FX_rates]]</f>
        <v>312461.83</v>
      </c>
    </row>
    <row r="1572" spans="1:16" x14ac:dyDescent="0.45">
      <c r="A1572" t="s">
        <v>1580</v>
      </c>
      <c r="B1572" s="1">
        <v>45057</v>
      </c>
      <c r="C1572" s="2" t="s">
        <v>2010</v>
      </c>
      <c r="D1572" t="s">
        <v>2015</v>
      </c>
      <c r="E1572">
        <v>0</v>
      </c>
      <c r="F1572">
        <f>Cleaned[[#This Row],[Debit]] * Cleaned[[#This Row],[FX_rates]]</f>
        <v>0</v>
      </c>
      <c r="G1572">
        <v>1502.06</v>
      </c>
      <c r="H1572">
        <f>Cleaned[[#This Row],[Credit]] *  Cleaned[[#This Row],[FX_rates]]</f>
        <v>84115.36</v>
      </c>
      <c r="I1572" t="s">
        <v>2022</v>
      </c>
      <c r="J1572" t="s">
        <v>2027</v>
      </c>
      <c r="K1572" t="s">
        <v>3601</v>
      </c>
      <c r="L1572" t="s">
        <v>4033</v>
      </c>
      <c r="M1572">
        <f>Cleaned[[#This Row],[Credit]]-Cleaned[[#This Row],[Debit]]</f>
        <v>1502.06</v>
      </c>
      <c r="N1572" t="str">
        <f>_xlfn.XLOOKUP(Cleaned[[#This Row],[AccountName]], Account_Mapping!A:A, Account_Mapping!B:B,"Unmapped")</f>
        <v>Revenue</v>
      </c>
      <c r="O1572" cm="1">
        <f t="array" ref="O1572">_xlfn.XLOOKUP(
  1,
  (FX_Rates[Currency]=Cleaned[[#This Row],[Currency]])*
  (FX_Rates[RateDate]&lt;=Cleaned[[#This Row],[TxnDate]]),
  FX_Rates[Rate_To_INR],
  ,
  -1
)</f>
        <v>56</v>
      </c>
      <c r="P1572" s="2">
        <f>Cleaned[[#This Row],[Net Amount]] *  Cleaned[[#This Row],[FX_rates]]</f>
        <v>84115.36</v>
      </c>
    </row>
    <row r="1573" spans="1:16" x14ac:dyDescent="0.45">
      <c r="A1573" t="s">
        <v>1581</v>
      </c>
      <c r="B1573" s="1">
        <v>45486</v>
      </c>
      <c r="C1573" s="2" t="s">
        <v>2011</v>
      </c>
      <c r="D1573" t="s">
        <v>2016</v>
      </c>
      <c r="E1573">
        <v>532.65</v>
      </c>
      <c r="F1573">
        <f>Cleaned[[#This Row],[Debit]] * Cleaned[[#This Row],[FX_rates]]</f>
        <v>54862.95</v>
      </c>
      <c r="G1573">
        <v>0</v>
      </c>
      <c r="H1573">
        <f>Cleaned[[#This Row],[Credit]] *  Cleaned[[#This Row],[FX_rates]]</f>
        <v>0</v>
      </c>
      <c r="I1573" t="s">
        <v>2022</v>
      </c>
      <c r="J1573" t="s">
        <v>2028</v>
      </c>
      <c r="K1573" t="s">
        <v>3602</v>
      </c>
      <c r="L1573" t="s">
        <v>4031</v>
      </c>
      <c r="M1573">
        <f>Cleaned[[#This Row],[Credit]]-Cleaned[[#This Row],[Debit]]</f>
        <v>-532.65</v>
      </c>
      <c r="N1573" t="str">
        <f>_xlfn.XLOOKUP(Cleaned[[#This Row],[AccountName]], Account_Mapping!A:A, Account_Mapping!B:B,"Unmapped")</f>
        <v>COGS</v>
      </c>
      <c r="O1573" cm="1">
        <f t="array" ref="O1573">_xlfn.XLOOKUP(
  1,
  (FX_Rates[Currency]=Cleaned[[#This Row],[Currency]])*
  (FX_Rates[RateDate]&lt;=Cleaned[[#This Row],[TxnDate]]),
  FX_Rates[Rate_To_INR],
  ,
  -1
)</f>
        <v>103</v>
      </c>
      <c r="P1573" s="2">
        <f>Cleaned[[#This Row],[Net Amount]] *  Cleaned[[#This Row],[FX_rates]]</f>
        <v>-54862.95</v>
      </c>
    </row>
    <row r="1574" spans="1:16" x14ac:dyDescent="0.45">
      <c r="A1574" t="s">
        <v>1582</v>
      </c>
      <c r="B1574" s="1">
        <v>45705</v>
      </c>
      <c r="C1574" s="2" t="s">
        <v>2014</v>
      </c>
      <c r="D1574" t="s">
        <v>2019</v>
      </c>
      <c r="E1574">
        <v>0</v>
      </c>
      <c r="F1574">
        <f>Cleaned[[#This Row],[Debit]] * Cleaned[[#This Row],[FX_rates]]</f>
        <v>0</v>
      </c>
      <c r="G1574">
        <v>4109.07</v>
      </c>
      <c r="H1574">
        <f>Cleaned[[#This Row],[Credit]] *  Cleaned[[#This Row],[FX_rates]]</f>
        <v>230107.91999999998</v>
      </c>
      <c r="I1574" t="s">
        <v>2020</v>
      </c>
      <c r="J1574" t="s">
        <v>2030</v>
      </c>
      <c r="K1574" t="s">
        <v>3603</v>
      </c>
      <c r="L1574" t="s">
        <v>4033</v>
      </c>
      <c r="M1574">
        <f>Cleaned[[#This Row],[Credit]]-Cleaned[[#This Row],[Debit]]</f>
        <v>4109.07</v>
      </c>
      <c r="N1574" t="str">
        <f>_xlfn.XLOOKUP(Cleaned[[#This Row],[AccountName]], Account_Mapping!A:A, Account_Mapping!B:B,"Unmapped")</f>
        <v>Revenue</v>
      </c>
      <c r="O1574" cm="1">
        <f t="array" ref="O1574">_xlfn.XLOOKUP(
  1,
  (FX_Rates[Currency]=Cleaned[[#This Row],[Currency]])*
  (FX_Rates[RateDate]&lt;=Cleaned[[#This Row],[TxnDate]]),
  FX_Rates[Rate_To_INR],
  ,
  -1
)</f>
        <v>56</v>
      </c>
      <c r="P1574" s="2">
        <f>Cleaned[[#This Row],[Net Amount]] *  Cleaned[[#This Row],[FX_rates]]</f>
        <v>230107.91999999998</v>
      </c>
    </row>
    <row r="1575" spans="1:16" x14ac:dyDescent="0.45">
      <c r="A1575" t="s">
        <v>1583</v>
      </c>
      <c r="B1575" s="1">
        <v>45018</v>
      </c>
      <c r="C1575" s="2" t="s">
        <v>2010</v>
      </c>
      <c r="D1575" t="s">
        <v>2015</v>
      </c>
      <c r="E1575">
        <v>0</v>
      </c>
      <c r="F1575">
        <f>Cleaned[[#This Row],[Debit]] * Cleaned[[#This Row],[FX_rates]]</f>
        <v>0</v>
      </c>
      <c r="G1575">
        <v>3235.61</v>
      </c>
      <c r="H1575">
        <f>Cleaned[[#This Row],[Credit]] *  Cleaned[[#This Row],[FX_rates]]</f>
        <v>181194.16</v>
      </c>
      <c r="I1575" t="s">
        <v>2022</v>
      </c>
      <c r="J1575" t="s">
        <v>2026</v>
      </c>
      <c r="K1575" t="s">
        <v>3604</v>
      </c>
      <c r="L1575" t="s">
        <v>4033</v>
      </c>
      <c r="M1575">
        <f>Cleaned[[#This Row],[Credit]]-Cleaned[[#This Row],[Debit]]</f>
        <v>3235.61</v>
      </c>
      <c r="N1575" t="str">
        <f>_xlfn.XLOOKUP(Cleaned[[#This Row],[AccountName]], Account_Mapping!A:A, Account_Mapping!B:B,"Unmapped")</f>
        <v>Revenue</v>
      </c>
      <c r="O1575" cm="1">
        <f t="array" ref="O1575">_xlfn.XLOOKUP(
  1,
  (FX_Rates[Currency]=Cleaned[[#This Row],[Currency]])*
  (FX_Rates[RateDate]&lt;=Cleaned[[#This Row],[TxnDate]]),
  FX_Rates[Rate_To_INR],
  ,
  -1
)</f>
        <v>56</v>
      </c>
      <c r="P1575" s="2">
        <f>Cleaned[[#This Row],[Net Amount]] *  Cleaned[[#This Row],[FX_rates]]</f>
        <v>181194.16</v>
      </c>
    </row>
    <row r="1576" spans="1:16" x14ac:dyDescent="0.45">
      <c r="A1576" t="s">
        <v>1584</v>
      </c>
      <c r="B1576" s="1">
        <v>45770</v>
      </c>
      <c r="C1576" s="2" t="s">
        <v>2011</v>
      </c>
      <c r="D1576" t="s">
        <v>2016</v>
      </c>
      <c r="E1576">
        <v>1836.46</v>
      </c>
      <c r="F1576">
        <f>Cleaned[[#This Row],[Debit]] * Cleaned[[#This Row],[FX_rates]]</f>
        <v>150589.72</v>
      </c>
      <c r="G1576">
        <v>0</v>
      </c>
      <c r="H1576">
        <f>Cleaned[[#This Row],[Credit]] *  Cleaned[[#This Row],[FX_rates]]</f>
        <v>0</v>
      </c>
      <c r="I1576" t="s">
        <v>2023</v>
      </c>
      <c r="J1576" t="s">
        <v>2026</v>
      </c>
      <c r="K1576" t="s">
        <v>3605</v>
      </c>
      <c r="L1576" t="s">
        <v>4034</v>
      </c>
      <c r="M1576">
        <f>Cleaned[[#This Row],[Credit]]-Cleaned[[#This Row],[Debit]]</f>
        <v>-1836.46</v>
      </c>
      <c r="N1576" t="str">
        <f>_xlfn.XLOOKUP(Cleaned[[#This Row],[AccountName]], Account_Mapping!A:A, Account_Mapping!B:B,"Unmapped")</f>
        <v>COGS</v>
      </c>
      <c r="O1576" cm="1">
        <f t="array" ref="O1576">_xlfn.XLOOKUP(
  1,
  (FX_Rates[Currency]=Cleaned[[#This Row],[Currency]])*
  (FX_Rates[RateDate]&lt;=Cleaned[[#This Row],[TxnDate]]),
  FX_Rates[Rate_To_INR],
  ,
  -1
)</f>
        <v>82</v>
      </c>
      <c r="P1576" s="2">
        <f>Cleaned[[#This Row],[Net Amount]] *  Cleaned[[#This Row],[FX_rates]]</f>
        <v>-150589.72</v>
      </c>
    </row>
    <row r="1577" spans="1:16" x14ac:dyDescent="0.45">
      <c r="A1577" t="s">
        <v>1585</v>
      </c>
      <c r="B1577" s="1">
        <v>45038</v>
      </c>
      <c r="C1577" s="2" t="s">
        <v>2012</v>
      </c>
      <c r="D1577" t="s">
        <v>2017</v>
      </c>
      <c r="E1577">
        <v>1120.92</v>
      </c>
      <c r="F1577">
        <f>Cleaned[[#This Row],[Debit]] * Cleaned[[#This Row],[FX_rates]]</f>
        <v>68376.12000000001</v>
      </c>
      <c r="G1577">
        <v>0</v>
      </c>
      <c r="H1577">
        <f>Cleaned[[#This Row],[Credit]] *  Cleaned[[#This Row],[FX_rates]]</f>
        <v>0</v>
      </c>
      <c r="I1577" t="s">
        <v>2024</v>
      </c>
      <c r="J1577" t="s">
        <v>2027</v>
      </c>
      <c r="K1577" t="s">
        <v>3606</v>
      </c>
      <c r="L1577" t="s">
        <v>4035</v>
      </c>
      <c r="M1577">
        <f>Cleaned[[#This Row],[Credit]]-Cleaned[[#This Row],[Debit]]</f>
        <v>-1120.92</v>
      </c>
      <c r="N1577" t="str">
        <f>_xlfn.XLOOKUP(Cleaned[[#This Row],[AccountName]], Account_Mapping!A:A, Account_Mapping!B:B,"Unmapped")</f>
        <v>Operating Expense</v>
      </c>
      <c r="O1577" cm="1">
        <f t="array" ref="O1577">_xlfn.XLOOKUP(
  1,
  (FX_Rates[Currency]=Cleaned[[#This Row],[Currency]])*
  (FX_Rates[RateDate]&lt;=Cleaned[[#This Row],[TxnDate]]),
  FX_Rates[Rate_To_INR],
  ,
  -1
)</f>
        <v>61</v>
      </c>
      <c r="P1577" s="2">
        <f>Cleaned[[#This Row],[Net Amount]] *  Cleaned[[#This Row],[FX_rates]]</f>
        <v>-68376.12000000001</v>
      </c>
    </row>
    <row r="1578" spans="1:16" x14ac:dyDescent="0.45">
      <c r="A1578" t="s">
        <v>1586</v>
      </c>
      <c r="B1578" s="1">
        <v>45738</v>
      </c>
      <c r="C1578" s="2" t="s">
        <v>2014</v>
      </c>
      <c r="D1578" t="s">
        <v>2019</v>
      </c>
      <c r="E1578">
        <v>0</v>
      </c>
      <c r="F1578">
        <f>Cleaned[[#This Row],[Debit]] * Cleaned[[#This Row],[FX_rates]]</f>
        <v>0</v>
      </c>
      <c r="G1578">
        <v>4622.21</v>
      </c>
      <c r="H1578">
        <f>Cleaned[[#This Row],[Credit]] *  Cleaned[[#This Row],[FX_rates]]</f>
        <v>379021.22000000003</v>
      </c>
      <c r="I1578" t="s">
        <v>2022</v>
      </c>
      <c r="J1578" t="s">
        <v>2028</v>
      </c>
      <c r="K1578" t="s">
        <v>3607</v>
      </c>
      <c r="L1578" t="s">
        <v>4034</v>
      </c>
      <c r="M1578">
        <f>Cleaned[[#This Row],[Credit]]-Cleaned[[#This Row],[Debit]]</f>
        <v>4622.21</v>
      </c>
      <c r="N1578" t="str">
        <f>_xlfn.XLOOKUP(Cleaned[[#This Row],[AccountName]], Account_Mapping!A:A, Account_Mapping!B:B,"Unmapped")</f>
        <v>Revenue</v>
      </c>
      <c r="O1578" cm="1">
        <f t="array" ref="O1578">_xlfn.XLOOKUP(
  1,
  (FX_Rates[Currency]=Cleaned[[#This Row],[Currency]])*
  (FX_Rates[RateDate]&lt;=Cleaned[[#This Row],[TxnDate]]),
  FX_Rates[Rate_To_INR],
  ,
  -1
)</f>
        <v>82</v>
      </c>
      <c r="P1578" s="2">
        <f>Cleaned[[#This Row],[Net Amount]] *  Cleaned[[#This Row],[FX_rates]]</f>
        <v>379021.22000000003</v>
      </c>
    </row>
    <row r="1579" spans="1:16" x14ac:dyDescent="0.45">
      <c r="A1579" t="s">
        <v>1587</v>
      </c>
      <c r="B1579" s="1">
        <v>45267</v>
      </c>
      <c r="C1579" s="2" t="s">
        <v>2013</v>
      </c>
      <c r="D1579" t="s">
        <v>2018</v>
      </c>
      <c r="E1579">
        <v>1067.19</v>
      </c>
      <c r="F1579">
        <f>Cleaned[[#This Row],[Debit]] * Cleaned[[#This Row],[FX_rates]]</f>
        <v>87509.58</v>
      </c>
      <c r="G1579">
        <v>0</v>
      </c>
      <c r="H1579">
        <f>Cleaned[[#This Row],[Credit]] *  Cleaned[[#This Row],[FX_rates]]</f>
        <v>0</v>
      </c>
      <c r="I1579" t="s">
        <v>2021</v>
      </c>
      <c r="J1579" t="s">
        <v>2028</v>
      </c>
      <c r="K1579" t="s">
        <v>3608</v>
      </c>
      <c r="L1579" t="s">
        <v>4034</v>
      </c>
      <c r="M1579">
        <f>Cleaned[[#This Row],[Credit]]-Cleaned[[#This Row],[Debit]]</f>
        <v>-1067.19</v>
      </c>
      <c r="N1579" t="str">
        <f>_xlfn.XLOOKUP(Cleaned[[#This Row],[AccountName]], Account_Mapping!A:A, Account_Mapping!B:B,"Unmapped")</f>
        <v>Operating Expense</v>
      </c>
      <c r="O1579" cm="1">
        <f t="array" ref="O1579">_xlfn.XLOOKUP(
  1,
  (FX_Rates[Currency]=Cleaned[[#This Row],[Currency]])*
  (FX_Rates[RateDate]&lt;=Cleaned[[#This Row],[TxnDate]]),
  FX_Rates[Rate_To_INR],
  ,
  -1
)</f>
        <v>82</v>
      </c>
      <c r="P1579" s="2">
        <f>Cleaned[[#This Row],[Net Amount]] *  Cleaned[[#This Row],[FX_rates]]</f>
        <v>-87509.58</v>
      </c>
    </row>
    <row r="1580" spans="1:16" x14ac:dyDescent="0.45">
      <c r="A1580" t="s">
        <v>1588</v>
      </c>
      <c r="B1580" s="1">
        <v>45368</v>
      </c>
      <c r="C1580" s="2" t="s">
        <v>2013</v>
      </c>
      <c r="D1580" t="s">
        <v>2018</v>
      </c>
      <c r="E1580">
        <v>1712.89</v>
      </c>
      <c r="F1580">
        <f>Cleaned[[#This Row],[Debit]] * Cleaned[[#This Row],[FX_rates]]</f>
        <v>104486.29000000001</v>
      </c>
      <c r="G1580">
        <v>0</v>
      </c>
      <c r="H1580">
        <f>Cleaned[[#This Row],[Credit]] *  Cleaned[[#This Row],[FX_rates]]</f>
        <v>0</v>
      </c>
      <c r="I1580" t="s">
        <v>2025</v>
      </c>
      <c r="J1580" t="s">
        <v>2030</v>
      </c>
      <c r="K1580" t="s">
        <v>3609</v>
      </c>
      <c r="L1580" t="s">
        <v>4035</v>
      </c>
      <c r="M1580">
        <f>Cleaned[[#This Row],[Credit]]-Cleaned[[#This Row],[Debit]]</f>
        <v>-1712.89</v>
      </c>
      <c r="N1580" t="str">
        <f>_xlfn.XLOOKUP(Cleaned[[#This Row],[AccountName]], Account_Mapping!A:A, Account_Mapping!B:B,"Unmapped")</f>
        <v>Operating Expense</v>
      </c>
      <c r="O1580" cm="1">
        <f t="array" ref="O1580">_xlfn.XLOOKUP(
  1,
  (FX_Rates[Currency]=Cleaned[[#This Row],[Currency]])*
  (FX_Rates[RateDate]&lt;=Cleaned[[#This Row],[TxnDate]]),
  FX_Rates[Rate_To_INR],
  ,
  -1
)</f>
        <v>61</v>
      </c>
      <c r="P1580" s="2">
        <f>Cleaned[[#This Row],[Net Amount]] *  Cleaned[[#This Row],[FX_rates]]</f>
        <v>-104486.29000000001</v>
      </c>
    </row>
    <row r="1581" spans="1:16" x14ac:dyDescent="0.45">
      <c r="A1581" t="s">
        <v>1589</v>
      </c>
      <c r="B1581" s="1">
        <v>45356</v>
      </c>
      <c r="C1581" s="2" t="s">
        <v>2013</v>
      </c>
      <c r="D1581" t="s">
        <v>2018</v>
      </c>
      <c r="E1581">
        <v>857.16</v>
      </c>
      <c r="F1581">
        <f>Cleaned[[#This Row],[Debit]] * Cleaned[[#This Row],[FX_rates]]</f>
        <v>48000.959999999999</v>
      </c>
      <c r="G1581">
        <v>0</v>
      </c>
      <c r="H1581">
        <f>Cleaned[[#This Row],[Credit]] *  Cleaned[[#This Row],[FX_rates]]</f>
        <v>0</v>
      </c>
      <c r="I1581" t="s">
        <v>2021</v>
      </c>
      <c r="J1581" t="s">
        <v>2030</v>
      </c>
      <c r="K1581" t="s">
        <v>3610</v>
      </c>
      <c r="L1581" t="s">
        <v>4033</v>
      </c>
      <c r="M1581">
        <f>Cleaned[[#This Row],[Credit]]-Cleaned[[#This Row],[Debit]]</f>
        <v>-857.16</v>
      </c>
      <c r="N1581" t="str">
        <f>_xlfn.XLOOKUP(Cleaned[[#This Row],[AccountName]], Account_Mapping!A:A, Account_Mapping!B:B,"Unmapped")</f>
        <v>Operating Expense</v>
      </c>
      <c r="O1581" cm="1">
        <f t="array" ref="O1581">_xlfn.XLOOKUP(
  1,
  (FX_Rates[Currency]=Cleaned[[#This Row],[Currency]])*
  (FX_Rates[RateDate]&lt;=Cleaned[[#This Row],[TxnDate]]),
  FX_Rates[Rate_To_INR],
  ,
  -1
)</f>
        <v>56</v>
      </c>
      <c r="P1581" s="2">
        <f>Cleaned[[#This Row],[Net Amount]] *  Cleaned[[#This Row],[FX_rates]]</f>
        <v>-48000.959999999999</v>
      </c>
    </row>
    <row r="1582" spans="1:16" x14ac:dyDescent="0.45">
      <c r="A1582" t="s">
        <v>1590</v>
      </c>
      <c r="B1582" s="1">
        <v>45817</v>
      </c>
      <c r="C1582" s="2" t="s">
        <v>2014</v>
      </c>
      <c r="D1582" t="s">
        <v>2019</v>
      </c>
      <c r="E1582">
        <v>0</v>
      </c>
      <c r="F1582">
        <f>Cleaned[[#This Row],[Debit]] * Cleaned[[#This Row],[FX_rates]]</f>
        <v>0</v>
      </c>
      <c r="G1582">
        <v>1913.45</v>
      </c>
      <c r="H1582">
        <f>Cleaned[[#This Row],[Credit]] *  Cleaned[[#This Row],[FX_rates]]</f>
        <v>197085.35</v>
      </c>
      <c r="I1582" t="s">
        <v>2025</v>
      </c>
      <c r="J1582" t="s">
        <v>2027</v>
      </c>
      <c r="K1582" t="s">
        <v>3611</v>
      </c>
      <c r="L1582" t="s">
        <v>4031</v>
      </c>
      <c r="M1582">
        <f>Cleaned[[#This Row],[Credit]]-Cleaned[[#This Row],[Debit]]</f>
        <v>1913.45</v>
      </c>
      <c r="N1582" t="str">
        <f>_xlfn.XLOOKUP(Cleaned[[#This Row],[AccountName]], Account_Mapping!A:A, Account_Mapping!B:B,"Unmapped")</f>
        <v>Revenue</v>
      </c>
      <c r="O1582" cm="1">
        <f t="array" ref="O1582">_xlfn.XLOOKUP(
  1,
  (FX_Rates[Currency]=Cleaned[[#This Row],[Currency]])*
  (FX_Rates[RateDate]&lt;=Cleaned[[#This Row],[TxnDate]]),
  FX_Rates[Rate_To_INR],
  ,
  -1
)</f>
        <v>103</v>
      </c>
      <c r="P1582" s="2">
        <f>Cleaned[[#This Row],[Net Amount]] *  Cleaned[[#This Row],[FX_rates]]</f>
        <v>197085.35</v>
      </c>
    </row>
    <row r="1583" spans="1:16" x14ac:dyDescent="0.45">
      <c r="A1583" t="s">
        <v>1591</v>
      </c>
      <c r="B1583" s="1">
        <v>45156</v>
      </c>
      <c r="C1583" s="2" t="s">
        <v>2011</v>
      </c>
      <c r="D1583" t="s">
        <v>2016</v>
      </c>
      <c r="E1583">
        <v>1307.6099999999999</v>
      </c>
      <c r="F1583">
        <f>Cleaned[[#This Row],[Debit]] * Cleaned[[#This Row],[FX_rates]]</f>
        <v>134683.82999999999</v>
      </c>
      <c r="G1583">
        <v>0</v>
      </c>
      <c r="H1583">
        <f>Cleaned[[#This Row],[Credit]] *  Cleaned[[#This Row],[FX_rates]]</f>
        <v>0</v>
      </c>
      <c r="I1583" t="s">
        <v>2021</v>
      </c>
      <c r="J1583" t="s">
        <v>2029</v>
      </c>
      <c r="K1583" t="s">
        <v>3612</v>
      </c>
      <c r="L1583" t="s">
        <v>4031</v>
      </c>
      <c r="M1583">
        <f>Cleaned[[#This Row],[Credit]]-Cleaned[[#This Row],[Debit]]</f>
        <v>-1307.6099999999999</v>
      </c>
      <c r="N1583" t="str">
        <f>_xlfn.XLOOKUP(Cleaned[[#This Row],[AccountName]], Account_Mapping!A:A, Account_Mapping!B:B,"Unmapped")</f>
        <v>COGS</v>
      </c>
      <c r="O1583" cm="1">
        <f t="array" ref="O1583">_xlfn.XLOOKUP(
  1,
  (FX_Rates[Currency]=Cleaned[[#This Row],[Currency]])*
  (FX_Rates[RateDate]&lt;=Cleaned[[#This Row],[TxnDate]]),
  FX_Rates[Rate_To_INR],
  ,
  -1
)</f>
        <v>103</v>
      </c>
      <c r="P1583" s="2">
        <f>Cleaned[[#This Row],[Net Amount]] *  Cleaned[[#This Row],[FX_rates]]</f>
        <v>-134683.82999999999</v>
      </c>
    </row>
    <row r="1584" spans="1:16" x14ac:dyDescent="0.45">
      <c r="A1584" t="s">
        <v>1592</v>
      </c>
      <c r="B1584" s="1">
        <v>45438</v>
      </c>
      <c r="C1584" s="2" t="s">
        <v>2010</v>
      </c>
      <c r="D1584" t="s">
        <v>2015</v>
      </c>
      <c r="E1584">
        <v>0</v>
      </c>
      <c r="F1584">
        <f>Cleaned[[#This Row],[Debit]] * Cleaned[[#This Row],[FX_rates]]</f>
        <v>0</v>
      </c>
      <c r="G1584">
        <v>1128.51</v>
      </c>
      <c r="H1584">
        <f>Cleaned[[#This Row],[Credit]] *  Cleaned[[#This Row],[FX_rates]]</f>
        <v>63196.56</v>
      </c>
      <c r="I1584" t="s">
        <v>2025</v>
      </c>
      <c r="J1584" t="s">
        <v>2030</v>
      </c>
      <c r="K1584" t="s">
        <v>3613</v>
      </c>
      <c r="L1584" t="s">
        <v>4033</v>
      </c>
      <c r="M1584">
        <f>Cleaned[[#This Row],[Credit]]-Cleaned[[#This Row],[Debit]]</f>
        <v>1128.51</v>
      </c>
      <c r="N1584" t="str">
        <f>_xlfn.XLOOKUP(Cleaned[[#This Row],[AccountName]], Account_Mapping!A:A, Account_Mapping!B:B,"Unmapped")</f>
        <v>Revenue</v>
      </c>
      <c r="O1584" cm="1">
        <f t="array" ref="O1584">_xlfn.XLOOKUP(
  1,
  (FX_Rates[Currency]=Cleaned[[#This Row],[Currency]])*
  (FX_Rates[RateDate]&lt;=Cleaned[[#This Row],[TxnDate]]),
  FX_Rates[Rate_To_INR],
  ,
  -1
)</f>
        <v>56</v>
      </c>
      <c r="P1584" s="2">
        <f>Cleaned[[#This Row],[Net Amount]] *  Cleaned[[#This Row],[FX_rates]]</f>
        <v>63196.56</v>
      </c>
    </row>
    <row r="1585" spans="1:16" x14ac:dyDescent="0.45">
      <c r="A1585" t="s">
        <v>1593</v>
      </c>
      <c r="B1585" s="1">
        <v>45252</v>
      </c>
      <c r="C1585" s="2" t="s">
        <v>2010</v>
      </c>
      <c r="D1585" t="s">
        <v>2015</v>
      </c>
      <c r="E1585">
        <v>0</v>
      </c>
      <c r="F1585">
        <f>Cleaned[[#This Row],[Debit]] * Cleaned[[#This Row],[FX_rates]]</f>
        <v>0</v>
      </c>
      <c r="G1585">
        <v>1933.41</v>
      </c>
      <c r="H1585">
        <f>Cleaned[[#This Row],[Credit]] *  Cleaned[[#This Row],[FX_rates]]</f>
        <v>117938.01000000001</v>
      </c>
      <c r="I1585" t="s">
        <v>2025</v>
      </c>
      <c r="J1585" t="s">
        <v>2027</v>
      </c>
      <c r="K1585" t="s">
        <v>3614</v>
      </c>
      <c r="L1585" t="s">
        <v>4035</v>
      </c>
      <c r="M1585">
        <f>Cleaned[[#This Row],[Credit]]-Cleaned[[#This Row],[Debit]]</f>
        <v>1933.41</v>
      </c>
      <c r="N1585" t="str">
        <f>_xlfn.XLOOKUP(Cleaned[[#This Row],[AccountName]], Account_Mapping!A:A, Account_Mapping!B:B,"Unmapped")</f>
        <v>Revenue</v>
      </c>
      <c r="O1585" cm="1">
        <f t="array" ref="O1585">_xlfn.XLOOKUP(
  1,
  (FX_Rates[Currency]=Cleaned[[#This Row],[Currency]])*
  (FX_Rates[RateDate]&lt;=Cleaned[[#This Row],[TxnDate]]),
  FX_Rates[Rate_To_INR],
  ,
  -1
)</f>
        <v>61</v>
      </c>
      <c r="P1585" s="2">
        <f>Cleaned[[#This Row],[Net Amount]] *  Cleaned[[#This Row],[FX_rates]]</f>
        <v>117938.01000000001</v>
      </c>
    </row>
    <row r="1586" spans="1:16" x14ac:dyDescent="0.45">
      <c r="A1586" t="s">
        <v>1594</v>
      </c>
      <c r="B1586" s="1">
        <v>45755</v>
      </c>
      <c r="C1586" s="2" t="s">
        <v>2013</v>
      </c>
      <c r="D1586" t="s">
        <v>2018</v>
      </c>
      <c r="E1586">
        <v>203.77</v>
      </c>
      <c r="F1586">
        <f>Cleaned[[#This Row],[Debit]] * Cleaned[[#This Row],[FX_rates]]</f>
        <v>12429.970000000001</v>
      </c>
      <c r="G1586">
        <v>0</v>
      </c>
      <c r="H1586">
        <f>Cleaned[[#This Row],[Credit]] *  Cleaned[[#This Row],[FX_rates]]</f>
        <v>0</v>
      </c>
      <c r="I1586" t="s">
        <v>2025</v>
      </c>
      <c r="J1586" t="s">
        <v>2028</v>
      </c>
      <c r="K1586" t="s">
        <v>3615</v>
      </c>
      <c r="L1586" t="s">
        <v>4035</v>
      </c>
      <c r="M1586">
        <f>Cleaned[[#This Row],[Credit]]-Cleaned[[#This Row],[Debit]]</f>
        <v>-203.77</v>
      </c>
      <c r="N1586" t="str">
        <f>_xlfn.XLOOKUP(Cleaned[[#This Row],[AccountName]], Account_Mapping!A:A, Account_Mapping!B:B,"Unmapped")</f>
        <v>Operating Expense</v>
      </c>
      <c r="O1586" cm="1">
        <f t="array" ref="O1586">_xlfn.XLOOKUP(
  1,
  (FX_Rates[Currency]=Cleaned[[#This Row],[Currency]])*
  (FX_Rates[RateDate]&lt;=Cleaned[[#This Row],[TxnDate]]),
  FX_Rates[Rate_To_INR],
  ,
  -1
)</f>
        <v>61</v>
      </c>
      <c r="P1586" s="2">
        <f>Cleaned[[#This Row],[Net Amount]] *  Cleaned[[#This Row],[FX_rates]]</f>
        <v>-12429.970000000001</v>
      </c>
    </row>
    <row r="1587" spans="1:16" x14ac:dyDescent="0.45">
      <c r="A1587" t="s">
        <v>1595</v>
      </c>
      <c r="B1587" s="1">
        <v>45465</v>
      </c>
      <c r="C1587" s="2" t="s">
        <v>2014</v>
      </c>
      <c r="D1587" t="s">
        <v>2019</v>
      </c>
      <c r="E1587">
        <v>0</v>
      </c>
      <c r="F1587">
        <f>Cleaned[[#This Row],[Debit]] * Cleaned[[#This Row],[FX_rates]]</f>
        <v>0</v>
      </c>
      <c r="G1587">
        <v>3874.96</v>
      </c>
      <c r="H1587">
        <f>Cleaned[[#This Row],[Credit]] *  Cleaned[[#This Row],[FX_rates]]</f>
        <v>317746.72000000003</v>
      </c>
      <c r="I1587" t="s">
        <v>2024</v>
      </c>
      <c r="J1587" t="s">
        <v>2027</v>
      </c>
      <c r="K1587" t="s">
        <v>3616</v>
      </c>
      <c r="L1587" t="s">
        <v>4034</v>
      </c>
      <c r="M1587">
        <f>Cleaned[[#This Row],[Credit]]-Cleaned[[#This Row],[Debit]]</f>
        <v>3874.96</v>
      </c>
      <c r="N1587" t="str">
        <f>_xlfn.XLOOKUP(Cleaned[[#This Row],[AccountName]], Account_Mapping!A:A, Account_Mapping!B:B,"Unmapped")</f>
        <v>Revenue</v>
      </c>
      <c r="O1587" cm="1">
        <f t="array" ref="O1587">_xlfn.XLOOKUP(
  1,
  (FX_Rates[Currency]=Cleaned[[#This Row],[Currency]])*
  (FX_Rates[RateDate]&lt;=Cleaned[[#This Row],[TxnDate]]),
  FX_Rates[Rate_To_INR],
  ,
  -1
)</f>
        <v>82</v>
      </c>
      <c r="P1587" s="2">
        <f>Cleaned[[#This Row],[Net Amount]] *  Cleaned[[#This Row],[FX_rates]]</f>
        <v>317746.72000000003</v>
      </c>
    </row>
    <row r="1588" spans="1:16" x14ac:dyDescent="0.45">
      <c r="A1588" t="s">
        <v>1596</v>
      </c>
      <c r="B1588" s="1">
        <v>45071</v>
      </c>
      <c r="C1588" s="2" t="s">
        <v>2013</v>
      </c>
      <c r="D1588" t="s">
        <v>2018</v>
      </c>
      <c r="E1588">
        <v>369.39</v>
      </c>
      <c r="F1588">
        <f>Cleaned[[#This Row],[Debit]] * Cleaned[[#This Row],[FX_rates]]</f>
        <v>30289.98</v>
      </c>
      <c r="G1588">
        <v>0</v>
      </c>
      <c r="H1588">
        <f>Cleaned[[#This Row],[Credit]] *  Cleaned[[#This Row],[FX_rates]]</f>
        <v>0</v>
      </c>
      <c r="I1588" t="s">
        <v>2022</v>
      </c>
      <c r="J1588" t="s">
        <v>2030</v>
      </c>
      <c r="K1588" t="s">
        <v>3617</v>
      </c>
      <c r="L1588" t="s">
        <v>4034</v>
      </c>
      <c r="M1588">
        <f>Cleaned[[#This Row],[Credit]]-Cleaned[[#This Row],[Debit]]</f>
        <v>-369.39</v>
      </c>
      <c r="N1588" t="str">
        <f>_xlfn.XLOOKUP(Cleaned[[#This Row],[AccountName]], Account_Mapping!A:A, Account_Mapping!B:B,"Unmapped")</f>
        <v>Operating Expense</v>
      </c>
      <c r="O1588" cm="1">
        <f t="array" ref="O1588">_xlfn.XLOOKUP(
  1,
  (FX_Rates[Currency]=Cleaned[[#This Row],[Currency]])*
  (FX_Rates[RateDate]&lt;=Cleaned[[#This Row],[TxnDate]]),
  FX_Rates[Rate_To_INR],
  ,
  -1
)</f>
        <v>82</v>
      </c>
      <c r="P1588" s="2">
        <f>Cleaned[[#This Row],[Net Amount]] *  Cleaned[[#This Row],[FX_rates]]</f>
        <v>-30289.98</v>
      </c>
    </row>
    <row r="1589" spans="1:16" x14ac:dyDescent="0.45">
      <c r="A1589" t="s">
        <v>1597</v>
      </c>
      <c r="B1589" s="1">
        <v>45602</v>
      </c>
      <c r="C1589" s="2" t="s">
        <v>2010</v>
      </c>
      <c r="D1589" t="s">
        <v>2015</v>
      </c>
      <c r="E1589">
        <v>0</v>
      </c>
      <c r="F1589">
        <f>Cleaned[[#This Row],[Debit]] * Cleaned[[#This Row],[FX_rates]]</f>
        <v>0</v>
      </c>
      <c r="G1589">
        <v>4685.3599999999997</v>
      </c>
      <c r="H1589">
        <f>Cleaned[[#This Row],[Credit]] *  Cleaned[[#This Row],[FX_rates]]</f>
        <v>285806.95999999996</v>
      </c>
      <c r="I1589" t="s">
        <v>2025</v>
      </c>
      <c r="J1589" t="s">
        <v>2029</v>
      </c>
      <c r="K1589" t="s">
        <v>3618</v>
      </c>
      <c r="L1589" t="s">
        <v>4035</v>
      </c>
      <c r="M1589">
        <f>Cleaned[[#This Row],[Credit]]-Cleaned[[#This Row],[Debit]]</f>
        <v>4685.3599999999997</v>
      </c>
      <c r="N1589" t="str">
        <f>_xlfn.XLOOKUP(Cleaned[[#This Row],[AccountName]], Account_Mapping!A:A, Account_Mapping!B:B,"Unmapped")</f>
        <v>Revenue</v>
      </c>
      <c r="O1589" cm="1">
        <f t="array" ref="O1589">_xlfn.XLOOKUP(
  1,
  (FX_Rates[Currency]=Cleaned[[#This Row],[Currency]])*
  (FX_Rates[RateDate]&lt;=Cleaned[[#This Row],[TxnDate]]),
  FX_Rates[Rate_To_INR],
  ,
  -1
)</f>
        <v>61</v>
      </c>
      <c r="P1589" s="2">
        <f>Cleaned[[#This Row],[Net Amount]] *  Cleaned[[#This Row],[FX_rates]]</f>
        <v>285806.95999999996</v>
      </c>
    </row>
    <row r="1590" spans="1:16" x14ac:dyDescent="0.45">
      <c r="A1590" t="s">
        <v>1598</v>
      </c>
      <c r="B1590" s="1">
        <v>45360</v>
      </c>
      <c r="C1590" s="2" t="s">
        <v>2012</v>
      </c>
      <c r="D1590" t="s">
        <v>2017</v>
      </c>
      <c r="E1590">
        <v>1614.34</v>
      </c>
      <c r="F1590">
        <f>Cleaned[[#This Row],[Debit]] * Cleaned[[#This Row],[FX_rates]]</f>
        <v>132375.88</v>
      </c>
      <c r="G1590">
        <v>0</v>
      </c>
      <c r="H1590">
        <f>Cleaned[[#This Row],[Credit]] *  Cleaned[[#This Row],[FX_rates]]</f>
        <v>0</v>
      </c>
      <c r="I1590" t="s">
        <v>2020</v>
      </c>
      <c r="J1590" t="s">
        <v>2028</v>
      </c>
      <c r="K1590" t="s">
        <v>3619</v>
      </c>
      <c r="L1590" t="s">
        <v>4034</v>
      </c>
      <c r="M1590">
        <f>Cleaned[[#This Row],[Credit]]-Cleaned[[#This Row],[Debit]]</f>
        <v>-1614.34</v>
      </c>
      <c r="N1590" t="str">
        <f>_xlfn.XLOOKUP(Cleaned[[#This Row],[AccountName]], Account_Mapping!A:A, Account_Mapping!B:B,"Unmapped")</f>
        <v>Operating Expense</v>
      </c>
      <c r="O1590" cm="1">
        <f t="array" ref="O1590">_xlfn.XLOOKUP(
  1,
  (FX_Rates[Currency]=Cleaned[[#This Row],[Currency]])*
  (FX_Rates[RateDate]&lt;=Cleaned[[#This Row],[TxnDate]]),
  FX_Rates[Rate_To_INR],
  ,
  -1
)</f>
        <v>82</v>
      </c>
      <c r="P1590" s="2">
        <f>Cleaned[[#This Row],[Net Amount]] *  Cleaned[[#This Row],[FX_rates]]</f>
        <v>-132375.88</v>
      </c>
    </row>
    <row r="1591" spans="1:16" x14ac:dyDescent="0.45">
      <c r="A1591" t="s">
        <v>1599</v>
      </c>
      <c r="B1591" s="1">
        <v>45743</v>
      </c>
      <c r="C1591" s="2" t="s">
        <v>2012</v>
      </c>
      <c r="D1591" t="s">
        <v>2017</v>
      </c>
      <c r="E1591">
        <v>1072.1199999999999</v>
      </c>
      <c r="F1591">
        <f>Cleaned[[#This Row],[Debit]] * Cleaned[[#This Row],[FX_rates]]</f>
        <v>87913.84</v>
      </c>
      <c r="G1591">
        <v>0</v>
      </c>
      <c r="H1591">
        <f>Cleaned[[#This Row],[Credit]] *  Cleaned[[#This Row],[FX_rates]]</f>
        <v>0</v>
      </c>
      <c r="I1591" t="s">
        <v>2023</v>
      </c>
      <c r="J1591" t="s">
        <v>2030</v>
      </c>
      <c r="K1591" t="s">
        <v>3620</v>
      </c>
      <c r="L1591" t="s">
        <v>4034</v>
      </c>
      <c r="M1591">
        <f>Cleaned[[#This Row],[Credit]]-Cleaned[[#This Row],[Debit]]</f>
        <v>-1072.1199999999999</v>
      </c>
      <c r="N1591" t="str">
        <f>_xlfn.XLOOKUP(Cleaned[[#This Row],[AccountName]], Account_Mapping!A:A, Account_Mapping!B:B,"Unmapped")</f>
        <v>Operating Expense</v>
      </c>
      <c r="O1591" cm="1">
        <f t="array" ref="O1591">_xlfn.XLOOKUP(
  1,
  (FX_Rates[Currency]=Cleaned[[#This Row],[Currency]])*
  (FX_Rates[RateDate]&lt;=Cleaned[[#This Row],[TxnDate]]),
  FX_Rates[Rate_To_INR],
  ,
  -1
)</f>
        <v>82</v>
      </c>
      <c r="P1591" s="2">
        <f>Cleaned[[#This Row],[Net Amount]] *  Cleaned[[#This Row],[FX_rates]]</f>
        <v>-87913.84</v>
      </c>
    </row>
    <row r="1592" spans="1:16" x14ac:dyDescent="0.45">
      <c r="A1592" t="s">
        <v>1600</v>
      </c>
      <c r="B1592" s="1">
        <v>45049</v>
      </c>
      <c r="C1592" s="2" t="s">
        <v>2011</v>
      </c>
      <c r="D1592" t="s">
        <v>2016</v>
      </c>
      <c r="E1592">
        <v>889.83</v>
      </c>
      <c r="F1592">
        <f>Cleaned[[#This Row],[Debit]] * Cleaned[[#This Row],[FX_rates]]</f>
        <v>78305.040000000008</v>
      </c>
      <c r="G1592">
        <v>0</v>
      </c>
      <c r="H1592">
        <f>Cleaned[[#This Row],[Credit]] *  Cleaned[[#This Row],[FX_rates]]</f>
        <v>0</v>
      </c>
      <c r="I1592" t="s">
        <v>2021</v>
      </c>
      <c r="J1592" t="s">
        <v>2027</v>
      </c>
      <c r="K1592" t="s">
        <v>3621</v>
      </c>
      <c r="L1592" t="s">
        <v>4032</v>
      </c>
      <c r="M1592">
        <f>Cleaned[[#This Row],[Credit]]-Cleaned[[#This Row],[Debit]]</f>
        <v>-889.83</v>
      </c>
      <c r="N1592" t="str">
        <f>_xlfn.XLOOKUP(Cleaned[[#This Row],[AccountName]], Account_Mapping!A:A, Account_Mapping!B:B,"Unmapped")</f>
        <v>COGS</v>
      </c>
      <c r="O1592" cm="1">
        <f t="array" ref="O1592">_xlfn.XLOOKUP(
  1,
  (FX_Rates[Currency]=Cleaned[[#This Row],[Currency]])*
  (FX_Rates[RateDate]&lt;=Cleaned[[#This Row],[TxnDate]]),
  FX_Rates[Rate_To_INR],
  ,
  -1
)</f>
        <v>88</v>
      </c>
      <c r="P1592" s="2">
        <f>Cleaned[[#This Row],[Net Amount]] *  Cleaned[[#This Row],[FX_rates]]</f>
        <v>-78305.040000000008</v>
      </c>
    </row>
    <row r="1593" spans="1:16" x14ac:dyDescent="0.45">
      <c r="A1593" t="s">
        <v>1601</v>
      </c>
      <c r="B1593" s="1">
        <v>45073</v>
      </c>
      <c r="C1593" s="2" t="s">
        <v>2010</v>
      </c>
      <c r="D1593" t="s">
        <v>2015</v>
      </c>
      <c r="E1593">
        <v>0</v>
      </c>
      <c r="F1593">
        <f>Cleaned[[#This Row],[Debit]] * Cleaned[[#This Row],[FX_rates]]</f>
        <v>0</v>
      </c>
      <c r="G1593">
        <v>174.81</v>
      </c>
      <c r="H1593">
        <f>Cleaned[[#This Row],[Credit]] *  Cleaned[[#This Row],[FX_rates]]</f>
        <v>10663.41</v>
      </c>
      <c r="I1593" t="s">
        <v>2020</v>
      </c>
      <c r="J1593" t="s">
        <v>2030</v>
      </c>
      <c r="K1593" t="s">
        <v>3622</v>
      </c>
      <c r="L1593" t="s">
        <v>4035</v>
      </c>
      <c r="M1593">
        <f>Cleaned[[#This Row],[Credit]]-Cleaned[[#This Row],[Debit]]</f>
        <v>174.81</v>
      </c>
      <c r="N1593" t="str">
        <f>_xlfn.XLOOKUP(Cleaned[[#This Row],[AccountName]], Account_Mapping!A:A, Account_Mapping!B:B,"Unmapped")</f>
        <v>Revenue</v>
      </c>
      <c r="O1593" cm="1">
        <f t="array" ref="O1593">_xlfn.XLOOKUP(
  1,
  (FX_Rates[Currency]=Cleaned[[#This Row],[Currency]])*
  (FX_Rates[RateDate]&lt;=Cleaned[[#This Row],[TxnDate]]),
  FX_Rates[Rate_To_INR],
  ,
  -1
)</f>
        <v>61</v>
      </c>
      <c r="P1593" s="2">
        <f>Cleaned[[#This Row],[Net Amount]] *  Cleaned[[#This Row],[FX_rates]]</f>
        <v>10663.41</v>
      </c>
    </row>
    <row r="1594" spans="1:16" x14ac:dyDescent="0.45">
      <c r="A1594" t="s">
        <v>1602</v>
      </c>
      <c r="B1594" s="1">
        <v>45257</v>
      </c>
      <c r="C1594" s="2" t="s">
        <v>2014</v>
      </c>
      <c r="D1594" t="s">
        <v>2019</v>
      </c>
      <c r="E1594">
        <v>0</v>
      </c>
      <c r="F1594">
        <f>Cleaned[[#This Row],[Debit]] * Cleaned[[#This Row],[FX_rates]]</f>
        <v>0</v>
      </c>
      <c r="G1594">
        <v>3155.54</v>
      </c>
      <c r="H1594">
        <f>Cleaned[[#This Row],[Credit]] *  Cleaned[[#This Row],[FX_rates]]</f>
        <v>176710.24</v>
      </c>
      <c r="I1594" t="s">
        <v>2024</v>
      </c>
      <c r="J1594" t="s">
        <v>2027</v>
      </c>
      <c r="K1594" t="s">
        <v>3623</v>
      </c>
      <c r="L1594" t="s">
        <v>4033</v>
      </c>
      <c r="M1594">
        <f>Cleaned[[#This Row],[Credit]]-Cleaned[[#This Row],[Debit]]</f>
        <v>3155.54</v>
      </c>
      <c r="N1594" t="str">
        <f>_xlfn.XLOOKUP(Cleaned[[#This Row],[AccountName]], Account_Mapping!A:A, Account_Mapping!B:B,"Unmapped")</f>
        <v>Revenue</v>
      </c>
      <c r="O1594" cm="1">
        <f t="array" ref="O1594">_xlfn.XLOOKUP(
  1,
  (FX_Rates[Currency]=Cleaned[[#This Row],[Currency]])*
  (FX_Rates[RateDate]&lt;=Cleaned[[#This Row],[TxnDate]]),
  FX_Rates[Rate_To_INR],
  ,
  -1
)</f>
        <v>56</v>
      </c>
      <c r="P1594" s="2">
        <f>Cleaned[[#This Row],[Net Amount]] *  Cleaned[[#This Row],[FX_rates]]</f>
        <v>176710.24</v>
      </c>
    </row>
    <row r="1595" spans="1:16" x14ac:dyDescent="0.45">
      <c r="A1595" t="s">
        <v>1603</v>
      </c>
      <c r="B1595" s="1">
        <v>45172</v>
      </c>
      <c r="C1595" s="2" t="s">
        <v>2014</v>
      </c>
      <c r="D1595" t="s">
        <v>2019</v>
      </c>
      <c r="E1595">
        <v>0</v>
      </c>
      <c r="F1595">
        <f>Cleaned[[#This Row],[Debit]] * Cleaned[[#This Row],[FX_rates]]</f>
        <v>0</v>
      </c>
      <c r="G1595">
        <v>1925.54</v>
      </c>
      <c r="H1595">
        <f>Cleaned[[#This Row],[Credit]] *  Cleaned[[#This Row],[FX_rates]]</f>
        <v>107830.23999999999</v>
      </c>
      <c r="I1595" t="s">
        <v>2021</v>
      </c>
      <c r="J1595" t="s">
        <v>2027</v>
      </c>
      <c r="K1595" t="s">
        <v>3624</v>
      </c>
      <c r="L1595" t="s">
        <v>4033</v>
      </c>
      <c r="M1595">
        <f>Cleaned[[#This Row],[Credit]]-Cleaned[[#This Row],[Debit]]</f>
        <v>1925.54</v>
      </c>
      <c r="N1595" t="str">
        <f>_xlfn.XLOOKUP(Cleaned[[#This Row],[AccountName]], Account_Mapping!A:A, Account_Mapping!B:B,"Unmapped")</f>
        <v>Revenue</v>
      </c>
      <c r="O1595" cm="1">
        <f t="array" ref="O1595">_xlfn.XLOOKUP(
  1,
  (FX_Rates[Currency]=Cleaned[[#This Row],[Currency]])*
  (FX_Rates[RateDate]&lt;=Cleaned[[#This Row],[TxnDate]]),
  FX_Rates[Rate_To_INR],
  ,
  -1
)</f>
        <v>56</v>
      </c>
      <c r="P1595" s="2">
        <f>Cleaned[[#This Row],[Net Amount]] *  Cleaned[[#This Row],[FX_rates]]</f>
        <v>107830.23999999999</v>
      </c>
    </row>
    <row r="1596" spans="1:16" x14ac:dyDescent="0.45">
      <c r="A1596" t="s">
        <v>1604</v>
      </c>
      <c r="B1596" s="1">
        <v>45595</v>
      </c>
      <c r="C1596" s="2" t="s">
        <v>2012</v>
      </c>
      <c r="D1596" t="s">
        <v>2017</v>
      </c>
      <c r="E1596">
        <v>1203.3399999999999</v>
      </c>
      <c r="F1596">
        <f>Cleaned[[#This Row],[Debit]] * Cleaned[[#This Row],[FX_rates]]</f>
        <v>98673.87999999999</v>
      </c>
      <c r="G1596">
        <v>0</v>
      </c>
      <c r="H1596">
        <f>Cleaned[[#This Row],[Credit]] *  Cleaned[[#This Row],[FX_rates]]</f>
        <v>0</v>
      </c>
      <c r="I1596" t="s">
        <v>2023</v>
      </c>
      <c r="J1596" t="s">
        <v>2028</v>
      </c>
      <c r="K1596" t="s">
        <v>3625</v>
      </c>
      <c r="L1596" t="s">
        <v>4034</v>
      </c>
      <c r="M1596">
        <f>Cleaned[[#This Row],[Credit]]-Cleaned[[#This Row],[Debit]]</f>
        <v>-1203.3399999999999</v>
      </c>
      <c r="N1596" t="str">
        <f>_xlfn.XLOOKUP(Cleaned[[#This Row],[AccountName]], Account_Mapping!A:A, Account_Mapping!B:B,"Unmapped")</f>
        <v>Operating Expense</v>
      </c>
      <c r="O1596" cm="1">
        <f t="array" ref="O1596">_xlfn.XLOOKUP(
  1,
  (FX_Rates[Currency]=Cleaned[[#This Row],[Currency]])*
  (FX_Rates[RateDate]&lt;=Cleaned[[#This Row],[TxnDate]]),
  FX_Rates[Rate_To_INR],
  ,
  -1
)</f>
        <v>82</v>
      </c>
      <c r="P1596" s="2">
        <f>Cleaned[[#This Row],[Net Amount]] *  Cleaned[[#This Row],[FX_rates]]</f>
        <v>-98673.87999999999</v>
      </c>
    </row>
    <row r="1597" spans="1:16" x14ac:dyDescent="0.45">
      <c r="A1597" t="s">
        <v>1605</v>
      </c>
      <c r="B1597" s="1">
        <v>45614</v>
      </c>
      <c r="C1597" s="2" t="s">
        <v>2012</v>
      </c>
      <c r="D1597" t="s">
        <v>2017</v>
      </c>
      <c r="E1597">
        <v>1776.59</v>
      </c>
      <c r="F1597">
        <f>Cleaned[[#This Row],[Debit]] * Cleaned[[#This Row],[FX_rates]]</f>
        <v>156339.91999999998</v>
      </c>
      <c r="G1597">
        <v>0</v>
      </c>
      <c r="H1597">
        <f>Cleaned[[#This Row],[Credit]] *  Cleaned[[#This Row],[FX_rates]]</f>
        <v>0</v>
      </c>
      <c r="I1597" t="s">
        <v>2023</v>
      </c>
      <c r="J1597" t="s">
        <v>2028</v>
      </c>
      <c r="K1597" t="s">
        <v>3626</v>
      </c>
      <c r="L1597" t="s">
        <v>4032</v>
      </c>
      <c r="M1597">
        <f>Cleaned[[#This Row],[Credit]]-Cleaned[[#This Row],[Debit]]</f>
        <v>-1776.59</v>
      </c>
      <c r="N1597" t="str">
        <f>_xlfn.XLOOKUP(Cleaned[[#This Row],[AccountName]], Account_Mapping!A:A, Account_Mapping!B:B,"Unmapped")</f>
        <v>Operating Expense</v>
      </c>
      <c r="O1597" cm="1">
        <f t="array" ref="O1597">_xlfn.XLOOKUP(
  1,
  (FX_Rates[Currency]=Cleaned[[#This Row],[Currency]])*
  (FX_Rates[RateDate]&lt;=Cleaned[[#This Row],[TxnDate]]),
  FX_Rates[Rate_To_INR],
  ,
  -1
)</f>
        <v>88</v>
      </c>
      <c r="P1597" s="2">
        <f>Cleaned[[#This Row],[Net Amount]] *  Cleaned[[#This Row],[FX_rates]]</f>
        <v>-156339.91999999998</v>
      </c>
    </row>
    <row r="1598" spans="1:16" x14ac:dyDescent="0.45">
      <c r="A1598" t="s">
        <v>1606</v>
      </c>
      <c r="B1598" s="1">
        <v>45009</v>
      </c>
      <c r="C1598" s="2" t="s">
        <v>2011</v>
      </c>
      <c r="D1598" t="s">
        <v>2016</v>
      </c>
      <c r="E1598">
        <v>1588.81</v>
      </c>
      <c r="F1598">
        <f>Cleaned[[#This Row],[Debit]] * Cleaned[[#This Row],[FX_rates]]</f>
        <v>130282.42</v>
      </c>
      <c r="G1598">
        <v>0</v>
      </c>
      <c r="H1598">
        <f>Cleaned[[#This Row],[Credit]] *  Cleaned[[#This Row],[FX_rates]]</f>
        <v>0</v>
      </c>
      <c r="I1598" t="s">
        <v>2022</v>
      </c>
      <c r="J1598" t="s">
        <v>2026</v>
      </c>
      <c r="K1598" t="s">
        <v>3627</v>
      </c>
      <c r="L1598" t="s">
        <v>4034</v>
      </c>
      <c r="M1598">
        <f>Cleaned[[#This Row],[Credit]]-Cleaned[[#This Row],[Debit]]</f>
        <v>-1588.81</v>
      </c>
      <c r="N1598" t="str">
        <f>_xlfn.XLOOKUP(Cleaned[[#This Row],[AccountName]], Account_Mapping!A:A, Account_Mapping!B:B,"Unmapped")</f>
        <v>COGS</v>
      </c>
      <c r="O1598" cm="1">
        <f t="array" ref="O1598">_xlfn.XLOOKUP(
  1,
  (FX_Rates[Currency]=Cleaned[[#This Row],[Currency]])*
  (FX_Rates[RateDate]&lt;=Cleaned[[#This Row],[TxnDate]]),
  FX_Rates[Rate_To_INR],
  ,
  -1
)</f>
        <v>82</v>
      </c>
      <c r="P1598" s="2">
        <f>Cleaned[[#This Row],[Net Amount]] *  Cleaned[[#This Row],[FX_rates]]</f>
        <v>-130282.42</v>
      </c>
    </row>
    <row r="1599" spans="1:16" x14ac:dyDescent="0.45">
      <c r="A1599" t="s">
        <v>1607</v>
      </c>
      <c r="B1599" s="1">
        <v>45781</v>
      </c>
      <c r="C1599" s="2" t="s">
        <v>2011</v>
      </c>
      <c r="D1599" t="s">
        <v>2016</v>
      </c>
      <c r="E1599">
        <v>1229.26</v>
      </c>
      <c r="F1599">
        <f>Cleaned[[#This Row],[Debit]] * Cleaned[[#This Row],[FX_rates]]</f>
        <v>108174.88</v>
      </c>
      <c r="G1599">
        <v>0</v>
      </c>
      <c r="H1599">
        <f>Cleaned[[#This Row],[Credit]] *  Cleaned[[#This Row],[FX_rates]]</f>
        <v>0</v>
      </c>
      <c r="I1599" t="s">
        <v>2023</v>
      </c>
      <c r="J1599" t="s">
        <v>2027</v>
      </c>
      <c r="K1599" t="s">
        <v>3628</v>
      </c>
      <c r="L1599" t="s">
        <v>4032</v>
      </c>
      <c r="M1599">
        <f>Cleaned[[#This Row],[Credit]]-Cleaned[[#This Row],[Debit]]</f>
        <v>-1229.26</v>
      </c>
      <c r="N1599" t="str">
        <f>_xlfn.XLOOKUP(Cleaned[[#This Row],[AccountName]], Account_Mapping!A:A, Account_Mapping!B:B,"Unmapped")</f>
        <v>COGS</v>
      </c>
      <c r="O1599" cm="1">
        <f t="array" ref="O1599">_xlfn.XLOOKUP(
  1,
  (FX_Rates[Currency]=Cleaned[[#This Row],[Currency]])*
  (FX_Rates[RateDate]&lt;=Cleaned[[#This Row],[TxnDate]]),
  FX_Rates[Rate_To_INR],
  ,
  -1
)</f>
        <v>88</v>
      </c>
      <c r="P1599" s="2">
        <f>Cleaned[[#This Row],[Net Amount]] *  Cleaned[[#This Row],[FX_rates]]</f>
        <v>-108174.88</v>
      </c>
    </row>
    <row r="1600" spans="1:16" x14ac:dyDescent="0.45">
      <c r="A1600" t="s">
        <v>1608</v>
      </c>
      <c r="B1600" s="1">
        <v>45832</v>
      </c>
      <c r="C1600" s="2" t="s">
        <v>2010</v>
      </c>
      <c r="D1600" t="s">
        <v>2015</v>
      </c>
      <c r="E1600">
        <v>0</v>
      </c>
      <c r="F1600">
        <f>Cleaned[[#This Row],[Debit]] * Cleaned[[#This Row],[FX_rates]]</f>
        <v>0</v>
      </c>
      <c r="G1600">
        <v>3867.59</v>
      </c>
      <c r="H1600">
        <f>Cleaned[[#This Row],[Credit]] *  Cleaned[[#This Row],[FX_rates]]</f>
        <v>340347.92000000004</v>
      </c>
      <c r="I1600" t="s">
        <v>2022</v>
      </c>
      <c r="J1600" t="s">
        <v>2029</v>
      </c>
      <c r="K1600" t="s">
        <v>3629</v>
      </c>
      <c r="L1600" t="s">
        <v>4032</v>
      </c>
      <c r="M1600">
        <f>Cleaned[[#This Row],[Credit]]-Cleaned[[#This Row],[Debit]]</f>
        <v>3867.59</v>
      </c>
      <c r="N1600" t="str">
        <f>_xlfn.XLOOKUP(Cleaned[[#This Row],[AccountName]], Account_Mapping!A:A, Account_Mapping!B:B,"Unmapped")</f>
        <v>Revenue</v>
      </c>
      <c r="O1600" cm="1">
        <f t="array" ref="O1600">_xlfn.XLOOKUP(
  1,
  (FX_Rates[Currency]=Cleaned[[#This Row],[Currency]])*
  (FX_Rates[RateDate]&lt;=Cleaned[[#This Row],[TxnDate]]),
  FX_Rates[Rate_To_INR],
  ,
  -1
)</f>
        <v>88</v>
      </c>
      <c r="P1600" s="2">
        <f>Cleaned[[#This Row],[Net Amount]] *  Cleaned[[#This Row],[FX_rates]]</f>
        <v>340347.92000000004</v>
      </c>
    </row>
    <row r="1601" spans="1:16" x14ac:dyDescent="0.45">
      <c r="A1601" t="s">
        <v>1609</v>
      </c>
      <c r="B1601" s="1">
        <v>45408</v>
      </c>
      <c r="C1601" s="2" t="s">
        <v>2012</v>
      </c>
      <c r="D1601" t="s">
        <v>2017</v>
      </c>
      <c r="E1601">
        <v>615.80999999999995</v>
      </c>
      <c r="F1601">
        <f>Cleaned[[#This Row],[Debit]] * Cleaned[[#This Row],[FX_rates]]</f>
        <v>54191.28</v>
      </c>
      <c r="G1601">
        <v>0</v>
      </c>
      <c r="H1601">
        <f>Cleaned[[#This Row],[Credit]] *  Cleaned[[#This Row],[FX_rates]]</f>
        <v>0</v>
      </c>
      <c r="I1601" t="s">
        <v>2021</v>
      </c>
      <c r="J1601" t="s">
        <v>2030</v>
      </c>
      <c r="K1601" t="s">
        <v>3630</v>
      </c>
      <c r="L1601" t="s">
        <v>4032</v>
      </c>
      <c r="M1601">
        <f>Cleaned[[#This Row],[Credit]]-Cleaned[[#This Row],[Debit]]</f>
        <v>-615.80999999999995</v>
      </c>
      <c r="N1601" t="str">
        <f>_xlfn.XLOOKUP(Cleaned[[#This Row],[AccountName]], Account_Mapping!A:A, Account_Mapping!B:B,"Unmapped")</f>
        <v>Operating Expense</v>
      </c>
      <c r="O1601" cm="1">
        <f t="array" ref="O1601">_xlfn.XLOOKUP(
  1,
  (FX_Rates[Currency]=Cleaned[[#This Row],[Currency]])*
  (FX_Rates[RateDate]&lt;=Cleaned[[#This Row],[TxnDate]]),
  FX_Rates[Rate_To_INR],
  ,
  -1
)</f>
        <v>88</v>
      </c>
      <c r="P1601" s="2">
        <f>Cleaned[[#This Row],[Net Amount]] *  Cleaned[[#This Row],[FX_rates]]</f>
        <v>-54191.28</v>
      </c>
    </row>
    <row r="1602" spans="1:16" x14ac:dyDescent="0.45">
      <c r="A1602" t="s">
        <v>1610</v>
      </c>
      <c r="B1602" s="1">
        <v>45224</v>
      </c>
      <c r="C1602" s="2" t="s">
        <v>2013</v>
      </c>
      <c r="D1602" t="s">
        <v>2018</v>
      </c>
      <c r="E1602">
        <v>1182.17</v>
      </c>
      <c r="F1602">
        <f>Cleaned[[#This Row],[Debit]] * Cleaned[[#This Row],[FX_rates]]</f>
        <v>96937.94</v>
      </c>
      <c r="G1602">
        <v>0</v>
      </c>
      <c r="H1602">
        <f>Cleaned[[#This Row],[Credit]] *  Cleaned[[#This Row],[FX_rates]]</f>
        <v>0</v>
      </c>
      <c r="I1602" t="s">
        <v>2024</v>
      </c>
      <c r="J1602" t="s">
        <v>2028</v>
      </c>
      <c r="K1602" t="s">
        <v>3631</v>
      </c>
      <c r="L1602" t="s">
        <v>4034</v>
      </c>
      <c r="M1602">
        <f>Cleaned[[#This Row],[Credit]]-Cleaned[[#This Row],[Debit]]</f>
        <v>-1182.17</v>
      </c>
      <c r="N1602" t="str">
        <f>_xlfn.XLOOKUP(Cleaned[[#This Row],[AccountName]], Account_Mapping!A:A, Account_Mapping!B:B,"Unmapped")</f>
        <v>Operating Expense</v>
      </c>
      <c r="O1602" cm="1">
        <f t="array" ref="O1602">_xlfn.XLOOKUP(
  1,
  (FX_Rates[Currency]=Cleaned[[#This Row],[Currency]])*
  (FX_Rates[RateDate]&lt;=Cleaned[[#This Row],[TxnDate]]),
  FX_Rates[Rate_To_INR],
  ,
  -1
)</f>
        <v>82</v>
      </c>
      <c r="P1602" s="2">
        <f>Cleaned[[#This Row],[Net Amount]] *  Cleaned[[#This Row],[FX_rates]]</f>
        <v>-96937.94</v>
      </c>
    </row>
    <row r="1603" spans="1:16" x14ac:dyDescent="0.45">
      <c r="A1603" t="s">
        <v>1611</v>
      </c>
      <c r="B1603" s="1">
        <v>45081</v>
      </c>
      <c r="C1603" s="2" t="s">
        <v>2010</v>
      </c>
      <c r="D1603" t="s">
        <v>2015</v>
      </c>
      <c r="E1603">
        <v>0</v>
      </c>
      <c r="F1603">
        <f>Cleaned[[#This Row],[Debit]] * Cleaned[[#This Row],[FX_rates]]</f>
        <v>0</v>
      </c>
      <c r="G1603">
        <v>4084.9</v>
      </c>
      <c r="H1603">
        <f>Cleaned[[#This Row],[Credit]] *  Cleaned[[#This Row],[FX_rates]]</f>
        <v>228754.4</v>
      </c>
      <c r="I1603" t="s">
        <v>2024</v>
      </c>
      <c r="J1603" t="s">
        <v>2028</v>
      </c>
      <c r="K1603" t="s">
        <v>3632</v>
      </c>
      <c r="L1603" t="s">
        <v>4033</v>
      </c>
      <c r="M1603">
        <f>Cleaned[[#This Row],[Credit]]-Cleaned[[#This Row],[Debit]]</f>
        <v>4084.9</v>
      </c>
      <c r="N1603" t="str">
        <f>_xlfn.XLOOKUP(Cleaned[[#This Row],[AccountName]], Account_Mapping!A:A, Account_Mapping!B:B,"Unmapped")</f>
        <v>Revenue</v>
      </c>
      <c r="O1603" cm="1">
        <f t="array" ref="O1603">_xlfn.XLOOKUP(
  1,
  (FX_Rates[Currency]=Cleaned[[#This Row],[Currency]])*
  (FX_Rates[RateDate]&lt;=Cleaned[[#This Row],[TxnDate]]),
  FX_Rates[Rate_To_INR],
  ,
  -1
)</f>
        <v>56</v>
      </c>
      <c r="P1603" s="2">
        <f>Cleaned[[#This Row],[Net Amount]] *  Cleaned[[#This Row],[FX_rates]]</f>
        <v>228754.4</v>
      </c>
    </row>
    <row r="1604" spans="1:16" x14ac:dyDescent="0.45">
      <c r="A1604" t="s">
        <v>1612</v>
      </c>
      <c r="B1604" s="1">
        <v>45276</v>
      </c>
      <c r="C1604" s="2" t="s">
        <v>2010</v>
      </c>
      <c r="D1604" t="s">
        <v>2015</v>
      </c>
      <c r="E1604">
        <v>0</v>
      </c>
      <c r="F1604">
        <f>Cleaned[[#This Row],[Debit]] * Cleaned[[#This Row],[FX_rates]]</f>
        <v>0</v>
      </c>
      <c r="G1604">
        <v>2694.28</v>
      </c>
      <c r="H1604">
        <f>Cleaned[[#This Row],[Credit]] *  Cleaned[[#This Row],[FX_rates]]</f>
        <v>164351.08000000002</v>
      </c>
      <c r="I1604" t="s">
        <v>2022</v>
      </c>
      <c r="J1604" t="s">
        <v>2027</v>
      </c>
      <c r="K1604" t="s">
        <v>3633</v>
      </c>
      <c r="L1604" t="s">
        <v>4035</v>
      </c>
      <c r="M1604">
        <f>Cleaned[[#This Row],[Credit]]-Cleaned[[#This Row],[Debit]]</f>
        <v>2694.28</v>
      </c>
      <c r="N1604" t="str">
        <f>_xlfn.XLOOKUP(Cleaned[[#This Row],[AccountName]], Account_Mapping!A:A, Account_Mapping!B:B,"Unmapped")</f>
        <v>Revenue</v>
      </c>
      <c r="O1604" cm="1">
        <f t="array" ref="O1604">_xlfn.XLOOKUP(
  1,
  (FX_Rates[Currency]=Cleaned[[#This Row],[Currency]])*
  (FX_Rates[RateDate]&lt;=Cleaned[[#This Row],[TxnDate]]),
  FX_Rates[Rate_To_INR],
  ,
  -1
)</f>
        <v>61</v>
      </c>
      <c r="P1604" s="2">
        <f>Cleaned[[#This Row],[Net Amount]] *  Cleaned[[#This Row],[FX_rates]]</f>
        <v>164351.08000000002</v>
      </c>
    </row>
    <row r="1605" spans="1:16" x14ac:dyDescent="0.45">
      <c r="A1605" t="s">
        <v>1613</v>
      </c>
      <c r="B1605" s="1">
        <v>45782</v>
      </c>
      <c r="C1605" s="2" t="s">
        <v>2010</v>
      </c>
      <c r="D1605" t="s">
        <v>2015</v>
      </c>
      <c r="E1605">
        <v>0</v>
      </c>
      <c r="F1605">
        <f>Cleaned[[#This Row],[Debit]] * Cleaned[[#This Row],[FX_rates]]</f>
        <v>0</v>
      </c>
      <c r="G1605">
        <v>3550.01</v>
      </c>
      <c r="H1605">
        <f>Cleaned[[#This Row],[Credit]] *  Cleaned[[#This Row],[FX_rates]]</f>
        <v>365651.03</v>
      </c>
      <c r="I1605" t="s">
        <v>2024</v>
      </c>
      <c r="J1605" t="s">
        <v>2029</v>
      </c>
      <c r="K1605" t="s">
        <v>3634</v>
      </c>
      <c r="L1605" t="s">
        <v>4031</v>
      </c>
      <c r="M1605">
        <f>Cleaned[[#This Row],[Credit]]-Cleaned[[#This Row],[Debit]]</f>
        <v>3550.01</v>
      </c>
      <c r="N1605" t="str">
        <f>_xlfn.XLOOKUP(Cleaned[[#This Row],[AccountName]], Account_Mapping!A:A, Account_Mapping!B:B,"Unmapped")</f>
        <v>Revenue</v>
      </c>
      <c r="O1605" cm="1">
        <f t="array" ref="O1605">_xlfn.XLOOKUP(
  1,
  (FX_Rates[Currency]=Cleaned[[#This Row],[Currency]])*
  (FX_Rates[RateDate]&lt;=Cleaned[[#This Row],[TxnDate]]),
  FX_Rates[Rate_To_INR],
  ,
  -1
)</f>
        <v>103</v>
      </c>
      <c r="P1605" s="2">
        <f>Cleaned[[#This Row],[Net Amount]] *  Cleaned[[#This Row],[FX_rates]]</f>
        <v>365651.03</v>
      </c>
    </row>
    <row r="1606" spans="1:16" x14ac:dyDescent="0.45">
      <c r="A1606" t="s">
        <v>1614</v>
      </c>
      <c r="B1606" s="1">
        <v>45495</v>
      </c>
      <c r="C1606" s="2" t="s">
        <v>2010</v>
      </c>
      <c r="D1606" t="s">
        <v>2015</v>
      </c>
      <c r="E1606">
        <v>0</v>
      </c>
      <c r="F1606">
        <f>Cleaned[[#This Row],[Debit]] * Cleaned[[#This Row],[FX_rates]]</f>
        <v>0</v>
      </c>
      <c r="G1606">
        <v>2395.19</v>
      </c>
      <c r="H1606">
        <f>Cleaned[[#This Row],[Credit]] *  Cleaned[[#This Row],[FX_rates]]</f>
        <v>146106.59</v>
      </c>
      <c r="I1606" t="s">
        <v>2025</v>
      </c>
      <c r="J1606" t="s">
        <v>2030</v>
      </c>
      <c r="K1606" t="s">
        <v>3635</v>
      </c>
      <c r="L1606" t="s">
        <v>4035</v>
      </c>
      <c r="M1606">
        <f>Cleaned[[#This Row],[Credit]]-Cleaned[[#This Row],[Debit]]</f>
        <v>2395.19</v>
      </c>
      <c r="N1606" t="str">
        <f>_xlfn.XLOOKUP(Cleaned[[#This Row],[AccountName]], Account_Mapping!A:A, Account_Mapping!B:B,"Unmapped")</f>
        <v>Revenue</v>
      </c>
      <c r="O1606" cm="1">
        <f t="array" ref="O1606">_xlfn.XLOOKUP(
  1,
  (FX_Rates[Currency]=Cleaned[[#This Row],[Currency]])*
  (FX_Rates[RateDate]&lt;=Cleaned[[#This Row],[TxnDate]]),
  FX_Rates[Rate_To_INR],
  ,
  -1
)</f>
        <v>61</v>
      </c>
      <c r="P1606" s="2">
        <f>Cleaned[[#This Row],[Net Amount]] *  Cleaned[[#This Row],[FX_rates]]</f>
        <v>146106.59</v>
      </c>
    </row>
    <row r="1607" spans="1:16" x14ac:dyDescent="0.45">
      <c r="A1607" t="s">
        <v>1615</v>
      </c>
      <c r="B1607" s="1">
        <v>45438</v>
      </c>
      <c r="C1607" s="2" t="s">
        <v>2011</v>
      </c>
      <c r="D1607" t="s">
        <v>2016</v>
      </c>
      <c r="E1607">
        <v>1009.87</v>
      </c>
      <c r="F1607">
        <f>Cleaned[[#This Row],[Debit]] * Cleaned[[#This Row],[FX_rates]]</f>
        <v>82809.34</v>
      </c>
      <c r="G1607">
        <v>0</v>
      </c>
      <c r="H1607">
        <f>Cleaned[[#This Row],[Credit]] *  Cleaned[[#This Row],[FX_rates]]</f>
        <v>0</v>
      </c>
      <c r="I1607" t="s">
        <v>2024</v>
      </c>
      <c r="J1607" t="s">
        <v>2027</v>
      </c>
      <c r="K1607" t="s">
        <v>3636</v>
      </c>
      <c r="L1607" t="s">
        <v>4034</v>
      </c>
      <c r="M1607">
        <f>Cleaned[[#This Row],[Credit]]-Cleaned[[#This Row],[Debit]]</f>
        <v>-1009.87</v>
      </c>
      <c r="N1607" t="str">
        <f>_xlfn.XLOOKUP(Cleaned[[#This Row],[AccountName]], Account_Mapping!A:A, Account_Mapping!B:B,"Unmapped")</f>
        <v>COGS</v>
      </c>
      <c r="O1607" cm="1">
        <f t="array" ref="O1607">_xlfn.XLOOKUP(
  1,
  (FX_Rates[Currency]=Cleaned[[#This Row],[Currency]])*
  (FX_Rates[RateDate]&lt;=Cleaned[[#This Row],[TxnDate]]),
  FX_Rates[Rate_To_INR],
  ,
  -1
)</f>
        <v>82</v>
      </c>
      <c r="P1607" s="2">
        <f>Cleaned[[#This Row],[Net Amount]] *  Cleaned[[#This Row],[FX_rates]]</f>
        <v>-82809.34</v>
      </c>
    </row>
    <row r="1608" spans="1:16" x14ac:dyDescent="0.45">
      <c r="A1608" t="s">
        <v>1616</v>
      </c>
      <c r="B1608" s="1">
        <v>45464</v>
      </c>
      <c r="C1608" s="2" t="s">
        <v>2013</v>
      </c>
      <c r="D1608" t="s">
        <v>2018</v>
      </c>
      <c r="E1608">
        <v>1792.26</v>
      </c>
      <c r="F1608">
        <f>Cleaned[[#This Row],[Debit]] * Cleaned[[#This Row],[FX_rates]]</f>
        <v>184602.78</v>
      </c>
      <c r="G1608">
        <v>0</v>
      </c>
      <c r="H1608">
        <f>Cleaned[[#This Row],[Credit]] *  Cleaned[[#This Row],[FX_rates]]</f>
        <v>0</v>
      </c>
      <c r="I1608" t="s">
        <v>2020</v>
      </c>
      <c r="J1608" t="s">
        <v>2026</v>
      </c>
      <c r="K1608" t="s">
        <v>3637</v>
      </c>
      <c r="L1608" t="s">
        <v>4031</v>
      </c>
      <c r="M1608">
        <f>Cleaned[[#This Row],[Credit]]-Cleaned[[#This Row],[Debit]]</f>
        <v>-1792.26</v>
      </c>
      <c r="N1608" t="str">
        <f>_xlfn.XLOOKUP(Cleaned[[#This Row],[AccountName]], Account_Mapping!A:A, Account_Mapping!B:B,"Unmapped")</f>
        <v>Operating Expense</v>
      </c>
      <c r="O1608" cm="1">
        <f t="array" ref="O1608">_xlfn.XLOOKUP(
  1,
  (FX_Rates[Currency]=Cleaned[[#This Row],[Currency]])*
  (FX_Rates[RateDate]&lt;=Cleaned[[#This Row],[TxnDate]]),
  FX_Rates[Rate_To_INR],
  ,
  -1
)</f>
        <v>103</v>
      </c>
      <c r="P1608" s="2">
        <f>Cleaned[[#This Row],[Net Amount]] *  Cleaned[[#This Row],[FX_rates]]</f>
        <v>-184602.78</v>
      </c>
    </row>
    <row r="1609" spans="1:16" x14ac:dyDescent="0.45">
      <c r="A1609" t="s">
        <v>1617</v>
      </c>
      <c r="B1609" s="1">
        <v>45306</v>
      </c>
      <c r="C1609" s="2" t="s">
        <v>2011</v>
      </c>
      <c r="D1609" t="s">
        <v>2016</v>
      </c>
      <c r="E1609">
        <v>1834.84</v>
      </c>
      <c r="F1609">
        <f>Cleaned[[#This Row],[Debit]] * Cleaned[[#This Row],[FX_rates]]</f>
        <v>102751.03999999999</v>
      </c>
      <c r="G1609">
        <v>0</v>
      </c>
      <c r="H1609">
        <f>Cleaned[[#This Row],[Credit]] *  Cleaned[[#This Row],[FX_rates]]</f>
        <v>0</v>
      </c>
      <c r="I1609" t="s">
        <v>2022</v>
      </c>
      <c r="J1609" t="s">
        <v>2026</v>
      </c>
      <c r="K1609" t="s">
        <v>3638</v>
      </c>
      <c r="L1609" t="s">
        <v>4033</v>
      </c>
      <c r="M1609">
        <f>Cleaned[[#This Row],[Credit]]-Cleaned[[#This Row],[Debit]]</f>
        <v>-1834.84</v>
      </c>
      <c r="N1609" t="str">
        <f>_xlfn.XLOOKUP(Cleaned[[#This Row],[AccountName]], Account_Mapping!A:A, Account_Mapping!B:B,"Unmapped")</f>
        <v>COGS</v>
      </c>
      <c r="O1609" cm="1">
        <f t="array" ref="O1609">_xlfn.XLOOKUP(
  1,
  (FX_Rates[Currency]=Cleaned[[#This Row],[Currency]])*
  (FX_Rates[RateDate]&lt;=Cleaned[[#This Row],[TxnDate]]),
  FX_Rates[Rate_To_INR],
  ,
  -1
)</f>
        <v>56</v>
      </c>
      <c r="P1609" s="2">
        <f>Cleaned[[#This Row],[Net Amount]] *  Cleaned[[#This Row],[FX_rates]]</f>
        <v>-102751.03999999999</v>
      </c>
    </row>
    <row r="1610" spans="1:16" x14ac:dyDescent="0.45">
      <c r="A1610" t="s">
        <v>1618</v>
      </c>
      <c r="B1610" s="1">
        <v>45808</v>
      </c>
      <c r="C1610" s="2" t="s">
        <v>2014</v>
      </c>
      <c r="D1610" t="s">
        <v>2019</v>
      </c>
      <c r="E1610">
        <v>0</v>
      </c>
      <c r="F1610">
        <f>Cleaned[[#This Row],[Debit]] * Cleaned[[#This Row],[FX_rates]]</f>
        <v>0</v>
      </c>
      <c r="G1610">
        <v>4316.42</v>
      </c>
      <c r="H1610">
        <f>Cleaned[[#This Row],[Credit]] *  Cleaned[[#This Row],[FX_rates]]</f>
        <v>241719.52000000002</v>
      </c>
      <c r="I1610" t="s">
        <v>2021</v>
      </c>
      <c r="J1610" t="s">
        <v>2030</v>
      </c>
      <c r="K1610" t="s">
        <v>3639</v>
      </c>
      <c r="L1610" t="s">
        <v>4033</v>
      </c>
      <c r="M1610">
        <f>Cleaned[[#This Row],[Credit]]-Cleaned[[#This Row],[Debit]]</f>
        <v>4316.42</v>
      </c>
      <c r="N1610" t="str">
        <f>_xlfn.XLOOKUP(Cleaned[[#This Row],[AccountName]], Account_Mapping!A:A, Account_Mapping!B:B,"Unmapped")</f>
        <v>Revenue</v>
      </c>
      <c r="O1610" cm="1">
        <f t="array" ref="O1610">_xlfn.XLOOKUP(
  1,
  (FX_Rates[Currency]=Cleaned[[#This Row],[Currency]])*
  (FX_Rates[RateDate]&lt;=Cleaned[[#This Row],[TxnDate]]),
  FX_Rates[Rate_To_INR],
  ,
  -1
)</f>
        <v>56</v>
      </c>
      <c r="P1610" s="2">
        <f>Cleaned[[#This Row],[Net Amount]] *  Cleaned[[#This Row],[FX_rates]]</f>
        <v>241719.52000000002</v>
      </c>
    </row>
    <row r="1611" spans="1:16" x14ac:dyDescent="0.45">
      <c r="A1611" t="s">
        <v>1619</v>
      </c>
      <c r="B1611" s="1">
        <v>45701</v>
      </c>
      <c r="C1611" s="2" t="s">
        <v>2013</v>
      </c>
      <c r="D1611" t="s">
        <v>2018</v>
      </c>
      <c r="E1611">
        <v>427.92</v>
      </c>
      <c r="F1611">
        <f>Cleaned[[#This Row],[Debit]] * Cleaned[[#This Row],[FX_rates]]</f>
        <v>35089.440000000002</v>
      </c>
      <c r="G1611">
        <v>0</v>
      </c>
      <c r="H1611">
        <f>Cleaned[[#This Row],[Credit]] *  Cleaned[[#This Row],[FX_rates]]</f>
        <v>0</v>
      </c>
      <c r="I1611" t="s">
        <v>2024</v>
      </c>
      <c r="J1611" t="s">
        <v>2028</v>
      </c>
      <c r="K1611" t="s">
        <v>3640</v>
      </c>
      <c r="L1611" t="s">
        <v>4034</v>
      </c>
      <c r="M1611">
        <f>Cleaned[[#This Row],[Credit]]-Cleaned[[#This Row],[Debit]]</f>
        <v>-427.92</v>
      </c>
      <c r="N1611" t="str">
        <f>_xlfn.XLOOKUP(Cleaned[[#This Row],[AccountName]], Account_Mapping!A:A, Account_Mapping!B:B,"Unmapped")</f>
        <v>Operating Expense</v>
      </c>
      <c r="O1611" cm="1">
        <f t="array" ref="O1611">_xlfn.XLOOKUP(
  1,
  (FX_Rates[Currency]=Cleaned[[#This Row],[Currency]])*
  (FX_Rates[RateDate]&lt;=Cleaned[[#This Row],[TxnDate]]),
  FX_Rates[Rate_To_INR],
  ,
  -1
)</f>
        <v>82</v>
      </c>
      <c r="P1611" s="2">
        <f>Cleaned[[#This Row],[Net Amount]] *  Cleaned[[#This Row],[FX_rates]]</f>
        <v>-35089.440000000002</v>
      </c>
    </row>
    <row r="1612" spans="1:16" x14ac:dyDescent="0.45">
      <c r="A1612" t="s">
        <v>1620</v>
      </c>
      <c r="B1612" s="1">
        <v>45555</v>
      </c>
      <c r="C1612" s="2" t="s">
        <v>2014</v>
      </c>
      <c r="D1612" t="s">
        <v>2019</v>
      </c>
      <c r="E1612">
        <v>0</v>
      </c>
      <c r="F1612">
        <f>Cleaned[[#This Row],[Debit]] * Cleaned[[#This Row],[FX_rates]]</f>
        <v>0</v>
      </c>
      <c r="G1612">
        <v>881.32</v>
      </c>
      <c r="H1612">
        <f>Cleaned[[#This Row],[Credit]] *  Cleaned[[#This Row],[FX_rates]]</f>
        <v>49353.920000000006</v>
      </c>
      <c r="I1612" t="s">
        <v>2025</v>
      </c>
      <c r="J1612" t="s">
        <v>2030</v>
      </c>
      <c r="K1612" t="s">
        <v>3641</v>
      </c>
      <c r="L1612" t="s">
        <v>4033</v>
      </c>
      <c r="M1612">
        <f>Cleaned[[#This Row],[Credit]]-Cleaned[[#This Row],[Debit]]</f>
        <v>881.32</v>
      </c>
      <c r="N1612" t="str">
        <f>_xlfn.XLOOKUP(Cleaned[[#This Row],[AccountName]], Account_Mapping!A:A, Account_Mapping!B:B,"Unmapped")</f>
        <v>Revenue</v>
      </c>
      <c r="O1612" cm="1">
        <f t="array" ref="O1612">_xlfn.XLOOKUP(
  1,
  (FX_Rates[Currency]=Cleaned[[#This Row],[Currency]])*
  (FX_Rates[RateDate]&lt;=Cleaned[[#This Row],[TxnDate]]),
  FX_Rates[Rate_To_INR],
  ,
  -1
)</f>
        <v>56</v>
      </c>
      <c r="P1612" s="2">
        <f>Cleaned[[#This Row],[Net Amount]] *  Cleaned[[#This Row],[FX_rates]]</f>
        <v>49353.920000000006</v>
      </c>
    </row>
    <row r="1613" spans="1:16" x14ac:dyDescent="0.45">
      <c r="A1613" t="s">
        <v>1621</v>
      </c>
      <c r="B1613" s="1">
        <v>45028</v>
      </c>
      <c r="C1613" s="2" t="s">
        <v>2012</v>
      </c>
      <c r="D1613" t="s">
        <v>2017</v>
      </c>
      <c r="E1613">
        <v>896.81</v>
      </c>
      <c r="F1613">
        <f>Cleaned[[#This Row],[Debit]] * Cleaned[[#This Row],[FX_rates]]</f>
        <v>50221.36</v>
      </c>
      <c r="G1613">
        <v>0</v>
      </c>
      <c r="H1613">
        <f>Cleaned[[#This Row],[Credit]] *  Cleaned[[#This Row],[FX_rates]]</f>
        <v>0</v>
      </c>
      <c r="I1613" t="s">
        <v>2025</v>
      </c>
      <c r="J1613" t="s">
        <v>2028</v>
      </c>
      <c r="K1613" t="s">
        <v>3642</v>
      </c>
      <c r="L1613" t="s">
        <v>4033</v>
      </c>
      <c r="M1613">
        <f>Cleaned[[#This Row],[Credit]]-Cleaned[[#This Row],[Debit]]</f>
        <v>-896.81</v>
      </c>
      <c r="N1613" t="str">
        <f>_xlfn.XLOOKUP(Cleaned[[#This Row],[AccountName]], Account_Mapping!A:A, Account_Mapping!B:B,"Unmapped")</f>
        <v>Operating Expense</v>
      </c>
      <c r="O1613" cm="1">
        <f t="array" ref="O1613">_xlfn.XLOOKUP(
  1,
  (FX_Rates[Currency]=Cleaned[[#This Row],[Currency]])*
  (FX_Rates[RateDate]&lt;=Cleaned[[#This Row],[TxnDate]]),
  FX_Rates[Rate_To_INR],
  ,
  -1
)</f>
        <v>56</v>
      </c>
      <c r="P1613" s="2">
        <f>Cleaned[[#This Row],[Net Amount]] *  Cleaned[[#This Row],[FX_rates]]</f>
        <v>-50221.36</v>
      </c>
    </row>
    <row r="1614" spans="1:16" x14ac:dyDescent="0.45">
      <c r="A1614" t="s">
        <v>1622</v>
      </c>
      <c r="B1614" s="1">
        <v>45612</v>
      </c>
      <c r="C1614" s="2" t="s">
        <v>2012</v>
      </c>
      <c r="D1614" t="s">
        <v>2017</v>
      </c>
      <c r="E1614">
        <v>1292.1400000000001</v>
      </c>
      <c r="F1614">
        <f>Cleaned[[#This Row],[Debit]] * Cleaned[[#This Row],[FX_rates]]</f>
        <v>105955.48000000001</v>
      </c>
      <c r="G1614">
        <v>0</v>
      </c>
      <c r="H1614">
        <f>Cleaned[[#This Row],[Credit]] *  Cleaned[[#This Row],[FX_rates]]</f>
        <v>0</v>
      </c>
      <c r="I1614" t="s">
        <v>2021</v>
      </c>
      <c r="J1614" t="s">
        <v>2026</v>
      </c>
      <c r="K1614" t="s">
        <v>3643</v>
      </c>
      <c r="L1614" t="s">
        <v>4034</v>
      </c>
      <c r="M1614">
        <f>Cleaned[[#This Row],[Credit]]-Cleaned[[#This Row],[Debit]]</f>
        <v>-1292.1400000000001</v>
      </c>
      <c r="N1614" t="str">
        <f>_xlfn.XLOOKUP(Cleaned[[#This Row],[AccountName]], Account_Mapping!A:A, Account_Mapping!B:B,"Unmapped")</f>
        <v>Operating Expense</v>
      </c>
      <c r="O1614" cm="1">
        <f t="array" ref="O1614">_xlfn.XLOOKUP(
  1,
  (FX_Rates[Currency]=Cleaned[[#This Row],[Currency]])*
  (FX_Rates[RateDate]&lt;=Cleaned[[#This Row],[TxnDate]]),
  FX_Rates[Rate_To_INR],
  ,
  -1
)</f>
        <v>82</v>
      </c>
      <c r="P1614" s="2">
        <f>Cleaned[[#This Row],[Net Amount]] *  Cleaned[[#This Row],[FX_rates]]</f>
        <v>-105955.48000000001</v>
      </c>
    </row>
    <row r="1615" spans="1:16" x14ac:dyDescent="0.45">
      <c r="A1615" t="s">
        <v>1623</v>
      </c>
      <c r="B1615" s="1">
        <v>45410</v>
      </c>
      <c r="C1615" s="2" t="s">
        <v>2011</v>
      </c>
      <c r="D1615" t="s">
        <v>2016</v>
      </c>
      <c r="E1615">
        <v>1720</v>
      </c>
      <c r="F1615">
        <f>Cleaned[[#This Row],[Debit]] * Cleaned[[#This Row],[FX_rates]]</f>
        <v>104920</v>
      </c>
      <c r="G1615">
        <v>0</v>
      </c>
      <c r="H1615">
        <f>Cleaned[[#This Row],[Credit]] *  Cleaned[[#This Row],[FX_rates]]</f>
        <v>0</v>
      </c>
      <c r="I1615" t="s">
        <v>2022</v>
      </c>
      <c r="J1615" t="s">
        <v>2030</v>
      </c>
      <c r="K1615" t="s">
        <v>3644</v>
      </c>
      <c r="L1615" t="s">
        <v>4035</v>
      </c>
      <c r="M1615">
        <f>Cleaned[[#This Row],[Credit]]-Cleaned[[#This Row],[Debit]]</f>
        <v>-1720</v>
      </c>
      <c r="N1615" t="str">
        <f>_xlfn.XLOOKUP(Cleaned[[#This Row],[AccountName]], Account_Mapping!A:A, Account_Mapping!B:B,"Unmapped")</f>
        <v>COGS</v>
      </c>
      <c r="O1615" cm="1">
        <f t="array" ref="O1615">_xlfn.XLOOKUP(
  1,
  (FX_Rates[Currency]=Cleaned[[#This Row],[Currency]])*
  (FX_Rates[RateDate]&lt;=Cleaned[[#This Row],[TxnDate]]),
  FX_Rates[Rate_To_INR],
  ,
  -1
)</f>
        <v>61</v>
      </c>
      <c r="P1615" s="2">
        <f>Cleaned[[#This Row],[Net Amount]] *  Cleaned[[#This Row],[FX_rates]]</f>
        <v>-104920</v>
      </c>
    </row>
    <row r="1616" spans="1:16" x14ac:dyDescent="0.45">
      <c r="A1616" t="s">
        <v>1624</v>
      </c>
      <c r="B1616" s="1">
        <v>45312</v>
      </c>
      <c r="C1616" s="2" t="s">
        <v>2012</v>
      </c>
      <c r="D1616" t="s">
        <v>2017</v>
      </c>
      <c r="E1616">
        <v>210.81</v>
      </c>
      <c r="F1616">
        <f>Cleaned[[#This Row],[Debit]] * Cleaned[[#This Row],[FX_rates]]</f>
        <v>18551.28</v>
      </c>
      <c r="G1616">
        <v>0</v>
      </c>
      <c r="H1616">
        <f>Cleaned[[#This Row],[Credit]] *  Cleaned[[#This Row],[FX_rates]]</f>
        <v>0</v>
      </c>
      <c r="I1616" t="s">
        <v>2024</v>
      </c>
      <c r="J1616" t="s">
        <v>2029</v>
      </c>
      <c r="K1616" t="s">
        <v>3645</v>
      </c>
      <c r="L1616" t="s">
        <v>4032</v>
      </c>
      <c r="M1616">
        <f>Cleaned[[#This Row],[Credit]]-Cleaned[[#This Row],[Debit]]</f>
        <v>-210.81</v>
      </c>
      <c r="N1616" t="str">
        <f>_xlfn.XLOOKUP(Cleaned[[#This Row],[AccountName]], Account_Mapping!A:A, Account_Mapping!B:B,"Unmapped")</f>
        <v>Operating Expense</v>
      </c>
      <c r="O1616" cm="1">
        <f t="array" ref="O1616">_xlfn.XLOOKUP(
  1,
  (FX_Rates[Currency]=Cleaned[[#This Row],[Currency]])*
  (FX_Rates[RateDate]&lt;=Cleaned[[#This Row],[TxnDate]]),
  FX_Rates[Rate_To_INR],
  ,
  -1
)</f>
        <v>88</v>
      </c>
      <c r="P1616" s="2">
        <f>Cleaned[[#This Row],[Net Amount]] *  Cleaned[[#This Row],[FX_rates]]</f>
        <v>-18551.28</v>
      </c>
    </row>
    <row r="1617" spans="1:16" x14ac:dyDescent="0.45">
      <c r="A1617" t="s">
        <v>1625</v>
      </c>
      <c r="B1617" s="1">
        <v>45077</v>
      </c>
      <c r="C1617" s="2" t="s">
        <v>2010</v>
      </c>
      <c r="D1617" t="s">
        <v>2015</v>
      </c>
      <c r="E1617">
        <v>0</v>
      </c>
      <c r="F1617">
        <f>Cleaned[[#This Row],[Debit]] * Cleaned[[#This Row],[FX_rates]]</f>
        <v>0</v>
      </c>
      <c r="G1617">
        <v>3145.99</v>
      </c>
      <c r="H1617">
        <f>Cleaned[[#This Row],[Credit]] *  Cleaned[[#This Row],[FX_rates]]</f>
        <v>324036.96999999997</v>
      </c>
      <c r="I1617" t="s">
        <v>2022</v>
      </c>
      <c r="J1617" t="s">
        <v>2028</v>
      </c>
      <c r="K1617" t="s">
        <v>3646</v>
      </c>
      <c r="L1617" t="s">
        <v>4031</v>
      </c>
      <c r="M1617">
        <f>Cleaned[[#This Row],[Credit]]-Cleaned[[#This Row],[Debit]]</f>
        <v>3145.99</v>
      </c>
      <c r="N1617" t="str">
        <f>_xlfn.XLOOKUP(Cleaned[[#This Row],[AccountName]], Account_Mapping!A:A, Account_Mapping!B:B,"Unmapped")</f>
        <v>Revenue</v>
      </c>
      <c r="O1617" cm="1">
        <f t="array" ref="O1617">_xlfn.XLOOKUP(
  1,
  (FX_Rates[Currency]=Cleaned[[#This Row],[Currency]])*
  (FX_Rates[RateDate]&lt;=Cleaned[[#This Row],[TxnDate]]),
  FX_Rates[Rate_To_INR],
  ,
  -1
)</f>
        <v>103</v>
      </c>
      <c r="P1617" s="2">
        <f>Cleaned[[#This Row],[Net Amount]] *  Cleaned[[#This Row],[FX_rates]]</f>
        <v>324036.96999999997</v>
      </c>
    </row>
    <row r="1618" spans="1:16" x14ac:dyDescent="0.45">
      <c r="A1618" t="s">
        <v>1626</v>
      </c>
      <c r="B1618" s="1">
        <v>45601</v>
      </c>
      <c r="C1618" s="2" t="s">
        <v>2010</v>
      </c>
      <c r="D1618" t="s">
        <v>2015</v>
      </c>
      <c r="E1618">
        <v>0</v>
      </c>
      <c r="F1618">
        <f>Cleaned[[#This Row],[Debit]] * Cleaned[[#This Row],[FX_rates]]</f>
        <v>0</v>
      </c>
      <c r="G1618">
        <v>4897.22</v>
      </c>
      <c r="H1618">
        <f>Cleaned[[#This Row],[Credit]] *  Cleaned[[#This Row],[FX_rates]]</f>
        <v>430955.36000000004</v>
      </c>
      <c r="I1618" t="s">
        <v>2023</v>
      </c>
      <c r="J1618" t="s">
        <v>2030</v>
      </c>
      <c r="K1618" t="s">
        <v>3647</v>
      </c>
      <c r="L1618" t="s">
        <v>4032</v>
      </c>
      <c r="M1618">
        <f>Cleaned[[#This Row],[Credit]]-Cleaned[[#This Row],[Debit]]</f>
        <v>4897.22</v>
      </c>
      <c r="N1618" t="str">
        <f>_xlfn.XLOOKUP(Cleaned[[#This Row],[AccountName]], Account_Mapping!A:A, Account_Mapping!B:B,"Unmapped")</f>
        <v>Revenue</v>
      </c>
      <c r="O1618" cm="1">
        <f t="array" ref="O1618">_xlfn.XLOOKUP(
  1,
  (FX_Rates[Currency]=Cleaned[[#This Row],[Currency]])*
  (FX_Rates[RateDate]&lt;=Cleaned[[#This Row],[TxnDate]]),
  FX_Rates[Rate_To_INR],
  ,
  -1
)</f>
        <v>88</v>
      </c>
      <c r="P1618" s="2">
        <f>Cleaned[[#This Row],[Net Amount]] *  Cleaned[[#This Row],[FX_rates]]</f>
        <v>430955.36000000004</v>
      </c>
    </row>
    <row r="1619" spans="1:16" x14ac:dyDescent="0.45">
      <c r="A1619" t="s">
        <v>1627</v>
      </c>
      <c r="B1619" s="1">
        <v>45011</v>
      </c>
      <c r="C1619" s="2" t="s">
        <v>2013</v>
      </c>
      <c r="D1619" t="s">
        <v>2018</v>
      </c>
      <c r="E1619">
        <v>1035.58</v>
      </c>
      <c r="F1619">
        <f>Cleaned[[#This Row],[Debit]] * Cleaned[[#This Row],[FX_rates]]</f>
        <v>57992.479999999996</v>
      </c>
      <c r="G1619">
        <v>0</v>
      </c>
      <c r="H1619">
        <f>Cleaned[[#This Row],[Credit]] *  Cleaned[[#This Row],[FX_rates]]</f>
        <v>0</v>
      </c>
      <c r="I1619" t="s">
        <v>2025</v>
      </c>
      <c r="J1619" t="s">
        <v>2028</v>
      </c>
      <c r="K1619" t="s">
        <v>3648</v>
      </c>
      <c r="L1619" t="s">
        <v>4033</v>
      </c>
      <c r="M1619">
        <f>Cleaned[[#This Row],[Credit]]-Cleaned[[#This Row],[Debit]]</f>
        <v>-1035.58</v>
      </c>
      <c r="N1619" t="str">
        <f>_xlfn.XLOOKUP(Cleaned[[#This Row],[AccountName]], Account_Mapping!A:A, Account_Mapping!B:B,"Unmapped")</f>
        <v>Operating Expense</v>
      </c>
      <c r="O1619" cm="1">
        <f t="array" ref="O1619">_xlfn.XLOOKUP(
  1,
  (FX_Rates[Currency]=Cleaned[[#This Row],[Currency]])*
  (FX_Rates[RateDate]&lt;=Cleaned[[#This Row],[TxnDate]]),
  FX_Rates[Rate_To_INR],
  ,
  -1
)</f>
        <v>56</v>
      </c>
      <c r="P1619" s="2">
        <f>Cleaned[[#This Row],[Net Amount]] *  Cleaned[[#This Row],[FX_rates]]</f>
        <v>-57992.479999999996</v>
      </c>
    </row>
    <row r="1620" spans="1:16" x14ac:dyDescent="0.45">
      <c r="A1620" t="s">
        <v>1628</v>
      </c>
      <c r="B1620" s="1">
        <v>45614</v>
      </c>
      <c r="C1620" s="2" t="s">
        <v>2013</v>
      </c>
      <c r="D1620" t="s">
        <v>2018</v>
      </c>
      <c r="E1620">
        <v>883.62</v>
      </c>
      <c r="F1620">
        <f>Cleaned[[#This Row],[Debit]] * Cleaned[[#This Row],[FX_rates]]</f>
        <v>49482.720000000001</v>
      </c>
      <c r="G1620">
        <v>0</v>
      </c>
      <c r="H1620">
        <f>Cleaned[[#This Row],[Credit]] *  Cleaned[[#This Row],[FX_rates]]</f>
        <v>0</v>
      </c>
      <c r="I1620" t="s">
        <v>2022</v>
      </c>
      <c r="J1620" t="s">
        <v>2029</v>
      </c>
      <c r="K1620" t="s">
        <v>3649</v>
      </c>
      <c r="L1620" t="s">
        <v>4033</v>
      </c>
      <c r="M1620">
        <f>Cleaned[[#This Row],[Credit]]-Cleaned[[#This Row],[Debit]]</f>
        <v>-883.62</v>
      </c>
      <c r="N1620" t="str">
        <f>_xlfn.XLOOKUP(Cleaned[[#This Row],[AccountName]], Account_Mapping!A:A, Account_Mapping!B:B,"Unmapped")</f>
        <v>Operating Expense</v>
      </c>
      <c r="O1620" cm="1">
        <f t="array" ref="O1620">_xlfn.XLOOKUP(
  1,
  (FX_Rates[Currency]=Cleaned[[#This Row],[Currency]])*
  (FX_Rates[RateDate]&lt;=Cleaned[[#This Row],[TxnDate]]),
  FX_Rates[Rate_To_INR],
  ,
  -1
)</f>
        <v>56</v>
      </c>
      <c r="P1620" s="2">
        <f>Cleaned[[#This Row],[Net Amount]] *  Cleaned[[#This Row],[FX_rates]]</f>
        <v>-49482.720000000001</v>
      </c>
    </row>
    <row r="1621" spans="1:16" x14ac:dyDescent="0.45">
      <c r="A1621" t="s">
        <v>1629</v>
      </c>
      <c r="B1621" s="1">
        <v>45566</v>
      </c>
      <c r="C1621" s="2" t="s">
        <v>2014</v>
      </c>
      <c r="D1621" t="s">
        <v>2019</v>
      </c>
      <c r="E1621">
        <v>0</v>
      </c>
      <c r="F1621">
        <f>Cleaned[[#This Row],[Debit]] * Cleaned[[#This Row],[FX_rates]]</f>
        <v>0</v>
      </c>
      <c r="G1621">
        <v>1908.36</v>
      </c>
      <c r="H1621">
        <f>Cleaned[[#This Row],[Credit]] *  Cleaned[[#This Row],[FX_rates]]</f>
        <v>196561.08</v>
      </c>
      <c r="I1621" t="s">
        <v>2025</v>
      </c>
      <c r="J1621" t="s">
        <v>2026</v>
      </c>
      <c r="K1621" t="s">
        <v>3650</v>
      </c>
      <c r="L1621" t="s">
        <v>4031</v>
      </c>
      <c r="M1621">
        <f>Cleaned[[#This Row],[Credit]]-Cleaned[[#This Row],[Debit]]</f>
        <v>1908.36</v>
      </c>
      <c r="N1621" t="str">
        <f>_xlfn.XLOOKUP(Cleaned[[#This Row],[AccountName]], Account_Mapping!A:A, Account_Mapping!B:B,"Unmapped")</f>
        <v>Revenue</v>
      </c>
      <c r="O1621" cm="1">
        <f t="array" ref="O1621">_xlfn.XLOOKUP(
  1,
  (FX_Rates[Currency]=Cleaned[[#This Row],[Currency]])*
  (FX_Rates[RateDate]&lt;=Cleaned[[#This Row],[TxnDate]]),
  FX_Rates[Rate_To_INR],
  ,
  -1
)</f>
        <v>103</v>
      </c>
      <c r="P1621" s="2">
        <f>Cleaned[[#This Row],[Net Amount]] *  Cleaned[[#This Row],[FX_rates]]</f>
        <v>196561.08</v>
      </c>
    </row>
    <row r="1622" spans="1:16" x14ac:dyDescent="0.45">
      <c r="A1622" t="s">
        <v>1630</v>
      </c>
      <c r="B1622" s="1">
        <v>45068</v>
      </c>
      <c r="C1622" s="2" t="s">
        <v>2014</v>
      </c>
      <c r="D1622" t="s">
        <v>2019</v>
      </c>
      <c r="E1622">
        <v>0</v>
      </c>
      <c r="F1622">
        <f>Cleaned[[#This Row],[Debit]] * Cleaned[[#This Row],[FX_rates]]</f>
        <v>0</v>
      </c>
      <c r="G1622">
        <v>145.24</v>
      </c>
      <c r="H1622">
        <f>Cleaned[[#This Row],[Credit]] *  Cleaned[[#This Row],[FX_rates]]</f>
        <v>14959.720000000001</v>
      </c>
      <c r="I1622" t="s">
        <v>2025</v>
      </c>
      <c r="J1622" t="s">
        <v>2028</v>
      </c>
      <c r="K1622" t="s">
        <v>3651</v>
      </c>
      <c r="L1622" t="s">
        <v>4031</v>
      </c>
      <c r="M1622">
        <f>Cleaned[[#This Row],[Credit]]-Cleaned[[#This Row],[Debit]]</f>
        <v>145.24</v>
      </c>
      <c r="N1622" t="str">
        <f>_xlfn.XLOOKUP(Cleaned[[#This Row],[AccountName]], Account_Mapping!A:A, Account_Mapping!B:B,"Unmapped")</f>
        <v>Revenue</v>
      </c>
      <c r="O1622" cm="1">
        <f t="array" ref="O1622">_xlfn.XLOOKUP(
  1,
  (FX_Rates[Currency]=Cleaned[[#This Row],[Currency]])*
  (FX_Rates[RateDate]&lt;=Cleaned[[#This Row],[TxnDate]]),
  FX_Rates[Rate_To_INR],
  ,
  -1
)</f>
        <v>103</v>
      </c>
      <c r="P1622" s="2">
        <f>Cleaned[[#This Row],[Net Amount]] *  Cleaned[[#This Row],[FX_rates]]</f>
        <v>14959.720000000001</v>
      </c>
    </row>
    <row r="1623" spans="1:16" x14ac:dyDescent="0.45">
      <c r="A1623" t="s">
        <v>1631</v>
      </c>
      <c r="B1623" s="1">
        <v>45550</v>
      </c>
      <c r="C1623" s="2" t="s">
        <v>2014</v>
      </c>
      <c r="D1623" t="s">
        <v>2019</v>
      </c>
      <c r="E1623">
        <v>0</v>
      </c>
      <c r="F1623">
        <f>Cleaned[[#This Row],[Debit]] * Cleaned[[#This Row],[FX_rates]]</f>
        <v>0</v>
      </c>
      <c r="G1623">
        <v>527.38</v>
      </c>
      <c r="H1623">
        <f>Cleaned[[#This Row],[Credit]] *  Cleaned[[#This Row],[FX_rates]]</f>
        <v>32170.18</v>
      </c>
      <c r="I1623" t="s">
        <v>2020</v>
      </c>
      <c r="J1623" t="s">
        <v>2028</v>
      </c>
      <c r="K1623" t="s">
        <v>3652</v>
      </c>
      <c r="L1623" t="s">
        <v>4035</v>
      </c>
      <c r="M1623">
        <f>Cleaned[[#This Row],[Credit]]-Cleaned[[#This Row],[Debit]]</f>
        <v>527.38</v>
      </c>
      <c r="N1623" t="str">
        <f>_xlfn.XLOOKUP(Cleaned[[#This Row],[AccountName]], Account_Mapping!A:A, Account_Mapping!B:B,"Unmapped")</f>
        <v>Revenue</v>
      </c>
      <c r="O1623" cm="1">
        <f t="array" ref="O1623">_xlfn.XLOOKUP(
  1,
  (FX_Rates[Currency]=Cleaned[[#This Row],[Currency]])*
  (FX_Rates[RateDate]&lt;=Cleaned[[#This Row],[TxnDate]]),
  FX_Rates[Rate_To_INR],
  ,
  -1
)</f>
        <v>61</v>
      </c>
      <c r="P1623" s="2">
        <f>Cleaned[[#This Row],[Net Amount]] *  Cleaned[[#This Row],[FX_rates]]</f>
        <v>32170.18</v>
      </c>
    </row>
    <row r="1624" spans="1:16" x14ac:dyDescent="0.45">
      <c r="A1624" t="s">
        <v>1632</v>
      </c>
      <c r="B1624" s="1">
        <v>45151</v>
      </c>
      <c r="C1624" s="2" t="s">
        <v>2010</v>
      </c>
      <c r="D1624" t="s">
        <v>2015</v>
      </c>
      <c r="E1624">
        <v>0</v>
      </c>
      <c r="F1624">
        <f>Cleaned[[#This Row],[Debit]] * Cleaned[[#This Row],[FX_rates]]</f>
        <v>0</v>
      </c>
      <c r="G1624">
        <v>3715.39</v>
      </c>
      <c r="H1624">
        <f>Cleaned[[#This Row],[Credit]] *  Cleaned[[#This Row],[FX_rates]]</f>
        <v>326954.32</v>
      </c>
      <c r="I1624" t="s">
        <v>2024</v>
      </c>
      <c r="J1624" t="s">
        <v>2026</v>
      </c>
      <c r="K1624" t="s">
        <v>3653</v>
      </c>
      <c r="L1624" t="s">
        <v>4032</v>
      </c>
      <c r="M1624">
        <f>Cleaned[[#This Row],[Credit]]-Cleaned[[#This Row],[Debit]]</f>
        <v>3715.39</v>
      </c>
      <c r="N1624" t="str">
        <f>_xlfn.XLOOKUP(Cleaned[[#This Row],[AccountName]], Account_Mapping!A:A, Account_Mapping!B:B,"Unmapped")</f>
        <v>Revenue</v>
      </c>
      <c r="O1624" cm="1">
        <f t="array" ref="O1624">_xlfn.XLOOKUP(
  1,
  (FX_Rates[Currency]=Cleaned[[#This Row],[Currency]])*
  (FX_Rates[RateDate]&lt;=Cleaned[[#This Row],[TxnDate]]),
  FX_Rates[Rate_To_INR],
  ,
  -1
)</f>
        <v>88</v>
      </c>
      <c r="P1624" s="2">
        <f>Cleaned[[#This Row],[Net Amount]] *  Cleaned[[#This Row],[FX_rates]]</f>
        <v>326954.32</v>
      </c>
    </row>
    <row r="1625" spans="1:16" x14ac:dyDescent="0.45">
      <c r="A1625" t="s">
        <v>1633</v>
      </c>
      <c r="B1625" s="1">
        <v>44959</v>
      </c>
      <c r="C1625" s="2" t="s">
        <v>2011</v>
      </c>
      <c r="D1625" t="s">
        <v>2016</v>
      </c>
      <c r="E1625">
        <v>870.5</v>
      </c>
      <c r="F1625">
        <f>Cleaned[[#This Row],[Debit]] * Cleaned[[#This Row],[FX_rates]]</f>
        <v>48748</v>
      </c>
      <c r="G1625">
        <v>0</v>
      </c>
      <c r="H1625">
        <f>Cleaned[[#This Row],[Credit]] *  Cleaned[[#This Row],[FX_rates]]</f>
        <v>0</v>
      </c>
      <c r="I1625" t="s">
        <v>2024</v>
      </c>
      <c r="J1625" t="s">
        <v>2029</v>
      </c>
      <c r="K1625" t="s">
        <v>3654</v>
      </c>
      <c r="L1625" t="s">
        <v>4033</v>
      </c>
      <c r="M1625">
        <f>Cleaned[[#This Row],[Credit]]-Cleaned[[#This Row],[Debit]]</f>
        <v>-870.5</v>
      </c>
      <c r="N1625" t="str">
        <f>_xlfn.XLOOKUP(Cleaned[[#This Row],[AccountName]], Account_Mapping!A:A, Account_Mapping!B:B,"Unmapped")</f>
        <v>COGS</v>
      </c>
      <c r="O1625" cm="1">
        <f t="array" ref="O1625">_xlfn.XLOOKUP(
  1,
  (FX_Rates[Currency]=Cleaned[[#This Row],[Currency]])*
  (FX_Rates[RateDate]&lt;=Cleaned[[#This Row],[TxnDate]]),
  FX_Rates[Rate_To_INR],
  ,
  -1
)</f>
        <v>56</v>
      </c>
      <c r="P1625" s="2">
        <f>Cleaned[[#This Row],[Net Amount]] *  Cleaned[[#This Row],[FX_rates]]</f>
        <v>-48748</v>
      </c>
    </row>
    <row r="1626" spans="1:16" x14ac:dyDescent="0.45">
      <c r="A1626" t="s">
        <v>1634</v>
      </c>
      <c r="B1626" s="1">
        <v>45386</v>
      </c>
      <c r="C1626" s="2" t="s">
        <v>2013</v>
      </c>
      <c r="D1626" t="s">
        <v>2018</v>
      </c>
      <c r="E1626">
        <v>1992.58</v>
      </c>
      <c r="F1626">
        <f>Cleaned[[#This Row],[Debit]] * Cleaned[[#This Row],[FX_rates]]</f>
        <v>205235.74</v>
      </c>
      <c r="G1626">
        <v>0</v>
      </c>
      <c r="H1626">
        <f>Cleaned[[#This Row],[Credit]] *  Cleaned[[#This Row],[FX_rates]]</f>
        <v>0</v>
      </c>
      <c r="I1626" t="s">
        <v>2022</v>
      </c>
      <c r="J1626" t="s">
        <v>2026</v>
      </c>
      <c r="K1626" t="s">
        <v>3655</v>
      </c>
      <c r="L1626" t="s">
        <v>4031</v>
      </c>
      <c r="M1626">
        <f>Cleaned[[#This Row],[Credit]]-Cleaned[[#This Row],[Debit]]</f>
        <v>-1992.58</v>
      </c>
      <c r="N1626" t="str">
        <f>_xlfn.XLOOKUP(Cleaned[[#This Row],[AccountName]], Account_Mapping!A:A, Account_Mapping!B:B,"Unmapped")</f>
        <v>Operating Expense</v>
      </c>
      <c r="O1626" cm="1">
        <f t="array" ref="O1626">_xlfn.XLOOKUP(
  1,
  (FX_Rates[Currency]=Cleaned[[#This Row],[Currency]])*
  (FX_Rates[RateDate]&lt;=Cleaned[[#This Row],[TxnDate]]),
  FX_Rates[Rate_To_INR],
  ,
  -1
)</f>
        <v>103</v>
      </c>
      <c r="P1626" s="2">
        <f>Cleaned[[#This Row],[Net Amount]] *  Cleaned[[#This Row],[FX_rates]]</f>
        <v>-205235.74</v>
      </c>
    </row>
    <row r="1627" spans="1:16" x14ac:dyDescent="0.45">
      <c r="A1627" t="s">
        <v>1635</v>
      </c>
      <c r="B1627" s="1">
        <v>45001</v>
      </c>
      <c r="C1627" s="2" t="s">
        <v>2013</v>
      </c>
      <c r="D1627" t="s">
        <v>2018</v>
      </c>
      <c r="E1627">
        <v>1466.95</v>
      </c>
      <c r="F1627">
        <f>Cleaned[[#This Row],[Debit]] * Cleaned[[#This Row],[FX_rates]]</f>
        <v>120289.90000000001</v>
      </c>
      <c r="G1627">
        <v>0</v>
      </c>
      <c r="H1627">
        <f>Cleaned[[#This Row],[Credit]] *  Cleaned[[#This Row],[FX_rates]]</f>
        <v>0</v>
      </c>
      <c r="I1627" t="s">
        <v>2025</v>
      </c>
      <c r="J1627" t="s">
        <v>2027</v>
      </c>
      <c r="K1627" t="s">
        <v>3656</v>
      </c>
      <c r="L1627" t="s">
        <v>4034</v>
      </c>
      <c r="M1627">
        <f>Cleaned[[#This Row],[Credit]]-Cleaned[[#This Row],[Debit]]</f>
        <v>-1466.95</v>
      </c>
      <c r="N1627" t="str">
        <f>_xlfn.XLOOKUP(Cleaned[[#This Row],[AccountName]], Account_Mapping!A:A, Account_Mapping!B:B,"Unmapped")</f>
        <v>Operating Expense</v>
      </c>
      <c r="O1627" cm="1">
        <f t="array" ref="O1627">_xlfn.XLOOKUP(
  1,
  (FX_Rates[Currency]=Cleaned[[#This Row],[Currency]])*
  (FX_Rates[RateDate]&lt;=Cleaned[[#This Row],[TxnDate]]),
  FX_Rates[Rate_To_INR],
  ,
  -1
)</f>
        <v>82</v>
      </c>
      <c r="P1627" s="2">
        <f>Cleaned[[#This Row],[Net Amount]] *  Cleaned[[#This Row],[FX_rates]]</f>
        <v>-120289.90000000001</v>
      </c>
    </row>
    <row r="1628" spans="1:16" x14ac:dyDescent="0.45">
      <c r="A1628" t="s">
        <v>1636</v>
      </c>
      <c r="B1628" s="1">
        <v>45013</v>
      </c>
      <c r="C1628" s="2" t="s">
        <v>2011</v>
      </c>
      <c r="D1628" t="s">
        <v>2016</v>
      </c>
      <c r="E1628">
        <v>480.18</v>
      </c>
      <c r="F1628">
        <f>Cleaned[[#This Row],[Debit]] * Cleaned[[#This Row],[FX_rates]]</f>
        <v>42255.840000000004</v>
      </c>
      <c r="G1628">
        <v>0</v>
      </c>
      <c r="H1628">
        <f>Cleaned[[#This Row],[Credit]] *  Cleaned[[#This Row],[FX_rates]]</f>
        <v>0</v>
      </c>
      <c r="I1628" t="s">
        <v>2021</v>
      </c>
      <c r="J1628" t="s">
        <v>2028</v>
      </c>
      <c r="K1628" t="s">
        <v>3657</v>
      </c>
      <c r="L1628" t="s">
        <v>4032</v>
      </c>
      <c r="M1628">
        <f>Cleaned[[#This Row],[Credit]]-Cleaned[[#This Row],[Debit]]</f>
        <v>-480.18</v>
      </c>
      <c r="N1628" t="str">
        <f>_xlfn.XLOOKUP(Cleaned[[#This Row],[AccountName]], Account_Mapping!A:A, Account_Mapping!B:B,"Unmapped")</f>
        <v>COGS</v>
      </c>
      <c r="O1628" cm="1">
        <f t="array" ref="O1628">_xlfn.XLOOKUP(
  1,
  (FX_Rates[Currency]=Cleaned[[#This Row],[Currency]])*
  (FX_Rates[RateDate]&lt;=Cleaned[[#This Row],[TxnDate]]),
  FX_Rates[Rate_To_INR],
  ,
  -1
)</f>
        <v>88</v>
      </c>
      <c r="P1628" s="2">
        <f>Cleaned[[#This Row],[Net Amount]] *  Cleaned[[#This Row],[FX_rates]]</f>
        <v>-42255.840000000004</v>
      </c>
    </row>
    <row r="1629" spans="1:16" x14ac:dyDescent="0.45">
      <c r="A1629" t="s">
        <v>1637</v>
      </c>
      <c r="B1629" s="1">
        <v>45010</v>
      </c>
      <c r="C1629" s="2" t="s">
        <v>2014</v>
      </c>
      <c r="D1629" t="s">
        <v>2019</v>
      </c>
      <c r="E1629">
        <v>0</v>
      </c>
      <c r="F1629">
        <f>Cleaned[[#This Row],[Debit]] * Cleaned[[#This Row],[FX_rates]]</f>
        <v>0</v>
      </c>
      <c r="G1629">
        <v>4296.88</v>
      </c>
      <c r="H1629">
        <f>Cleaned[[#This Row],[Credit]] *  Cleaned[[#This Row],[FX_rates]]</f>
        <v>240625.28</v>
      </c>
      <c r="I1629" t="s">
        <v>2024</v>
      </c>
      <c r="J1629" t="s">
        <v>2026</v>
      </c>
      <c r="K1629" t="s">
        <v>3658</v>
      </c>
      <c r="L1629" t="s">
        <v>4033</v>
      </c>
      <c r="M1629">
        <f>Cleaned[[#This Row],[Credit]]-Cleaned[[#This Row],[Debit]]</f>
        <v>4296.88</v>
      </c>
      <c r="N1629" t="str">
        <f>_xlfn.XLOOKUP(Cleaned[[#This Row],[AccountName]], Account_Mapping!A:A, Account_Mapping!B:B,"Unmapped")</f>
        <v>Revenue</v>
      </c>
      <c r="O1629" cm="1">
        <f t="array" ref="O1629">_xlfn.XLOOKUP(
  1,
  (FX_Rates[Currency]=Cleaned[[#This Row],[Currency]])*
  (FX_Rates[RateDate]&lt;=Cleaned[[#This Row],[TxnDate]]),
  FX_Rates[Rate_To_INR],
  ,
  -1
)</f>
        <v>56</v>
      </c>
      <c r="P1629" s="2">
        <f>Cleaned[[#This Row],[Net Amount]] *  Cleaned[[#This Row],[FX_rates]]</f>
        <v>240625.28</v>
      </c>
    </row>
    <row r="1630" spans="1:16" x14ac:dyDescent="0.45">
      <c r="A1630" t="s">
        <v>1638</v>
      </c>
      <c r="B1630" s="1">
        <v>45588</v>
      </c>
      <c r="C1630" s="2" t="s">
        <v>2011</v>
      </c>
      <c r="D1630" t="s">
        <v>2016</v>
      </c>
      <c r="E1630">
        <v>123.85</v>
      </c>
      <c r="F1630">
        <f>Cleaned[[#This Row],[Debit]] * Cleaned[[#This Row],[FX_rates]]</f>
        <v>6935.5999999999995</v>
      </c>
      <c r="G1630">
        <v>0</v>
      </c>
      <c r="H1630">
        <f>Cleaned[[#This Row],[Credit]] *  Cleaned[[#This Row],[FX_rates]]</f>
        <v>0</v>
      </c>
      <c r="I1630" t="s">
        <v>2023</v>
      </c>
      <c r="J1630" t="s">
        <v>2026</v>
      </c>
      <c r="K1630" t="s">
        <v>3659</v>
      </c>
      <c r="L1630" t="s">
        <v>4033</v>
      </c>
      <c r="M1630">
        <f>Cleaned[[#This Row],[Credit]]-Cleaned[[#This Row],[Debit]]</f>
        <v>-123.85</v>
      </c>
      <c r="N1630" t="str">
        <f>_xlfn.XLOOKUP(Cleaned[[#This Row],[AccountName]], Account_Mapping!A:A, Account_Mapping!B:B,"Unmapped")</f>
        <v>COGS</v>
      </c>
      <c r="O1630" cm="1">
        <f t="array" ref="O1630">_xlfn.XLOOKUP(
  1,
  (FX_Rates[Currency]=Cleaned[[#This Row],[Currency]])*
  (FX_Rates[RateDate]&lt;=Cleaned[[#This Row],[TxnDate]]),
  FX_Rates[Rate_To_INR],
  ,
  -1
)</f>
        <v>56</v>
      </c>
      <c r="P1630" s="2">
        <f>Cleaned[[#This Row],[Net Amount]] *  Cleaned[[#This Row],[FX_rates]]</f>
        <v>-6935.5999999999995</v>
      </c>
    </row>
    <row r="1631" spans="1:16" x14ac:dyDescent="0.45">
      <c r="A1631" t="s">
        <v>1639</v>
      </c>
      <c r="B1631" s="1">
        <v>45048</v>
      </c>
      <c r="C1631" s="2" t="s">
        <v>2012</v>
      </c>
      <c r="D1631" t="s">
        <v>2017</v>
      </c>
      <c r="E1631">
        <v>1528.6</v>
      </c>
      <c r="F1631">
        <f>Cleaned[[#This Row],[Debit]] * Cleaned[[#This Row],[FX_rates]]</f>
        <v>125345.2</v>
      </c>
      <c r="G1631">
        <v>0</v>
      </c>
      <c r="H1631">
        <f>Cleaned[[#This Row],[Credit]] *  Cleaned[[#This Row],[FX_rates]]</f>
        <v>0</v>
      </c>
      <c r="I1631" t="s">
        <v>2020</v>
      </c>
      <c r="J1631" t="s">
        <v>2030</v>
      </c>
      <c r="K1631" t="s">
        <v>3660</v>
      </c>
      <c r="L1631" t="s">
        <v>4034</v>
      </c>
      <c r="M1631">
        <f>Cleaned[[#This Row],[Credit]]-Cleaned[[#This Row],[Debit]]</f>
        <v>-1528.6</v>
      </c>
      <c r="N1631" t="str">
        <f>_xlfn.XLOOKUP(Cleaned[[#This Row],[AccountName]], Account_Mapping!A:A, Account_Mapping!B:B,"Unmapped")</f>
        <v>Operating Expense</v>
      </c>
      <c r="O1631" cm="1">
        <f t="array" ref="O1631">_xlfn.XLOOKUP(
  1,
  (FX_Rates[Currency]=Cleaned[[#This Row],[Currency]])*
  (FX_Rates[RateDate]&lt;=Cleaned[[#This Row],[TxnDate]]),
  FX_Rates[Rate_To_INR],
  ,
  -1
)</f>
        <v>82</v>
      </c>
      <c r="P1631" s="2">
        <f>Cleaned[[#This Row],[Net Amount]] *  Cleaned[[#This Row],[FX_rates]]</f>
        <v>-125345.2</v>
      </c>
    </row>
    <row r="1632" spans="1:16" x14ac:dyDescent="0.45">
      <c r="A1632" t="s">
        <v>1640</v>
      </c>
      <c r="B1632" s="1">
        <v>45364</v>
      </c>
      <c r="C1632" s="2" t="s">
        <v>2013</v>
      </c>
      <c r="D1632" t="s">
        <v>2018</v>
      </c>
      <c r="E1632">
        <v>1408.83</v>
      </c>
      <c r="F1632">
        <f>Cleaned[[#This Row],[Debit]] * Cleaned[[#This Row],[FX_rates]]</f>
        <v>115524.06</v>
      </c>
      <c r="G1632">
        <v>0</v>
      </c>
      <c r="H1632">
        <f>Cleaned[[#This Row],[Credit]] *  Cleaned[[#This Row],[FX_rates]]</f>
        <v>0</v>
      </c>
      <c r="I1632" t="s">
        <v>2020</v>
      </c>
      <c r="J1632" t="s">
        <v>2030</v>
      </c>
      <c r="K1632" t="s">
        <v>3661</v>
      </c>
      <c r="L1632" t="s">
        <v>4034</v>
      </c>
      <c r="M1632">
        <f>Cleaned[[#This Row],[Credit]]-Cleaned[[#This Row],[Debit]]</f>
        <v>-1408.83</v>
      </c>
      <c r="N1632" t="str">
        <f>_xlfn.XLOOKUP(Cleaned[[#This Row],[AccountName]], Account_Mapping!A:A, Account_Mapping!B:B,"Unmapped")</f>
        <v>Operating Expense</v>
      </c>
      <c r="O1632" cm="1">
        <f t="array" ref="O1632">_xlfn.XLOOKUP(
  1,
  (FX_Rates[Currency]=Cleaned[[#This Row],[Currency]])*
  (FX_Rates[RateDate]&lt;=Cleaned[[#This Row],[TxnDate]]),
  FX_Rates[Rate_To_INR],
  ,
  -1
)</f>
        <v>82</v>
      </c>
      <c r="P1632" s="2">
        <f>Cleaned[[#This Row],[Net Amount]] *  Cleaned[[#This Row],[FX_rates]]</f>
        <v>-115524.06</v>
      </c>
    </row>
    <row r="1633" spans="1:16" x14ac:dyDescent="0.45">
      <c r="A1633" t="s">
        <v>1641</v>
      </c>
      <c r="B1633" s="1">
        <v>45308</v>
      </c>
      <c r="C1633" s="2" t="s">
        <v>2012</v>
      </c>
      <c r="D1633" t="s">
        <v>2017</v>
      </c>
      <c r="E1633">
        <v>472.82</v>
      </c>
      <c r="F1633">
        <f>Cleaned[[#This Row],[Debit]] * Cleaned[[#This Row],[FX_rates]]</f>
        <v>48700.46</v>
      </c>
      <c r="G1633">
        <v>0</v>
      </c>
      <c r="H1633">
        <f>Cleaned[[#This Row],[Credit]] *  Cleaned[[#This Row],[FX_rates]]</f>
        <v>0</v>
      </c>
      <c r="I1633" t="s">
        <v>2022</v>
      </c>
      <c r="J1633" t="s">
        <v>2028</v>
      </c>
      <c r="K1633" t="s">
        <v>3662</v>
      </c>
      <c r="L1633" t="s">
        <v>4031</v>
      </c>
      <c r="M1633">
        <f>Cleaned[[#This Row],[Credit]]-Cleaned[[#This Row],[Debit]]</f>
        <v>-472.82</v>
      </c>
      <c r="N1633" t="str">
        <f>_xlfn.XLOOKUP(Cleaned[[#This Row],[AccountName]], Account_Mapping!A:A, Account_Mapping!B:B,"Unmapped")</f>
        <v>Operating Expense</v>
      </c>
      <c r="O1633" cm="1">
        <f t="array" ref="O1633">_xlfn.XLOOKUP(
  1,
  (FX_Rates[Currency]=Cleaned[[#This Row],[Currency]])*
  (FX_Rates[RateDate]&lt;=Cleaned[[#This Row],[TxnDate]]),
  FX_Rates[Rate_To_INR],
  ,
  -1
)</f>
        <v>103</v>
      </c>
      <c r="P1633" s="2">
        <f>Cleaned[[#This Row],[Net Amount]] *  Cleaned[[#This Row],[FX_rates]]</f>
        <v>-48700.46</v>
      </c>
    </row>
    <row r="1634" spans="1:16" x14ac:dyDescent="0.45">
      <c r="A1634" t="s">
        <v>1642</v>
      </c>
      <c r="B1634" s="1">
        <v>45284</v>
      </c>
      <c r="C1634" s="2" t="s">
        <v>2012</v>
      </c>
      <c r="D1634" t="s">
        <v>2017</v>
      </c>
      <c r="E1634">
        <v>826.92</v>
      </c>
      <c r="F1634">
        <f>Cleaned[[#This Row],[Debit]] * Cleaned[[#This Row],[FX_rates]]</f>
        <v>85172.76</v>
      </c>
      <c r="G1634">
        <v>0</v>
      </c>
      <c r="H1634">
        <f>Cleaned[[#This Row],[Credit]] *  Cleaned[[#This Row],[FX_rates]]</f>
        <v>0</v>
      </c>
      <c r="I1634" t="s">
        <v>2020</v>
      </c>
      <c r="J1634" t="s">
        <v>2028</v>
      </c>
      <c r="K1634" t="s">
        <v>3663</v>
      </c>
      <c r="L1634" t="s">
        <v>4031</v>
      </c>
      <c r="M1634">
        <f>Cleaned[[#This Row],[Credit]]-Cleaned[[#This Row],[Debit]]</f>
        <v>-826.92</v>
      </c>
      <c r="N1634" t="str">
        <f>_xlfn.XLOOKUP(Cleaned[[#This Row],[AccountName]], Account_Mapping!A:A, Account_Mapping!B:B,"Unmapped")</f>
        <v>Operating Expense</v>
      </c>
      <c r="O1634" cm="1">
        <f t="array" ref="O1634">_xlfn.XLOOKUP(
  1,
  (FX_Rates[Currency]=Cleaned[[#This Row],[Currency]])*
  (FX_Rates[RateDate]&lt;=Cleaned[[#This Row],[TxnDate]]),
  FX_Rates[Rate_To_INR],
  ,
  -1
)</f>
        <v>103</v>
      </c>
      <c r="P1634" s="2">
        <f>Cleaned[[#This Row],[Net Amount]] *  Cleaned[[#This Row],[FX_rates]]</f>
        <v>-85172.76</v>
      </c>
    </row>
    <row r="1635" spans="1:16" x14ac:dyDescent="0.45">
      <c r="A1635" t="s">
        <v>1643</v>
      </c>
      <c r="B1635" s="1">
        <v>44952</v>
      </c>
      <c r="C1635" s="2" t="s">
        <v>2012</v>
      </c>
      <c r="D1635" t="s">
        <v>2017</v>
      </c>
      <c r="E1635">
        <v>882.2</v>
      </c>
      <c r="F1635">
        <f>Cleaned[[#This Row],[Debit]] * Cleaned[[#This Row],[FX_rates]]</f>
        <v>49403.200000000004</v>
      </c>
      <c r="G1635">
        <v>0</v>
      </c>
      <c r="H1635">
        <f>Cleaned[[#This Row],[Credit]] *  Cleaned[[#This Row],[FX_rates]]</f>
        <v>0</v>
      </c>
      <c r="I1635" t="s">
        <v>2023</v>
      </c>
      <c r="J1635" t="s">
        <v>2030</v>
      </c>
      <c r="K1635" t="s">
        <v>3664</v>
      </c>
      <c r="L1635" t="s">
        <v>4033</v>
      </c>
      <c r="M1635">
        <f>Cleaned[[#This Row],[Credit]]-Cleaned[[#This Row],[Debit]]</f>
        <v>-882.2</v>
      </c>
      <c r="N1635" t="str">
        <f>_xlfn.XLOOKUP(Cleaned[[#This Row],[AccountName]], Account_Mapping!A:A, Account_Mapping!B:B,"Unmapped")</f>
        <v>Operating Expense</v>
      </c>
      <c r="O1635" cm="1">
        <f t="array" ref="O1635">_xlfn.XLOOKUP(
  1,
  (FX_Rates[Currency]=Cleaned[[#This Row],[Currency]])*
  (FX_Rates[RateDate]&lt;=Cleaned[[#This Row],[TxnDate]]),
  FX_Rates[Rate_To_INR],
  ,
  -1
)</f>
        <v>56</v>
      </c>
      <c r="P1635" s="2">
        <f>Cleaned[[#This Row],[Net Amount]] *  Cleaned[[#This Row],[FX_rates]]</f>
        <v>-49403.200000000004</v>
      </c>
    </row>
    <row r="1636" spans="1:16" x14ac:dyDescent="0.45">
      <c r="A1636" t="s">
        <v>1644</v>
      </c>
      <c r="B1636" s="1">
        <v>45582</v>
      </c>
      <c r="C1636" s="2" t="s">
        <v>2012</v>
      </c>
      <c r="D1636" t="s">
        <v>2017</v>
      </c>
      <c r="E1636">
        <v>1244.05</v>
      </c>
      <c r="F1636">
        <f>Cleaned[[#This Row],[Debit]] * Cleaned[[#This Row],[FX_rates]]</f>
        <v>128137.15</v>
      </c>
      <c r="G1636">
        <v>0</v>
      </c>
      <c r="H1636">
        <f>Cleaned[[#This Row],[Credit]] *  Cleaned[[#This Row],[FX_rates]]</f>
        <v>0</v>
      </c>
      <c r="I1636" t="s">
        <v>2024</v>
      </c>
      <c r="J1636" t="s">
        <v>2026</v>
      </c>
      <c r="K1636" t="s">
        <v>3665</v>
      </c>
      <c r="L1636" t="s">
        <v>4031</v>
      </c>
      <c r="M1636">
        <f>Cleaned[[#This Row],[Credit]]-Cleaned[[#This Row],[Debit]]</f>
        <v>-1244.05</v>
      </c>
      <c r="N1636" t="str">
        <f>_xlfn.XLOOKUP(Cleaned[[#This Row],[AccountName]], Account_Mapping!A:A, Account_Mapping!B:B,"Unmapped")</f>
        <v>Operating Expense</v>
      </c>
      <c r="O1636" cm="1">
        <f t="array" ref="O1636">_xlfn.XLOOKUP(
  1,
  (FX_Rates[Currency]=Cleaned[[#This Row],[Currency]])*
  (FX_Rates[RateDate]&lt;=Cleaned[[#This Row],[TxnDate]]),
  FX_Rates[Rate_To_INR],
  ,
  -1
)</f>
        <v>103</v>
      </c>
      <c r="P1636" s="2">
        <f>Cleaned[[#This Row],[Net Amount]] *  Cleaned[[#This Row],[FX_rates]]</f>
        <v>-128137.15</v>
      </c>
    </row>
    <row r="1637" spans="1:16" x14ac:dyDescent="0.45">
      <c r="A1637" t="s">
        <v>1645</v>
      </c>
      <c r="B1637" s="1">
        <v>45068</v>
      </c>
      <c r="C1637" s="2" t="s">
        <v>2010</v>
      </c>
      <c r="D1637" t="s">
        <v>2015</v>
      </c>
      <c r="E1637">
        <v>0</v>
      </c>
      <c r="F1637">
        <f>Cleaned[[#This Row],[Debit]] * Cleaned[[#This Row],[FX_rates]]</f>
        <v>0</v>
      </c>
      <c r="G1637">
        <v>2017.86</v>
      </c>
      <c r="H1637">
        <f>Cleaned[[#This Row],[Credit]] *  Cleaned[[#This Row],[FX_rates]]</f>
        <v>123089.45999999999</v>
      </c>
      <c r="I1637" t="s">
        <v>2021</v>
      </c>
      <c r="J1637" t="s">
        <v>2026</v>
      </c>
      <c r="K1637" t="s">
        <v>3666</v>
      </c>
      <c r="L1637" t="s">
        <v>4035</v>
      </c>
      <c r="M1637">
        <f>Cleaned[[#This Row],[Credit]]-Cleaned[[#This Row],[Debit]]</f>
        <v>2017.86</v>
      </c>
      <c r="N1637" t="str">
        <f>_xlfn.XLOOKUP(Cleaned[[#This Row],[AccountName]], Account_Mapping!A:A, Account_Mapping!B:B,"Unmapped")</f>
        <v>Revenue</v>
      </c>
      <c r="O1637" cm="1">
        <f t="array" ref="O1637">_xlfn.XLOOKUP(
  1,
  (FX_Rates[Currency]=Cleaned[[#This Row],[Currency]])*
  (FX_Rates[RateDate]&lt;=Cleaned[[#This Row],[TxnDate]]),
  FX_Rates[Rate_To_INR],
  ,
  -1
)</f>
        <v>61</v>
      </c>
      <c r="P1637" s="2">
        <f>Cleaned[[#This Row],[Net Amount]] *  Cleaned[[#This Row],[FX_rates]]</f>
        <v>123089.45999999999</v>
      </c>
    </row>
    <row r="1638" spans="1:16" x14ac:dyDescent="0.45">
      <c r="A1638" t="s">
        <v>1646</v>
      </c>
      <c r="B1638" s="1">
        <v>45269</v>
      </c>
      <c r="C1638" s="2" t="s">
        <v>2013</v>
      </c>
      <c r="D1638" t="s">
        <v>2018</v>
      </c>
      <c r="E1638">
        <v>1845.02</v>
      </c>
      <c r="F1638">
        <f>Cleaned[[#This Row],[Debit]] * Cleaned[[#This Row],[FX_rates]]</f>
        <v>112546.22</v>
      </c>
      <c r="G1638">
        <v>0</v>
      </c>
      <c r="H1638">
        <f>Cleaned[[#This Row],[Credit]] *  Cleaned[[#This Row],[FX_rates]]</f>
        <v>0</v>
      </c>
      <c r="I1638" t="s">
        <v>2024</v>
      </c>
      <c r="J1638" t="s">
        <v>2029</v>
      </c>
      <c r="K1638" t="s">
        <v>3667</v>
      </c>
      <c r="L1638" t="s">
        <v>4035</v>
      </c>
      <c r="M1638">
        <f>Cleaned[[#This Row],[Credit]]-Cleaned[[#This Row],[Debit]]</f>
        <v>-1845.02</v>
      </c>
      <c r="N1638" t="str">
        <f>_xlfn.XLOOKUP(Cleaned[[#This Row],[AccountName]], Account_Mapping!A:A, Account_Mapping!B:B,"Unmapped")</f>
        <v>Operating Expense</v>
      </c>
      <c r="O1638" cm="1">
        <f t="array" ref="O1638">_xlfn.XLOOKUP(
  1,
  (FX_Rates[Currency]=Cleaned[[#This Row],[Currency]])*
  (FX_Rates[RateDate]&lt;=Cleaned[[#This Row],[TxnDate]]),
  FX_Rates[Rate_To_INR],
  ,
  -1
)</f>
        <v>61</v>
      </c>
      <c r="P1638" s="2">
        <f>Cleaned[[#This Row],[Net Amount]] *  Cleaned[[#This Row],[FX_rates]]</f>
        <v>-112546.22</v>
      </c>
    </row>
    <row r="1639" spans="1:16" x14ac:dyDescent="0.45">
      <c r="A1639" t="s">
        <v>1647</v>
      </c>
      <c r="B1639" s="1">
        <v>45377</v>
      </c>
      <c r="C1639" s="2" t="s">
        <v>2010</v>
      </c>
      <c r="D1639" t="s">
        <v>2015</v>
      </c>
      <c r="E1639">
        <v>0</v>
      </c>
      <c r="F1639">
        <f>Cleaned[[#This Row],[Debit]] * Cleaned[[#This Row],[FX_rates]]</f>
        <v>0</v>
      </c>
      <c r="G1639">
        <v>1184.05</v>
      </c>
      <c r="H1639">
        <f>Cleaned[[#This Row],[Credit]] *  Cleaned[[#This Row],[FX_rates]]</f>
        <v>66306.8</v>
      </c>
      <c r="I1639" t="s">
        <v>2025</v>
      </c>
      <c r="J1639" t="s">
        <v>2028</v>
      </c>
      <c r="K1639" t="s">
        <v>3668</v>
      </c>
      <c r="L1639" t="s">
        <v>4033</v>
      </c>
      <c r="M1639">
        <f>Cleaned[[#This Row],[Credit]]-Cleaned[[#This Row],[Debit]]</f>
        <v>1184.05</v>
      </c>
      <c r="N1639" t="str">
        <f>_xlfn.XLOOKUP(Cleaned[[#This Row],[AccountName]], Account_Mapping!A:A, Account_Mapping!B:B,"Unmapped")</f>
        <v>Revenue</v>
      </c>
      <c r="O1639" cm="1">
        <f t="array" ref="O1639">_xlfn.XLOOKUP(
  1,
  (FX_Rates[Currency]=Cleaned[[#This Row],[Currency]])*
  (FX_Rates[RateDate]&lt;=Cleaned[[#This Row],[TxnDate]]),
  FX_Rates[Rate_To_INR],
  ,
  -1
)</f>
        <v>56</v>
      </c>
      <c r="P1639" s="2">
        <f>Cleaned[[#This Row],[Net Amount]] *  Cleaned[[#This Row],[FX_rates]]</f>
        <v>66306.8</v>
      </c>
    </row>
    <row r="1640" spans="1:16" x14ac:dyDescent="0.45">
      <c r="A1640" t="s">
        <v>1648</v>
      </c>
      <c r="B1640" s="1">
        <v>45282</v>
      </c>
      <c r="C1640" s="2" t="s">
        <v>2011</v>
      </c>
      <c r="D1640" t="s">
        <v>2016</v>
      </c>
      <c r="E1640">
        <v>1165.1400000000001</v>
      </c>
      <c r="F1640">
        <f>Cleaned[[#This Row],[Debit]] * Cleaned[[#This Row],[FX_rates]]</f>
        <v>65247.840000000004</v>
      </c>
      <c r="G1640">
        <v>0</v>
      </c>
      <c r="H1640">
        <f>Cleaned[[#This Row],[Credit]] *  Cleaned[[#This Row],[FX_rates]]</f>
        <v>0</v>
      </c>
      <c r="I1640" t="s">
        <v>2021</v>
      </c>
      <c r="J1640" t="s">
        <v>2030</v>
      </c>
      <c r="K1640" t="s">
        <v>3669</v>
      </c>
      <c r="L1640" t="s">
        <v>4033</v>
      </c>
      <c r="M1640">
        <f>Cleaned[[#This Row],[Credit]]-Cleaned[[#This Row],[Debit]]</f>
        <v>-1165.1400000000001</v>
      </c>
      <c r="N1640" t="str">
        <f>_xlfn.XLOOKUP(Cleaned[[#This Row],[AccountName]], Account_Mapping!A:A, Account_Mapping!B:B,"Unmapped")</f>
        <v>COGS</v>
      </c>
      <c r="O1640" cm="1">
        <f t="array" ref="O1640">_xlfn.XLOOKUP(
  1,
  (FX_Rates[Currency]=Cleaned[[#This Row],[Currency]])*
  (FX_Rates[RateDate]&lt;=Cleaned[[#This Row],[TxnDate]]),
  FX_Rates[Rate_To_INR],
  ,
  -1
)</f>
        <v>56</v>
      </c>
      <c r="P1640" s="2">
        <f>Cleaned[[#This Row],[Net Amount]] *  Cleaned[[#This Row],[FX_rates]]</f>
        <v>-65247.840000000004</v>
      </c>
    </row>
    <row r="1641" spans="1:16" x14ac:dyDescent="0.45">
      <c r="A1641" t="s">
        <v>1649</v>
      </c>
      <c r="B1641" s="1">
        <v>45654</v>
      </c>
      <c r="C1641" s="2" t="s">
        <v>2011</v>
      </c>
      <c r="D1641" t="s">
        <v>2016</v>
      </c>
      <c r="E1641">
        <v>641.08000000000004</v>
      </c>
      <c r="F1641">
        <f>Cleaned[[#This Row],[Debit]] * Cleaned[[#This Row],[FX_rates]]</f>
        <v>56415.040000000001</v>
      </c>
      <c r="G1641">
        <v>0</v>
      </c>
      <c r="H1641">
        <f>Cleaned[[#This Row],[Credit]] *  Cleaned[[#This Row],[FX_rates]]</f>
        <v>0</v>
      </c>
      <c r="I1641" t="s">
        <v>2020</v>
      </c>
      <c r="J1641" t="s">
        <v>2029</v>
      </c>
      <c r="K1641" t="s">
        <v>3670</v>
      </c>
      <c r="L1641" t="s">
        <v>4032</v>
      </c>
      <c r="M1641">
        <f>Cleaned[[#This Row],[Credit]]-Cleaned[[#This Row],[Debit]]</f>
        <v>-641.08000000000004</v>
      </c>
      <c r="N1641" t="str">
        <f>_xlfn.XLOOKUP(Cleaned[[#This Row],[AccountName]], Account_Mapping!A:A, Account_Mapping!B:B,"Unmapped")</f>
        <v>COGS</v>
      </c>
      <c r="O1641" cm="1">
        <f t="array" ref="O1641">_xlfn.XLOOKUP(
  1,
  (FX_Rates[Currency]=Cleaned[[#This Row],[Currency]])*
  (FX_Rates[RateDate]&lt;=Cleaned[[#This Row],[TxnDate]]),
  FX_Rates[Rate_To_INR],
  ,
  -1
)</f>
        <v>88</v>
      </c>
      <c r="P1641" s="2">
        <f>Cleaned[[#This Row],[Net Amount]] *  Cleaned[[#This Row],[FX_rates]]</f>
        <v>-56415.040000000001</v>
      </c>
    </row>
    <row r="1642" spans="1:16" x14ac:dyDescent="0.45">
      <c r="A1642" t="s">
        <v>1650</v>
      </c>
      <c r="B1642" s="1">
        <v>45116</v>
      </c>
      <c r="C1642" s="2" t="s">
        <v>2013</v>
      </c>
      <c r="D1642" t="s">
        <v>2018</v>
      </c>
      <c r="E1642">
        <v>194.16</v>
      </c>
      <c r="F1642">
        <f>Cleaned[[#This Row],[Debit]] * Cleaned[[#This Row],[FX_rates]]</f>
        <v>11843.76</v>
      </c>
      <c r="G1642">
        <v>0</v>
      </c>
      <c r="H1642">
        <f>Cleaned[[#This Row],[Credit]] *  Cleaned[[#This Row],[FX_rates]]</f>
        <v>0</v>
      </c>
      <c r="I1642" t="s">
        <v>2025</v>
      </c>
      <c r="J1642" t="s">
        <v>2028</v>
      </c>
      <c r="K1642" t="s">
        <v>3671</v>
      </c>
      <c r="L1642" t="s">
        <v>4035</v>
      </c>
      <c r="M1642">
        <f>Cleaned[[#This Row],[Credit]]-Cleaned[[#This Row],[Debit]]</f>
        <v>-194.16</v>
      </c>
      <c r="N1642" t="str">
        <f>_xlfn.XLOOKUP(Cleaned[[#This Row],[AccountName]], Account_Mapping!A:A, Account_Mapping!B:B,"Unmapped")</f>
        <v>Operating Expense</v>
      </c>
      <c r="O1642" cm="1">
        <f t="array" ref="O1642">_xlfn.XLOOKUP(
  1,
  (FX_Rates[Currency]=Cleaned[[#This Row],[Currency]])*
  (FX_Rates[RateDate]&lt;=Cleaned[[#This Row],[TxnDate]]),
  FX_Rates[Rate_To_INR],
  ,
  -1
)</f>
        <v>61</v>
      </c>
      <c r="P1642" s="2">
        <f>Cleaned[[#This Row],[Net Amount]] *  Cleaned[[#This Row],[FX_rates]]</f>
        <v>-11843.76</v>
      </c>
    </row>
    <row r="1643" spans="1:16" x14ac:dyDescent="0.45">
      <c r="A1643" t="s">
        <v>1651</v>
      </c>
      <c r="B1643" s="1">
        <v>45034</v>
      </c>
      <c r="C1643" s="2" t="s">
        <v>2012</v>
      </c>
      <c r="D1643" t="s">
        <v>2017</v>
      </c>
      <c r="E1643">
        <v>262.33999999999997</v>
      </c>
      <c r="F1643">
        <f>Cleaned[[#This Row],[Debit]] * Cleaned[[#This Row],[FX_rates]]</f>
        <v>23085.919999999998</v>
      </c>
      <c r="G1643">
        <v>0</v>
      </c>
      <c r="H1643">
        <f>Cleaned[[#This Row],[Credit]] *  Cleaned[[#This Row],[FX_rates]]</f>
        <v>0</v>
      </c>
      <c r="I1643" t="s">
        <v>2024</v>
      </c>
      <c r="J1643" t="s">
        <v>2028</v>
      </c>
      <c r="K1643" t="s">
        <v>3672</v>
      </c>
      <c r="L1643" t="s">
        <v>4032</v>
      </c>
      <c r="M1643">
        <f>Cleaned[[#This Row],[Credit]]-Cleaned[[#This Row],[Debit]]</f>
        <v>-262.33999999999997</v>
      </c>
      <c r="N1643" t="str">
        <f>_xlfn.XLOOKUP(Cleaned[[#This Row],[AccountName]], Account_Mapping!A:A, Account_Mapping!B:B,"Unmapped")</f>
        <v>Operating Expense</v>
      </c>
      <c r="O1643" cm="1">
        <f t="array" ref="O1643">_xlfn.XLOOKUP(
  1,
  (FX_Rates[Currency]=Cleaned[[#This Row],[Currency]])*
  (FX_Rates[RateDate]&lt;=Cleaned[[#This Row],[TxnDate]]),
  FX_Rates[Rate_To_INR],
  ,
  -1
)</f>
        <v>88</v>
      </c>
      <c r="P1643" s="2">
        <f>Cleaned[[#This Row],[Net Amount]] *  Cleaned[[#This Row],[FX_rates]]</f>
        <v>-23085.919999999998</v>
      </c>
    </row>
    <row r="1644" spans="1:16" x14ac:dyDescent="0.45">
      <c r="A1644" t="s">
        <v>1652</v>
      </c>
      <c r="B1644" s="1">
        <v>45464</v>
      </c>
      <c r="C1644" s="2" t="s">
        <v>2013</v>
      </c>
      <c r="D1644" t="s">
        <v>2018</v>
      </c>
      <c r="E1644">
        <v>1269.67</v>
      </c>
      <c r="F1644">
        <f>Cleaned[[#This Row],[Debit]] * Cleaned[[#This Row],[FX_rates]]</f>
        <v>77449.87000000001</v>
      </c>
      <c r="G1644">
        <v>0</v>
      </c>
      <c r="H1644">
        <f>Cleaned[[#This Row],[Credit]] *  Cleaned[[#This Row],[FX_rates]]</f>
        <v>0</v>
      </c>
      <c r="I1644" t="s">
        <v>2022</v>
      </c>
      <c r="J1644" t="s">
        <v>2029</v>
      </c>
      <c r="K1644" t="s">
        <v>3673</v>
      </c>
      <c r="L1644" t="s">
        <v>4035</v>
      </c>
      <c r="M1644">
        <f>Cleaned[[#This Row],[Credit]]-Cleaned[[#This Row],[Debit]]</f>
        <v>-1269.67</v>
      </c>
      <c r="N1644" t="str">
        <f>_xlfn.XLOOKUP(Cleaned[[#This Row],[AccountName]], Account_Mapping!A:A, Account_Mapping!B:B,"Unmapped")</f>
        <v>Operating Expense</v>
      </c>
      <c r="O1644" cm="1">
        <f t="array" ref="O1644">_xlfn.XLOOKUP(
  1,
  (FX_Rates[Currency]=Cleaned[[#This Row],[Currency]])*
  (FX_Rates[RateDate]&lt;=Cleaned[[#This Row],[TxnDate]]),
  FX_Rates[Rate_To_INR],
  ,
  -1
)</f>
        <v>61</v>
      </c>
      <c r="P1644" s="2">
        <f>Cleaned[[#This Row],[Net Amount]] *  Cleaned[[#This Row],[FX_rates]]</f>
        <v>-77449.87000000001</v>
      </c>
    </row>
    <row r="1645" spans="1:16" x14ac:dyDescent="0.45">
      <c r="A1645" t="s">
        <v>1653</v>
      </c>
      <c r="B1645" s="1">
        <v>45302</v>
      </c>
      <c r="C1645" s="2" t="s">
        <v>2010</v>
      </c>
      <c r="D1645" t="s">
        <v>2015</v>
      </c>
      <c r="E1645">
        <v>0</v>
      </c>
      <c r="F1645">
        <f>Cleaned[[#This Row],[Debit]] * Cleaned[[#This Row],[FX_rates]]</f>
        <v>0</v>
      </c>
      <c r="G1645">
        <v>1736.08</v>
      </c>
      <c r="H1645">
        <f>Cleaned[[#This Row],[Credit]] *  Cleaned[[#This Row],[FX_rates]]</f>
        <v>178816.24</v>
      </c>
      <c r="I1645" t="s">
        <v>2021</v>
      </c>
      <c r="J1645" t="s">
        <v>2029</v>
      </c>
      <c r="K1645" t="s">
        <v>3674</v>
      </c>
      <c r="L1645" t="s">
        <v>4031</v>
      </c>
      <c r="M1645">
        <f>Cleaned[[#This Row],[Credit]]-Cleaned[[#This Row],[Debit]]</f>
        <v>1736.08</v>
      </c>
      <c r="N1645" t="str">
        <f>_xlfn.XLOOKUP(Cleaned[[#This Row],[AccountName]], Account_Mapping!A:A, Account_Mapping!B:B,"Unmapped")</f>
        <v>Revenue</v>
      </c>
      <c r="O1645" cm="1">
        <f t="array" ref="O1645">_xlfn.XLOOKUP(
  1,
  (FX_Rates[Currency]=Cleaned[[#This Row],[Currency]])*
  (FX_Rates[RateDate]&lt;=Cleaned[[#This Row],[TxnDate]]),
  FX_Rates[Rate_To_INR],
  ,
  -1
)</f>
        <v>103</v>
      </c>
      <c r="P1645" s="2">
        <f>Cleaned[[#This Row],[Net Amount]] *  Cleaned[[#This Row],[FX_rates]]</f>
        <v>178816.24</v>
      </c>
    </row>
    <row r="1646" spans="1:16" x14ac:dyDescent="0.45">
      <c r="A1646" t="s">
        <v>1654</v>
      </c>
      <c r="B1646" s="1">
        <v>45453</v>
      </c>
      <c r="C1646" s="2" t="s">
        <v>2013</v>
      </c>
      <c r="D1646" t="s">
        <v>2018</v>
      </c>
      <c r="E1646">
        <v>418.98</v>
      </c>
      <c r="F1646">
        <f>Cleaned[[#This Row],[Debit]] * Cleaned[[#This Row],[FX_rates]]</f>
        <v>25557.780000000002</v>
      </c>
      <c r="G1646">
        <v>0</v>
      </c>
      <c r="H1646">
        <f>Cleaned[[#This Row],[Credit]] *  Cleaned[[#This Row],[FX_rates]]</f>
        <v>0</v>
      </c>
      <c r="I1646" t="s">
        <v>2023</v>
      </c>
      <c r="J1646" t="s">
        <v>2028</v>
      </c>
      <c r="K1646" t="s">
        <v>3675</v>
      </c>
      <c r="L1646" t="s">
        <v>4035</v>
      </c>
      <c r="M1646">
        <f>Cleaned[[#This Row],[Credit]]-Cleaned[[#This Row],[Debit]]</f>
        <v>-418.98</v>
      </c>
      <c r="N1646" t="str">
        <f>_xlfn.XLOOKUP(Cleaned[[#This Row],[AccountName]], Account_Mapping!A:A, Account_Mapping!B:B,"Unmapped")</f>
        <v>Operating Expense</v>
      </c>
      <c r="O1646" cm="1">
        <f t="array" ref="O1646">_xlfn.XLOOKUP(
  1,
  (FX_Rates[Currency]=Cleaned[[#This Row],[Currency]])*
  (FX_Rates[RateDate]&lt;=Cleaned[[#This Row],[TxnDate]]),
  FX_Rates[Rate_To_INR],
  ,
  -1
)</f>
        <v>61</v>
      </c>
      <c r="P1646" s="2">
        <f>Cleaned[[#This Row],[Net Amount]] *  Cleaned[[#This Row],[FX_rates]]</f>
        <v>-25557.780000000002</v>
      </c>
    </row>
    <row r="1647" spans="1:16" x14ac:dyDescent="0.45">
      <c r="A1647" t="s">
        <v>1655</v>
      </c>
      <c r="B1647" s="1">
        <v>45069</v>
      </c>
      <c r="C1647" s="2" t="s">
        <v>2013</v>
      </c>
      <c r="D1647" t="s">
        <v>2018</v>
      </c>
      <c r="E1647">
        <v>1106.24</v>
      </c>
      <c r="F1647">
        <f>Cleaned[[#This Row],[Debit]] * Cleaned[[#This Row],[FX_rates]]</f>
        <v>90711.680000000008</v>
      </c>
      <c r="G1647">
        <v>0</v>
      </c>
      <c r="H1647">
        <f>Cleaned[[#This Row],[Credit]] *  Cleaned[[#This Row],[FX_rates]]</f>
        <v>0</v>
      </c>
      <c r="I1647" t="s">
        <v>2024</v>
      </c>
      <c r="J1647" t="s">
        <v>2030</v>
      </c>
      <c r="K1647" t="s">
        <v>3676</v>
      </c>
      <c r="L1647" t="s">
        <v>4034</v>
      </c>
      <c r="M1647">
        <f>Cleaned[[#This Row],[Credit]]-Cleaned[[#This Row],[Debit]]</f>
        <v>-1106.24</v>
      </c>
      <c r="N1647" t="str">
        <f>_xlfn.XLOOKUP(Cleaned[[#This Row],[AccountName]], Account_Mapping!A:A, Account_Mapping!B:B,"Unmapped")</f>
        <v>Operating Expense</v>
      </c>
      <c r="O1647" cm="1">
        <f t="array" ref="O1647">_xlfn.XLOOKUP(
  1,
  (FX_Rates[Currency]=Cleaned[[#This Row],[Currency]])*
  (FX_Rates[RateDate]&lt;=Cleaned[[#This Row],[TxnDate]]),
  FX_Rates[Rate_To_INR],
  ,
  -1
)</f>
        <v>82</v>
      </c>
      <c r="P1647" s="2">
        <f>Cleaned[[#This Row],[Net Amount]] *  Cleaned[[#This Row],[FX_rates]]</f>
        <v>-90711.680000000008</v>
      </c>
    </row>
    <row r="1648" spans="1:16" x14ac:dyDescent="0.45">
      <c r="A1648" t="s">
        <v>1656</v>
      </c>
      <c r="B1648" s="1">
        <v>45075</v>
      </c>
      <c r="C1648" s="2" t="s">
        <v>2014</v>
      </c>
      <c r="D1648" t="s">
        <v>2019</v>
      </c>
      <c r="E1648">
        <v>0</v>
      </c>
      <c r="F1648">
        <f>Cleaned[[#This Row],[Debit]] * Cleaned[[#This Row],[FX_rates]]</f>
        <v>0</v>
      </c>
      <c r="G1648">
        <v>3037.2</v>
      </c>
      <c r="H1648">
        <f>Cleaned[[#This Row],[Credit]] *  Cleaned[[#This Row],[FX_rates]]</f>
        <v>312831.59999999998</v>
      </c>
      <c r="I1648" t="s">
        <v>2024</v>
      </c>
      <c r="J1648" t="s">
        <v>2029</v>
      </c>
      <c r="K1648" t="s">
        <v>3677</v>
      </c>
      <c r="L1648" t="s">
        <v>4031</v>
      </c>
      <c r="M1648">
        <f>Cleaned[[#This Row],[Credit]]-Cleaned[[#This Row],[Debit]]</f>
        <v>3037.2</v>
      </c>
      <c r="N1648" t="str">
        <f>_xlfn.XLOOKUP(Cleaned[[#This Row],[AccountName]], Account_Mapping!A:A, Account_Mapping!B:B,"Unmapped")</f>
        <v>Revenue</v>
      </c>
      <c r="O1648" cm="1">
        <f t="array" ref="O1648">_xlfn.XLOOKUP(
  1,
  (FX_Rates[Currency]=Cleaned[[#This Row],[Currency]])*
  (FX_Rates[RateDate]&lt;=Cleaned[[#This Row],[TxnDate]]),
  FX_Rates[Rate_To_INR],
  ,
  -1
)</f>
        <v>103</v>
      </c>
      <c r="P1648" s="2">
        <f>Cleaned[[#This Row],[Net Amount]] *  Cleaned[[#This Row],[FX_rates]]</f>
        <v>312831.59999999998</v>
      </c>
    </row>
    <row r="1649" spans="1:16" x14ac:dyDescent="0.45">
      <c r="A1649" t="s">
        <v>1657</v>
      </c>
      <c r="B1649" s="1">
        <v>44968</v>
      </c>
      <c r="C1649" s="2" t="s">
        <v>2010</v>
      </c>
      <c r="D1649" t="s">
        <v>2015</v>
      </c>
      <c r="E1649">
        <v>0</v>
      </c>
      <c r="F1649">
        <f>Cleaned[[#This Row],[Debit]] * Cleaned[[#This Row],[FX_rates]]</f>
        <v>0</v>
      </c>
      <c r="G1649">
        <v>4063.27</v>
      </c>
      <c r="H1649">
        <f>Cleaned[[#This Row],[Credit]] *  Cleaned[[#This Row],[FX_rates]]</f>
        <v>418516.81</v>
      </c>
      <c r="I1649" t="s">
        <v>2025</v>
      </c>
      <c r="J1649" t="s">
        <v>2026</v>
      </c>
      <c r="K1649" t="s">
        <v>3678</v>
      </c>
      <c r="L1649" t="s">
        <v>4031</v>
      </c>
      <c r="M1649">
        <f>Cleaned[[#This Row],[Credit]]-Cleaned[[#This Row],[Debit]]</f>
        <v>4063.27</v>
      </c>
      <c r="N1649" t="str">
        <f>_xlfn.XLOOKUP(Cleaned[[#This Row],[AccountName]], Account_Mapping!A:A, Account_Mapping!B:B,"Unmapped")</f>
        <v>Revenue</v>
      </c>
      <c r="O1649" cm="1">
        <f t="array" ref="O1649">_xlfn.XLOOKUP(
  1,
  (FX_Rates[Currency]=Cleaned[[#This Row],[Currency]])*
  (FX_Rates[RateDate]&lt;=Cleaned[[#This Row],[TxnDate]]),
  FX_Rates[Rate_To_INR],
  ,
  -1
)</f>
        <v>103</v>
      </c>
      <c r="P1649" s="2">
        <f>Cleaned[[#This Row],[Net Amount]] *  Cleaned[[#This Row],[FX_rates]]</f>
        <v>418516.81</v>
      </c>
    </row>
    <row r="1650" spans="1:16" x14ac:dyDescent="0.45">
      <c r="A1650" t="s">
        <v>1658</v>
      </c>
      <c r="B1650" s="1">
        <v>45169</v>
      </c>
      <c r="C1650" s="2" t="s">
        <v>2012</v>
      </c>
      <c r="D1650" t="s">
        <v>2017</v>
      </c>
      <c r="E1650">
        <v>1920.87</v>
      </c>
      <c r="F1650">
        <f>Cleaned[[#This Row],[Debit]] * Cleaned[[#This Row],[FX_rates]]</f>
        <v>107568.72</v>
      </c>
      <c r="G1650">
        <v>0</v>
      </c>
      <c r="H1650">
        <f>Cleaned[[#This Row],[Credit]] *  Cleaned[[#This Row],[FX_rates]]</f>
        <v>0</v>
      </c>
      <c r="I1650" t="s">
        <v>2024</v>
      </c>
      <c r="J1650" t="s">
        <v>2027</v>
      </c>
      <c r="K1650" t="s">
        <v>3679</v>
      </c>
      <c r="L1650" t="s">
        <v>4033</v>
      </c>
      <c r="M1650">
        <f>Cleaned[[#This Row],[Credit]]-Cleaned[[#This Row],[Debit]]</f>
        <v>-1920.87</v>
      </c>
      <c r="N1650" t="str">
        <f>_xlfn.XLOOKUP(Cleaned[[#This Row],[AccountName]], Account_Mapping!A:A, Account_Mapping!B:B,"Unmapped")</f>
        <v>Operating Expense</v>
      </c>
      <c r="O1650" cm="1">
        <f t="array" ref="O1650">_xlfn.XLOOKUP(
  1,
  (FX_Rates[Currency]=Cleaned[[#This Row],[Currency]])*
  (FX_Rates[RateDate]&lt;=Cleaned[[#This Row],[TxnDate]]),
  FX_Rates[Rate_To_INR],
  ,
  -1
)</f>
        <v>56</v>
      </c>
      <c r="P1650" s="2">
        <f>Cleaned[[#This Row],[Net Amount]] *  Cleaned[[#This Row],[FX_rates]]</f>
        <v>-107568.72</v>
      </c>
    </row>
    <row r="1651" spans="1:16" x14ac:dyDescent="0.45">
      <c r="A1651" t="s">
        <v>1659</v>
      </c>
      <c r="B1651" s="1">
        <v>45502</v>
      </c>
      <c r="C1651" s="2" t="s">
        <v>2012</v>
      </c>
      <c r="D1651" t="s">
        <v>2017</v>
      </c>
      <c r="E1651">
        <v>1167.74</v>
      </c>
      <c r="F1651">
        <f>Cleaned[[#This Row],[Debit]] * Cleaned[[#This Row],[FX_rates]]</f>
        <v>120277.22</v>
      </c>
      <c r="G1651">
        <v>0</v>
      </c>
      <c r="H1651">
        <f>Cleaned[[#This Row],[Credit]] *  Cleaned[[#This Row],[FX_rates]]</f>
        <v>0</v>
      </c>
      <c r="I1651" t="s">
        <v>2024</v>
      </c>
      <c r="J1651" t="s">
        <v>2028</v>
      </c>
      <c r="K1651" t="s">
        <v>3680</v>
      </c>
      <c r="L1651" t="s">
        <v>4031</v>
      </c>
      <c r="M1651">
        <f>Cleaned[[#This Row],[Credit]]-Cleaned[[#This Row],[Debit]]</f>
        <v>-1167.74</v>
      </c>
      <c r="N1651" t="str">
        <f>_xlfn.XLOOKUP(Cleaned[[#This Row],[AccountName]], Account_Mapping!A:A, Account_Mapping!B:B,"Unmapped")</f>
        <v>Operating Expense</v>
      </c>
      <c r="O1651" cm="1">
        <f t="array" ref="O1651">_xlfn.XLOOKUP(
  1,
  (FX_Rates[Currency]=Cleaned[[#This Row],[Currency]])*
  (FX_Rates[RateDate]&lt;=Cleaned[[#This Row],[TxnDate]]),
  FX_Rates[Rate_To_INR],
  ,
  -1
)</f>
        <v>103</v>
      </c>
      <c r="P1651" s="2">
        <f>Cleaned[[#This Row],[Net Amount]] *  Cleaned[[#This Row],[FX_rates]]</f>
        <v>-120277.22</v>
      </c>
    </row>
    <row r="1652" spans="1:16" x14ac:dyDescent="0.45">
      <c r="A1652" t="s">
        <v>1660</v>
      </c>
      <c r="B1652" s="1">
        <v>45784</v>
      </c>
      <c r="C1652" s="2" t="s">
        <v>2011</v>
      </c>
      <c r="D1652" t="s">
        <v>2016</v>
      </c>
      <c r="E1652">
        <v>686.31</v>
      </c>
      <c r="F1652">
        <f>Cleaned[[#This Row],[Debit]] * Cleaned[[#This Row],[FX_rates]]</f>
        <v>56277.42</v>
      </c>
      <c r="G1652">
        <v>0</v>
      </c>
      <c r="H1652">
        <f>Cleaned[[#This Row],[Credit]] *  Cleaned[[#This Row],[FX_rates]]</f>
        <v>0</v>
      </c>
      <c r="I1652" t="s">
        <v>2024</v>
      </c>
      <c r="J1652" t="s">
        <v>2028</v>
      </c>
      <c r="K1652" t="s">
        <v>3681</v>
      </c>
      <c r="L1652" t="s">
        <v>4034</v>
      </c>
      <c r="M1652">
        <f>Cleaned[[#This Row],[Credit]]-Cleaned[[#This Row],[Debit]]</f>
        <v>-686.31</v>
      </c>
      <c r="N1652" t="str">
        <f>_xlfn.XLOOKUP(Cleaned[[#This Row],[AccountName]], Account_Mapping!A:A, Account_Mapping!B:B,"Unmapped")</f>
        <v>COGS</v>
      </c>
      <c r="O1652" cm="1">
        <f t="array" ref="O1652">_xlfn.XLOOKUP(
  1,
  (FX_Rates[Currency]=Cleaned[[#This Row],[Currency]])*
  (FX_Rates[RateDate]&lt;=Cleaned[[#This Row],[TxnDate]]),
  FX_Rates[Rate_To_INR],
  ,
  -1
)</f>
        <v>82</v>
      </c>
      <c r="P1652" s="2">
        <f>Cleaned[[#This Row],[Net Amount]] *  Cleaned[[#This Row],[FX_rates]]</f>
        <v>-56277.42</v>
      </c>
    </row>
    <row r="1653" spans="1:16" x14ac:dyDescent="0.45">
      <c r="A1653" t="s">
        <v>1661</v>
      </c>
      <c r="B1653" s="1">
        <v>45682</v>
      </c>
      <c r="C1653" s="2" t="s">
        <v>2010</v>
      </c>
      <c r="D1653" t="s">
        <v>2015</v>
      </c>
      <c r="E1653">
        <v>0</v>
      </c>
      <c r="F1653">
        <f>Cleaned[[#This Row],[Debit]] * Cleaned[[#This Row],[FX_rates]]</f>
        <v>0</v>
      </c>
      <c r="G1653">
        <v>1294.23</v>
      </c>
      <c r="H1653">
        <f>Cleaned[[#This Row],[Credit]] *  Cleaned[[#This Row],[FX_rates]]</f>
        <v>106126.86</v>
      </c>
      <c r="I1653" t="s">
        <v>2025</v>
      </c>
      <c r="J1653" t="s">
        <v>2027</v>
      </c>
      <c r="K1653" t="s">
        <v>3682</v>
      </c>
      <c r="L1653" t="s">
        <v>4034</v>
      </c>
      <c r="M1653">
        <f>Cleaned[[#This Row],[Credit]]-Cleaned[[#This Row],[Debit]]</f>
        <v>1294.23</v>
      </c>
      <c r="N1653" t="str">
        <f>_xlfn.XLOOKUP(Cleaned[[#This Row],[AccountName]], Account_Mapping!A:A, Account_Mapping!B:B,"Unmapped")</f>
        <v>Revenue</v>
      </c>
      <c r="O1653" cm="1">
        <f t="array" ref="O1653">_xlfn.XLOOKUP(
  1,
  (FX_Rates[Currency]=Cleaned[[#This Row],[Currency]])*
  (FX_Rates[RateDate]&lt;=Cleaned[[#This Row],[TxnDate]]),
  FX_Rates[Rate_To_INR],
  ,
  -1
)</f>
        <v>82</v>
      </c>
      <c r="P1653" s="2">
        <f>Cleaned[[#This Row],[Net Amount]] *  Cleaned[[#This Row],[FX_rates]]</f>
        <v>106126.86</v>
      </c>
    </row>
    <row r="1654" spans="1:16" x14ac:dyDescent="0.45">
      <c r="A1654" t="s">
        <v>1662</v>
      </c>
      <c r="B1654" s="1">
        <v>45493</v>
      </c>
      <c r="C1654" s="2" t="s">
        <v>2013</v>
      </c>
      <c r="D1654" t="s">
        <v>2018</v>
      </c>
      <c r="E1654">
        <v>1657.22</v>
      </c>
      <c r="F1654">
        <f>Cleaned[[#This Row],[Debit]] * Cleaned[[#This Row],[FX_rates]]</f>
        <v>145835.36000000002</v>
      </c>
      <c r="G1654">
        <v>0</v>
      </c>
      <c r="H1654">
        <f>Cleaned[[#This Row],[Credit]] *  Cleaned[[#This Row],[FX_rates]]</f>
        <v>0</v>
      </c>
      <c r="I1654" t="s">
        <v>2022</v>
      </c>
      <c r="J1654" t="s">
        <v>2026</v>
      </c>
      <c r="K1654" t="s">
        <v>3683</v>
      </c>
      <c r="L1654" t="s">
        <v>4032</v>
      </c>
      <c r="M1654">
        <f>Cleaned[[#This Row],[Credit]]-Cleaned[[#This Row],[Debit]]</f>
        <v>-1657.22</v>
      </c>
      <c r="N1654" t="str">
        <f>_xlfn.XLOOKUP(Cleaned[[#This Row],[AccountName]], Account_Mapping!A:A, Account_Mapping!B:B,"Unmapped")</f>
        <v>Operating Expense</v>
      </c>
      <c r="O1654" cm="1">
        <f t="array" ref="O1654">_xlfn.XLOOKUP(
  1,
  (FX_Rates[Currency]=Cleaned[[#This Row],[Currency]])*
  (FX_Rates[RateDate]&lt;=Cleaned[[#This Row],[TxnDate]]),
  FX_Rates[Rate_To_INR],
  ,
  -1
)</f>
        <v>88</v>
      </c>
      <c r="P1654" s="2">
        <f>Cleaned[[#This Row],[Net Amount]] *  Cleaned[[#This Row],[FX_rates]]</f>
        <v>-145835.36000000002</v>
      </c>
    </row>
    <row r="1655" spans="1:16" x14ac:dyDescent="0.45">
      <c r="A1655" t="s">
        <v>1663</v>
      </c>
      <c r="B1655" s="1">
        <v>45455</v>
      </c>
      <c r="C1655" s="2" t="s">
        <v>2014</v>
      </c>
      <c r="D1655" t="s">
        <v>2019</v>
      </c>
      <c r="E1655">
        <v>0</v>
      </c>
      <c r="F1655">
        <f>Cleaned[[#This Row],[Debit]] * Cleaned[[#This Row],[FX_rates]]</f>
        <v>0</v>
      </c>
      <c r="G1655">
        <v>677.29</v>
      </c>
      <c r="H1655">
        <f>Cleaned[[#This Row],[Credit]] *  Cleaned[[#This Row],[FX_rates]]</f>
        <v>55537.78</v>
      </c>
      <c r="I1655" t="s">
        <v>2024</v>
      </c>
      <c r="J1655" t="s">
        <v>2028</v>
      </c>
      <c r="K1655" t="s">
        <v>3684</v>
      </c>
      <c r="L1655" t="s">
        <v>4034</v>
      </c>
      <c r="M1655">
        <f>Cleaned[[#This Row],[Credit]]-Cleaned[[#This Row],[Debit]]</f>
        <v>677.29</v>
      </c>
      <c r="N1655" t="str">
        <f>_xlfn.XLOOKUP(Cleaned[[#This Row],[AccountName]], Account_Mapping!A:A, Account_Mapping!B:B,"Unmapped")</f>
        <v>Revenue</v>
      </c>
      <c r="O1655" cm="1">
        <f t="array" ref="O1655">_xlfn.XLOOKUP(
  1,
  (FX_Rates[Currency]=Cleaned[[#This Row],[Currency]])*
  (FX_Rates[RateDate]&lt;=Cleaned[[#This Row],[TxnDate]]),
  FX_Rates[Rate_To_INR],
  ,
  -1
)</f>
        <v>82</v>
      </c>
      <c r="P1655" s="2">
        <f>Cleaned[[#This Row],[Net Amount]] *  Cleaned[[#This Row],[FX_rates]]</f>
        <v>55537.78</v>
      </c>
    </row>
    <row r="1656" spans="1:16" x14ac:dyDescent="0.45">
      <c r="A1656" t="s">
        <v>1664</v>
      </c>
      <c r="B1656" s="1">
        <v>45604</v>
      </c>
      <c r="C1656" s="2" t="s">
        <v>2012</v>
      </c>
      <c r="D1656" t="s">
        <v>2017</v>
      </c>
      <c r="E1656">
        <v>1765.08</v>
      </c>
      <c r="F1656">
        <f>Cleaned[[#This Row],[Debit]] * Cleaned[[#This Row],[FX_rates]]</f>
        <v>144736.56</v>
      </c>
      <c r="G1656">
        <v>0</v>
      </c>
      <c r="H1656">
        <f>Cleaned[[#This Row],[Credit]] *  Cleaned[[#This Row],[FX_rates]]</f>
        <v>0</v>
      </c>
      <c r="I1656" t="s">
        <v>2022</v>
      </c>
      <c r="J1656" t="s">
        <v>2028</v>
      </c>
      <c r="K1656" t="s">
        <v>3685</v>
      </c>
      <c r="L1656" t="s">
        <v>4034</v>
      </c>
      <c r="M1656">
        <f>Cleaned[[#This Row],[Credit]]-Cleaned[[#This Row],[Debit]]</f>
        <v>-1765.08</v>
      </c>
      <c r="N1656" t="str">
        <f>_xlfn.XLOOKUP(Cleaned[[#This Row],[AccountName]], Account_Mapping!A:A, Account_Mapping!B:B,"Unmapped")</f>
        <v>Operating Expense</v>
      </c>
      <c r="O1656" cm="1">
        <f t="array" ref="O1656">_xlfn.XLOOKUP(
  1,
  (FX_Rates[Currency]=Cleaned[[#This Row],[Currency]])*
  (FX_Rates[RateDate]&lt;=Cleaned[[#This Row],[TxnDate]]),
  FX_Rates[Rate_To_INR],
  ,
  -1
)</f>
        <v>82</v>
      </c>
      <c r="P1656" s="2">
        <f>Cleaned[[#This Row],[Net Amount]] *  Cleaned[[#This Row],[FX_rates]]</f>
        <v>-144736.56</v>
      </c>
    </row>
    <row r="1657" spans="1:16" x14ac:dyDescent="0.45">
      <c r="A1657" t="s">
        <v>1665</v>
      </c>
      <c r="B1657" s="1">
        <v>45218</v>
      </c>
      <c r="C1657" s="2" t="s">
        <v>2010</v>
      </c>
      <c r="D1657" t="s">
        <v>2015</v>
      </c>
      <c r="E1657">
        <v>0</v>
      </c>
      <c r="F1657">
        <f>Cleaned[[#This Row],[Debit]] * Cleaned[[#This Row],[FX_rates]]</f>
        <v>0</v>
      </c>
      <c r="G1657">
        <v>3407.83</v>
      </c>
      <c r="H1657">
        <f>Cleaned[[#This Row],[Credit]] *  Cleaned[[#This Row],[FX_rates]]</f>
        <v>207877.63</v>
      </c>
      <c r="I1657" t="s">
        <v>2020</v>
      </c>
      <c r="J1657" t="s">
        <v>2029</v>
      </c>
      <c r="K1657" t="s">
        <v>3686</v>
      </c>
      <c r="L1657" t="s">
        <v>4035</v>
      </c>
      <c r="M1657">
        <f>Cleaned[[#This Row],[Credit]]-Cleaned[[#This Row],[Debit]]</f>
        <v>3407.83</v>
      </c>
      <c r="N1657" t="str">
        <f>_xlfn.XLOOKUP(Cleaned[[#This Row],[AccountName]], Account_Mapping!A:A, Account_Mapping!B:B,"Unmapped")</f>
        <v>Revenue</v>
      </c>
      <c r="O1657" cm="1">
        <f t="array" ref="O1657">_xlfn.XLOOKUP(
  1,
  (FX_Rates[Currency]=Cleaned[[#This Row],[Currency]])*
  (FX_Rates[RateDate]&lt;=Cleaned[[#This Row],[TxnDate]]),
  FX_Rates[Rate_To_INR],
  ,
  -1
)</f>
        <v>61</v>
      </c>
      <c r="P1657" s="2">
        <f>Cleaned[[#This Row],[Net Amount]] *  Cleaned[[#This Row],[FX_rates]]</f>
        <v>207877.63</v>
      </c>
    </row>
    <row r="1658" spans="1:16" x14ac:dyDescent="0.45">
      <c r="A1658" t="s">
        <v>1666</v>
      </c>
      <c r="B1658" s="1">
        <v>45246</v>
      </c>
      <c r="C1658" s="2" t="s">
        <v>2013</v>
      </c>
      <c r="D1658" t="s">
        <v>2018</v>
      </c>
      <c r="E1658">
        <v>543.41</v>
      </c>
      <c r="F1658">
        <f>Cleaned[[#This Row],[Debit]] * Cleaned[[#This Row],[FX_rates]]</f>
        <v>44559.619999999995</v>
      </c>
      <c r="G1658">
        <v>0</v>
      </c>
      <c r="H1658">
        <f>Cleaned[[#This Row],[Credit]] *  Cleaned[[#This Row],[FX_rates]]</f>
        <v>0</v>
      </c>
      <c r="I1658" t="s">
        <v>2021</v>
      </c>
      <c r="J1658" t="s">
        <v>2028</v>
      </c>
      <c r="K1658" t="s">
        <v>3687</v>
      </c>
      <c r="L1658" t="s">
        <v>4034</v>
      </c>
      <c r="M1658">
        <f>Cleaned[[#This Row],[Credit]]-Cleaned[[#This Row],[Debit]]</f>
        <v>-543.41</v>
      </c>
      <c r="N1658" t="str">
        <f>_xlfn.XLOOKUP(Cleaned[[#This Row],[AccountName]], Account_Mapping!A:A, Account_Mapping!B:B,"Unmapped")</f>
        <v>Operating Expense</v>
      </c>
      <c r="O1658" cm="1">
        <f t="array" ref="O1658">_xlfn.XLOOKUP(
  1,
  (FX_Rates[Currency]=Cleaned[[#This Row],[Currency]])*
  (FX_Rates[RateDate]&lt;=Cleaned[[#This Row],[TxnDate]]),
  FX_Rates[Rate_To_INR],
  ,
  -1
)</f>
        <v>82</v>
      </c>
      <c r="P1658" s="2">
        <f>Cleaned[[#This Row],[Net Amount]] *  Cleaned[[#This Row],[FX_rates]]</f>
        <v>-44559.619999999995</v>
      </c>
    </row>
    <row r="1659" spans="1:16" x14ac:dyDescent="0.45">
      <c r="A1659" t="s">
        <v>1667</v>
      </c>
      <c r="B1659" s="1">
        <v>45116</v>
      </c>
      <c r="C1659" s="2" t="s">
        <v>2011</v>
      </c>
      <c r="D1659" t="s">
        <v>2016</v>
      </c>
      <c r="E1659">
        <v>408.27</v>
      </c>
      <c r="F1659">
        <f>Cleaned[[#This Row],[Debit]] * Cleaned[[#This Row],[FX_rates]]</f>
        <v>35927.759999999995</v>
      </c>
      <c r="G1659">
        <v>0</v>
      </c>
      <c r="H1659">
        <f>Cleaned[[#This Row],[Credit]] *  Cleaned[[#This Row],[FX_rates]]</f>
        <v>0</v>
      </c>
      <c r="I1659" t="s">
        <v>2022</v>
      </c>
      <c r="J1659" t="s">
        <v>2026</v>
      </c>
      <c r="K1659" t="s">
        <v>3688</v>
      </c>
      <c r="L1659" t="s">
        <v>4032</v>
      </c>
      <c r="M1659">
        <f>Cleaned[[#This Row],[Credit]]-Cleaned[[#This Row],[Debit]]</f>
        <v>-408.27</v>
      </c>
      <c r="N1659" t="str">
        <f>_xlfn.XLOOKUP(Cleaned[[#This Row],[AccountName]], Account_Mapping!A:A, Account_Mapping!B:B,"Unmapped")</f>
        <v>COGS</v>
      </c>
      <c r="O1659" cm="1">
        <f t="array" ref="O1659">_xlfn.XLOOKUP(
  1,
  (FX_Rates[Currency]=Cleaned[[#This Row],[Currency]])*
  (FX_Rates[RateDate]&lt;=Cleaned[[#This Row],[TxnDate]]),
  FX_Rates[Rate_To_INR],
  ,
  -1
)</f>
        <v>88</v>
      </c>
      <c r="P1659" s="2">
        <f>Cleaned[[#This Row],[Net Amount]] *  Cleaned[[#This Row],[FX_rates]]</f>
        <v>-35927.759999999995</v>
      </c>
    </row>
    <row r="1660" spans="1:16" x14ac:dyDescent="0.45">
      <c r="A1660" t="s">
        <v>1668</v>
      </c>
      <c r="B1660" s="1">
        <v>45699</v>
      </c>
      <c r="C1660" s="2" t="s">
        <v>2010</v>
      </c>
      <c r="D1660" t="s">
        <v>2015</v>
      </c>
      <c r="E1660">
        <v>0</v>
      </c>
      <c r="F1660">
        <f>Cleaned[[#This Row],[Debit]] * Cleaned[[#This Row],[FX_rates]]</f>
        <v>0</v>
      </c>
      <c r="G1660">
        <v>1300.21</v>
      </c>
      <c r="H1660">
        <f>Cleaned[[#This Row],[Credit]] *  Cleaned[[#This Row],[FX_rates]]</f>
        <v>72811.760000000009</v>
      </c>
      <c r="I1660" t="s">
        <v>2025</v>
      </c>
      <c r="J1660" t="s">
        <v>2028</v>
      </c>
      <c r="K1660" t="s">
        <v>3689</v>
      </c>
      <c r="L1660" t="s">
        <v>4033</v>
      </c>
      <c r="M1660">
        <f>Cleaned[[#This Row],[Credit]]-Cleaned[[#This Row],[Debit]]</f>
        <v>1300.21</v>
      </c>
      <c r="N1660" t="str">
        <f>_xlfn.XLOOKUP(Cleaned[[#This Row],[AccountName]], Account_Mapping!A:A, Account_Mapping!B:B,"Unmapped")</f>
        <v>Revenue</v>
      </c>
      <c r="O1660" cm="1">
        <f t="array" ref="O1660">_xlfn.XLOOKUP(
  1,
  (FX_Rates[Currency]=Cleaned[[#This Row],[Currency]])*
  (FX_Rates[RateDate]&lt;=Cleaned[[#This Row],[TxnDate]]),
  FX_Rates[Rate_To_INR],
  ,
  -1
)</f>
        <v>56</v>
      </c>
      <c r="P1660" s="2">
        <f>Cleaned[[#This Row],[Net Amount]] *  Cleaned[[#This Row],[FX_rates]]</f>
        <v>72811.760000000009</v>
      </c>
    </row>
    <row r="1661" spans="1:16" x14ac:dyDescent="0.45">
      <c r="A1661" t="s">
        <v>1669</v>
      </c>
      <c r="B1661" s="1">
        <v>45093</v>
      </c>
      <c r="C1661" s="2" t="s">
        <v>2011</v>
      </c>
      <c r="D1661" t="s">
        <v>2016</v>
      </c>
      <c r="E1661">
        <v>1326.8</v>
      </c>
      <c r="F1661">
        <f>Cleaned[[#This Row],[Debit]] * Cleaned[[#This Row],[FX_rates]]</f>
        <v>108797.59999999999</v>
      </c>
      <c r="G1661">
        <v>0</v>
      </c>
      <c r="H1661">
        <f>Cleaned[[#This Row],[Credit]] *  Cleaned[[#This Row],[FX_rates]]</f>
        <v>0</v>
      </c>
      <c r="I1661" t="s">
        <v>2025</v>
      </c>
      <c r="J1661" t="s">
        <v>2026</v>
      </c>
      <c r="K1661" t="s">
        <v>3690</v>
      </c>
      <c r="L1661" t="s">
        <v>4034</v>
      </c>
      <c r="M1661">
        <f>Cleaned[[#This Row],[Credit]]-Cleaned[[#This Row],[Debit]]</f>
        <v>-1326.8</v>
      </c>
      <c r="N1661" t="str">
        <f>_xlfn.XLOOKUP(Cleaned[[#This Row],[AccountName]], Account_Mapping!A:A, Account_Mapping!B:B,"Unmapped")</f>
        <v>COGS</v>
      </c>
      <c r="O1661" cm="1">
        <f t="array" ref="O1661">_xlfn.XLOOKUP(
  1,
  (FX_Rates[Currency]=Cleaned[[#This Row],[Currency]])*
  (FX_Rates[RateDate]&lt;=Cleaned[[#This Row],[TxnDate]]),
  FX_Rates[Rate_To_INR],
  ,
  -1
)</f>
        <v>82</v>
      </c>
      <c r="P1661" s="2">
        <f>Cleaned[[#This Row],[Net Amount]] *  Cleaned[[#This Row],[FX_rates]]</f>
        <v>-108797.59999999999</v>
      </c>
    </row>
    <row r="1662" spans="1:16" x14ac:dyDescent="0.45">
      <c r="A1662" t="s">
        <v>1670</v>
      </c>
      <c r="B1662" s="1">
        <v>45745</v>
      </c>
      <c r="C1662" s="2" t="s">
        <v>2010</v>
      </c>
      <c r="D1662" t="s">
        <v>2015</v>
      </c>
      <c r="E1662">
        <v>0</v>
      </c>
      <c r="F1662">
        <f>Cleaned[[#This Row],[Debit]] * Cleaned[[#This Row],[FX_rates]]</f>
        <v>0</v>
      </c>
      <c r="G1662">
        <v>2057.71</v>
      </c>
      <c r="H1662">
        <f>Cleaned[[#This Row],[Credit]] *  Cleaned[[#This Row],[FX_rates]]</f>
        <v>125520.31</v>
      </c>
      <c r="I1662" t="s">
        <v>2023</v>
      </c>
      <c r="J1662" t="s">
        <v>2028</v>
      </c>
      <c r="K1662" t="s">
        <v>3691</v>
      </c>
      <c r="L1662" t="s">
        <v>4035</v>
      </c>
      <c r="M1662">
        <f>Cleaned[[#This Row],[Credit]]-Cleaned[[#This Row],[Debit]]</f>
        <v>2057.71</v>
      </c>
      <c r="N1662" t="str">
        <f>_xlfn.XLOOKUP(Cleaned[[#This Row],[AccountName]], Account_Mapping!A:A, Account_Mapping!B:B,"Unmapped")</f>
        <v>Revenue</v>
      </c>
      <c r="O1662" cm="1">
        <f t="array" ref="O1662">_xlfn.XLOOKUP(
  1,
  (FX_Rates[Currency]=Cleaned[[#This Row],[Currency]])*
  (FX_Rates[RateDate]&lt;=Cleaned[[#This Row],[TxnDate]]),
  FX_Rates[Rate_To_INR],
  ,
  -1
)</f>
        <v>61</v>
      </c>
      <c r="P1662" s="2">
        <f>Cleaned[[#This Row],[Net Amount]] *  Cleaned[[#This Row],[FX_rates]]</f>
        <v>125520.31</v>
      </c>
    </row>
    <row r="1663" spans="1:16" x14ac:dyDescent="0.45">
      <c r="A1663" t="s">
        <v>1671</v>
      </c>
      <c r="B1663" s="1">
        <v>45320</v>
      </c>
      <c r="C1663" s="2" t="s">
        <v>2011</v>
      </c>
      <c r="D1663" t="s">
        <v>2016</v>
      </c>
      <c r="E1663">
        <v>1959.6</v>
      </c>
      <c r="F1663">
        <f>Cleaned[[#This Row],[Debit]] * Cleaned[[#This Row],[FX_rates]]</f>
        <v>109737.59999999999</v>
      </c>
      <c r="G1663">
        <v>0</v>
      </c>
      <c r="H1663">
        <f>Cleaned[[#This Row],[Credit]] *  Cleaned[[#This Row],[FX_rates]]</f>
        <v>0</v>
      </c>
      <c r="I1663" t="s">
        <v>2023</v>
      </c>
      <c r="J1663" t="s">
        <v>2026</v>
      </c>
      <c r="K1663" t="s">
        <v>3692</v>
      </c>
      <c r="L1663" t="s">
        <v>4033</v>
      </c>
      <c r="M1663">
        <f>Cleaned[[#This Row],[Credit]]-Cleaned[[#This Row],[Debit]]</f>
        <v>-1959.6</v>
      </c>
      <c r="N1663" t="str">
        <f>_xlfn.XLOOKUP(Cleaned[[#This Row],[AccountName]], Account_Mapping!A:A, Account_Mapping!B:B,"Unmapped")</f>
        <v>COGS</v>
      </c>
      <c r="O1663" cm="1">
        <f t="array" ref="O1663">_xlfn.XLOOKUP(
  1,
  (FX_Rates[Currency]=Cleaned[[#This Row],[Currency]])*
  (FX_Rates[RateDate]&lt;=Cleaned[[#This Row],[TxnDate]]),
  FX_Rates[Rate_To_INR],
  ,
  -1
)</f>
        <v>56</v>
      </c>
      <c r="P1663" s="2">
        <f>Cleaned[[#This Row],[Net Amount]] *  Cleaned[[#This Row],[FX_rates]]</f>
        <v>-109737.59999999999</v>
      </c>
    </row>
    <row r="1664" spans="1:16" x14ac:dyDescent="0.45">
      <c r="A1664" t="s">
        <v>1672</v>
      </c>
      <c r="B1664" s="1">
        <v>45740</v>
      </c>
      <c r="C1664" s="2" t="s">
        <v>2011</v>
      </c>
      <c r="D1664" t="s">
        <v>2016</v>
      </c>
      <c r="E1664">
        <v>1047.3399999999999</v>
      </c>
      <c r="F1664">
        <f>Cleaned[[#This Row],[Debit]] * Cleaned[[#This Row],[FX_rates]]</f>
        <v>58651.039999999994</v>
      </c>
      <c r="G1664">
        <v>0</v>
      </c>
      <c r="H1664">
        <f>Cleaned[[#This Row],[Credit]] *  Cleaned[[#This Row],[FX_rates]]</f>
        <v>0</v>
      </c>
      <c r="I1664" t="s">
        <v>2021</v>
      </c>
      <c r="J1664" t="s">
        <v>2030</v>
      </c>
      <c r="K1664" t="s">
        <v>3693</v>
      </c>
      <c r="L1664" t="s">
        <v>4033</v>
      </c>
      <c r="M1664">
        <f>Cleaned[[#This Row],[Credit]]-Cleaned[[#This Row],[Debit]]</f>
        <v>-1047.3399999999999</v>
      </c>
      <c r="N1664" t="str">
        <f>_xlfn.XLOOKUP(Cleaned[[#This Row],[AccountName]], Account_Mapping!A:A, Account_Mapping!B:B,"Unmapped")</f>
        <v>COGS</v>
      </c>
      <c r="O1664" cm="1">
        <f t="array" ref="O1664">_xlfn.XLOOKUP(
  1,
  (FX_Rates[Currency]=Cleaned[[#This Row],[Currency]])*
  (FX_Rates[RateDate]&lt;=Cleaned[[#This Row],[TxnDate]]),
  FX_Rates[Rate_To_INR],
  ,
  -1
)</f>
        <v>56</v>
      </c>
      <c r="P1664" s="2">
        <f>Cleaned[[#This Row],[Net Amount]] *  Cleaned[[#This Row],[FX_rates]]</f>
        <v>-58651.039999999994</v>
      </c>
    </row>
    <row r="1665" spans="1:16" x14ac:dyDescent="0.45">
      <c r="A1665" t="s">
        <v>1673</v>
      </c>
      <c r="B1665" s="1">
        <v>45578</v>
      </c>
      <c r="C1665" s="2" t="s">
        <v>2014</v>
      </c>
      <c r="D1665" t="s">
        <v>2019</v>
      </c>
      <c r="E1665">
        <v>0</v>
      </c>
      <c r="F1665">
        <f>Cleaned[[#This Row],[Debit]] * Cleaned[[#This Row],[FX_rates]]</f>
        <v>0</v>
      </c>
      <c r="G1665">
        <v>3260.6</v>
      </c>
      <c r="H1665">
        <f>Cleaned[[#This Row],[Credit]] *  Cleaned[[#This Row],[FX_rates]]</f>
        <v>182593.6</v>
      </c>
      <c r="I1665" t="s">
        <v>2022</v>
      </c>
      <c r="J1665" t="s">
        <v>2028</v>
      </c>
      <c r="K1665" t="s">
        <v>3694</v>
      </c>
      <c r="L1665" t="s">
        <v>4033</v>
      </c>
      <c r="M1665">
        <f>Cleaned[[#This Row],[Credit]]-Cleaned[[#This Row],[Debit]]</f>
        <v>3260.6</v>
      </c>
      <c r="N1665" t="str">
        <f>_xlfn.XLOOKUP(Cleaned[[#This Row],[AccountName]], Account_Mapping!A:A, Account_Mapping!B:B,"Unmapped")</f>
        <v>Revenue</v>
      </c>
      <c r="O1665" cm="1">
        <f t="array" ref="O1665">_xlfn.XLOOKUP(
  1,
  (FX_Rates[Currency]=Cleaned[[#This Row],[Currency]])*
  (FX_Rates[RateDate]&lt;=Cleaned[[#This Row],[TxnDate]]),
  FX_Rates[Rate_To_INR],
  ,
  -1
)</f>
        <v>56</v>
      </c>
      <c r="P1665" s="2">
        <f>Cleaned[[#This Row],[Net Amount]] *  Cleaned[[#This Row],[FX_rates]]</f>
        <v>182593.6</v>
      </c>
    </row>
    <row r="1666" spans="1:16" x14ac:dyDescent="0.45">
      <c r="A1666" t="s">
        <v>1674</v>
      </c>
      <c r="B1666" s="1">
        <v>45062</v>
      </c>
      <c r="C1666" s="2" t="s">
        <v>2012</v>
      </c>
      <c r="D1666" t="s">
        <v>2017</v>
      </c>
      <c r="E1666">
        <v>1149.3599999999999</v>
      </c>
      <c r="F1666">
        <f>Cleaned[[#This Row],[Debit]] * Cleaned[[#This Row],[FX_rates]]</f>
        <v>64364.159999999996</v>
      </c>
      <c r="G1666">
        <v>0</v>
      </c>
      <c r="H1666">
        <f>Cleaned[[#This Row],[Credit]] *  Cleaned[[#This Row],[FX_rates]]</f>
        <v>0</v>
      </c>
      <c r="I1666" t="s">
        <v>2023</v>
      </c>
      <c r="J1666" t="s">
        <v>2028</v>
      </c>
      <c r="K1666" t="s">
        <v>3695</v>
      </c>
      <c r="L1666" t="s">
        <v>4033</v>
      </c>
      <c r="M1666">
        <f>Cleaned[[#This Row],[Credit]]-Cleaned[[#This Row],[Debit]]</f>
        <v>-1149.3599999999999</v>
      </c>
      <c r="N1666" t="str">
        <f>_xlfn.XLOOKUP(Cleaned[[#This Row],[AccountName]], Account_Mapping!A:A, Account_Mapping!B:B,"Unmapped")</f>
        <v>Operating Expense</v>
      </c>
      <c r="O1666" cm="1">
        <f t="array" ref="O1666">_xlfn.XLOOKUP(
  1,
  (FX_Rates[Currency]=Cleaned[[#This Row],[Currency]])*
  (FX_Rates[RateDate]&lt;=Cleaned[[#This Row],[TxnDate]]),
  FX_Rates[Rate_To_INR],
  ,
  -1
)</f>
        <v>56</v>
      </c>
      <c r="P1666" s="2">
        <f>Cleaned[[#This Row],[Net Amount]] *  Cleaned[[#This Row],[FX_rates]]</f>
        <v>-64364.159999999996</v>
      </c>
    </row>
    <row r="1667" spans="1:16" x14ac:dyDescent="0.45">
      <c r="A1667" t="s">
        <v>1675</v>
      </c>
      <c r="B1667" s="1">
        <v>44982</v>
      </c>
      <c r="C1667" s="2" t="s">
        <v>2014</v>
      </c>
      <c r="D1667" t="s">
        <v>2019</v>
      </c>
      <c r="E1667">
        <v>0</v>
      </c>
      <c r="F1667">
        <f>Cleaned[[#This Row],[Debit]] * Cleaned[[#This Row],[FX_rates]]</f>
        <v>0</v>
      </c>
      <c r="G1667">
        <v>1766.14</v>
      </c>
      <c r="H1667">
        <f>Cleaned[[#This Row],[Credit]] *  Cleaned[[#This Row],[FX_rates]]</f>
        <v>107734.54000000001</v>
      </c>
      <c r="I1667" t="s">
        <v>2024</v>
      </c>
      <c r="J1667" t="s">
        <v>2027</v>
      </c>
      <c r="K1667" t="s">
        <v>3696</v>
      </c>
      <c r="L1667" t="s">
        <v>4035</v>
      </c>
      <c r="M1667">
        <f>Cleaned[[#This Row],[Credit]]-Cleaned[[#This Row],[Debit]]</f>
        <v>1766.14</v>
      </c>
      <c r="N1667" t="str">
        <f>_xlfn.XLOOKUP(Cleaned[[#This Row],[AccountName]], Account_Mapping!A:A, Account_Mapping!B:B,"Unmapped")</f>
        <v>Revenue</v>
      </c>
      <c r="O1667" cm="1">
        <f t="array" ref="O1667">_xlfn.XLOOKUP(
  1,
  (FX_Rates[Currency]=Cleaned[[#This Row],[Currency]])*
  (FX_Rates[RateDate]&lt;=Cleaned[[#This Row],[TxnDate]]),
  FX_Rates[Rate_To_INR],
  ,
  -1
)</f>
        <v>61</v>
      </c>
      <c r="P1667" s="2">
        <f>Cleaned[[#This Row],[Net Amount]] *  Cleaned[[#This Row],[FX_rates]]</f>
        <v>107734.54000000001</v>
      </c>
    </row>
    <row r="1668" spans="1:16" x14ac:dyDescent="0.45">
      <c r="A1668" t="s">
        <v>1676</v>
      </c>
      <c r="B1668" s="1">
        <v>45151</v>
      </c>
      <c r="C1668" s="2" t="s">
        <v>2012</v>
      </c>
      <c r="D1668" t="s">
        <v>2017</v>
      </c>
      <c r="E1668">
        <v>1403.79</v>
      </c>
      <c r="F1668">
        <f>Cleaned[[#This Row],[Debit]] * Cleaned[[#This Row],[FX_rates]]</f>
        <v>123533.51999999999</v>
      </c>
      <c r="G1668">
        <v>0</v>
      </c>
      <c r="H1668">
        <f>Cleaned[[#This Row],[Credit]] *  Cleaned[[#This Row],[FX_rates]]</f>
        <v>0</v>
      </c>
      <c r="I1668" t="s">
        <v>2024</v>
      </c>
      <c r="J1668" t="s">
        <v>2028</v>
      </c>
      <c r="K1668" t="s">
        <v>3697</v>
      </c>
      <c r="L1668" t="s">
        <v>4032</v>
      </c>
      <c r="M1668">
        <f>Cleaned[[#This Row],[Credit]]-Cleaned[[#This Row],[Debit]]</f>
        <v>-1403.79</v>
      </c>
      <c r="N1668" t="str">
        <f>_xlfn.XLOOKUP(Cleaned[[#This Row],[AccountName]], Account_Mapping!A:A, Account_Mapping!B:B,"Unmapped")</f>
        <v>Operating Expense</v>
      </c>
      <c r="O1668" cm="1">
        <f t="array" ref="O1668">_xlfn.XLOOKUP(
  1,
  (FX_Rates[Currency]=Cleaned[[#This Row],[Currency]])*
  (FX_Rates[RateDate]&lt;=Cleaned[[#This Row],[TxnDate]]),
  FX_Rates[Rate_To_INR],
  ,
  -1
)</f>
        <v>88</v>
      </c>
      <c r="P1668" s="2">
        <f>Cleaned[[#This Row],[Net Amount]] *  Cleaned[[#This Row],[FX_rates]]</f>
        <v>-123533.51999999999</v>
      </c>
    </row>
    <row r="1669" spans="1:16" x14ac:dyDescent="0.45">
      <c r="A1669" t="s">
        <v>1677</v>
      </c>
      <c r="B1669" s="1">
        <v>45354</v>
      </c>
      <c r="C1669" s="2" t="s">
        <v>2010</v>
      </c>
      <c r="D1669" t="s">
        <v>2015</v>
      </c>
      <c r="E1669">
        <v>0</v>
      </c>
      <c r="F1669">
        <f>Cleaned[[#This Row],[Debit]] * Cleaned[[#This Row],[FX_rates]]</f>
        <v>0</v>
      </c>
      <c r="G1669">
        <v>4061.44</v>
      </c>
      <c r="H1669">
        <f>Cleaned[[#This Row],[Credit]] *  Cleaned[[#This Row],[FX_rates]]</f>
        <v>333038.08000000002</v>
      </c>
      <c r="I1669" t="s">
        <v>2022</v>
      </c>
      <c r="J1669" t="s">
        <v>2030</v>
      </c>
      <c r="K1669" t="s">
        <v>3698</v>
      </c>
      <c r="L1669" t="s">
        <v>4034</v>
      </c>
      <c r="M1669">
        <f>Cleaned[[#This Row],[Credit]]-Cleaned[[#This Row],[Debit]]</f>
        <v>4061.44</v>
      </c>
      <c r="N1669" t="str">
        <f>_xlfn.XLOOKUP(Cleaned[[#This Row],[AccountName]], Account_Mapping!A:A, Account_Mapping!B:B,"Unmapped")</f>
        <v>Revenue</v>
      </c>
      <c r="O1669" cm="1">
        <f t="array" ref="O1669">_xlfn.XLOOKUP(
  1,
  (FX_Rates[Currency]=Cleaned[[#This Row],[Currency]])*
  (FX_Rates[RateDate]&lt;=Cleaned[[#This Row],[TxnDate]]),
  FX_Rates[Rate_To_INR],
  ,
  -1
)</f>
        <v>82</v>
      </c>
      <c r="P1669" s="2">
        <f>Cleaned[[#This Row],[Net Amount]] *  Cleaned[[#This Row],[FX_rates]]</f>
        <v>333038.08000000002</v>
      </c>
    </row>
    <row r="1670" spans="1:16" x14ac:dyDescent="0.45">
      <c r="A1670" t="s">
        <v>1678</v>
      </c>
      <c r="B1670" s="1">
        <v>45026</v>
      </c>
      <c r="C1670" s="2" t="s">
        <v>2013</v>
      </c>
      <c r="D1670" t="s">
        <v>2018</v>
      </c>
      <c r="E1670">
        <v>1472.53</v>
      </c>
      <c r="F1670">
        <f>Cleaned[[#This Row],[Debit]] * Cleaned[[#This Row],[FX_rates]]</f>
        <v>89824.33</v>
      </c>
      <c r="G1670">
        <v>0</v>
      </c>
      <c r="H1670">
        <f>Cleaned[[#This Row],[Credit]] *  Cleaned[[#This Row],[FX_rates]]</f>
        <v>0</v>
      </c>
      <c r="I1670" t="s">
        <v>2021</v>
      </c>
      <c r="J1670" t="s">
        <v>2029</v>
      </c>
      <c r="K1670" t="s">
        <v>3699</v>
      </c>
      <c r="L1670" t="s">
        <v>4035</v>
      </c>
      <c r="M1670">
        <f>Cleaned[[#This Row],[Credit]]-Cleaned[[#This Row],[Debit]]</f>
        <v>-1472.53</v>
      </c>
      <c r="N1670" t="str">
        <f>_xlfn.XLOOKUP(Cleaned[[#This Row],[AccountName]], Account_Mapping!A:A, Account_Mapping!B:B,"Unmapped")</f>
        <v>Operating Expense</v>
      </c>
      <c r="O1670" cm="1">
        <f t="array" ref="O1670">_xlfn.XLOOKUP(
  1,
  (FX_Rates[Currency]=Cleaned[[#This Row],[Currency]])*
  (FX_Rates[RateDate]&lt;=Cleaned[[#This Row],[TxnDate]]),
  FX_Rates[Rate_To_INR],
  ,
  -1
)</f>
        <v>61</v>
      </c>
      <c r="P1670" s="2">
        <f>Cleaned[[#This Row],[Net Amount]] *  Cleaned[[#This Row],[FX_rates]]</f>
        <v>-89824.33</v>
      </c>
    </row>
    <row r="1671" spans="1:16" x14ac:dyDescent="0.45">
      <c r="A1671" t="s">
        <v>1679</v>
      </c>
      <c r="B1671" s="1">
        <v>45269</v>
      </c>
      <c r="C1671" s="2" t="s">
        <v>2014</v>
      </c>
      <c r="D1671" t="s">
        <v>2019</v>
      </c>
      <c r="E1671">
        <v>0</v>
      </c>
      <c r="F1671">
        <f>Cleaned[[#This Row],[Debit]] * Cleaned[[#This Row],[FX_rates]]</f>
        <v>0</v>
      </c>
      <c r="G1671">
        <v>4153.5600000000004</v>
      </c>
      <c r="H1671">
        <f>Cleaned[[#This Row],[Credit]] *  Cleaned[[#This Row],[FX_rates]]</f>
        <v>232599.36000000002</v>
      </c>
      <c r="I1671" t="s">
        <v>2023</v>
      </c>
      <c r="J1671" t="s">
        <v>2027</v>
      </c>
      <c r="K1671" t="s">
        <v>3700</v>
      </c>
      <c r="L1671" t="s">
        <v>4033</v>
      </c>
      <c r="M1671">
        <f>Cleaned[[#This Row],[Credit]]-Cleaned[[#This Row],[Debit]]</f>
        <v>4153.5600000000004</v>
      </c>
      <c r="N1671" t="str">
        <f>_xlfn.XLOOKUP(Cleaned[[#This Row],[AccountName]], Account_Mapping!A:A, Account_Mapping!B:B,"Unmapped")</f>
        <v>Revenue</v>
      </c>
      <c r="O1671" cm="1">
        <f t="array" ref="O1671">_xlfn.XLOOKUP(
  1,
  (FX_Rates[Currency]=Cleaned[[#This Row],[Currency]])*
  (FX_Rates[RateDate]&lt;=Cleaned[[#This Row],[TxnDate]]),
  FX_Rates[Rate_To_INR],
  ,
  -1
)</f>
        <v>56</v>
      </c>
      <c r="P1671" s="2">
        <f>Cleaned[[#This Row],[Net Amount]] *  Cleaned[[#This Row],[FX_rates]]</f>
        <v>232599.36000000002</v>
      </c>
    </row>
    <row r="1672" spans="1:16" x14ac:dyDescent="0.45">
      <c r="A1672" t="s">
        <v>1680</v>
      </c>
      <c r="B1672" s="1">
        <v>44994</v>
      </c>
      <c r="C1672" s="2" t="s">
        <v>2010</v>
      </c>
      <c r="D1672" t="s">
        <v>2015</v>
      </c>
      <c r="E1672">
        <v>0</v>
      </c>
      <c r="F1672">
        <f>Cleaned[[#This Row],[Debit]] * Cleaned[[#This Row],[FX_rates]]</f>
        <v>0</v>
      </c>
      <c r="G1672">
        <v>1559.52</v>
      </c>
      <c r="H1672">
        <f>Cleaned[[#This Row],[Credit]] *  Cleaned[[#This Row],[FX_rates]]</f>
        <v>87333.119999999995</v>
      </c>
      <c r="I1672" t="s">
        <v>2022</v>
      </c>
      <c r="J1672" t="s">
        <v>2027</v>
      </c>
      <c r="K1672" t="s">
        <v>3701</v>
      </c>
      <c r="L1672" t="s">
        <v>4033</v>
      </c>
      <c r="M1672">
        <f>Cleaned[[#This Row],[Credit]]-Cleaned[[#This Row],[Debit]]</f>
        <v>1559.52</v>
      </c>
      <c r="N1672" t="str">
        <f>_xlfn.XLOOKUP(Cleaned[[#This Row],[AccountName]], Account_Mapping!A:A, Account_Mapping!B:B,"Unmapped")</f>
        <v>Revenue</v>
      </c>
      <c r="O1672" cm="1">
        <f t="array" ref="O1672">_xlfn.XLOOKUP(
  1,
  (FX_Rates[Currency]=Cleaned[[#This Row],[Currency]])*
  (FX_Rates[RateDate]&lt;=Cleaned[[#This Row],[TxnDate]]),
  FX_Rates[Rate_To_INR],
  ,
  -1
)</f>
        <v>56</v>
      </c>
      <c r="P1672" s="2">
        <f>Cleaned[[#This Row],[Net Amount]] *  Cleaned[[#This Row],[FX_rates]]</f>
        <v>87333.119999999995</v>
      </c>
    </row>
    <row r="1673" spans="1:16" x14ac:dyDescent="0.45">
      <c r="A1673" t="s">
        <v>1681</v>
      </c>
      <c r="B1673" s="1">
        <v>44999</v>
      </c>
      <c r="C1673" s="2" t="s">
        <v>2011</v>
      </c>
      <c r="D1673" t="s">
        <v>2016</v>
      </c>
      <c r="E1673">
        <v>1478.02</v>
      </c>
      <c r="F1673">
        <f>Cleaned[[#This Row],[Debit]] * Cleaned[[#This Row],[FX_rates]]</f>
        <v>121197.64</v>
      </c>
      <c r="G1673">
        <v>0</v>
      </c>
      <c r="H1673">
        <f>Cleaned[[#This Row],[Credit]] *  Cleaned[[#This Row],[FX_rates]]</f>
        <v>0</v>
      </c>
      <c r="I1673" t="s">
        <v>2024</v>
      </c>
      <c r="J1673" t="s">
        <v>2028</v>
      </c>
      <c r="K1673" t="s">
        <v>3702</v>
      </c>
      <c r="L1673" t="s">
        <v>4034</v>
      </c>
      <c r="M1673">
        <f>Cleaned[[#This Row],[Credit]]-Cleaned[[#This Row],[Debit]]</f>
        <v>-1478.02</v>
      </c>
      <c r="N1673" t="str">
        <f>_xlfn.XLOOKUP(Cleaned[[#This Row],[AccountName]], Account_Mapping!A:A, Account_Mapping!B:B,"Unmapped")</f>
        <v>COGS</v>
      </c>
      <c r="O1673" cm="1">
        <f t="array" ref="O1673">_xlfn.XLOOKUP(
  1,
  (FX_Rates[Currency]=Cleaned[[#This Row],[Currency]])*
  (FX_Rates[RateDate]&lt;=Cleaned[[#This Row],[TxnDate]]),
  FX_Rates[Rate_To_INR],
  ,
  -1
)</f>
        <v>82</v>
      </c>
      <c r="P1673" s="2">
        <f>Cleaned[[#This Row],[Net Amount]] *  Cleaned[[#This Row],[FX_rates]]</f>
        <v>-121197.64</v>
      </c>
    </row>
    <row r="1674" spans="1:16" x14ac:dyDescent="0.45">
      <c r="A1674" t="s">
        <v>1682</v>
      </c>
      <c r="B1674" s="1">
        <v>45169</v>
      </c>
      <c r="C1674" s="2" t="s">
        <v>2012</v>
      </c>
      <c r="D1674" t="s">
        <v>2017</v>
      </c>
      <c r="E1674">
        <v>423.96</v>
      </c>
      <c r="F1674">
        <f>Cleaned[[#This Row],[Debit]] * Cleaned[[#This Row],[FX_rates]]</f>
        <v>25861.559999999998</v>
      </c>
      <c r="G1674">
        <v>0</v>
      </c>
      <c r="H1674">
        <f>Cleaned[[#This Row],[Credit]] *  Cleaned[[#This Row],[FX_rates]]</f>
        <v>0</v>
      </c>
      <c r="I1674" t="s">
        <v>2021</v>
      </c>
      <c r="J1674" t="s">
        <v>2029</v>
      </c>
      <c r="K1674" t="s">
        <v>3703</v>
      </c>
      <c r="L1674" t="s">
        <v>4035</v>
      </c>
      <c r="M1674">
        <f>Cleaned[[#This Row],[Credit]]-Cleaned[[#This Row],[Debit]]</f>
        <v>-423.96</v>
      </c>
      <c r="N1674" t="str">
        <f>_xlfn.XLOOKUP(Cleaned[[#This Row],[AccountName]], Account_Mapping!A:A, Account_Mapping!B:B,"Unmapped")</f>
        <v>Operating Expense</v>
      </c>
      <c r="O1674" cm="1">
        <f t="array" ref="O1674">_xlfn.XLOOKUP(
  1,
  (FX_Rates[Currency]=Cleaned[[#This Row],[Currency]])*
  (FX_Rates[RateDate]&lt;=Cleaned[[#This Row],[TxnDate]]),
  FX_Rates[Rate_To_INR],
  ,
  -1
)</f>
        <v>61</v>
      </c>
      <c r="P1674" s="2">
        <f>Cleaned[[#This Row],[Net Amount]] *  Cleaned[[#This Row],[FX_rates]]</f>
        <v>-25861.559999999998</v>
      </c>
    </row>
    <row r="1675" spans="1:16" x14ac:dyDescent="0.45">
      <c r="A1675" t="s">
        <v>1683</v>
      </c>
      <c r="B1675" s="1">
        <v>44984</v>
      </c>
      <c r="C1675" s="2" t="s">
        <v>2014</v>
      </c>
      <c r="D1675" t="s">
        <v>2019</v>
      </c>
      <c r="E1675">
        <v>0</v>
      </c>
      <c r="F1675">
        <f>Cleaned[[#This Row],[Debit]] * Cleaned[[#This Row],[FX_rates]]</f>
        <v>0</v>
      </c>
      <c r="G1675">
        <v>1027.73</v>
      </c>
      <c r="H1675">
        <f>Cleaned[[#This Row],[Credit]] *  Cleaned[[#This Row],[FX_rates]]</f>
        <v>62691.53</v>
      </c>
      <c r="I1675" t="s">
        <v>2022</v>
      </c>
      <c r="J1675" t="s">
        <v>2029</v>
      </c>
      <c r="K1675" t="s">
        <v>3704</v>
      </c>
      <c r="L1675" t="s">
        <v>4035</v>
      </c>
      <c r="M1675">
        <f>Cleaned[[#This Row],[Credit]]-Cleaned[[#This Row],[Debit]]</f>
        <v>1027.73</v>
      </c>
      <c r="N1675" t="str">
        <f>_xlfn.XLOOKUP(Cleaned[[#This Row],[AccountName]], Account_Mapping!A:A, Account_Mapping!B:B,"Unmapped")</f>
        <v>Revenue</v>
      </c>
      <c r="O1675" cm="1">
        <f t="array" ref="O1675">_xlfn.XLOOKUP(
  1,
  (FX_Rates[Currency]=Cleaned[[#This Row],[Currency]])*
  (FX_Rates[RateDate]&lt;=Cleaned[[#This Row],[TxnDate]]),
  FX_Rates[Rate_To_INR],
  ,
  -1
)</f>
        <v>61</v>
      </c>
      <c r="P1675" s="2">
        <f>Cleaned[[#This Row],[Net Amount]] *  Cleaned[[#This Row],[FX_rates]]</f>
        <v>62691.53</v>
      </c>
    </row>
    <row r="1676" spans="1:16" x14ac:dyDescent="0.45">
      <c r="A1676" t="s">
        <v>1684</v>
      </c>
      <c r="B1676" s="1">
        <v>45570</v>
      </c>
      <c r="C1676" s="2" t="s">
        <v>2010</v>
      </c>
      <c r="D1676" t="s">
        <v>2015</v>
      </c>
      <c r="E1676">
        <v>0</v>
      </c>
      <c r="F1676">
        <f>Cleaned[[#This Row],[Debit]] * Cleaned[[#This Row],[FX_rates]]</f>
        <v>0</v>
      </c>
      <c r="G1676">
        <v>1661.02</v>
      </c>
      <c r="H1676">
        <f>Cleaned[[#This Row],[Credit]] *  Cleaned[[#This Row],[FX_rates]]</f>
        <v>146169.76</v>
      </c>
      <c r="I1676" t="s">
        <v>2024</v>
      </c>
      <c r="J1676" t="s">
        <v>2028</v>
      </c>
      <c r="K1676" t="s">
        <v>3705</v>
      </c>
      <c r="L1676" t="s">
        <v>4032</v>
      </c>
      <c r="M1676">
        <f>Cleaned[[#This Row],[Credit]]-Cleaned[[#This Row],[Debit]]</f>
        <v>1661.02</v>
      </c>
      <c r="N1676" t="str">
        <f>_xlfn.XLOOKUP(Cleaned[[#This Row],[AccountName]], Account_Mapping!A:A, Account_Mapping!B:B,"Unmapped")</f>
        <v>Revenue</v>
      </c>
      <c r="O1676" cm="1">
        <f t="array" ref="O1676">_xlfn.XLOOKUP(
  1,
  (FX_Rates[Currency]=Cleaned[[#This Row],[Currency]])*
  (FX_Rates[RateDate]&lt;=Cleaned[[#This Row],[TxnDate]]),
  FX_Rates[Rate_To_INR],
  ,
  -1
)</f>
        <v>88</v>
      </c>
      <c r="P1676" s="2">
        <f>Cleaned[[#This Row],[Net Amount]] *  Cleaned[[#This Row],[FX_rates]]</f>
        <v>146169.76</v>
      </c>
    </row>
    <row r="1677" spans="1:16" x14ac:dyDescent="0.45">
      <c r="A1677" t="s">
        <v>1685</v>
      </c>
      <c r="B1677" s="1">
        <v>45147</v>
      </c>
      <c r="C1677" s="2" t="s">
        <v>2014</v>
      </c>
      <c r="D1677" t="s">
        <v>2019</v>
      </c>
      <c r="E1677">
        <v>0</v>
      </c>
      <c r="F1677">
        <f>Cleaned[[#This Row],[Debit]] * Cleaned[[#This Row],[FX_rates]]</f>
        <v>0</v>
      </c>
      <c r="G1677">
        <v>1263.17</v>
      </c>
      <c r="H1677">
        <f>Cleaned[[#This Row],[Credit]] *  Cleaned[[#This Row],[FX_rates]]</f>
        <v>111158.96</v>
      </c>
      <c r="I1677" t="s">
        <v>2021</v>
      </c>
      <c r="J1677" t="s">
        <v>2030</v>
      </c>
      <c r="K1677" t="s">
        <v>3706</v>
      </c>
      <c r="L1677" t="s">
        <v>4032</v>
      </c>
      <c r="M1677">
        <f>Cleaned[[#This Row],[Credit]]-Cleaned[[#This Row],[Debit]]</f>
        <v>1263.17</v>
      </c>
      <c r="N1677" t="str">
        <f>_xlfn.XLOOKUP(Cleaned[[#This Row],[AccountName]], Account_Mapping!A:A, Account_Mapping!B:B,"Unmapped")</f>
        <v>Revenue</v>
      </c>
      <c r="O1677" cm="1">
        <f t="array" ref="O1677">_xlfn.XLOOKUP(
  1,
  (FX_Rates[Currency]=Cleaned[[#This Row],[Currency]])*
  (FX_Rates[RateDate]&lt;=Cleaned[[#This Row],[TxnDate]]),
  FX_Rates[Rate_To_INR],
  ,
  -1
)</f>
        <v>88</v>
      </c>
      <c r="P1677" s="2">
        <f>Cleaned[[#This Row],[Net Amount]] *  Cleaned[[#This Row],[FX_rates]]</f>
        <v>111158.96</v>
      </c>
    </row>
    <row r="1678" spans="1:16" x14ac:dyDescent="0.45">
      <c r="A1678" t="s">
        <v>1686</v>
      </c>
      <c r="B1678" s="1">
        <v>45363</v>
      </c>
      <c r="C1678" s="2" t="s">
        <v>2014</v>
      </c>
      <c r="D1678" t="s">
        <v>2019</v>
      </c>
      <c r="E1678">
        <v>0</v>
      </c>
      <c r="F1678">
        <f>Cleaned[[#This Row],[Debit]] * Cleaned[[#This Row],[FX_rates]]</f>
        <v>0</v>
      </c>
      <c r="G1678">
        <v>2207.1799999999998</v>
      </c>
      <c r="H1678">
        <f>Cleaned[[#This Row],[Credit]] *  Cleaned[[#This Row],[FX_rates]]</f>
        <v>227339.53999999998</v>
      </c>
      <c r="I1678" t="s">
        <v>2024</v>
      </c>
      <c r="J1678" t="s">
        <v>2029</v>
      </c>
      <c r="K1678" t="s">
        <v>3707</v>
      </c>
      <c r="L1678" t="s">
        <v>4031</v>
      </c>
      <c r="M1678">
        <f>Cleaned[[#This Row],[Credit]]-Cleaned[[#This Row],[Debit]]</f>
        <v>2207.1799999999998</v>
      </c>
      <c r="N1678" t="str">
        <f>_xlfn.XLOOKUP(Cleaned[[#This Row],[AccountName]], Account_Mapping!A:A, Account_Mapping!B:B,"Unmapped")</f>
        <v>Revenue</v>
      </c>
      <c r="O1678" cm="1">
        <f t="array" ref="O1678">_xlfn.XLOOKUP(
  1,
  (FX_Rates[Currency]=Cleaned[[#This Row],[Currency]])*
  (FX_Rates[RateDate]&lt;=Cleaned[[#This Row],[TxnDate]]),
  FX_Rates[Rate_To_INR],
  ,
  -1
)</f>
        <v>103</v>
      </c>
      <c r="P1678" s="2">
        <f>Cleaned[[#This Row],[Net Amount]] *  Cleaned[[#This Row],[FX_rates]]</f>
        <v>227339.53999999998</v>
      </c>
    </row>
    <row r="1679" spans="1:16" x14ac:dyDescent="0.45">
      <c r="A1679" t="s">
        <v>1687</v>
      </c>
      <c r="B1679" s="1">
        <v>45803</v>
      </c>
      <c r="C1679" s="2" t="s">
        <v>2014</v>
      </c>
      <c r="D1679" t="s">
        <v>2019</v>
      </c>
      <c r="E1679">
        <v>0</v>
      </c>
      <c r="F1679">
        <f>Cleaned[[#This Row],[Debit]] * Cleaned[[#This Row],[FX_rates]]</f>
        <v>0</v>
      </c>
      <c r="G1679">
        <v>3799.96</v>
      </c>
      <c r="H1679">
        <f>Cleaned[[#This Row],[Credit]] *  Cleaned[[#This Row],[FX_rates]]</f>
        <v>311596.72000000003</v>
      </c>
      <c r="I1679" t="s">
        <v>2024</v>
      </c>
      <c r="J1679" t="s">
        <v>2027</v>
      </c>
      <c r="K1679" t="s">
        <v>3708</v>
      </c>
      <c r="L1679" t="s">
        <v>4034</v>
      </c>
      <c r="M1679">
        <f>Cleaned[[#This Row],[Credit]]-Cleaned[[#This Row],[Debit]]</f>
        <v>3799.96</v>
      </c>
      <c r="N1679" t="str">
        <f>_xlfn.XLOOKUP(Cleaned[[#This Row],[AccountName]], Account_Mapping!A:A, Account_Mapping!B:B,"Unmapped")</f>
        <v>Revenue</v>
      </c>
      <c r="O1679" cm="1">
        <f t="array" ref="O1679">_xlfn.XLOOKUP(
  1,
  (FX_Rates[Currency]=Cleaned[[#This Row],[Currency]])*
  (FX_Rates[RateDate]&lt;=Cleaned[[#This Row],[TxnDate]]),
  FX_Rates[Rate_To_INR],
  ,
  -1
)</f>
        <v>82</v>
      </c>
      <c r="P1679" s="2">
        <f>Cleaned[[#This Row],[Net Amount]] *  Cleaned[[#This Row],[FX_rates]]</f>
        <v>311596.72000000003</v>
      </c>
    </row>
    <row r="1680" spans="1:16" x14ac:dyDescent="0.45">
      <c r="A1680" t="s">
        <v>1688</v>
      </c>
      <c r="B1680" s="1">
        <v>45023</v>
      </c>
      <c r="C1680" s="2" t="s">
        <v>2013</v>
      </c>
      <c r="D1680" t="s">
        <v>2018</v>
      </c>
      <c r="E1680">
        <v>1292.8800000000001</v>
      </c>
      <c r="F1680">
        <f>Cleaned[[#This Row],[Debit]] * Cleaned[[#This Row],[FX_rates]]</f>
        <v>113773.44</v>
      </c>
      <c r="G1680">
        <v>0</v>
      </c>
      <c r="H1680">
        <f>Cleaned[[#This Row],[Credit]] *  Cleaned[[#This Row],[FX_rates]]</f>
        <v>0</v>
      </c>
      <c r="I1680" t="s">
        <v>2025</v>
      </c>
      <c r="J1680" t="s">
        <v>2029</v>
      </c>
      <c r="K1680" t="s">
        <v>3709</v>
      </c>
      <c r="L1680" t="s">
        <v>4032</v>
      </c>
      <c r="M1680">
        <f>Cleaned[[#This Row],[Credit]]-Cleaned[[#This Row],[Debit]]</f>
        <v>-1292.8800000000001</v>
      </c>
      <c r="N1680" t="str">
        <f>_xlfn.XLOOKUP(Cleaned[[#This Row],[AccountName]], Account_Mapping!A:A, Account_Mapping!B:B,"Unmapped")</f>
        <v>Operating Expense</v>
      </c>
      <c r="O1680" cm="1">
        <f t="array" ref="O1680">_xlfn.XLOOKUP(
  1,
  (FX_Rates[Currency]=Cleaned[[#This Row],[Currency]])*
  (FX_Rates[RateDate]&lt;=Cleaned[[#This Row],[TxnDate]]),
  FX_Rates[Rate_To_INR],
  ,
  -1
)</f>
        <v>88</v>
      </c>
      <c r="P1680" s="2">
        <f>Cleaned[[#This Row],[Net Amount]] *  Cleaned[[#This Row],[FX_rates]]</f>
        <v>-113773.44</v>
      </c>
    </row>
    <row r="1681" spans="1:16" x14ac:dyDescent="0.45">
      <c r="A1681" t="s">
        <v>1689</v>
      </c>
      <c r="B1681" s="1">
        <v>45613</v>
      </c>
      <c r="C1681" s="2" t="s">
        <v>2011</v>
      </c>
      <c r="D1681" t="s">
        <v>2016</v>
      </c>
      <c r="E1681">
        <v>154.07</v>
      </c>
      <c r="F1681">
        <f>Cleaned[[#This Row],[Debit]] * Cleaned[[#This Row],[FX_rates]]</f>
        <v>13558.16</v>
      </c>
      <c r="G1681">
        <v>0</v>
      </c>
      <c r="H1681">
        <f>Cleaned[[#This Row],[Credit]] *  Cleaned[[#This Row],[FX_rates]]</f>
        <v>0</v>
      </c>
      <c r="I1681" t="s">
        <v>2023</v>
      </c>
      <c r="J1681" t="s">
        <v>2028</v>
      </c>
      <c r="K1681" t="s">
        <v>3710</v>
      </c>
      <c r="L1681" t="s">
        <v>4032</v>
      </c>
      <c r="M1681">
        <f>Cleaned[[#This Row],[Credit]]-Cleaned[[#This Row],[Debit]]</f>
        <v>-154.07</v>
      </c>
      <c r="N1681" t="str">
        <f>_xlfn.XLOOKUP(Cleaned[[#This Row],[AccountName]], Account_Mapping!A:A, Account_Mapping!B:B,"Unmapped")</f>
        <v>COGS</v>
      </c>
      <c r="O1681" cm="1">
        <f t="array" ref="O1681">_xlfn.XLOOKUP(
  1,
  (FX_Rates[Currency]=Cleaned[[#This Row],[Currency]])*
  (FX_Rates[RateDate]&lt;=Cleaned[[#This Row],[TxnDate]]),
  FX_Rates[Rate_To_INR],
  ,
  -1
)</f>
        <v>88</v>
      </c>
      <c r="P1681" s="2">
        <f>Cleaned[[#This Row],[Net Amount]] *  Cleaned[[#This Row],[FX_rates]]</f>
        <v>-13558.16</v>
      </c>
    </row>
    <row r="1682" spans="1:16" x14ac:dyDescent="0.45">
      <c r="A1682" t="s">
        <v>1690</v>
      </c>
      <c r="B1682" s="1">
        <v>45672</v>
      </c>
      <c r="C1682" s="2" t="s">
        <v>2012</v>
      </c>
      <c r="D1682" t="s">
        <v>2017</v>
      </c>
      <c r="E1682">
        <v>1751.78</v>
      </c>
      <c r="F1682">
        <f>Cleaned[[#This Row],[Debit]] * Cleaned[[#This Row],[FX_rates]]</f>
        <v>143645.96</v>
      </c>
      <c r="G1682">
        <v>0</v>
      </c>
      <c r="H1682">
        <f>Cleaned[[#This Row],[Credit]] *  Cleaned[[#This Row],[FX_rates]]</f>
        <v>0</v>
      </c>
      <c r="I1682" t="s">
        <v>2025</v>
      </c>
      <c r="J1682" t="s">
        <v>2027</v>
      </c>
      <c r="K1682" t="s">
        <v>3711</v>
      </c>
      <c r="L1682" t="s">
        <v>4034</v>
      </c>
      <c r="M1682">
        <f>Cleaned[[#This Row],[Credit]]-Cleaned[[#This Row],[Debit]]</f>
        <v>-1751.78</v>
      </c>
      <c r="N1682" t="str">
        <f>_xlfn.XLOOKUP(Cleaned[[#This Row],[AccountName]], Account_Mapping!A:A, Account_Mapping!B:B,"Unmapped")</f>
        <v>Operating Expense</v>
      </c>
      <c r="O1682" cm="1">
        <f t="array" ref="O1682">_xlfn.XLOOKUP(
  1,
  (FX_Rates[Currency]=Cleaned[[#This Row],[Currency]])*
  (FX_Rates[RateDate]&lt;=Cleaned[[#This Row],[TxnDate]]),
  FX_Rates[Rate_To_INR],
  ,
  -1
)</f>
        <v>82</v>
      </c>
      <c r="P1682" s="2">
        <f>Cleaned[[#This Row],[Net Amount]] *  Cleaned[[#This Row],[FX_rates]]</f>
        <v>-143645.96</v>
      </c>
    </row>
    <row r="1683" spans="1:16" x14ac:dyDescent="0.45">
      <c r="A1683" t="s">
        <v>1691</v>
      </c>
      <c r="B1683" s="1">
        <v>45636</v>
      </c>
      <c r="C1683" s="2" t="s">
        <v>2014</v>
      </c>
      <c r="D1683" t="s">
        <v>2019</v>
      </c>
      <c r="E1683">
        <v>0</v>
      </c>
      <c r="F1683">
        <f>Cleaned[[#This Row],[Debit]] * Cleaned[[#This Row],[FX_rates]]</f>
        <v>0</v>
      </c>
      <c r="G1683">
        <v>635.34</v>
      </c>
      <c r="H1683">
        <f>Cleaned[[#This Row],[Credit]] *  Cleaned[[#This Row],[FX_rates]]</f>
        <v>35579.040000000001</v>
      </c>
      <c r="I1683" t="s">
        <v>2021</v>
      </c>
      <c r="J1683" t="s">
        <v>2028</v>
      </c>
      <c r="K1683" t="s">
        <v>3712</v>
      </c>
      <c r="L1683" t="s">
        <v>4033</v>
      </c>
      <c r="M1683">
        <f>Cleaned[[#This Row],[Credit]]-Cleaned[[#This Row],[Debit]]</f>
        <v>635.34</v>
      </c>
      <c r="N1683" t="str">
        <f>_xlfn.XLOOKUP(Cleaned[[#This Row],[AccountName]], Account_Mapping!A:A, Account_Mapping!B:B,"Unmapped")</f>
        <v>Revenue</v>
      </c>
      <c r="O1683" cm="1">
        <f t="array" ref="O1683">_xlfn.XLOOKUP(
  1,
  (FX_Rates[Currency]=Cleaned[[#This Row],[Currency]])*
  (FX_Rates[RateDate]&lt;=Cleaned[[#This Row],[TxnDate]]),
  FX_Rates[Rate_To_INR],
  ,
  -1
)</f>
        <v>56</v>
      </c>
      <c r="P1683" s="2">
        <f>Cleaned[[#This Row],[Net Amount]] *  Cleaned[[#This Row],[FX_rates]]</f>
        <v>35579.040000000001</v>
      </c>
    </row>
    <row r="1684" spans="1:16" x14ac:dyDescent="0.45">
      <c r="A1684" t="s">
        <v>1692</v>
      </c>
      <c r="B1684" s="1">
        <v>45517</v>
      </c>
      <c r="C1684" s="2" t="s">
        <v>2011</v>
      </c>
      <c r="D1684" t="s">
        <v>2016</v>
      </c>
      <c r="E1684">
        <v>534.29</v>
      </c>
      <c r="F1684">
        <f>Cleaned[[#This Row],[Debit]] * Cleaned[[#This Row],[FX_rates]]</f>
        <v>47017.52</v>
      </c>
      <c r="G1684">
        <v>0</v>
      </c>
      <c r="H1684">
        <f>Cleaned[[#This Row],[Credit]] *  Cleaned[[#This Row],[FX_rates]]</f>
        <v>0</v>
      </c>
      <c r="I1684" t="s">
        <v>2022</v>
      </c>
      <c r="J1684" t="s">
        <v>2030</v>
      </c>
      <c r="K1684" t="s">
        <v>3713</v>
      </c>
      <c r="L1684" t="s">
        <v>4032</v>
      </c>
      <c r="M1684">
        <f>Cleaned[[#This Row],[Credit]]-Cleaned[[#This Row],[Debit]]</f>
        <v>-534.29</v>
      </c>
      <c r="N1684" t="str">
        <f>_xlfn.XLOOKUP(Cleaned[[#This Row],[AccountName]], Account_Mapping!A:A, Account_Mapping!B:B,"Unmapped")</f>
        <v>COGS</v>
      </c>
      <c r="O1684" cm="1">
        <f t="array" ref="O1684">_xlfn.XLOOKUP(
  1,
  (FX_Rates[Currency]=Cleaned[[#This Row],[Currency]])*
  (FX_Rates[RateDate]&lt;=Cleaned[[#This Row],[TxnDate]]),
  FX_Rates[Rate_To_INR],
  ,
  -1
)</f>
        <v>88</v>
      </c>
      <c r="P1684" s="2">
        <f>Cleaned[[#This Row],[Net Amount]] *  Cleaned[[#This Row],[FX_rates]]</f>
        <v>-47017.52</v>
      </c>
    </row>
    <row r="1685" spans="1:16" x14ac:dyDescent="0.45">
      <c r="A1685" t="s">
        <v>1693</v>
      </c>
      <c r="B1685" s="1">
        <v>45503</v>
      </c>
      <c r="C1685" s="2" t="s">
        <v>2013</v>
      </c>
      <c r="D1685" t="s">
        <v>2018</v>
      </c>
      <c r="E1685">
        <v>1212.18</v>
      </c>
      <c r="F1685">
        <f>Cleaned[[#This Row],[Debit]] * Cleaned[[#This Row],[FX_rates]]</f>
        <v>106671.84000000001</v>
      </c>
      <c r="G1685">
        <v>0</v>
      </c>
      <c r="H1685">
        <f>Cleaned[[#This Row],[Credit]] *  Cleaned[[#This Row],[FX_rates]]</f>
        <v>0</v>
      </c>
      <c r="I1685" t="s">
        <v>2020</v>
      </c>
      <c r="J1685" t="s">
        <v>2027</v>
      </c>
      <c r="K1685" t="s">
        <v>3714</v>
      </c>
      <c r="L1685" t="s">
        <v>4032</v>
      </c>
      <c r="M1685">
        <f>Cleaned[[#This Row],[Credit]]-Cleaned[[#This Row],[Debit]]</f>
        <v>-1212.18</v>
      </c>
      <c r="N1685" t="str">
        <f>_xlfn.XLOOKUP(Cleaned[[#This Row],[AccountName]], Account_Mapping!A:A, Account_Mapping!B:B,"Unmapped")</f>
        <v>Operating Expense</v>
      </c>
      <c r="O1685" cm="1">
        <f t="array" ref="O1685">_xlfn.XLOOKUP(
  1,
  (FX_Rates[Currency]=Cleaned[[#This Row],[Currency]])*
  (FX_Rates[RateDate]&lt;=Cleaned[[#This Row],[TxnDate]]),
  FX_Rates[Rate_To_INR],
  ,
  -1
)</f>
        <v>88</v>
      </c>
      <c r="P1685" s="2">
        <f>Cleaned[[#This Row],[Net Amount]] *  Cleaned[[#This Row],[FX_rates]]</f>
        <v>-106671.84000000001</v>
      </c>
    </row>
    <row r="1686" spans="1:16" x14ac:dyDescent="0.45">
      <c r="A1686" t="s">
        <v>1694</v>
      </c>
      <c r="B1686" s="1">
        <v>45552</v>
      </c>
      <c r="C1686" s="2" t="s">
        <v>2011</v>
      </c>
      <c r="D1686" t="s">
        <v>2016</v>
      </c>
      <c r="E1686">
        <v>1830.4</v>
      </c>
      <c r="F1686">
        <f>Cleaned[[#This Row],[Debit]] * Cleaned[[#This Row],[FX_rates]]</f>
        <v>111654.40000000001</v>
      </c>
      <c r="G1686">
        <v>0</v>
      </c>
      <c r="H1686">
        <f>Cleaned[[#This Row],[Credit]] *  Cleaned[[#This Row],[FX_rates]]</f>
        <v>0</v>
      </c>
      <c r="I1686" t="s">
        <v>2021</v>
      </c>
      <c r="J1686" t="s">
        <v>2028</v>
      </c>
      <c r="K1686" t="s">
        <v>3715</v>
      </c>
      <c r="L1686" t="s">
        <v>4035</v>
      </c>
      <c r="M1686">
        <f>Cleaned[[#This Row],[Credit]]-Cleaned[[#This Row],[Debit]]</f>
        <v>-1830.4</v>
      </c>
      <c r="N1686" t="str">
        <f>_xlfn.XLOOKUP(Cleaned[[#This Row],[AccountName]], Account_Mapping!A:A, Account_Mapping!B:B,"Unmapped")</f>
        <v>COGS</v>
      </c>
      <c r="O1686" cm="1">
        <f t="array" ref="O1686">_xlfn.XLOOKUP(
  1,
  (FX_Rates[Currency]=Cleaned[[#This Row],[Currency]])*
  (FX_Rates[RateDate]&lt;=Cleaned[[#This Row],[TxnDate]]),
  FX_Rates[Rate_To_INR],
  ,
  -1
)</f>
        <v>61</v>
      </c>
      <c r="P1686" s="2">
        <f>Cleaned[[#This Row],[Net Amount]] *  Cleaned[[#This Row],[FX_rates]]</f>
        <v>-111654.40000000001</v>
      </c>
    </row>
    <row r="1687" spans="1:16" x14ac:dyDescent="0.45">
      <c r="A1687" t="s">
        <v>1695</v>
      </c>
      <c r="B1687" s="1">
        <v>45016</v>
      </c>
      <c r="C1687" s="2" t="s">
        <v>2014</v>
      </c>
      <c r="D1687" t="s">
        <v>2019</v>
      </c>
      <c r="E1687">
        <v>0</v>
      </c>
      <c r="F1687">
        <f>Cleaned[[#This Row],[Debit]] * Cleaned[[#This Row],[FX_rates]]</f>
        <v>0</v>
      </c>
      <c r="G1687">
        <v>1032.3800000000001</v>
      </c>
      <c r="H1687">
        <f>Cleaned[[#This Row],[Credit]] *  Cleaned[[#This Row],[FX_rates]]</f>
        <v>57813.280000000006</v>
      </c>
      <c r="I1687" t="s">
        <v>2025</v>
      </c>
      <c r="J1687" t="s">
        <v>2028</v>
      </c>
      <c r="K1687" t="s">
        <v>3716</v>
      </c>
      <c r="L1687" t="s">
        <v>4033</v>
      </c>
      <c r="M1687">
        <f>Cleaned[[#This Row],[Credit]]-Cleaned[[#This Row],[Debit]]</f>
        <v>1032.3800000000001</v>
      </c>
      <c r="N1687" t="str">
        <f>_xlfn.XLOOKUP(Cleaned[[#This Row],[AccountName]], Account_Mapping!A:A, Account_Mapping!B:B,"Unmapped")</f>
        <v>Revenue</v>
      </c>
      <c r="O1687" cm="1">
        <f t="array" ref="O1687">_xlfn.XLOOKUP(
  1,
  (FX_Rates[Currency]=Cleaned[[#This Row],[Currency]])*
  (FX_Rates[RateDate]&lt;=Cleaned[[#This Row],[TxnDate]]),
  FX_Rates[Rate_To_INR],
  ,
  -1
)</f>
        <v>56</v>
      </c>
      <c r="P1687" s="2">
        <f>Cleaned[[#This Row],[Net Amount]] *  Cleaned[[#This Row],[FX_rates]]</f>
        <v>57813.280000000006</v>
      </c>
    </row>
    <row r="1688" spans="1:16" x14ac:dyDescent="0.45">
      <c r="A1688" t="s">
        <v>1696</v>
      </c>
      <c r="B1688" s="1">
        <v>44967</v>
      </c>
      <c r="C1688" s="2" t="s">
        <v>2010</v>
      </c>
      <c r="D1688" t="s">
        <v>2015</v>
      </c>
      <c r="E1688">
        <v>0</v>
      </c>
      <c r="F1688">
        <f>Cleaned[[#This Row],[Debit]] * Cleaned[[#This Row],[FX_rates]]</f>
        <v>0</v>
      </c>
      <c r="G1688">
        <v>2620.3200000000002</v>
      </c>
      <c r="H1688">
        <f>Cleaned[[#This Row],[Credit]] *  Cleaned[[#This Row],[FX_rates]]</f>
        <v>159839.52000000002</v>
      </c>
      <c r="I1688" t="s">
        <v>2024</v>
      </c>
      <c r="J1688" t="s">
        <v>2026</v>
      </c>
      <c r="K1688" t="s">
        <v>3717</v>
      </c>
      <c r="L1688" t="s">
        <v>4035</v>
      </c>
      <c r="M1688">
        <f>Cleaned[[#This Row],[Credit]]-Cleaned[[#This Row],[Debit]]</f>
        <v>2620.3200000000002</v>
      </c>
      <c r="N1688" t="str">
        <f>_xlfn.XLOOKUP(Cleaned[[#This Row],[AccountName]], Account_Mapping!A:A, Account_Mapping!B:B,"Unmapped")</f>
        <v>Revenue</v>
      </c>
      <c r="O1688" cm="1">
        <f t="array" ref="O1688">_xlfn.XLOOKUP(
  1,
  (FX_Rates[Currency]=Cleaned[[#This Row],[Currency]])*
  (FX_Rates[RateDate]&lt;=Cleaned[[#This Row],[TxnDate]]),
  FX_Rates[Rate_To_INR],
  ,
  -1
)</f>
        <v>61</v>
      </c>
      <c r="P1688" s="2">
        <f>Cleaned[[#This Row],[Net Amount]] *  Cleaned[[#This Row],[FX_rates]]</f>
        <v>159839.52000000002</v>
      </c>
    </row>
    <row r="1689" spans="1:16" x14ac:dyDescent="0.45">
      <c r="A1689" t="s">
        <v>1697</v>
      </c>
      <c r="B1689" s="1">
        <v>45527</v>
      </c>
      <c r="C1689" s="2" t="s">
        <v>2014</v>
      </c>
      <c r="D1689" t="s">
        <v>2019</v>
      </c>
      <c r="E1689">
        <v>0</v>
      </c>
      <c r="F1689">
        <f>Cleaned[[#This Row],[Debit]] * Cleaned[[#This Row],[FX_rates]]</f>
        <v>0</v>
      </c>
      <c r="G1689">
        <v>4016.77</v>
      </c>
      <c r="H1689">
        <f>Cleaned[[#This Row],[Credit]] *  Cleaned[[#This Row],[FX_rates]]</f>
        <v>245022.97</v>
      </c>
      <c r="I1689" t="s">
        <v>2024</v>
      </c>
      <c r="J1689" t="s">
        <v>2027</v>
      </c>
      <c r="K1689" t="s">
        <v>3718</v>
      </c>
      <c r="L1689" t="s">
        <v>4035</v>
      </c>
      <c r="M1689">
        <f>Cleaned[[#This Row],[Credit]]-Cleaned[[#This Row],[Debit]]</f>
        <v>4016.77</v>
      </c>
      <c r="N1689" t="str">
        <f>_xlfn.XLOOKUP(Cleaned[[#This Row],[AccountName]], Account_Mapping!A:A, Account_Mapping!B:B,"Unmapped")</f>
        <v>Revenue</v>
      </c>
      <c r="O1689" cm="1">
        <f t="array" ref="O1689">_xlfn.XLOOKUP(
  1,
  (FX_Rates[Currency]=Cleaned[[#This Row],[Currency]])*
  (FX_Rates[RateDate]&lt;=Cleaned[[#This Row],[TxnDate]]),
  FX_Rates[Rate_To_INR],
  ,
  -1
)</f>
        <v>61</v>
      </c>
      <c r="P1689" s="2">
        <f>Cleaned[[#This Row],[Net Amount]] *  Cleaned[[#This Row],[FX_rates]]</f>
        <v>245022.97</v>
      </c>
    </row>
    <row r="1690" spans="1:16" x14ac:dyDescent="0.45">
      <c r="A1690" t="s">
        <v>1698</v>
      </c>
      <c r="B1690" s="1">
        <v>45409</v>
      </c>
      <c r="C1690" s="2" t="s">
        <v>2011</v>
      </c>
      <c r="D1690" t="s">
        <v>2016</v>
      </c>
      <c r="E1690">
        <v>575</v>
      </c>
      <c r="F1690">
        <f>Cleaned[[#This Row],[Debit]] * Cleaned[[#This Row],[FX_rates]]</f>
        <v>50600</v>
      </c>
      <c r="G1690">
        <v>0</v>
      </c>
      <c r="H1690">
        <f>Cleaned[[#This Row],[Credit]] *  Cleaned[[#This Row],[FX_rates]]</f>
        <v>0</v>
      </c>
      <c r="I1690" t="s">
        <v>2024</v>
      </c>
      <c r="J1690" t="s">
        <v>2026</v>
      </c>
      <c r="K1690" t="s">
        <v>3719</v>
      </c>
      <c r="L1690" t="s">
        <v>4032</v>
      </c>
      <c r="M1690">
        <f>Cleaned[[#This Row],[Credit]]-Cleaned[[#This Row],[Debit]]</f>
        <v>-575</v>
      </c>
      <c r="N1690" t="str">
        <f>_xlfn.XLOOKUP(Cleaned[[#This Row],[AccountName]], Account_Mapping!A:A, Account_Mapping!B:B,"Unmapped")</f>
        <v>COGS</v>
      </c>
      <c r="O1690" cm="1">
        <f t="array" ref="O1690">_xlfn.XLOOKUP(
  1,
  (FX_Rates[Currency]=Cleaned[[#This Row],[Currency]])*
  (FX_Rates[RateDate]&lt;=Cleaned[[#This Row],[TxnDate]]),
  FX_Rates[Rate_To_INR],
  ,
  -1
)</f>
        <v>88</v>
      </c>
      <c r="P1690" s="2">
        <f>Cleaned[[#This Row],[Net Amount]] *  Cleaned[[#This Row],[FX_rates]]</f>
        <v>-50600</v>
      </c>
    </row>
    <row r="1691" spans="1:16" x14ac:dyDescent="0.45">
      <c r="A1691" t="s">
        <v>1699</v>
      </c>
      <c r="B1691" s="1">
        <v>45725</v>
      </c>
      <c r="C1691" s="2" t="s">
        <v>2013</v>
      </c>
      <c r="D1691" t="s">
        <v>2018</v>
      </c>
      <c r="E1691">
        <v>692.19</v>
      </c>
      <c r="F1691">
        <f>Cleaned[[#This Row],[Debit]] * Cleaned[[#This Row],[FX_rates]]</f>
        <v>60912.72</v>
      </c>
      <c r="G1691">
        <v>0</v>
      </c>
      <c r="H1691">
        <f>Cleaned[[#This Row],[Credit]] *  Cleaned[[#This Row],[FX_rates]]</f>
        <v>0</v>
      </c>
      <c r="I1691" t="s">
        <v>2025</v>
      </c>
      <c r="J1691" t="s">
        <v>2027</v>
      </c>
      <c r="K1691" t="s">
        <v>3720</v>
      </c>
      <c r="L1691" t="s">
        <v>4032</v>
      </c>
      <c r="M1691">
        <f>Cleaned[[#This Row],[Credit]]-Cleaned[[#This Row],[Debit]]</f>
        <v>-692.19</v>
      </c>
      <c r="N1691" t="str">
        <f>_xlfn.XLOOKUP(Cleaned[[#This Row],[AccountName]], Account_Mapping!A:A, Account_Mapping!B:B,"Unmapped")</f>
        <v>Operating Expense</v>
      </c>
      <c r="O1691" cm="1">
        <f t="array" ref="O1691">_xlfn.XLOOKUP(
  1,
  (FX_Rates[Currency]=Cleaned[[#This Row],[Currency]])*
  (FX_Rates[RateDate]&lt;=Cleaned[[#This Row],[TxnDate]]),
  FX_Rates[Rate_To_INR],
  ,
  -1
)</f>
        <v>88</v>
      </c>
      <c r="P1691" s="2">
        <f>Cleaned[[#This Row],[Net Amount]] *  Cleaned[[#This Row],[FX_rates]]</f>
        <v>-60912.72</v>
      </c>
    </row>
    <row r="1692" spans="1:16" x14ac:dyDescent="0.45">
      <c r="A1692" t="s">
        <v>1700</v>
      </c>
      <c r="B1692" s="1">
        <v>45831</v>
      </c>
      <c r="C1692" s="2" t="s">
        <v>2010</v>
      </c>
      <c r="D1692" t="s">
        <v>2015</v>
      </c>
      <c r="E1692">
        <v>0</v>
      </c>
      <c r="F1692">
        <f>Cleaned[[#This Row],[Debit]] * Cleaned[[#This Row],[FX_rates]]</f>
        <v>0</v>
      </c>
      <c r="G1692">
        <v>129.38999999999999</v>
      </c>
      <c r="H1692">
        <f>Cleaned[[#This Row],[Credit]] *  Cleaned[[#This Row],[FX_rates]]</f>
        <v>7892.7899999999991</v>
      </c>
      <c r="I1692" t="s">
        <v>2024</v>
      </c>
      <c r="J1692" t="s">
        <v>2028</v>
      </c>
      <c r="K1692" t="s">
        <v>3721</v>
      </c>
      <c r="L1692" t="s">
        <v>4035</v>
      </c>
      <c r="M1692">
        <f>Cleaned[[#This Row],[Credit]]-Cleaned[[#This Row],[Debit]]</f>
        <v>129.38999999999999</v>
      </c>
      <c r="N1692" t="str">
        <f>_xlfn.XLOOKUP(Cleaned[[#This Row],[AccountName]], Account_Mapping!A:A, Account_Mapping!B:B,"Unmapped")</f>
        <v>Revenue</v>
      </c>
      <c r="O1692" cm="1">
        <f t="array" ref="O1692">_xlfn.XLOOKUP(
  1,
  (FX_Rates[Currency]=Cleaned[[#This Row],[Currency]])*
  (FX_Rates[RateDate]&lt;=Cleaned[[#This Row],[TxnDate]]),
  FX_Rates[Rate_To_INR],
  ,
  -1
)</f>
        <v>61</v>
      </c>
      <c r="P1692" s="2">
        <f>Cleaned[[#This Row],[Net Amount]] *  Cleaned[[#This Row],[FX_rates]]</f>
        <v>7892.7899999999991</v>
      </c>
    </row>
    <row r="1693" spans="1:16" x14ac:dyDescent="0.45">
      <c r="A1693" t="s">
        <v>1701</v>
      </c>
      <c r="B1693" s="1">
        <v>45435</v>
      </c>
      <c r="C1693" s="2" t="s">
        <v>2012</v>
      </c>
      <c r="D1693" t="s">
        <v>2017</v>
      </c>
      <c r="E1693">
        <v>739.61</v>
      </c>
      <c r="F1693">
        <f>Cleaned[[#This Row],[Debit]] * Cleaned[[#This Row],[FX_rates]]</f>
        <v>65085.68</v>
      </c>
      <c r="G1693">
        <v>0</v>
      </c>
      <c r="H1693">
        <f>Cleaned[[#This Row],[Credit]] *  Cleaned[[#This Row],[FX_rates]]</f>
        <v>0</v>
      </c>
      <c r="I1693" t="s">
        <v>2023</v>
      </c>
      <c r="J1693" t="s">
        <v>2026</v>
      </c>
      <c r="K1693" t="s">
        <v>3722</v>
      </c>
      <c r="L1693" t="s">
        <v>4032</v>
      </c>
      <c r="M1693">
        <f>Cleaned[[#This Row],[Credit]]-Cleaned[[#This Row],[Debit]]</f>
        <v>-739.61</v>
      </c>
      <c r="N1693" t="str">
        <f>_xlfn.XLOOKUP(Cleaned[[#This Row],[AccountName]], Account_Mapping!A:A, Account_Mapping!B:B,"Unmapped")</f>
        <v>Operating Expense</v>
      </c>
      <c r="O1693" cm="1">
        <f t="array" ref="O1693">_xlfn.XLOOKUP(
  1,
  (FX_Rates[Currency]=Cleaned[[#This Row],[Currency]])*
  (FX_Rates[RateDate]&lt;=Cleaned[[#This Row],[TxnDate]]),
  FX_Rates[Rate_To_INR],
  ,
  -1
)</f>
        <v>88</v>
      </c>
      <c r="P1693" s="2">
        <f>Cleaned[[#This Row],[Net Amount]] *  Cleaned[[#This Row],[FX_rates]]</f>
        <v>-65085.68</v>
      </c>
    </row>
    <row r="1694" spans="1:16" x14ac:dyDescent="0.45">
      <c r="A1694" t="s">
        <v>1702</v>
      </c>
      <c r="B1694" s="1">
        <v>45083</v>
      </c>
      <c r="C1694" s="2" t="s">
        <v>2010</v>
      </c>
      <c r="D1694" t="s">
        <v>2015</v>
      </c>
      <c r="E1694">
        <v>0</v>
      </c>
      <c r="F1694">
        <f>Cleaned[[#This Row],[Debit]] * Cleaned[[#This Row],[FX_rates]]</f>
        <v>0</v>
      </c>
      <c r="G1694">
        <v>1931.62</v>
      </c>
      <c r="H1694">
        <f>Cleaned[[#This Row],[Credit]] *  Cleaned[[#This Row],[FX_rates]]</f>
        <v>117828.81999999999</v>
      </c>
      <c r="I1694" t="s">
        <v>2024</v>
      </c>
      <c r="J1694" t="s">
        <v>2028</v>
      </c>
      <c r="K1694" t="s">
        <v>3723</v>
      </c>
      <c r="L1694" t="s">
        <v>4035</v>
      </c>
      <c r="M1694">
        <f>Cleaned[[#This Row],[Credit]]-Cleaned[[#This Row],[Debit]]</f>
        <v>1931.62</v>
      </c>
      <c r="N1694" t="str">
        <f>_xlfn.XLOOKUP(Cleaned[[#This Row],[AccountName]], Account_Mapping!A:A, Account_Mapping!B:B,"Unmapped")</f>
        <v>Revenue</v>
      </c>
      <c r="O1694" cm="1">
        <f t="array" ref="O1694">_xlfn.XLOOKUP(
  1,
  (FX_Rates[Currency]=Cleaned[[#This Row],[Currency]])*
  (FX_Rates[RateDate]&lt;=Cleaned[[#This Row],[TxnDate]]),
  FX_Rates[Rate_To_INR],
  ,
  -1
)</f>
        <v>61</v>
      </c>
      <c r="P1694" s="2">
        <f>Cleaned[[#This Row],[Net Amount]] *  Cleaned[[#This Row],[FX_rates]]</f>
        <v>117828.81999999999</v>
      </c>
    </row>
    <row r="1695" spans="1:16" x14ac:dyDescent="0.45">
      <c r="A1695" t="s">
        <v>1703</v>
      </c>
      <c r="B1695" s="1">
        <v>45709</v>
      </c>
      <c r="C1695" s="2" t="s">
        <v>2013</v>
      </c>
      <c r="D1695" t="s">
        <v>2018</v>
      </c>
      <c r="E1695">
        <v>624.64</v>
      </c>
      <c r="F1695">
        <f>Cleaned[[#This Row],[Debit]] * Cleaned[[#This Row],[FX_rates]]</f>
        <v>54968.32</v>
      </c>
      <c r="G1695">
        <v>0</v>
      </c>
      <c r="H1695">
        <f>Cleaned[[#This Row],[Credit]] *  Cleaned[[#This Row],[FX_rates]]</f>
        <v>0</v>
      </c>
      <c r="I1695" t="s">
        <v>2022</v>
      </c>
      <c r="J1695" t="s">
        <v>2030</v>
      </c>
      <c r="K1695" t="s">
        <v>3724</v>
      </c>
      <c r="L1695" t="s">
        <v>4032</v>
      </c>
      <c r="M1695">
        <f>Cleaned[[#This Row],[Credit]]-Cleaned[[#This Row],[Debit]]</f>
        <v>-624.64</v>
      </c>
      <c r="N1695" t="str">
        <f>_xlfn.XLOOKUP(Cleaned[[#This Row],[AccountName]], Account_Mapping!A:A, Account_Mapping!B:B,"Unmapped")</f>
        <v>Operating Expense</v>
      </c>
      <c r="O1695" cm="1">
        <f t="array" ref="O1695">_xlfn.XLOOKUP(
  1,
  (FX_Rates[Currency]=Cleaned[[#This Row],[Currency]])*
  (FX_Rates[RateDate]&lt;=Cleaned[[#This Row],[TxnDate]]),
  FX_Rates[Rate_To_INR],
  ,
  -1
)</f>
        <v>88</v>
      </c>
      <c r="P1695" s="2">
        <f>Cleaned[[#This Row],[Net Amount]] *  Cleaned[[#This Row],[FX_rates]]</f>
        <v>-54968.32</v>
      </c>
    </row>
    <row r="1696" spans="1:16" x14ac:dyDescent="0.45">
      <c r="A1696" t="s">
        <v>1704</v>
      </c>
      <c r="B1696" s="1">
        <v>45435</v>
      </c>
      <c r="C1696" s="2" t="s">
        <v>2014</v>
      </c>
      <c r="D1696" t="s">
        <v>2019</v>
      </c>
      <c r="E1696">
        <v>0</v>
      </c>
      <c r="F1696">
        <f>Cleaned[[#This Row],[Debit]] * Cleaned[[#This Row],[FX_rates]]</f>
        <v>0</v>
      </c>
      <c r="G1696">
        <v>724.9</v>
      </c>
      <c r="H1696">
        <f>Cleaned[[#This Row],[Credit]] *  Cleaned[[#This Row],[FX_rates]]</f>
        <v>63791.199999999997</v>
      </c>
      <c r="I1696" t="s">
        <v>2025</v>
      </c>
      <c r="J1696" t="s">
        <v>2030</v>
      </c>
      <c r="K1696" t="s">
        <v>3725</v>
      </c>
      <c r="L1696" t="s">
        <v>4032</v>
      </c>
      <c r="M1696">
        <f>Cleaned[[#This Row],[Credit]]-Cleaned[[#This Row],[Debit]]</f>
        <v>724.9</v>
      </c>
      <c r="N1696" t="str">
        <f>_xlfn.XLOOKUP(Cleaned[[#This Row],[AccountName]], Account_Mapping!A:A, Account_Mapping!B:B,"Unmapped")</f>
        <v>Revenue</v>
      </c>
      <c r="O1696" cm="1">
        <f t="array" ref="O1696">_xlfn.XLOOKUP(
  1,
  (FX_Rates[Currency]=Cleaned[[#This Row],[Currency]])*
  (FX_Rates[RateDate]&lt;=Cleaned[[#This Row],[TxnDate]]),
  FX_Rates[Rate_To_INR],
  ,
  -1
)</f>
        <v>88</v>
      </c>
      <c r="P1696" s="2">
        <f>Cleaned[[#This Row],[Net Amount]] *  Cleaned[[#This Row],[FX_rates]]</f>
        <v>63791.199999999997</v>
      </c>
    </row>
    <row r="1697" spans="1:16" x14ac:dyDescent="0.45">
      <c r="A1697" t="s">
        <v>1705</v>
      </c>
      <c r="B1697" s="1">
        <v>45373</v>
      </c>
      <c r="C1697" s="2" t="s">
        <v>2012</v>
      </c>
      <c r="D1697" t="s">
        <v>2017</v>
      </c>
      <c r="E1697">
        <v>630.79</v>
      </c>
      <c r="F1697">
        <f>Cleaned[[#This Row],[Debit]] * Cleaned[[#This Row],[FX_rates]]</f>
        <v>35324.239999999998</v>
      </c>
      <c r="G1697">
        <v>0</v>
      </c>
      <c r="H1697">
        <f>Cleaned[[#This Row],[Credit]] *  Cleaned[[#This Row],[FX_rates]]</f>
        <v>0</v>
      </c>
      <c r="I1697" t="s">
        <v>2025</v>
      </c>
      <c r="J1697" t="s">
        <v>2026</v>
      </c>
      <c r="K1697" t="s">
        <v>3726</v>
      </c>
      <c r="L1697" t="s">
        <v>4033</v>
      </c>
      <c r="M1697">
        <f>Cleaned[[#This Row],[Credit]]-Cleaned[[#This Row],[Debit]]</f>
        <v>-630.79</v>
      </c>
      <c r="N1697" t="str">
        <f>_xlfn.XLOOKUP(Cleaned[[#This Row],[AccountName]], Account_Mapping!A:A, Account_Mapping!B:B,"Unmapped")</f>
        <v>Operating Expense</v>
      </c>
      <c r="O1697" cm="1">
        <f t="array" ref="O1697">_xlfn.XLOOKUP(
  1,
  (FX_Rates[Currency]=Cleaned[[#This Row],[Currency]])*
  (FX_Rates[RateDate]&lt;=Cleaned[[#This Row],[TxnDate]]),
  FX_Rates[Rate_To_INR],
  ,
  -1
)</f>
        <v>56</v>
      </c>
      <c r="P1697" s="2">
        <f>Cleaned[[#This Row],[Net Amount]] *  Cleaned[[#This Row],[FX_rates]]</f>
        <v>-35324.239999999998</v>
      </c>
    </row>
    <row r="1698" spans="1:16" x14ac:dyDescent="0.45">
      <c r="A1698" t="s">
        <v>1706</v>
      </c>
      <c r="B1698" s="1">
        <v>45775</v>
      </c>
      <c r="C1698" s="2" t="s">
        <v>2013</v>
      </c>
      <c r="D1698" t="s">
        <v>2018</v>
      </c>
      <c r="E1698">
        <v>808.72</v>
      </c>
      <c r="F1698">
        <f>Cleaned[[#This Row],[Debit]] * Cleaned[[#This Row],[FX_rates]]</f>
        <v>83298.16</v>
      </c>
      <c r="G1698">
        <v>0</v>
      </c>
      <c r="H1698">
        <f>Cleaned[[#This Row],[Credit]] *  Cleaned[[#This Row],[FX_rates]]</f>
        <v>0</v>
      </c>
      <c r="I1698" t="s">
        <v>2022</v>
      </c>
      <c r="J1698" t="s">
        <v>2030</v>
      </c>
      <c r="K1698" t="s">
        <v>3727</v>
      </c>
      <c r="L1698" t="s">
        <v>4031</v>
      </c>
      <c r="M1698">
        <f>Cleaned[[#This Row],[Credit]]-Cleaned[[#This Row],[Debit]]</f>
        <v>-808.72</v>
      </c>
      <c r="N1698" t="str">
        <f>_xlfn.XLOOKUP(Cleaned[[#This Row],[AccountName]], Account_Mapping!A:A, Account_Mapping!B:B,"Unmapped")</f>
        <v>Operating Expense</v>
      </c>
      <c r="O1698" cm="1">
        <f t="array" ref="O1698">_xlfn.XLOOKUP(
  1,
  (FX_Rates[Currency]=Cleaned[[#This Row],[Currency]])*
  (FX_Rates[RateDate]&lt;=Cleaned[[#This Row],[TxnDate]]),
  FX_Rates[Rate_To_INR],
  ,
  -1
)</f>
        <v>103</v>
      </c>
      <c r="P1698" s="2">
        <f>Cleaned[[#This Row],[Net Amount]] *  Cleaned[[#This Row],[FX_rates]]</f>
        <v>-83298.16</v>
      </c>
    </row>
    <row r="1699" spans="1:16" x14ac:dyDescent="0.45">
      <c r="A1699" t="s">
        <v>1707</v>
      </c>
      <c r="B1699" s="1">
        <v>45160</v>
      </c>
      <c r="C1699" s="2" t="s">
        <v>2010</v>
      </c>
      <c r="D1699" t="s">
        <v>2015</v>
      </c>
      <c r="E1699">
        <v>0</v>
      </c>
      <c r="F1699">
        <f>Cleaned[[#This Row],[Debit]] * Cleaned[[#This Row],[FX_rates]]</f>
        <v>0</v>
      </c>
      <c r="G1699">
        <v>1092.32</v>
      </c>
      <c r="H1699">
        <f>Cleaned[[#This Row],[Credit]] *  Cleaned[[#This Row],[FX_rates]]</f>
        <v>66631.51999999999</v>
      </c>
      <c r="I1699" t="s">
        <v>2020</v>
      </c>
      <c r="J1699" t="s">
        <v>2028</v>
      </c>
      <c r="K1699" t="s">
        <v>3728</v>
      </c>
      <c r="L1699" t="s">
        <v>4035</v>
      </c>
      <c r="M1699">
        <f>Cleaned[[#This Row],[Credit]]-Cleaned[[#This Row],[Debit]]</f>
        <v>1092.32</v>
      </c>
      <c r="N1699" t="str">
        <f>_xlfn.XLOOKUP(Cleaned[[#This Row],[AccountName]], Account_Mapping!A:A, Account_Mapping!B:B,"Unmapped")</f>
        <v>Revenue</v>
      </c>
      <c r="O1699" cm="1">
        <f t="array" ref="O1699">_xlfn.XLOOKUP(
  1,
  (FX_Rates[Currency]=Cleaned[[#This Row],[Currency]])*
  (FX_Rates[RateDate]&lt;=Cleaned[[#This Row],[TxnDate]]),
  FX_Rates[Rate_To_INR],
  ,
  -1
)</f>
        <v>61</v>
      </c>
      <c r="P1699" s="2">
        <f>Cleaned[[#This Row],[Net Amount]] *  Cleaned[[#This Row],[FX_rates]]</f>
        <v>66631.51999999999</v>
      </c>
    </row>
    <row r="1700" spans="1:16" x14ac:dyDescent="0.45">
      <c r="A1700" t="s">
        <v>1708</v>
      </c>
      <c r="B1700" s="1">
        <v>45389</v>
      </c>
      <c r="C1700" s="2" t="s">
        <v>2013</v>
      </c>
      <c r="D1700" t="s">
        <v>2018</v>
      </c>
      <c r="E1700">
        <v>1433.85</v>
      </c>
      <c r="F1700">
        <f>Cleaned[[#This Row],[Debit]] * Cleaned[[#This Row],[FX_rates]]</f>
        <v>87464.849999999991</v>
      </c>
      <c r="G1700">
        <v>0</v>
      </c>
      <c r="H1700">
        <f>Cleaned[[#This Row],[Credit]] *  Cleaned[[#This Row],[FX_rates]]</f>
        <v>0</v>
      </c>
      <c r="I1700" t="s">
        <v>2025</v>
      </c>
      <c r="J1700" t="s">
        <v>2030</v>
      </c>
      <c r="K1700" t="s">
        <v>3729</v>
      </c>
      <c r="L1700" t="s">
        <v>4035</v>
      </c>
      <c r="M1700">
        <f>Cleaned[[#This Row],[Credit]]-Cleaned[[#This Row],[Debit]]</f>
        <v>-1433.85</v>
      </c>
      <c r="N1700" t="str">
        <f>_xlfn.XLOOKUP(Cleaned[[#This Row],[AccountName]], Account_Mapping!A:A, Account_Mapping!B:B,"Unmapped")</f>
        <v>Operating Expense</v>
      </c>
      <c r="O1700" cm="1">
        <f t="array" ref="O1700">_xlfn.XLOOKUP(
  1,
  (FX_Rates[Currency]=Cleaned[[#This Row],[Currency]])*
  (FX_Rates[RateDate]&lt;=Cleaned[[#This Row],[TxnDate]]),
  FX_Rates[Rate_To_INR],
  ,
  -1
)</f>
        <v>61</v>
      </c>
      <c r="P1700" s="2">
        <f>Cleaned[[#This Row],[Net Amount]] *  Cleaned[[#This Row],[FX_rates]]</f>
        <v>-87464.849999999991</v>
      </c>
    </row>
    <row r="1701" spans="1:16" x14ac:dyDescent="0.45">
      <c r="A1701" t="s">
        <v>1709</v>
      </c>
      <c r="B1701" s="1">
        <v>45331</v>
      </c>
      <c r="C1701" s="2" t="s">
        <v>2014</v>
      </c>
      <c r="D1701" t="s">
        <v>2019</v>
      </c>
      <c r="E1701">
        <v>0</v>
      </c>
      <c r="F1701">
        <f>Cleaned[[#This Row],[Debit]] * Cleaned[[#This Row],[FX_rates]]</f>
        <v>0</v>
      </c>
      <c r="G1701">
        <v>902.75</v>
      </c>
      <c r="H1701">
        <f>Cleaned[[#This Row],[Credit]] *  Cleaned[[#This Row],[FX_rates]]</f>
        <v>92983.25</v>
      </c>
      <c r="I1701" t="s">
        <v>2024</v>
      </c>
      <c r="J1701" t="s">
        <v>2027</v>
      </c>
      <c r="K1701" t="s">
        <v>3730</v>
      </c>
      <c r="L1701" t="s">
        <v>4031</v>
      </c>
      <c r="M1701">
        <f>Cleaned[[#This Row],[Credit]]-Cleaned[[#This Row],[Debit]]</f>
        <v>902.75</v>
      </c>
      <c r="N1701" t="str">
        <f>_xlfn.XLOOKUP(Cleaned[[#This Row],[AccountName]], Account_Mapping!A:A, Account_Mapping!B:B,"Unmapped")</f>
        <v>Revenue</v>
      </c>
      <c r="O1701" cm="1">
        <f t="array" ref="O1701">_xlfn.XLOOKUP(
  1,
  (FX_Rates[Currency]=Cleaned[[#This Row],[Currency]])*
  (FX_Rates[RateDate]&lt;=Cleaned[[#This Row],[TxnDate]]),
  FX_Rates[Rate_To_INR],
  ,
  -1
)</f>
        <v>103</v>
      </c>
      <c r="P1701" s="2">
        <f>Cleaned[[#This Row],[Net Amount]] *  Cleaned[[#This Row],[FX_rates]]</f>
        <v>92983.25</v>
      </c>
    </row>
    <row r="1702" spans="1:16" x14ac:dyDescent="0.45">
      <c r="A1702" t="s">
        <v>1710</v>
      </c>
      <c r="B1702" s="1">
        <v>45274</v>
      </c>
      <c r="C1702" s="2" t="s">
        <v>2013</v>
      </c>
      <c r="D1702" t="s">
        <v>2018</v>
      </c>
      <c r="E1702">
        <v>1012.66</v>
      </c>
      <c r="F1702">
        <f>Cleaned[[#This Row],[Debit]] * Cleaned[[#This Row],[FX_rates]]</f>
        <v>56708.959999999999</v>
      </c>
      <c r="G1702">
        <v>0</v>
      </c>
      <c r="H1702">
        <f>Cleaned[[#This Row],[Credit]] *  Cleaned[[#This Row],[FX_rates]]</f>
        <v>0</v>
      </c>
      <c r="I1702" t="s">
        <v>2024</v>
      </c>
      <c r="J1702" t="s">
        <v>2027</v>
      </c>
      <c r="K1702" t="s">
        <v>3731</v>
      </c>
      <c r="L1702" t="s">
        <v>4033</v>
      </c>
      <c r="M1702">
        <f>Cleaned[[#This Row],[Credit]]-Cleaned[[#This Row],[Debit]]</f>
        <v>-1012.66</v>
      </c>
      <c r="N1702" t="str">
        <f>_xlfn.XLOOKUP(Cleaned[[#This Row],[AccountName]], Account_Mapping!A:A, Account_Mapping!B:B,"Unmapped")</f>
        <v>Operating Expense</v>
      </c>
      <c r="O1702" cm="1">
        <f t="array" ref="O1702">_xlfn.XLOOKUP(
  1,
  (FX_Rates[Currency]=Cleaned[[#This Row],[Currency]])*
  (FX_Rates[RateDate]&lt;=Cleaned[[#This Row],[TxnDate]]),
  FX_Rates[Rate_To_INR],
  ,
  -1
)</f>
        <v>56</v>
      </c>
      <c r="P1702" s="2">
        <f>Cleaned[[#This Row],[Net Amount]] *  Cleaned[[#This Row],[FX_rates]]</f>
        <v>-56708.959999999999</v>
      </c>
    </row>
    <row r="1703" spans="1:16" x14ac:dyDescent="0.45">
      <c r="A1703" t="s">
        <v>1711</v>
      </c>
      <c r="B1703" s="1">
        <v>45657</v>
      </c>
      <c r="C1703" s="2" t="s">
        <v>2011</v>
      </c>
      <c r="D1703" t="s">
        <v>2016</v>
      </c>
      <c r="E1703">
        <v>1143.22</v>
      </c>
      <c r="F1703">
        <f>Cleaned[[#This Row],[Debit]] * Cleaned[[#This Row],[FX_rates]]</f>
        <v>93744.040000000008</v>
      </c>
      <c r="G1703">
        <v>0</v>
      </c>
      <c r="H1703">
        <f>Cleaned[[#This Row],[Credit]] *  Cleaned[[#This Row],[FX_rates]]</f>
        <v>0</v>
      </c>
      <c r="I1703" t="s">
        <v>2022</v>
      </c>
      <c r="J1703" t="s">
        <v>2029</v>
      </c>
      <c r="K1703" t="s">
        <v>3732</v>
      </c>
      <c r="L1703" t="s">
        <v>4034</v>
      </c>
      <c r="M1703">
        <f>Cleaned[[#This Row],[Credit]]-Cleaned[[#This Row],[Debit]]</f>
        <v>-1143.22</v>
      </c>
      <c r="N1703" t="str">
        <f>_xlfn.XLOOKUP(Cleaned[[#This Row],[AccountName]], Account_Mapping!A:A, Account_Mapping!B:B,"Unmapped")</f>
        <v>COGS</v>
      </c>
      <c r="O1703" cm="1">
        <f t="array" ref="O1703">_xlfn.XLOOKUP(
  1,
  (FX_Rates[Currency]=Cleaned[[#This Row],[Currency]])*
  (FX_Rates[RateDate]&lt;=Cleaned[[#This Row],[TxnDate]]),
  FX_Rates[Rate_To_INR],
  ,
  -1
)</f>
        <v>82</v>
      </c>
      <c r="P1703" s="2">
        <f>Cleaned[[#This Row],[Net Amount]] *  Cleaned[[#This Row],[FX_rates]]</f>
        <v>-93744.040000000008</v>
      </c>
    </row>
    <row r="1704" spans="1:16" x14ac:dyDescent="0.45">
      <c r="A1704" t="s">
        <v>1712</v>
      </c>
      <c r="B1704" s="1">
        <v>44939</v>
      </c>
      <c r="C1704" s="2" t="s">
        <v>2010</v>
      </c>
      <c r="D1704" t="s">
        <v>2015</v>
      </c>
      <c r="E1704">
        <v>0</v>
      </c>
      <c r="F1704">
        <f>Cleaned[[#This Row],[Debit]] * Cleaned[[#This Row],[FX_rates]]</f>
        <v>0</v>
      </c>
      <c r="G1704">
        <v>3892.69</v>
      </c>
      <c r="H1704">
        <f>Cleaned[[#This Row],[Credit]] *  Cleaned[[#This Row],[FX_rates]]</f>
        <v>217990.64</v>
      </c>
      <c r="I1704" t="s">
        <v>2020</v>
      </c>
      <c r="J1704" t="s">
        <v>2030</v>
      </c>
      <c r="K1704" t="s">
        <v>3733</v>
      </c>
      <c r="L1704" t="s">
        <v>4033</v>
      </c>
      <c r="M1704">
        <f>Cleaned[[#This Row],[Credit]]-Cleaned[[#This Row],[Debit]]</f>
        <v>3892.69</v>
      </c>
      <c r="N1704" t="str">
        <f>_xlfn.XLOOKUP(Cleaned[[#This Row],[AccountName]], Account_Mapping!A:A, Account_Mapping!B:B,"Unmapped")</f>
        <v>Revenue</v>
      </c>
      <c r="O1704" cm="1">
        <f t="array" ref="O1704">_xlfn.XLOOKUP(
  1,
  (FX_Rates[Currency]=Cleaned[[#This Row],[Currency]])*
  (FX_Rates[RateDate]&lt;=Cleaned[[#This Row],[TxnDate]]),
  FX_Rates[Rate_To_INR],
  ,
  -1
)</f>
        <v>56</v>
      </c>
      <c r="P1704" s="2">
        <f>Cleaned[[#This Row],[Net Amount]] *  Cleaned[[#This Row],[FX_rates]]</f>
        <v>217990.64</v>
      </c>
    </row>
    <row r="1705" spans="1:16" x14ac:dyDescent="0.45">
      <c r="A1705" t="s">
        <v>1713</v>
      </c>
      <c r="B1705" s="1">
        <v>45678</v>
      </c>
      <c r="C1705" s="2" t="s">
        <v>2012</v>
      </c>
      <c r="D1705" t="s">
        <v>2017</v>
      </c>
      <c r="E1705">
        <v>649.45000000000005</v>
      </c>
      <c r="F1705">
        <f>Cleaned[[#This Row],[Debit]] * Cleaned[[#This Row],[FX_rates]]</f>
        <v>39616.450000000004</v>
      </c>
      <c r="G1705">
        <v>0</v>
      </c>
      <c r="H1705">
        <f>Cleaned[[#This Row],[Credit]] *  Cleaned[[#This Row],[FX_rates]]</f>
        <v>0</v>
      </c>
      <c r="I1705" t="s">
        <v>2025</v>
      </c>
      <c r="J1705" t="s">
        <v>2026</v>
      </c>
      <c r="K1705" t="s">
        <v>3734</v>
      </c>
      <c r="L1705" t="s">
        <v>4035</v>
      </c>
      <c r="M1705">
        <f>Cleaned[[#This Row],[Credit]]-Cleaned[[#This Row],[Debit]]</f>
        <v>-649.45000000000005</v>
      </c>
      <c r="N1705" t="str">
        <f>_xlfn.XLOOKUP(Cleaned[[#This Row],[AccountName]], Account_Mapping!A:A, Account_Mapping!B:B,"Unmapped")</f>
        <v>Operating Expense</v>
      </c>
      <c r="O1705" cm="1">
        <f t="array" ref="O1705">_xlfn.XLOOKUP(
  1,
  (FX_Rates[Currency]=Cleaned[[#This Row],[Currency]])*
  (FX_Rates[RateDate]&lt;=Cleaned[[#This Row],[TxnDate]]),
  FX_Rates[Rate_To_INR],
  ,
  -1
)</f>
        <v>61</v>
      </c>
      <c r="P1705" s="2">
        <f>Cleaned[[#This Row],[Net Amount]] *  Cleaned[[#This Row],[FX_rates]]</f>
        <v>-39616.450000000004</v>
      </c>
    </row>
    <row r="1706" spans="1:16" x14ac:dyDescent="0.45">
      <c r="A1706" t="s">
        <v>1714</v>
      </c>
      <c r="B1706" s="1">
        <v>45670</v>
      </c>
      <c r="C1706" s="2" t="s">
        <v>2014</v>
      </c>
      <c r="D1706" t="s">
        <v>2019</v>
      </c>
      <c r="E1706">
        <v>0</v>
      </c>
      <c r="F1706">
        <f>Cleaned[[#This Row],[Debit]] * Cleaned[[#This Row],[FX_rates]]</f>
        <v>0</v>
      </c>
      <c r="G1706">
        <v>1422.91</v>
      </c>
      <c r="H1706">
        <f>Cleaned[[#This Row],[Credit]] *  Cleaned[[#This Row],[FX_rates]]</f>
        <v>79682.960000000006</v>
      </c>
      <c r="I1706" t="s">
        <v>2021</v>
      </c>
      <c r="J1706" t="s">
        <v>2028</v>
      </c>
      <c r="K1706" t="s">
        <v>3735</v>
      </c>
      <c r="L1706" t="s">
        <v>4033</v>
      </c>
      <c r="M1706">
        <f>Cleaned[[#This Row],[Credit]]-Cleaned[[#This Row],[Debit]]</f>
        <v>1422.91</v>
      </c>
      <c r="N1706" t="str">
        <f>_xlfn.XLOOKUP(Cleaned[[#This Row],[AccountName]], Account_Mapping!A:A, Account_Mapping!B:B,"Unmapped")</f>
        <v>Revenue</v>
      </c>
      <c r="O1706" cm="1">
        <f t="array" ref="O1706">_xlfn.XLOOKUP(
  1,
  (FX_Rates[Currency]=Cleaned[[#This Row],[Currency]])*
  (FX_Rates[RateDate]&lt;=Cleaned[[#This Row],[TxnDate]]),
  FX_Rates[Rate_To_INR],
  ,
  -1
)</f>
        <v>56</v>
      </c>
      <c r="P1706" s="2">
        <f>Cleaned[[#This Row],[Net Amount]] *  Cleaned[[#This Row],[FX_rates]]</f>
        <v>79682.960000000006</v>
      </c>
    </row>
    <row r="1707" spans="1:16" x14ac:dyDescent="0.45">
      <c r="A1707" t="s">
        <v>1715</v>
      </c>
      <c r="B1707" s="1">
        <v>45365</v>
      </c>
      <c r="C1707" s="2" t="s">
        <v>2010</v>
      </c>
      <c r="D1707" t="s">
        <v>2015</v>
      </c>
      <c r="E1707">
        <v>0</v>
      </c>
      <c r="F1707">
        <f>Cleaned[[#This Row],[Debit]] * Cleaned[[#This Row],[FX_rates]]</f>
        <v>0</v>
      </c>
      <c r="G1707">
        <v>1269.95</v>
      </c>
      <c r="H1707">
        <f>Cleaned[[#This Row],[Credit]] *  Cleaned[[#This Row],[FX_rates]]</f>
        <v>130804.85</v>
      </c>
      <c r="I1707" t="s">
        <v>2021</v>
      </c>
      <c r="J1707" t="s">
        <v>2029</v>
      </c>
      <c r="K1707" t="s">
        <v>3736</v>
      </c>
      <c r="L1707" t="s">
        <v>4031</v>
      </c>
      <c r="M1707">
        <f>Cleaned[[#This Row],[Credit]]-Cleaned[[#This Row],[Debit]]</f>
        <v>1269.95</v>
      </c>
      <c r="N1707" t="str">
        <f>_xlfn.XLOOKUP(Cleaned[[#This Row],[AccountName]], Account_Mapping!A:A, Account_Mapping!B:B,"Unmapped")</f>
        <v>Revenue</v>
      </c>
      <c r="O1707" cm="1">
        <f t="array" ref="O1707">_xlfn.XLOOKUP(
  1,
  (FX_Rates[Currency]=Cleaned[[#This Row],[Currency]])*
  (FX_Rates[RateDate]&lt;=Cleaned[[#This Row],[TxnDate]]),
  FX_Rates[Rate_To_INR],
  ,
  -1
)</f>
        <v>103</v>
      </c>
      <c r="P1707" s="2">
        <f>Cleaned[[#This Row],[Net Amount]] *  Cleaned[[#This Row],[FX_rates]]</f>
        <v>130804.85</v>
      </c>
    </row>
    <row r="1708" spans="1:16" x14ac:dyDescent="0.45">
      <c r="A1708" t="s">
        <v>1716</v>
      </c>
      <c r="B1708" s="1">
        <v>45561</v>
      </c>
      <c r="C1708" s="2" t="s">
        <v>2014</v>
      </c>
      <c r="D1708" t="s">
        <v>2019</v>
      </c>
      <c r="E1708">
        <v>0</v>
      </c>
      <c r="F1708">
        <f>Cleaned[[#This Row],[Debit]] * Cleaned[[#This Row],[FX_rates]]</f>
        <v>0</v>
      </c>
      <c r="G1708">
        <v>4047.23</v>
      </c>
      <c r="H1708">
        <f>Cleaned[[#This Row],[Credit]] *  Cleaned[[#This Row],[FX_rates]]</f>
        <v>416864.69</v>
      </c>
      <c r="I1708" t="s">
        <v>2022</v>
      </c>
      <c r="J1708" t="s">
        <v>2030</v>
      </c>
      <c r="K1708" t="s">
        <v>3737</v>
      </c>
      <c r="L1708" t="s">
        <v>4031</v>
      </c>
      <c r="M1708">
        <f>Cleaned[[#This Row],[Credit]]-Cleaned[[#This Row],[Debit]]</f>
        <v>4047.23</v>
      </c>
      <c r="N1708" t="str">
        <f>_xlfn.XLOOKUP(Cleaned[[#This Row],[AccountName]], Account_Mapping!A:A, Account_Mapping!B:B,"Unmapped")</f>
        <v>Revenue</v>
      </c>
      <c r="O1708" cm="1">
        <f t="array" ref="O1708">_xlfn.XLOOKUP(
  1,
  (FX_Rates[Currency]=Cleaned[[#This Row],[Currency]])*
  (FX_Rates[RateDate]&lt;=Cleaned[[#This Row],[TxnDate]]),
  FX_Rates[Rate_To_INR],
  ,
  -1
)</f>
        <v>103</v>
      </c>
      <c r="P1708" s="2">
        <f>Cleaned[[#This Row],[Net Amount]] *  Cleaned[[#This Row],[FX_rates]]</f>
        <v>416864.69</v>
      </c>
    </row>
    <row r="1709" spans="1:16" x14ac:dyDescent="0.45">
      <c r="A1709" t="s">
        <v>1717</v>
      </c>
      <c r="B1709" s="1">
        <v>45619</v>
      </c>
      <c r="C1709" s="2" t="s">
        <v>2011</v>
      </c>
      <c r="D1709" t="s">
        <v>2016</v>
      </c>
      <c r="E1709">
        <v>546.9</v>
      </c>
      <c r="F1709">
        <f>Cleaned[[#This Row],[Debit]] * Cleaned[[#This Row],[FX_rates]]</f>
        <v>30626.399999999998</v>
      </c>
      <c r="G1709">
        <v>0</v>
      </c>
      <c r="H1709">
        <f>Cleaned[[#This Row],[Credit]] *  Cleaned[[#This Row],[FX_rates]]</f>
        <v>0</v>
      </c>
      <c r="I1709" t="s">
        <v>2025</v>
      </c>
      <c r="J1709" t="s">
        <v>2030</v>
      </c>
      <c r="K1709" t="s">
        <v>3738</v>
      </c>
      <c r="L1709" t="s">
        <v>4033</v>
      </c>
      <c r="M1709">
        <f>Cleaned[[#This Row],[Credit]]-Cleaned[[#This Row],[Debit]]</f>
        <v>-546.9</v>
      </c>
      <c r="N1709" t="str">
        <f>_xlfn.XLOOKUP(Cleaned[[#This Row],[AccountName]], Account_Mapping!A:A, Account_Mapping!B:B,"Unmapped")</f>
        <v>COGS</v>
      </c>
      <c r="O1709" cm="1">
        <f t="array" ref="O1709">_xlfn.XLOOKUP(
  1,
  (FX_Rates[Currency]=Cleaned[[#This Row],[Currency]])*
  (FX_Rates[RateDate]&lt;=Cleaned[[#This Row],[TxnDate]]),
  FX_Rates[Rate_To_INR],
  ,
  -1
)</f>
        <v>56</v>
      </c>
      <c r="P1709" s="2">
        <f>Cleaned[[#This Row],[Net Amount]] *  Cleaned[[#This Row],[FX_rates]]</f>
        <v>-30626.399999999998</v>
      </c>
    </row>
    <row r="1710" spans="1:16" x14ac:dyDescent="0.45">
      <c r="A1710" t="s">
        <v>1718</v>
      </c>
      <c r="B1710" s="1">
        <v>44956</v>
      </c>
      <c r="C1710" s="2" t="s">
        <v>2010</v>
      </c>
      <c r="D1710" t="s">
        <v>2015</v>
      </c>
      <c r="E1710">
        <v>0</v>
      </c>
      <c r="F1710">
        <f>Cleaned[[#This Row],[Debit]] * Cleaned[[#This Row],[FX_rates]]</f>
        <v>0</v>
      </c>
      <c r="G1710">
        <v>652.36</v>
      </c>
      <c r="H1710">
        <f>Cleaned[[#This Row],[Credit]] *  Cleaned[[#This Row],[FX_rates]]</f>
        <v>57407.68</v>
      </c>
      <c r="I1710" t="s">
        <v>2025</v>
      </c>
      <c r="J1710" t="s">
        <v>2027</v>
      </c>
      <c r="K1710" t="s">
        <v>3739</v>
      </c>
      <c r="L1710" t="s">
        <v>4032</v>
      </c>
      <c r="M1710">
        <f>Cleaned[[#This Row],[Credit]]-Cleaned[[#This Row],[Debit]]</f>
        <v>652.36</v>
      </c>
      <c r="N1710" t="str">
        <f>_xlfn.XLOOKUP(Cleaned[[#This Row],[AccountName]], Account_Mapping!A:A, Account_Mapping!B:B,"Unmapped")</f>
        <v>Revenue</v>
      </c>
      <c r="O1710" cm="1">
        <f t="array" ref="O1710">_xlfn.XLOOKUP(
  1,
  (FX_Rates[Currency]=Cleaned[[#This Row],[Currency]])*
  (FX_Rates[RateDate]&lt;=Cleaned[[#This Row],[TxnDate]]),
  FX_Rates[Rate_To_INR],
  ,
  -1
)</f>
        <v>88</v>
      </c>
      <c r="P1710" s="2">
        <f>Cleaned[[#This Row],[Net Amount]] *  Cleaned[[#This Row],[FX_rates]]</f>
        <v>57407.68</v>
      </c>
    </row>
    <row r="1711" spans="1:16" x14ac:dyDescent="0.45">
      <c r="A1711" t="s">
        <v>1719</v>
      </c>
      <c r="B1711" s="1">
        <v>44946</v>
      </c>
      <c r="C1711" s="2" t="s">
        <v>2014</v>
      </c>
      <c r="D1711" t="s">
        <v>2019</v>
      </c>
      <c r="E1711">
        <v>0</v>
      </c>
      <c r="F1711">
        <f>Cleaned[[#This Row],[Debit]] * Cleaned[[#This Row],[FX_rates]]</f>
        <v>0</v>
      </c>
      <c r="G1711">
        <v>1963.74</v>
      </c>
      <c r="H1711">
        <f>Cleaned[[#This Row],[Credit]] *  Cleaned[[#This Row],[FX_rates]]</f>
        <v>161026.68</v>
      </c>
      <c r="I1711" t="s">
        <v>2022</v>
      </c>
      <c r="J1711" t="s">
        <v>2027</v>
      </c>
      <c r="K1711" t="s">
        <v>3740</v>
      </c>
      <c r="L1711" t="s">
        <v>4034</v>
      </c>
      <c r="M1711">
        <f>Cleaned[[#This Row],[Credit]]-Cleaned[[#This Row],[Debit]]</f>
        <v>1963.74</v>
      </c>
      <c r="N1711" t="str">
        <f>_xlfn.XLOOKUP(Cleaned[[#This Row],[AccountName]], Account_Mapping!A:A, Account_Mapping!B:B,"Unmapped")</f>
        <v>Revenue</v>
      </c>
      <c r="O1711" cm="1">
        <f t="array" ref="O1711">_xlfn.XLOOKUP(
  1,
  (FX_Rates[Currency]=Cleaned[[#This Row],[Currency]])*
  (FX_Rates[RateDate]&lt;=Cleaned[[#This Row],[TxnDate]]),
  FX_Rates[Rate_To_INR],
  ,
  -1
)</f>
        <v>82</v>
      </c>
      <c r="P1711" s="2">
        <f>Cleaned[[#This Row],[Net Amount]] *  Cleaned[[#This Row],[FX_rates]]</f>
        <v>161026.68</v>
      </c>
    </row>
    <row r="1712" spans="1:16" x14ac:dyDescent="0.45">
      <c r="A1712" t="s">
        <v>1720</v>
      </c>
      <c r="B1712" s="1">
        <v>45688</v>
      </c>
      <c r="C1712" s="2" t="s">
        <v>2014</v>
      </c>
      <c r="D1712" t="s">
        <v>2019</v>
      </c>
      <c r="E1712">
        <v>0</v>
      </c>
      <c r="F1712">
        <f>Cleaned[[#This Row],[Debit]] * Cleaned[[#This Row],[FX_rates]]</f>
        <v>0</v>
      </c>
      <c r="G1712">
        <v>1521.92</v>
      </c>
      <c r="H1712">
        <f>Cleaned[[#This Row],[Credit]] *  Cleaned[[#This Row],[FX_rates]]</f>
        <v>133928.96000000002</v>
      </c>
      <c r="I1712" t="s">
        <v>2025</v>
      </c>
      <c r="J1712" t="s">
        <v>2030</v>
      </c>
      <c r="K1712" t="s">
        <v>3741</v>
      </c>
      <c r="L1712" t="s">
        <v>4032</v>
      </c>
      <c r="M1712">
        <f>Cleaned[[#This Row],[Credit]]-Cleaned[[#This Row],[Debit]]</f>
        <v>1521.92</v>
      </c>
      <c r="N1712" t="str">
        <f>_xlfn.XLOOKUP(Cleaned[[#This Row],[AccountName]], Account_Mapping!A:A, Account_Mapping!B:B,"Unmapped")</f>
        <v>Revenue</v>
      </c>
      <c r="O1712" cm="1">
        <f t="array" ref="O1712">_xlfn.XLOOKUP(
  1,
  (FX_Rates[Currency]=Cleaned[[#This Row],[Currency]])*
  (FX_Rates[RateDate]&lt;=Cleaned[[#This Row],[TxnDate]]),
  FX_Rates[Rate_To_INR],
  ,
  -1
)</f>
        <v>88</v>
      </c>
      <c r="P1712" s="2">
        <f>Cleaned[[#This Row],[Net Amount]] *  Cleaned[[#This Row],[FX_rates]]</f>
        <v>133928.96000000002</v>
      </c>
    </row>
    <row r="1713" spans="1:16" x14ac:dyDescent="0.45">
      <c r="A1713" t="s">
        <v>1721</v>
      </c>
      <c r="B1713" s="1">
        <v>45297</v>
      </c>
      <c r="C1713" s="2" t="s">
        <v>2014</v>
      </c>
      <c r="D1713" t="s">
        <v>2019</v>
      </c>
      <c r="E1713">
        <v>0</v>
      </c>
      <c r="F1713">
        <f>Cleaned[[#This Row],[Debit]] * Cleaned[[#This Row],[FX_rates]]</f>
        <v>0</v>
      </c>
      <c r="G1713">
        <v>3858.51</v>
      </c>
      <c r="H1713">
        <f>Cleaned[[#This Row],[Credit]] *  Cleaned[[#This Row],[FX_rates]]</f>
        <v>397426.53</v>
      </c>
      <c r="I1713" t="s">
        <v>2022</v>
      </c>
      <c r="J1713" t="s">
        <v>2028</v>
      </c>
      <c r="K1713" t="s">
        <v>3742</v>
      </c>
      <c r="L1713" t="s">
        <v>4031</v>
      </c>
      <c r="M1713">
        <f>Cleaned[[#This Row],[Credit]]-Cleaned[[#This Row],[Debit]]</f>
        <v>3858.51</v>
      </c>
      <c r="N1713" t="str">
        <f>_xlfn.XLOOKUP(Cleaned[[#This Row],[AccountName]], Account_Mapping!A:A, Account_Mapping!B:B,"Unmapped")</f>
        <v>Revenue</v>
      </c>
      <c r="O1713" cm="1">
        <f t="array" ref="O1713">_xlfn.XLOOKUP(
  1,
  (FX_Rates[Currency]=Cleaned[[#This Row],[Currency]])*
  (FX_Rates[RateDate]&lt;=Cleaned[[#This Row],[TxnDate]]),
  FX_Rates[Rate_To_INR],
  ,
  -1
)</f>
        <v>103</v>
      </c>
      <c r="P1713" s="2">
        <f>Cleaned[[#This Row],[Net Amount]] *  Cleaned[[#This Row],[FX_rates]]</f>
        <v>397426.53</v>
      </c>
    </row>
    <row r="1714" spans="1:16" x14ac:dyDescent="0.45">
      <c r="A1714" t="s">
        <v>1722</v>
      </c>
      <c r="B1714" s="1">
        <v>45392</v>
      </c>
      <c r="C1714" s="2" t="s">
        <v>2014</v>
      </c>
      <c r="D1714" t="s">
        <v>2019</v>
      </c>
      <c r="E1714">
        <v>0</v>
      </c>
      <c r="F1714">
        <f>Cleaned[[#This Row],[Debit]] * Cleaned[[#This Row],[FX_rates]]</f>
        <v>0</v>
      </c>
      <c r="G1714">
        <v>4500.74</v>
      </c>
      <c r="H1714">
        <f>Cleaned[[#This Row],[Credit]] *  Cleaned[[#This Row],[FX_rates]]</f>
        <v>252041.44</v>
      </c>
      <c r="I1714" t="s">
        <v>2022</v>
      </c>
      <c r="J1714" t="s">
        <v>2030</v>
      </c>
      <c r="K1714" t="s">
        <v>3743</v>
      </c>
      <c r="L1714" t="s">
        <v>4033</v>
      </c>
      <c r="M1714">
        <f>Cleaned[[#This Row],[Credit]]-Cleaned[[#This Row],[Debit]]</f>
        <v>4500.74</v>
      </c>
      <c r="N1714" t="str">
        <f>_xlfn.XLOOKUP(Cleaned[[#This Row],[AccountName]], Account_Mapping!A:A, Account_Mapping!B:B,"Unmapped")</f>
        <v>Revenue</v>
      </c>
      <c r="O1714" cm="1">
        <f t="array" ref="O1714">_xlfn.XLOOKUP(
  1,
  (FX_Rates[Currency]=Cleaned[[#This Row],[Currency]])*
  (FX_Rates[RateDate]&lt;=Cleaned[[#This Row],[TxnDate]]),
  FX_Rates[Rate_To_INR],
  ,
  -1
)</f>
        <v>56</v>
      </c>
      <c r="P1714" s="2">
        <f>Cleaned[[#This Row],[Net Amount]] *  Cleaned[[#This Row],[FX_rates]]</f>
        <v>252041.44</v>
      </c>
    </row>
    <row r="1715" spans="1:16" x14ac:dyDescent="0.45">
      <c r="A1715" t="s">
        <v>1723</v>
      </c>
      <c r="B1715" s="1">
        <v>45546</v>
      </c>
      <c r="C1715" s="2" t="s">
        <v>2012</v>
      </c>
      <c r="D1715" t="s">
        <v>2017</v>
      </c>
      <c r="E1715">
        <v>678.18</v>
      </c>
      <c r="F1715">
        <f>Cleaned[[#This Row],[Debit]] * Cleaned[[#This Row],[FX_rates]]</f>
        <v>37978.079999999994</v>
      </c>
      <c r="G1715">
        <v>0</v>
      </c>
      <c r="H1715">
        <f>Cleaned[[#This Row],[Credit]] *  Cleaned[[#This Row],[FX_rates]]</f>
        <v>0</v>
      </c>
      <c r="I1715" t="s">
        <v>2023</v>
      </c>
      <c r="J1715" t="s">
        <v>2026</v>
      </c>
      <c r="K1715" t="s">
        <v>3744</v>
      </c>
      <c r="L1715" t="s">
        <v>4033</v>
      </c>
      <c r="M1715">
        <f>Cleaned[[#This Row],[Credit]]-Cleaned[[#This Row],[Debit]]</f>
        <v>-678.18</v>
      </c>
      <c r="N1715" t="str">
        <f>_xlfn.XLOOKUP(Cleaned[[#This Row],[AccountName]], Account_Mapping!A:A, Account_Mapping!B:B,"Unmapped")</f>
        <v>Operating Expense</v>
      </c>
      <c r="O1715" cm="1">
        <f t="array" ref="O1715">_xlfn.XLOOKUP(
  1,
  (FX_Rates[Currency]=Cleaned[[#This Row],[Currency]])*
  (FX_Rates[RateDate]&lt;=Cleaned[[#This Row],[TxnDate]]),
  FX_Rates[Rate_To_INR],
  ,
  -1
)</f>
        <v>56</v>
      </c>
      <c r="P1715" s="2">
        <f>Cleaned[[#This Row],[Net Amount]] *  Cleaned[[#This Row],[FX_rates]]</f>
        <v>-37978.079999999994</v>
      </c>
    </row>
    <row r="1716" spans="1:16" x14ac:dyDescent="0.45">
      <c r="A1716" t="s">
        <v>1724</v>
      </c>
      <c r="B1716" s="1">
        <v>45630</v>
      </c>
      <c r="C1716" s="2" t="s">
        <v>2012</v>
      </c>
      <c r="D1716" t="s">
        <v>2017</v>
      </c>
      <c r="E1716">
        <v>1306.92</v>
      </c>
      <c r="F1716">
        <f>Cleaned[[#This Row],[Debit]] * Cleaned[[#This Row],[FX_rates]]</f>
        <v>79722.12000000001</v>
      </c>
      <c r="G1716">
        <v>0</v>
      </c>
      <c r="H1716">
        <f>Cleaned[[#This Row],[Credit]] *  Cleaned[[#This Row],[FX_rates]]</f>
        <v>0</v>
      </c>
      <c r="I1716" t="s">
        <v>2025</v>
      </c>
      <c r="J1716" t="s">
        <v>2027</v>
      </c>
      <c r="K1716" t="s">
        <v>3745</v>
      </c>
      <c r="L1716" t="s">
        <v>4035</v>
      </c>
      <c r="M1716">
        <f>Cleaned[[#This Row],[Credit]]-Cleaned[[#This Row],[Debit]]</f>
        <v>-1306.92</v>
      </c>
      <c r="N1716" t="str">
        <f>_xlfn.XLOOKUP(Cleaned[[#This Row],[AccountName]], Account_Mapping!A:A, Account_Mapping!B:B,"Unmapped")</f>
        <v>Operating Expense</v>
      </c>
      <c r="O1716" cm="1">
        <f t="array" ref="O1716">_xlfn.XLOOKUP(
  1,
  (FX_Rates[Currency]=Cleaned[[#This Row],[Currency]])*
  (FX_Rates[RateDate]&lt;=Cleaned[[#This Row],[TxnDate]]),
  FX_Rates[Rate_To_INR],
  ,
  -1
)</f>
        <v>61</v>
      </c>
      <c r="P1716" s="2">
        <f>Cleaned[[#This Row],[Net Amount]] *  Cleaned[[#This Row],[FX_rates]]</f>
        <v>-79722.12000000001</v>
      </c>
    </row>
    <row r="1717" spans="1:16" x14ac:dyDescent="0.45">
      <c r="A1717" t="s">
        <v>1725</v>
      </c>
      <c r="B1717" s="1">
        <v>44947</v>
      </c>
      <c r="C1717" s="2" t="s">
        <v>2014</v>
      </c>
      <c r="D1717" t="s">
        <v>2019</v>
      </c>
      <c r="E1717">
        <v>0</v>
      </c>
      <c r="F1717">
        <f>Cleaned[[#This Row],[Debit]] * Cleaned[[#This Row],[FX_rates]]</f>
        <v>0</v>
      </c>
      <c r="G1717">
        <v>1899.18</v>
      </c>
      <c r="H1717">
        <f>Cleaned[[#This Row],[Credit]] *  Cleaned[[#This Row],[FX_rates]]</f>
        <v>195615.54</v>
      </c>
      <c r="I1717" t="s">
        <v>2020</v>
      </c>
      <c r="J1717" t="s">
        <v>2026</v>
      </c>
      <c r="K1717" t="s">
        <v>3746</v>
      </c>
      <c r="L1717" t="s">
        <v>4031</v>
      </c>
      <c r="M1717">
        <f>Cleaned[[#This Row],[Credit]]-Cleaned[[#This Row],[Debit]]</f>
        <v>1899.18</v>
      </c>
      <c r="N1717" t="str">
        <f>_xlfn.XLOOKUP(Cleaned[[#This Row],[AccountName]], Account_Mapping!A:A, Account_Mapping!B:B,"Unmapped")</f>
        <v>Revenue</v>
      </c>
      <c r="O1717" cm="1">
        <f t="array" ref="O1717">_xlfn.XLOOKUP(
  1,
  (FX_Rates[Currency]=Cleaned[[#This Row],[Currency]])*
  (FX_Rates[RateDate]&lt;=Cleaned[[#This Row],[TxnDate]]),
  FX_Rates[Rate_To_INR],
  ,
  -1
)</f>
        <v>103</v>
      </c>
      <c r="P1717" s="2">
        <f>Cleaned[[#This Row],[Net Amount]] *  Cleaned[[#This Row],[FX_rates]]</f>
        <v>195615.54</v>
      </c>
    </row>
    <row r="1718" spans="1:16" x14ac:dyDescent="0.45">
      <c r="A1718" t="s">
        <v>1726</v>
      </c>
      <c r="B1718" s="1">
        <v>45592</v>
      </c>
      <c r="C1718" s="2" t="s">
        <v>2014</v>
      </c>
      <c r="D1718" t="s">
        <v>2019</v>
      </c>
      <c r="E1718">
        <v>0</v>
      </c>
      <c r="F1718">
        <f>Cleaned[[#This Row],[Debit]] * Cleaned[[#This Row],[FX_rates]]</f>
        <v>0</v>
      </c>
      <c r="G1718">
        <v>4785.2299999999996</v>
      </c>
      <c r="H1718">
        <f>Cleaned[[#This Row],[Credit]] *  Cleaned[[#This Row],[FX_rates]]</f>
        <v>492878.68999999994</v>
      </c>
      <c r="I1718" t="s">
        <v>2022</v>
      </c>
      <c r="J1718" t="s">
        <v>2029</v>
      </c>
      <c r="K1718" t="s">
        <v>3747</v>
      </c>
      <c r="L1718" t="s">
        <v>4031</v>
      </c>
      <c r="M1718">
        <f>Cleaned[[#This Row],[Credit]]-Cleaned[[#This Row],[Debit]]</f>
        <v>4785.2299999999996</v>
      </c>
      <c r="N1718" t="str">
        <f>_xlfn.XLOOKUP(Cleaned[[#This Row],[AccountName]], Account_Mapping!A:A, Account_Mapping!B:B,"Unmapped")</f>
        <v>Revenue</v>
      </c>
      <c r="O1718" cm="1">
        <f t="array" ref="O1718">_xlfn.XLOOKUP(
  1,
  (FX_Rates[Currency]=Cleaned[[#This Row],[Currency]])*
  (FX_Rates[RateDate]&lt;=Cleaned[[#This Row],[TxnDate]]),
  FX_Rates[Rate_To_INR],
  ,
  -1
)</f>
        <v>103</v>
      </c>
      <c r="P1718" s="2">
        <f>Cleaned[[#This Row],[Net Amount]] *  Cleaned[[#This Row],[FX_rates]]</f>
        <v>492878.68999999994</v>
      </c>
    </row>
    <row r="1719" spans="1:16" x14ac:dyDescent="0.45">
      <c r="A1719" t="s">
        <v>1727</v>
      </c>
      <c r="B1719" s="1">
        <v>45192</v>
      </c>
      <c r="C1719" s="2" t="s">
        <v>2014</v>
      </c>
      <c r="D1719" t="s">
        <v>2019</v>
      </c>
      <c r="E1719">
        <v>0</v>
      </c>
      <c r="F1719">
        <f>Cleaned[[#This Row],[Debit]] * Cleaned[[#This Row],[FX_rates]]</f>
        <v>0</v>
      </c>
      <c r="G1719">
        <v>2005.29</v>
      </c>
      <c r="H1719">
        <f>Cleaned[[#This Row],[Credit]] *  Cleaned[[#This Row],[FX_rates]]</f>
        <v>164433.78</v>
      </c>
      <c r="I1719" t="s">
        <v>2024</v>
      </c>
      <c r="J1719" t="s">
        <v>2027</v>
      </c>
      <c r="K1719" t="s">
        <v>3748</v>
      </c>
      <c r="L1719" t="s">
        <v>4034</v>
      </c>
      <c r="M1719">
        <f>Cleaned[[#This Row],[Credit]]-Cleaned[[#This Row],[Debit]]</f>
        <v>2005.29</v>
      </c>
      <c r="N1719" t="str">
        <f>_xlfn.XLOOKUP(Cleaned[[#This Row],[AccountName]], Account_Mapping!A:A, Account_Mapping!B:B,"Unmapped")</f>
        <v>Revenue</v>
      </c>
      <c r="O1719" cm="1">
        <f t="array" ref="O1719">_xlfn.XLOOKUP(
  1,
  (FX_Rates[Currency]=Cleaned[[#This Row],[Currency]])*
  (FX_Rates[RateDate]&lt;=Cleaned[[#This Row],[TxnDate]]),
  FX_Rates[Rate_To_INR],
  ,
  -1
)</f>
        <v>82</v>
      </c>
      <c r="P1719" s="2">
        <f>Cleaned[[#This Row],[Net Amount]] *  Cleaned[[#This Row],[FX_rates]]</f>
        <v>164433.78</v>
      </c>
    </row>
    <row r="1720" spans="1:16" x14ac:dyDescent="0.45">
      <c r="A1720" t="s">
        <v>1728</v>
      </c>
      <c r="B1720" s="1">
        <v>45148</v>
      </c>
      <c r="C1720" s="2" t="s">
        <v>2012</v>
      </c>
      <c r="D1720" t="s">
        <v>2017</v>
      </c>
      <c r="E1720">
        <v>1255.1099999999999</v>
      </c>
      <c r="F1720">
        <f>Cleaned[[#This Row],[Debit]] * Cleaned[[#This Row],[FX_rates]]</f>
        <v>110449.68</v>
      </c>
      <c r="G1720">
        <v>0</v>
      </c>
      <c r="H1720">
        <f>Cleaned[[#This Row],[Credit]] *  Cleaned[[#This Row],[FX_rates]]</f>
        <v>0</v>
      </c>
      <c r="I1720" t="s">
        <v>2025</v>
      </c>
      <c r="J1720" t="s">
        <v>2027</v>
      </c>
      <c r="K1720" t="s">
        <v>3749</v>
      </c>
      <c r="L1720" t="s">
        <v>4032</v>
      </c>
      <c r="M1720">
        <f>Cleaned[[#This Row],[Credit]]-Cleaned[[#This Row],[Debit]]</f>
        <v>-1255.1099999999999</v>
      </c>
      <c r="N1720" t="str">
        <f>_xlfn.XLOOKUP(Cleaned[[#This Row],[AccountName]], Account_Mapping!A:A, Account_Mapping!B:B,"Unmapped")</f>
        <v>Operating Expense</v>
      </c>
      <c r="O1720" cm="1">
        <f t="array" ref="O1720">_xlfn.XLOOKUP(
  1,
  (FX_Rates[Currency]=Cleaned[[#This Row],[Currency]])*
  (FX_Rates[RateDate]&lt;=Cleaned[[#This Row],[TxnDate]]),
  FX_Rates[Rate_To_INR],
  ,
  -1
)</f>
        <v>88</v>
      </c>
      <c r="P1720" s="2">
        <f>Cleaned[[#This Row],[Net Amount]] *  Cleaned[[#This Row],[FX_rates]]</f>
        <v>-110449.68</v>
      </c>
    </row>
    <row r="1721" spans="1:16" x14ac:dyDescent="0.45">
      <c r="A1721" t="s">
        <v>1729</v>
      </c>
      <c r="B1721" s="1">
        <v>45311</v>
      </c>
      <c r="C1721" s="2" t="s">
        <v>2011</v>
      </c>
      <c r="D1721" t="s">
        <v>2016</v>
      </c>
      <c r="E1721">
        <v>816.6</v>
      </c>
      <c r="F1721">
        <f>Cleaned[[#This Row],[Debit]] * Cleaned[[#This Row],[FX_rates]]</f>
        <v>71860.800000000003</v>
      </c>
      <c r="G1721">
        <v>0</v>
      </c>
      <c r="H1721">
        <f>Cleaned[[#This Row],[Credit]] *  Cleaned[[#This Row],[FX_rates]]</f>
        <v>0</v>
      </c>
      <c r="I1721" t="s">
        <v>2025</v>
      </c>
      <c r="J1721" t="s">
        <v>2030</v>
      </c>
      <c r="K1721" t="s">
        <v>3750</v>
      </c>
      <c r="L1721" t="s">
        <v>4032</v>
      </c>
      <c r="M1721">
        <f>Cleaned[[#This Row],[Credit]]-Cleaned[[#This Row],[Debit]]</f>
        <v>-816.6</v>
      </c>
      <c r="N1721" t="str">
        <f>_xlfn.XLOOKUP(Cleaned[[#This Row],[AccountName]], Account_Mapping!A:A, Account_Mapping!B:B,"Unmapped")</f>
        <v>COGS</v>
      </c>
      <c r="O1721" cm="1">
        <f t="array" ref="O1721">_xlfn.XLOOKUP(
  1,
  (FX_Rates[Currency]=Cleaned[[#This Row],[Currency]])*
  (FX_Rates[RateDate]&lt;=Cleaned[[#This Row],[TxnDate]]),
  FX_Rates[Rate_To_INR],
  ,
  -1
)</f>
        <v>88</v>
      </c>
      <c r="P1721" s="2">
        <f>Cleaned[[#This Row],[Net Amount]] *  Cleaned[[#This Row],[FX_rates]]</f>
        <v>-71860.800000000003</v>
      </c>
    </row>
    <row r="1722" spans="1:16" x14ac:dyDescent="0.45">
      <c r="A1722" t="s">
        <v>1730</v>
      </c>
      <c r="B1722" s="1">
        <v>45015</v>
      </c>
      <c r="C1722" s="2" t="s">
        <v>2014</v>
      </c>
      <c r="D1722" t="s">
        <v>2019</v>
      </c>
      <c r="E1722">
        <v>0</v>
      </c>
      <c r="F1722">
        <f>Cleaned[[#This Row],[Debit]] * Cleaned[[#This Row],[FX_rates]]</f>
        <v>0</v>
      </c>
      <c r="G1722">
        <v>1623.32</v>
      </c>
      <c r="H1722">
        <f>Cleaned[[#This Row],[Credit]] *  Cleaned[[#This Row],[FX_rates]]</f>
        <v>90905.919999999998</v>
      </c>
      <c r="I1722" t="s">
        <v>2025</v>
      </c>
      <c r="J1722" t="s">
        <v>2026</v>
      </c>
      <c r="K1722" t="s">
        <v>3751</v>
      </c>
      <c r="L1722" t="s">
        <v>4033</v>
      </c>
      <c r="M1722">
        <f>Cleaned[[#This Row],[Credit]]-Cleaned[[#This Row],[Debit]]</f>
        <v>1623.32</v>
      </c>
      <c r="N1722" t="str">
        <f>_xlfn.XLOOKUP(Cleaned[[#This Row],[AccountName]], Account_Mapping!A:A, Account_Mapping!B:B,"Unmapped")</f>
        <v>Revenue</v>
      </c>
      <c r="O1722" cm="1">
        <f t="array" ref="O1722">_xlfn.XLOOKUP(
  1,
  (FX_Rates[Currency]=Cleaned[[#This Row],[Currency]])*
  (FX_Rates[RateDate]&lt;=Cleaned[[#This Row],[TxnDate]]),
  FX_Rates[Rate_To_INR],
  ,
  -1
)</f>
        <v>56</v>
      </c>
      <c r="P1722" s="2">
        <f>Cleaned[[#This Row],[Net Amount]] *  Cleaned[[#This Row],[FX_rates]]</f>
        <v>90905.919999999998</v>
      </c>
    </row>
    <row r="1723" spans="1:16" x14ac:dyDescent="0.45">
      <c r="A1723" t="s">
        <v>1731</v>
      </c>
      <c r="B1723" s="1">
        <v>45133</v>
      </c>
      <c r="C1723" s="2" t="s">
        <v>2012</v>
      </c>
      <c r="D1723" t="s">
        <v>2017</v>
      </c>
      <c r="E1723">
        <v>770.91</v>
      </c>
      <c r="F1723">
        <f>Cleaned[[#This Row],[Debit]] * Cleaned[[#This Row],[FX_rates]]</f>
        <v>43170.96</v>
      </c>
      <c r="G1723">
        <v>0</v>
      </c>
      <c r="H1723">
        <f>Cleaned[[#This Row],[Credit]] *  Cleaned[[#This Row],[FX_rates]]</f>
        <v>0</v>
      </c>
      <c r="I1723" t="s">
        <v>2025</v>
      </c>
      <c r="J1723" t="s">
        <v>2030</v>
      </c>
      <c r="K1723" t="s">
        <v>3752</v>
      </c>
      <c r="L1723" t="s">
        <v>4033</v>
      </c>
      <c r="M1723">
        <f>Cleaned[[#This Row],[Credit]]-Cleaned[[#This Row],[Debit]]</f>
        <v>-770.91</v>
      </c>
      <c r="N1723" t="str">
        <f>_xlfn.XLOOKUP(Cleaned[[#This Row],[AccountName]], Account_Mapping!A:A, Account_Mapping!B:B,"Unmapped")</f>
        <v>Operating Expense</v>
      </c>
      <c r="O1723" cm="1">
        <f t="array" ref="O1723">_xlfn.XLOOKUP(
  1,
  (FX_Rates[Currency]=Cleaned[[#This Row],[Currency]])*
  (FX_Rates[RateDate]&lt;=Cleaned[[#This Row],[TxnDate]]),
  FX_Rates[Rate_To_INR],
  ,
  -1
)</f>
        <v>56</v>
      </c>
      <c r="P1723" s="2">
        <f>Cleaned[[#This Row],[Net Amount]] *  Cleaned[[#This Row],[FX_rates]]</f>
        <v>-43170.96</v>
      </c>
    </row>
    <row r="1724" spans="1:16" x14ac:dyDescent="0.45">
      <c r="A1724" t="s">
        <v>1732</v>
      </c>
      <c r="B1724" s="1">
        <v>45379</v>
      </c>
      <c r="C1724" s="2" t="s">
        <v>2014</v>
      </c>
      <c r="D1724" t="s">
        <v>2019</v>
      </c>
      <c r="E1724">
        <v>0</v>
      </c>
      <c r="F1724">
        <f>Cleaned[[#This Row],[Debit]] * Cleaned[[#This Row],[FX_rates]]</f>
        <v>0</v>
      </c>
      <c r="G1724">
        <v>3597.73</v>
      </c>
      <c r="H1724">
        <f>Cleaned[[#This Row],[Credit]] *  Cleaned[[#This Row],[FX_rates]]</f>
        <v>219461.53</v>
      </c>
      <c r="I1724" t="s">
        <v>2020</v>
      </c>
      <c r="J1724" t="s">
        <v>2027</v>
      </c>
      <c r="K1724" t="s">
        <v>3753</v>
      </c>
      <c r="L1724" t="s">
        <v>4035</v>
      </c>
      <c r="M1724">
        <f>Cleaned[[#This Row],[Credit]]-Cleaned[[#This Row],[Debit]]</f>
        <v>3597.73</v>
      </c>
      <c r="N1724" t="str">
        <f>_xlfn.XLOOKUP(Cleaned[[#This Row],[AccountName]], Account_Mapping!A:A, Account_Mapping!B:B,"Unmapped")</f>
        <v>Revenue</v>
      </c>
      <c r="O1724" cm="1">
        <f t="array" ref="O1724">_xlfn.XLOOKUP(
  1,
  (FX_Rates[Currency]=Cleaned[[#This Row],[Currency]])*
  (FX_Rates[RateDate]&lt;=Cleaned[[#This Row],[TxnDate]]),
  FX_Rates[Rate_To_INR],
  ,
  -1
)</f>
        <v>61</v>
      </c>
      <c r="P1724" s="2">
        <f>Cleaned[[#This Row],[Net Amount]] *  Cleaned[[#This Row],[FX_rates]]</f>
        <v>219461.53</v>
      </c>
    </row>
    <row r="1725" spans="1:16" x14ac:dyDescent="0.45">
      <c r="A1725" t="s">
        <v>1733</v>
      </c>
      <c r="B1725" s="1">
        <v>45730</v>
      </c>
      <c r="C1725" s="2" t="s">
        <v>2011</v>
      </c>
      <c r="D1725" t="s">
        <v>2016</v>
      </c>
      <c r="E1725">
        <v>468</v>
      </c>
      <c r="F1725">
        <f>Cleaned[[#This Row],[Debit]] * Cleaned[[#This Row],[FX_rates]]</f>
        <v>38376</v>
      </c>
      <c r="G1725">
        <v>0</v>
      </c>
      <c r="H1725">
        <f>Cleaned[[#This Row],[Credit]] *  Cleaned[[#This Row],[FX_rates]]</f>
        <v>0</v>
      </c>
      <c r="I1725" t="s">
        <v>2024</v>
      </c>
      <c r="J1725" t="s">
        <v>2030</v>
      </c>
      <c r="K1725" t="s">
        <v>3754</v>
      </c>
      <c r="L1725" t="s">
        <v>4034</v>
      </c>
      <c r="M1725">
        <f>Cleaned[[#This Row],[Credit]]-Cleaned[[#This Row],[Debit]]</f>
        <v>-468</v>
      </c>
      <c r="N1725" t="str">
        <f>_xlfn.XLOOKUP(Cleaned[[#This Row],[AccountName]], Account_Mapping!A:A, Account_Mapping!B:B,"Unmapped")</f>
        <v>COGS</v>
      </c>
      <c r="O1725" cm="1">
        <f t="array" ref="O1725">_xlfn.XLOOKUP(
  1,
  (FX_Rates[Currency]=Cleaned[[#This Row],[Currency]])*
  (FX_Rates[RateDate]&lt;=Cleaned[[#This Row],[TxnDate]]),
  FX_Rates[Rate_To_INR],
  ,
  -1
)</f>
        <v>82</v>
      </c>
      <c r="P1725" s="2">
        <f>Cleaned[[#This Row],[Net Amount]] *  Cleaned[[#This Row],[FX_rates]]</f>
        <v>-38376</v>
      </c>
    </row>
    <row r="1726" spans="1:16" x14ac:dyDescent="0.45">
      <c r="A1726" t="s">
        <v>1734</v>
      </c>
      <c r="B1726" s="1">
        <v>45439</v>
      </c>
      <c r="C1726" s="2" t="s">
        <v>2012</v>
      </c>
      <c r="D1726" t="s">
        <v>2017</v>
      </c>
      <c r="E1726">
        <v>1093.3800000000001</v>
      </c>
      <c r="F1726">
        <f>Cleaned[[#This Row],[Debit]] * Cleaned[[#This Row],[FX_rates]]</f>
        <v>61229.280000000006</v>
      </c>
      <c r="G1726">
        <v>0</v>
      </c>
      <c r="H1726">
        <f>Cleaned[[#This Row],[Credit]] *  Cleaned[[#This Row],[FX_rates]]</f>
        <v>0</v>
      </c>
      <c r="I1726" t="s">
        <v>2022</v>
      </c>
      <c r="J1726" t="s">
        <v>2027</v>
      </c>
      <c r="K1726" t="s">
        <v>3755</v>
      </c>
      <c r="L1726" t="s">
        <v>4033</v>
      </c>
      <c r="M1726">
        <f>Cleaned[[#This Row],[Credit]]-Cleaned[[#This Row],[Debit]]</f>
        <v>-1093.3800000000001</v>
      </c>
      <c r="N1726" t="str">
        <f>_xlfn.XLOOKUP(Cleaned[[#This Row],[AccountName]], Account_Mapping!A:A, Account_Mapping!B:B,"Unmapped")</f>
        <v>Operating Expense</v>
      </c>
      <c r="O1726" cm="1">
        <f t="array" ref="O1726">_xlfn.XLOOKUP(
  1,
  (FX_Rates[Currency]=Cleaned[[#This Row],[Currency]])*
  (FX_Rates[RateDate]&lt;=Cleaned[[#This Row],[TxnDate]]),
  FX_Rates[Rate_To_INR],
  ,
  -1
)</f>
        <v>56</v>
      </c>
      <c r="P1726" s="2">
        <f>Cleaned[[#This Row],[Net Amount]] *  Cleaned[[#This Row],[FX_rates]]</f>
        <v>-61229.280000000006</v>
      </c>
    </row>
    <row r="1727" spans="1:16" x14ac:dyDescent="0.45">
      <c r="A1727" t="s">
        <v>1735</v>
      </c>
      <c r="B1727" s="1">
        <v>45429</v>
      </c>
      <c r="C1727" s="2" t="s">
        <v>2014</v>
      </c>
      <c r="D1727" t="s">
        <v>2019</v>
      </c>
      <c r="E1727">
        <v>0</v>
      </c>
      <c r="F1727">
        <f>Cleaned[[#This Row],[Debit]] * Cleaned[[#This Row],[FX_rates]]</f>
        <v>0</v>
      </c>
      <c r="G1727">
        <v>1791.26</v>
      </c>
      <c r="H1727">
        <f>Cleaned[[#This Row],[Credit]] *  Cleaned[[#This Row],[FX_rates]]</f>
        <v>146883.32</v>
      </c>
      <c r="I1727" t="s">
        <v>2022</v>
      </c>
      <c r="J1727" t="s">
        <v>2029</v>
      </c>
      <c r="K1727" t="s">
        <v>3756</v>
      </c>
      <c r="L1727" t="s">
        <v>4034</v>
      </c>
      <c r="M1727">
        <f>Cleaned[[#This Row],[Credit]]-Cleaned[[#This Row],[Debit]]</f>
        <v>1791.26</v>
      </c>
      <c r="N1727" t="str">
        <f>_xlfn.XLOOKUP(Cleaned[[#This Row],[AccountName]], Account_Mapping!A:A, Account_Mapping!B:B,"Unmapped")</f>
        <v>Revenue</v>
      </c>
      <c r="O1727" cm="1">
        <f t="array" ref="O1727">_xlfn.XLOOKUP(
  1,
  (FX_Rates[Currency]=Cleaned[[#This Row],[Currency]])*
  (FX_Rates[RateDate]&lt;=Cleaned[[#This Row],[TxnDate]]),
  FX_Rates[Rate_To_INR],
  ,
  -1
)</f>
        <v>82</v>
      </c>
      <c r="P1727" s="2">
        <f>Cleaned[[#This Row],[Net Amount]] *  Cleaned[[#This Row],[FX_rates]]</f>
        <v>146883.32</v>
      </c>
    </row>
    <row r="1728" spans="1:16" x14ac:dyDescent="0.45">
      <c r="A1728" t="s">
        <v>1736</v>
      </c>
      <c r="B1728" s="1">
        <v>45760</v>
      </c>
      <c r="C1728" s="2" t="s">
        <v>2014</v>
      </c>
      <c r="D1728" t="s">
        <v>2019</v>
      </c>
      <c r="E1728">
        <v>0</v>
      </c>
      <c r="F1728">
        <f>Cleaned[[#This Row],[Debit]] * Cleaned[[#This Row],[FX_rates]]</f>
        <v>0</v>
      </c>
      <c r="G1728">
        <v>2175.02</v>
      </c>
      <c r="H1728">
        <f>Cleaned[[#This Row],[Credit]] *  Cleaned[[#This Row],[FX_rates]]</f>
        <v>224027.06</v>
      </c>
      <c r="I1728" t="s">
        <v>2021</v>
      </c>
      <c r="J1728" t="s">
        <v>2028</v>
      </c>
      <c r="K1728" t="s">
        <v>3757</v>
      </c>
      <c r="L1728" t="s">
        <v>4031</v>
      </c>
      <c r="M1728">
        <f>Cleaned[[#This Row],[Credit]]-Cleaned[[#This Row],[Debit]]</f>
        <v>2175.02</v>
      </c>
      <c r="N1728" t="str">
        <f>_xlfn.XLOOKUP(Cleaned[[#This Row],[AccountName]], Account_Mapping!A:A, Account_Mapping!B:B,"Unmapped")</f>
        <v>Revenue</v>
      </c>
      <c r="O1728" cm="1">
        <f t="array" ref="O1728">_xlfn.XLOOKUP(
  1,
  (FX_Rates[Currency]=Cleaned[[#This Row],[Currency]])*
  (FX_Rates[RateDate]&lt;=Cleaned[[#This Row],[TxnDate]]),
  FX_Rates[Rate_To_INR],
  ,
  -1
)</f>
        <v>103</v>
      </c>
      <c r="P1728" s="2">
        <f>Cleaned[[#This Row],[Net Amount]] *  Cleaned[[#This Row],[FX_rates]]</f>
        <v>224027.06</v>
      </c>
    </row>
    <row r="1729" spans="1:16" x14ac:dyDescent="0.45">
      <c r="A1729" t="s">
        <v>1737</v>
      </c>
      <c r="B1729" s="1">
        <v>45677</v>
      </c>
      <c r="C1729" s="2" t="s">
        <v>2012</v>
      </c>
      <c r="D1729" t="s">
        <v>2017</v>
      </c>
      <c r="E1729">
        <v>1574.77</v>
      </c>
      <c r="F1729">
        <f>Cleaned[[#This Row],[Debit]] * Cleaned[[#This Row],[FX_rates]]</f>
        <v>96060.97</v>
      </c>
      <c r="G1729">
        <v>0</v>
      </c>
      <c r="H1729">
        <f>Cleaned[[#This Row],[Credit]] *  Cleaned[[#This Row],[FX_rates]]</f>
        <v>0</v>
      </c>
      <c r="I1729" t="s">
        <v>2020</v>
      </c>
      <c r="J1729" t="s">
        <v>2026</v>
      </c>
      <c r="K1729" t="s">
        <v>3758</v>
      </c>
      <c r="L1729" t="s">
        <v>4035</v>
      </c>
      <c r="M1729">
        <f>Cleaned[[#This Row],[Credit]]-Cleaned[[#This Row],[Debit]]</f>
        <v>-1574.77</v>
      </c>
      <c r="N1729" t="str">
        <f>_xlfn.XLOOKUP(Cleaned[[#This Row],[AccountName]], Account_Mapping!A:A, Account_Mapping!B:B,"Unmapped")</f>
        <v>Operating Expense</v>
      </c>
      <c r="O1729" cm="1">
        <f t="array" ref="O1729">_xlfn.XLOOKUP(
  1,
  (FX_Rates[Currency]=Cleaned[[#This Row],[Currency]])*
  (FX_Rates[RateDate]&lt;=Cleaned[[#This Row],[TxnDate]]),
  FX_Rates[Rate_To_INR],
  ,
  -1
)</f>
        <v>61</v>
      </c>
      <c r="P1729" s="2">
        <f>Cleaned[[#This Row],[Net Amount]] *  Cleaned[[#This Row],[FX_rates]]</f>
        <v>-96060.97</v>
      </c>
    </row>
    <row r="1730" spans="1:16" x14ac:dyDescent="0.45">
      <c r="A1730" t="s">
        <v>1738</v>
      </c>
      <c r="B1730" s="1">
        <v>45674</v>
      </c>
      <c r="C1730" s="2" t="s">
        <v>2011</v>
      </c>
      <c r="D1730" t="s">
        <v>2016</v>
      </c>
      <c r="E1730">
        <v>1527.19</v>
      </c>
      <c r="F1730">
        <f>Cleaned[[#This Row],[Debit]] * Cleaned[[#This Row],[FX_rates]]</f>
        <v>157300.57</v>
      </c>
      <c r="G1730">
        <v>0</v>
      </c>
      <c r="H1730">
        <f>Cleaned[[#This Row],[Credit]] *  Cleaned[[#This Row],[FX_rates]]</f>
        <v>0</v>
      </c>
      <c r="I1730" t="s">
        <v>2025</v>
      </c>
      <c r="J1730" t="s">
        <v>2030</v>
      </c>
      <c r="K1730" t="s">
        <v>3759</v>
      </c>
      <c r="L1730" t="s">
        <v>4031</v>
      </c>
      <c r="M1730">
        <f>Cleaned[[#This Row],[Credit]]-Cleaned[[#This Row],[Debit]]</f>
        <v>-1527.19</v>
      </c>
      <c r="N1730" t="str">
        <f>_xlfn.XLOOKUP(Cleaned[[#This Row],[AccountName]], Account_Mapping!A:A, Account_Mapping!B:B,"Unmapped")</f>
        <v>COGS</v>
      </c>
      <c r="O1730" cm="1">
        <f t="array" ref="O1730">_xlfn.XLOOKUP(
  1,
  (FX_Rates[Currency]=Cleaned[[#This Row],[Currency]])*
  (FX_Rates[RateDate]&lt;=Cleaned[[#This Row],[TxnDate]]),
  FX_Rates[Rate_To_INR],
  ,
  -1
)</f>
        <v>103</v>
      </c>
      <c r="P1730" s="2">
        <f>Cleaned[[#This Row],[Net Amount]] *  Cleaned[[#This Row],[FX_rates]]</f>
        <v>-157300.57</v>
      </c>
    </row>
    <row r="1731" spans="1:16" x14ac:dyDescent="0.45">
      <c r="A1731" t="s">
        <v>1739</v>
      </c>
      <c r="B1731" s="1">
        <v>45277</v>
      </c>
      <c r="C1731" s="2" t="s">
        <v>2013</v>
      </c>
      <c r="D1731" t="s">
        <v>2018</v>
      </c>
      <c r="E1731">
        <v>235.69</v>
      </c>
      <c r="F1731">
        <f>Cleaned[[#This Row],[Debit]] * Cleaned[[#This Row],[FX_rates]]</f>
        <v>13198.64</v>
      </c>
      <c r="G1731">
        <v>0</v>
      </c>
      <c r="H1731">
        <f>Cleaned[[#This Row],[Credit]] *  Cleaned[[#This Row],[FX_rates]]</f>
        <v>0</v>
      </c>
      <c r="I1731" t="s">
        <v>2025</v>
      </c>
      <c r="J1731" t="s">
        <v>2027</v>
      </c>
      <c r="K1731" t="s">
        <v>3760</v>
      </c>
      <c r="L1731" t="s">
        <v>4033</v>
      </c>
      <c r="M1731">
        <f>Cleaned[[#This Row],[Credit]]-Cleaned[[#This Row],[Debit]]</f>
        <v>-235.69</v>
      </c>
      <c r="N1731" t="str">
        <f>_xlfn.XLOOKUP(Cleaned[[#This Row],[AccountName]], Account_Mapping!A:A, Account_Mapping!B:B,"Unmapped")</f>
        <v>Operating Expense</v>
      </c>
      <c r="O1731" cm="1">
        <f t="array" ref="O1731">_xlfn.XLOOKUP(
  1,
  (FX_Rates[Currency]=Cleaned[[#This Row],[Currency]])*
  (FX_Rates[RateDate]&lt;=Cleaned[[#This Row],[TxnDate]]),
  FX_Rates[Rate_To_INR],
  ,
  -1
)</f>
        <v>56</v>
      </c>
      <c r="P1731" s="2">
        <f>Cleaned[[#This Row],[Net Amount]] *  Cleaned[[#This Row],[FX_rates]]</f>
        <v>-13198.64</v>
      </c>
    </row>
    <row r="1732" spans="1:16" x14ac:dyDescent="0.45">
      <c r="A1732" t="s">
        <v>1740</v>
      </c>
      <c r="B1732" s="1">
        <v>44999</v>
      </c>
      <c r="C1732" s="2" t="s">
        <v>2014</v>
      </c>
      <c r="D1732" t="s">
        <v>2019</v>
      </c>
      <c r="E1732">
        <v>0</v>
      </c>
      <c r="F1732">
        <f>Cleaned[[#This Row],[Debit]] * Cleaned[[#This Row],[FX_rates]]</f>
        <v>0</v>
      </c>
      <c r="G1732">
        <v>1732.54</v>
      </c>
      <c r="H1732">
        <f>Cleaned[[#This Row],[Credit]] *  Cleaned[[#This Row],[FX_rates]]</f>
        <v>142068.28</v>
      </c>
      <c r="I1732" t="s">
        <v>2021</v>
      </c>
      <c r="J1732" t="s">
        <v>2029</v>
      </c>
      <c r="K1732" t="s">
        <v>3761</v>
      </c>
      <c r="L1732" t="s">
        <v>4034</v>
      </c>
      <c r="M1732">
        <f>Cleaned[[#This Row],[Credit]]-Cleaned[[#This Row],[Debit]]</f>
        <v>1732.54</v>
      </c>
      <c r="N1732" t="str">
        <f>_xlfn.XLOOKUP(Cleaned[[#This Row],[AccountName]], Account_Mapping!A:A, Account_Mapping!B:B,"Unmapped")</f>
        <v>Revenue</v>
      </c>
      <c r="O1732" cm="1">
        <f t="array" ref="O1732">_xlfn.XLOOKUP(
  1,
  (FX_Rates[Currency]=Cleaned[[#This Row],[Currency]])*
  (FX_Rates[RateDate]&lt;=Cleaned[[#This Row],[TxnDate]]),
  FX_Rates[Rate_To_INR],
  ,
  -1
)</f>
        <v>82</v>
      </c>
      <c r="P1732" s="2">
        <f>Cleaned[[#This Row],[Net Amount]] *  Cleaned[[#This Row],[FX_rates]]</f>
        <v>142068.28</v>
      </c>
    </row>
    <row r="1733" spans="1:16" x14ac:dyDescent="0.45">
      <c r="A1733" t="s">
        <v>1741</v>
      </c>
      <c r="B1733" s="1">
        <v>45714</v>
      </c>
      <c r="C1733" s="2" t="s">
        <v>2014</v>
      </c>
      <c r="D1733" t="s">
        <v>2019</v>
      </c>
      <c r="E1733">
        <v>0</v>
      </c>
      <c r="F1733">
        <f>Cleaned[[#This Row],[Debit]] * Cleaned[[#This Row],[FX_rates]]</f>
        <v>0</v>
      </c>
      <c r="G1733">
        <v>2626.2</v>
      </c>
      <c r="H1733">
        <f>Cleaned[[#This Row],[Credit]] *  Cleaned[[#This Row],[FX_rates]]</f>
        <v>160198.19999999998</v>
      </c>
      <c r="I1733" t="s">
        <v>2020</v>
      </c>
      <c r="J1733" t="s">
        <v>2028</v>
      </c>
      <c r="K1733" t="s">
        <v>3762</v>
      </c>
      <c r="L1733" t="s">
        <v>4035</v>
      </c>
      <c r="M1733">
        <f>Cleaned[[#This Row],[Credit]]-Cleaned[[#This Row],[Debit]]</f>
        <v>2626.2</v>
      </c>
      <c r="N1733" t="str">
        <f>_xlfn.XLOOKUP(Cleaned[[#This Row],[AccountName]], Account_Mapping!A:A, Account_Mapping!B:B,"Unmapped")</f>
        <v>Revenue</v>
      </c>
      <c r="O1733" cm="1">
        <f t="array" ref="O1733">_xlfn.XLOOKUP(
  1,
  (FX_Rates[Currency]=Cleaned[[#This Row],[Currency]])*
  (FX_Rates[RateDate]&lt;=Cleaned[[#This Row],[TxnDate]]),
  FX_Rates[Rate_To_INR],
  ,
  -1
)</f>
        <v>61</v>
      </c>
      <c r="P1733" s="2">
        <f>Cleaned[[#This Row],[Net Amount]] *  Cleaned[[#This Row],[FX_rates]]</f>
        <v>160198.19999999998</v>
      </c>
    </row>
    <row r="1734" spans="1:16" x14ac:dyDescent="0.45">
      <c r="A1734" t="s">
        <v>1742</v>
      </c>
      <c r="B1734" s="1">
        <v>45008</v>
      </c>
      <c r="C1734" s="2" t="s">
        <v>2013</v>
      </c>
      <c r="D1734" t="s">
        <v>2018</v>
      </c>
      <c r="E1734">
        <v>1253</v>
      </c>
      <c r="F1734">
        <f>Cleaned[[#This Row],[Debit]] * Cleaned[[#This Row],[FX_rates]]</f>
        <v>110264</v>
      </c>
      <c r="G1734">
        <v>0</v>
      </c>
      <c r="H1734">
        <f>Cleaned[[#This Row],[Credit]] *  Cleaned[[#This Row],[FX_rates]]</f>
        <v>0</v>
      </c>
      <c r="I1734" t="s">
        <v>2020</v>
      </c>
      <c r="J1734" t="s">
        <v>2026</v>
      </c>
      <c r="K1734" t="s">
        <v>3763</v>
      </c>
      <c r="L1734" t="s">
        <v>4032</v>
      </c>
      <c r="M1734">
        <f>Cleaned[[#This Row],[Credit]]-Cleaned[[#This Row],[Debit]]</f>
        <v>-1253</v>
      </c>
      <c r="N1734" t="str">
        <f>_xlfn.XLOOKUP(Cleaned[[#This Row],[AccountName]], Account_Mapping!A:A, Account_Mapping!B:B,"Unmapped")</f>
        <v>Operating Expense</v>
      </c>
      <c r="O1734" cm="1">
        <f t="array" ref="O1734">_xlfn.XLOOKUP(
  1,
  (FX_Rates[Currency]=Cleaned[[#This Row],[Currency]])*
  (FX_Rates[RateDate]&lt;=Cleaned[[#This Row],[TxnDate]]),
  FX_Rates[Rate_To_INR],
  ,
  -1
)</f>
        <v>88</v>
      </c>
      <c r="P1734" s="2">
        <f>Cleaned[[#This Row],[Net Amount]] *  Cleaned[[#This Row],[FX_rates]]</f>
        <v>-110264</v>
      </c>
    </row>
    <row r="1735" spans="1:16" x14ac:dyDescent="0.45">
      <c r="A1735" t="s">
        <v>1743</v>
      </c>
      <c r="B1735" s="1">
        <v>45667</v>
      </c>
      <c r="C1735" s="2" t="s">
        <v>2011</v>
      </c>
      <c r="D1735" t="s">
        <v>2016</v>
      </c>
      <c r="E1735">
        <v>698.8</v>
      </c>
      <c r="F1735">
        <f>Cleaned[[#This Row],[Debit]] * Cleaned[[#This Row],[FX_rates]]</f>
        <v>42626.799999999996</v>
      </c>
      <c r="G1735">
        <v>0</v>
      </c>
      <c r="H1735">
        <f>Cleaned[[#This Row],[Credit]] *  Cleaned[[#This Row],[FX_rates]]</f>
        <v>0</v>
      </c>
      <c r="I1735" t="s">
        <v>2022</v>
      </c>
      <c r="J1735" t="s">
        <v>2030</v>
      </c>
      <c r="K1735" t="s">
        <v>3764</v>
      </c>
      <c r="L1735" t="s">
        <v>4035</v>
      </c>
      <c r="M1735">
        <f>Cleaned[[#This Row],[Credit]]-Cleaned[[#This Row],[Debit]]</f>
        <v>-698.8</v>
      </c>
      <c r="N1735" t="str">
        <f>_xlfn.XLOOKUP(Cleaned[[#This Row],[AccountName]], Account_Mapping!A:A, Account_Mapping!B:B,"Unmapped")</f>
        <v>COGS</v>
      </c>
      <c r="O1735" cm="1">
        <f t="array" ref="O1735">_xlfn.XLOOKUP(
  1,
  (FX_Rates[Currency]=Cleaned[[#This Row],[Currency]])*
  (FX_Rates[RateDate]&lt;=Cleaned[[#This Row],[TxnDate]]),
  FX_Rates[Rate_To_INR],
  ,
  -1
)</f>
        <v>61</v>
      </c>
      <c r="P1735" s="2">
        <f>Cleaned[[#This Row],[Net Amount]] *  Cleaned[[#This Row],[FX_rates]]</f>
        <v>-42626.799999999996</v>
      </c>
    </row>
    <row r="1736" spans="1:16" x14ac:dyDescent="0.45">
      <c r="A1736" t="s">
        <v>1744</v>
      </c>
      <c r="B1736" s="1">
        <v>45375</v>
      </c>
      <c r="C1736" s="2" t="s">
        <v>2010</v>
      </c>
      <c r="D1736" t="s">
        <v>2015</v>
      </c>
      <c r="E1736">
        <v>0</v>
      </c>
      <c r="F1736">
        <f>Cleaned[[#This Row],[Debit]] * Cleaned[[#This Row],[FX_rates]]</f>
        <v>0</v>
      </c>
      <c r="G1736">
        <v>1651.12</v>
      </c>
      <c r="H1736">
        <f>Cleaned[[#This Row],[Credit]] *  Cleaned[[#This Row],[FX_rates]]</f>
        <v>92462.720000000001</v>
      </c>
      <c r="I1736" t="s">
        <v>2023</v>
      </c>
      <c r="J1736" t="s">
        <v>2026</v>
      </c>
      <c r="K1736" t="s">
        <v>3765</v>
      </c>
      <c r="L1736" t="s">
        <v>4033</v>
      </c>
      <c r="M1736">
        <f>Cleaned[[#This Row],[Credit]]-Cleaned[[#This Row],[Debit]]</f>
        <v>1651.12</v>
      </c>
      <c r="N1736" t="str">
        <f>_xlfn.XLOOKUP(Cleaned[[#This Row],[AccountName]], Account_Mapping!A:A, Account_Mapping!B:B,"Unmapped")</f>
        <v>Revenue</v>
      </c>
      <c r="O1736" cm="1">
        <f t="array" ref="O1736">_xlfn.XLOOKUP(
  1,
  (FX_Rates[Currency]=Cleaned[[#This Row],[Currency]])*
  (FX_Rates[RateDate]&lt;=Cleaned[[#This Row],[TxnDate]]),
  FX_Rates[Rate_To_INR],
  ,
  -1
)</f>
        <v>56</v>
      </c>
      <c r="P1736" s="2">
        <f>Cleaned[[#This Row],[Net Amount]] *  Cleaned[[#This Row],[FX_rates]]</f>
        <v>92462.720000000001</v>
      </c>
    </row>
    <row r="1737" spans="1:16" x14ac:dyDescent="0.45">
      <c r="A1737" t="s">
        <v>1745</v>
      </c>
      <c r="B1737" s="1">
        <v>45414</v>
      </c>
      <c r="C1737" s="2" t="s">
        <v>2014</v>
      </c>
      <c r="D1737" t="s">
        <v>2019</v>
      </c>
      <c r="E1737">
        <v>0</v>
      </c>
      <c r="F1737">
        <f>Cleaned[[#This Row],[Debit]] * Cleaned[[#This Row],[FX_rates]]</f>
        <v>0</v>
      </c>
      <c r="G1737">
        <v>4999.53</v>
      </c>
      <c r="H1737">
        <f>Cleaned[[#This Row],[Credit]] *  Cleaned[[#This Row],[FX_rates]]</f>
        <v>304971.32999999996</v>
      </c>
      <c r="I1737" t="s">
        <v>2024</v>
      </c>
      <c r="J1737" t="s">
        <v>2026</v>
      </c>
      <c r="K1737" t="s">
        <v>3766</v>
      </c>
      <c r="L1737" t="s">
        <v>4035</v>
      </c>
      <c r="M1737">
        <f>Cleaned[[#This Row],[Credit]]-Cleaned[[#This Row],[Debit]]</f>
        <v>4999.53</v>
      </c>
      <c r="N1737" t="str">
        <f>_xlfn.XLOOKUP(Cleaned[[#This Row],[AccountName]], Account_Mapping!A:A, Account_Mapping!B:B,"Unmapped")</f>
        <v>Revenue</v>
      </c>
      <c r="O1737" cm="1">
        <f t="array" ref="O1737">_xlfn.XLOOKUP(
  1,
  (FX_Rates[Currency]=Cleaned[[#This Row],[Currency]])*
  (FX_Rates[RateDate]&lt;=Cleaned[[#This Row],[TxnDate]]),
  FX_Rates[Rate_To_INR],
  ,
  -1
)</f>
        <v>61</v>
      </c>
      <c r="P1737" s="2">
        <f>Cleaned[[#This Row],[Net Amount]] *  Cleaned[[#This Row],[FX_rates]]</f>
        <v>304971.32999999996</v>
      </c>
    </row>
    <row r="1738" spans="1:16" x14ac:dyDescent="0.45">
      <c r="A1738" t="s">
        <v>1746</v>
      </c>
      <c r="B1738" s="1">
        <v>45792</v>
      </c>
      <c r="C1738" s="2" t="s">
        <v>2011</v>
      </c>
      <c r="D1738" t="s">
        <v>2016</v>
      </c>
      <c r="E1738">
        <v>600.07000000000005</v>
      </c>
      <c r="F1738">
        <f>Cleaned[[#This Row],[Debit]] * Cleaned[[#This Row],[FX_rates]]</f>
        <v>52806.16</v>
      </c>
      <c r="G1738">
        <v>0</v>
      </c>
      <c r="H1738">
        <f>Cleaned[[#This Row],[Credit]] *  Cleaned[[#This Row],[FX_rates]]</f>
        <v>0</v>
      </c>
      <c r="I1738" t="s">
        <v>2021</v>
      </c>
      <c r="J1738" t="s">
        <v>2027</v>
      </c>
      <c r="K1738" t="s">
        <v>3767</v>
      </c>
      <c r="L1738" t="s">
        <v>4032</v>
      </c>
      <c r="M1738">
        <f>Cleaned[[#This Row],[Credit]]-Cleaned[[#This Row],[Debit]]</f>
        <v>-600.07000000000005</v>
      </c>
      <c r="N1738" t="str">
        <f>_xlfn.XLOOKUP(Cleaned[[#This Row],[AccountName]], Account_Mapping!A:A, Account_Mapping!B:B,"Unmapped")</f>
        <v>COGS</v>
      </c>
      <c r="O1738" cm="1">
        <f t="array" ref="O1738">_xlfn.XLOOKUP(
  1,
  (FX_Rates[Currency]=Cleaned[[#This Row],[Currency]])*
  (FX_Rates[RateDate]&lt;=Cleaned[[#This Row],[TxnDate]]),
  FX_Rates[Rate_To_INR],
  ,
  -1
)</f>
        <v>88</v>
      </c>
      <c r="P1738" s="2">
        <f>Cleaned[[#This Row],[Net Amount]] *  Cleaned[[#This Row],[FX_rates]]</f>
        <v>-52806.16</v>
      </c>
    </row>
    <row r="1739" spans="1:16" x14ac:dyDescent="0.45">
      <c r="A1739" t="s">
        <v>1747</v>
      </c>
      <c r="B1739" s="1">
        <v>45055</v>
      </c>
      <c r="C1739" s="2" t="s">
        <v>2012</v>
      </c>
      <c r="D1739" t="s">
        <v>2017</v>
      </c>
      <c r="E1739">
        <v>1136.96</v>
      </c>
      <c r="F1739">
        <f>Cleaned[[#This Row],[Debit]] * Cleaned[[#This Row],[FX_rates]]</f>
        <v>93230.720000000001</v>
      </c>
      <c r="G1739">
        <v>0</v>
      </c>
      <c r="H1739">
        <f>Cleaned[[#This Row],[Credit]] *  Cleaned[[#This Row],[FX_rates]]</f>
        <v>0</v>
      </c>
      <c r="I1739" t="s">
        <v>2025</v>
      </c>
      <c r="J1739" t="s">
        <v>2029</v>
      </c>
      <c r="K1739" t="s">
        <v>3768</v>
      </c>
      <c r="L1739" t="s">
        <v>4034</v>
      </c>
      <c r="M1739">
        <f>Cleaned[[#This Row],[Credit]]-Cleaned[[#This Row],[Debit]]</f>
        <v>-1136.96</v>
      </c>
      <c r="N1739" t="str">
        <f>_xlfn.XLOOKUP(Cleaned[[#This Row],[AccountName]], Account_Mapping!A:A, Account_Mapping!B:B,"Unmapped")</f>
        <v>Operating Expense</v>
      </c>
      <c r="O1739" cm="1">
        <f t="array" ref="O1739">_xlfn.XLOOKUP(
  1,
  (FX_Rates[Currency]=Cleaned[[#This Row],[Currency]])*
  (FX_Rates[RateDate]&lt;=Cleaned[[#This Row],[TxnDate]]),
  FX_Rates[Rate_To_INR],
  ,
  -1
)</f>
        <v>82</v>
      </c>
      <c r="P1739" s="2">
        <f>Cleaned[[#This Row],[Net Amount]] *  Cleaned[[#This Row],[FX_rates]]</f>
        <v>-93230.720000000001</v>
      </c>
    </row>
    <row r="1740" spans="1:16" x14ac:dyDescent="0.45">
      <c r="A1740" t="s">
        <v>1748</v>
      </c>
      <c r="B1740" s="1">
        <v>45354</v>
      </c>
      <c r="C1740" s="2" t="s">
        <v>2014</v>
      </c>
      <c r="D1740" t="s">
        <v>2019</v>
      </c>
      <c r="E1740">
        <v>0</v>
      </c>
      <c r="F1740">
        <f>Cleaned[[#This Row],[Debit]] * Cleaned[[#This Row],[FX_rates]]</f>
        <v>0</v>
      </c>
      <c r="G1740">
        <v>3007.82</v>
      </c>
      <c r="H1740">
        <f>Cleaned[[#This Row],[Credit]] *  Cleaned[[#This Row],[FX_rates]]</f>
        <v>246641.24000000002</v>
      </c>
      <c r="I1740" t="s">
        <v>2025</v>
      </c>
      <c r="J1740" t="s">
        <v>2030</v>
      </c>
      <c r="K1740" t="s">
        <v>3769</v>
      </c>
      <c r="L1740" t="s">
        <v>4034</v>
      </c>
      <c r="M1740">
        <f>Cleaned[[#This Row],[Credit]]-Cleaned[[#This Row],[Debit]]</f>
        <v>3007.82</v>
      </c>
      <c r="N1740" t="str">
        <f>_xlfn.XLOOKUP(Cleaned[[#This Row],[AccountName]], Account_Mapping!A:A, Account_Mapping!B:B,"Unmapped")</f>
        <v>Revenue</v>
      </c>
      <c r="O1740" cm="1">
        <f t="array" ref="O1740">_xlfn.XLOOKUP(
  1,
  (FX_Rates[Currency]=Cleaned[[#This Row],[Currency]])*
  (FX_Rates[RateDate]&lt;=Cleaned[[#This Row],[TxnDate]]),
  FX_Rates[Rate_To_INR],
  ,
  -1
)</f>
        <v>82</v>
      </c>
      <c r="P1740" s="2">
        <f>Cleaned[[#This Row],[Net Amount]] *  Cleaned[[#This Row],[FX_rates]]</f>
        <v>246641.24000000002</v>
      </c>
    </row>
    <row r="1741" spans="1:16" x14ac:dyDescent="0.45">
      <c r="A1741" t="s">
        <v>1749</v>
      </c>
      <c r="B1741" s="1">
        <v>45487</v>
      </c>
      <c r="C1741" s="2" t="s">
        <v>2014</v>
      </c>
      <c r="D1741" t="s">
        <v>2019</v>
      </c>
      <c r="E1741">
        <v>0</v>
      </c>
      <c r="F1741">
        <f>Cleaned[[#This Row],[Debit]] * Cleaned[[#This Row],[FX_rates]]</f>
        <v>0</v>
      </c>
      <c r="G1741">
        <v>2023.01</v>
      </c>
      <c r="H1741">
        <f>Cleaned[[#This Row],[Credit]] *  Cleaned[[#This Row],[FX_rates]]</f>
        <v>208370.03</v>
      </c>
      <c r="I1741" t="s">
        <v>2023</v>
      </c>
      <c r="J1741" t="s">
        <v>2030</v>
      </c>
      <c r="K1741" t="s">
        <v>3770</v>
      </c>
      <c r="L1741" t="s">
        <v>4031</v>
      </c>
      <c r="M1741">
        <f>Cleaned[[#This Row],[Credit]]-Cleaned[[#This Row],[Debit]]</f>
        <v>2023.01</v>
      </c>
      <c r="N1741" t="str">
        <f>_xlfn.XLOOKUP(Cleaned[[#This Row],[AccountName]], Account_Mapping!A:A, Account_Mapping!B:B,"Unmapped")</f>
        <v>Revenue</v>
      </c>
      <c r="O1741" cm="1">
        <f t="array" ref="O1741">_xlfn.XLOOKUP(
  1,
  (FX_Rates[Currency]=Cleaned[[#This Row],[Currency]])*
  (FX_Rates[RateDate]&lt;=Cleaned[[#This Row],[TxnDate]]),
  FX_Rates[Rate_To_INR],
  ,
  -1
)</f>
        <v>103</v>
      </c>
      <c r="P1741" s="2">
        <f>Cleaned[[#This Row],[Net Amount]] *  Cleaned[[#This Row],[FX_rates]]</f>
        <v>208370.03</v>
      </c>
    </row>
    <row r="1742" spans="1:16" x14ac:dyDescent="0.45">
      <c r="A1742" t="s">
        <v>1750</v>
      </c>
      <c r="B1742" s="1">
        <v>45397</v>
      </c>
      <c r="C1742" s="2" t="s">
        <v>2010</v>
      </c>
      <c r="D1742" t="s">
        <v>2015</v>
      </c>
      <c r="E1742">
        <v>0</v>
      </c>
      <c r="F1742">
        <f>Cleaned[[#This Row],[Debit]] * Cleaned[[#This Row],[FX_rates]]</f>
        <v>0</v>
      </c>
      <c r="G1742">
        <v>3884.34</v>
      </c>
      <c r="H1742">
        <f>Cleaned[[#This Row],[Credit]] *  Cleaned[[#This Row],[FX_rates]]</f>
        <v>400087.02</v>
      </c>
      <c r="I1742" t="s">
        <v>2022</v>
      </c>
      <c r="J1742" t="s">
        <v>2026</v>
      </c>
      <c r="K1742" t="s">
        <v>3771</v>
      </c>
      <c r="L1742" t="s">
        <v>4031</v>
      </c>
      <c r="M1742">
        <f>Cleaned[[#This Row],[Credit]]-Cleaned[[#This Row],[Debit]]</f>
        <v>3884.34</v>
      </c>
      <c r="N1742" t="str">
        <f>_xlfn.XLOOKUP(Cleaned[[#This Row],[AccountName]], Account_Mapping!A:A, Account_Mapping!B:B,"Unmapped")</f>
        <v>Revenue</v>
      </c>
      <c r="O1742" cm="1">
        <f t="array" ref="O1742">_xlfn.XLOOKUP(
  1,
  (FX_Rates[Currency]=Cleaned[[#This Row],[Currency]])*
  (FX_Rates[RateDate]&lt;=Cleaned[[#This Row],[TxnDate]]),
  FX_Rates[Rate_To_INR],
  ,
  -1
)</f>
        <v>103</v>
      </c>
      <c r="P1742" s="2">
        <f>Cleaned[[#This Row],[Net Amount]] *  Cleaned[[#This Row],[FX_rates]]</f>
        <v>400087.02</v>
      </c>
    </row>
    <row r="1743" spans="1:16" x14ac:dyDescent="0.45">
      <c r="A1743" t="s">
        <v>1751</v>
      </c>
      <c r="B1743" s="1">
        <v>45327</v>
      </c>
      <c r="C1743" s="2" t="s">
        <v>2010</v>
      </c>
      <c r="D1743" t="s">
        <v>2015</v>
      </c>
      <c r="E1743">
        <v>0</v>
      </c>
      <c r="F1743">
        <f>Cleaned[[#This Row],[Debit]] * Cleaned[[#This Row],[FX_rates]]</f>
        <v>0</v>
      </c>
      <c r="G1743">
        <v>225.78</v>
      </c>
      <c r="H1743">
        <f>Cleaned[[#This Row],[Credit]] *  Cleaned[[#This Row],[FX_rates]]</f>
        <v>19868.64</v>
      </c>
      <c r="I1743" t="s">
        <v>2023</v>
      </c>
      <c r="J1743" t="s">
        <v>2028</v>
      </c>
      <c r="K1743" t="s">
        <v>3772</v>
      </c>
      <c r="L1743" t="s">
        <v>4032</v>
      </c>
      <c r="M1743">
        <f>Cleaned[[#This Row],[Credit]]-Cleaned[[#This Row],[Debit]]</f>
        <v>225.78</v>
      </c>
      <c r="N1743" t="str">
        <f>_xlfn.XLOOKUP(Cleaned[[#This Row],[AccountName]], Account_Mapping!A:A, Account_Mapping!B:B,"Unmapped")</f>
        <v>Revenue</v>
      </c>
      <c r="O1743" cm="1">
        <f t="array" ref="O1743">_xlfn.XLOOKUP(
  1,
  (FX_Rates[Currency]=Cleaned[[#This Row],[Currency]])*
  (FX_Rates[RateDate]&lt;=Cleaned[[#This Row],[TxnDate]]),
  FX_Rates[Rate_To_INR],
  ,
  -1
)</f>
        <v>88</v>
      </c>
      <c r="P1743" s="2">
        <f>Cleaned[[#This Row],[Net Amount]] *  Cleaned[[#This Row],[FX_rates]]</f>
        <v>19868.64</v>
      </c>
    </row>
    <row r="1744" spans="1:16" x14ac:dyDescent="0.45">
      <c r="A1744" t="s">
        <v>1752</v>
      </c>
      <c r="B1744" s="1">
        <v>45622</v>
      </c>
      <c r="C1744" s="2" t="s">
        <v>2010</v>
      </c>
      <c r="D1744" t="s">
        <v>2015</v>
      </c>
      <c r="E1744">
        <v>0</v>
      </c>
      <c r="F1744">
        <f>Cleaned[[#This Row],[Debit]] * Cleaned[[#This Row],[FX_rates]]</f>
        <v>0</v>
      </c>
      <c r="G1744">
        <v>2518.37</v>
      </c>
      <c r="H1744">
        <f>Cleaned[[#This Row],[Credit]] *  Cleaned[[#This Row],[FX_rates]]</f>
        <v>141028.72</v>
      </c>
      <c r="I1744" t="s">
        <v>2022</v>
      </c>
      <c r="J1744" t="s">
        <v>2029</v>
      </c>
      <c r="K1744" t="s">
        <v>3773</v>
      </c>
      <c r="L1744" t="s">
        <v>4033</v>
      </c>
      <c r="M1744">
        <f>Cleaned[[#This Row],[Credit]]-Cleaned[[#This Row],[Debit]]</f>
        <v>2518.37</v>
      </c>
      <c r="N1744" t="str">
        <f>_xlfn.XLOOKUP(Cleaned[[#This Row],[AccountName]], Account_Mapping!A:A, Account_Mapping!B:B,"Unmapped")</f>
        <v>Revenue</v>
      </c>
      <c r="O1744" cm="1">
        <f t="array" ref="O1744">_xlfn.XLOOKUP(
  1,
  (FX_Rates[Currency]=Cleaned[[#This Row],[Currency]])*
  (FX_Rates[RateDate]&lt;=Cleaned[[#This Row],[TxnDate]]),
  FX_Rates[Rate_To_INR],
  ,
  -1
)</f>
        <v>56</v>
      </c>
      <c r="P1744" s="2">
        <f>Cleaned[[#This Row],[Net Amount]] *  Cleaned[[#This Row],[FX_rates]]</f>
        <v>141028.72</v>
      </c>
    </row>
    <row r="1745" spans="1:16" x14ac:dyDescent="0.45">
      <c r="A1745" t="s">
        <v>1753</v>
      </c>
      <c r="B1745" s="1">
        <v>45590</v>
      </c>
      <c r="C1745" s="2" t="s">
        <v>2011</v>
      </c>
      <c r="D1745" t="s">
        <v>2016</v>
      </c>
      <c r="E1745">
        <v>847.09</v>
      </c>
      <c r="F1745">
        <f>Cleaned[[#This Row],[Debit]] * Cleaned[[#This Row],[FX_rates]]</f>
        <v>87250.27</v>
      </c>
      <c r="G1745">
        <v>0</v>
      </c>
      <c r="H1745">
        <f>Cleaned[[#This Row],[Credit]] *  Cleaned[[#This Row],[FX_rates]]</f>
        <v>0</v>
      </c>
      <c r="I1745" t="s">
        <v>2024</v>
      </c>
      <c r="J1745" t="s">
        <v>2029</v>
      </c>
      <c r="K1745" t="s">
        <v>3774</v>
      </c>
      <c r="L1745" t="s">
        <v>4031</v>
      </c>
      <c r="M1745">
        <f>Cleaned[[#This Row],[Credit]]-Cleaned[[#This Row],[Debit]]</f>
        <v>-847.09</v>
      </c>
      <c r="N1745" t="str">
        <f>_xlfn.XLOOKUP(Cleaned[[#This Row],[AccountName]], Account_Mapping!A:A, Account_Mapping!B:B,"Unmapped")</f>
        <v>COGS</v>
      </c>
      <c r="O1745" cm="1">
        <f t="array" ref="O1745">_xlfn.XLOOKUP(
  1,
  (FX_Rates[Currency]=Cleaned[[#This Row],[Currency]])*
  (FX_Rates[RateDate]&lt;=Cleaned[[#This Row],[TxnDate]]),
  FX_Rates[Rate_To_INR],
  ,
  -1
)</f>
        <v>103</v>
      </c>
      <c r="P1745" s="2">
        <f>Cleaned[[#This Row],[Net Amount]] *  Cleaned[[#This Row],[FX_rates]]</f>
        <v>-87250.27</v>
      </c>
    </row>
    <row r="1746" spans="1:16" x14ac:dyDescent="0.45">
      <c r="A1746" t="s">
        <v>1754</v>
      </c>
      <c r="B1746" s="1">
        <v>45331</v>
      </c>
      <c r="C1746" s="2" t="s">
        <v>2012</v>
      </c>
      <c r="D1746" t="s">
        <v>2017</v>
      </c>
      <c r="E1746">
        <v>121.29</v>
      </c>
      <c r="F1746">
        <f>Cleaned[[#This Row],[Debit]] * Cleaned[[#This Row],[FX_rates]]</f>
        <v>10673.52</v>
      </c>
      <c r="G1746">
        <v>0</v>
      </c>
      <c r="H1746">
        <f>Cleaned[[#This Row],[Credit]] *  Cleaned[[#This Row],[FX_rates]]</f>
        <v>0</v>
      </c>
      <c r="I1746" t="s">
        <v>2025</v>
      </c>
      <c r="J1746" t="s">
        <v>2028</v>
      </c>
      <c r="K1746" t="s">
        <v>3775</v>
      </c>
      <c r="L1746" t="s">
        <v>4032</v>
      </c>
      <c r="M1746">
        <f>Cleaned[[#This Row],[Credit]]-Cleaned[[#This Row],[Debit]]</f>
        <v>-121.29</v>
      </c>
      <c r="N1746" t="str">
        <f>_xlfn.XLOOKUP(Cleaned[[#This Row],[AccountName]], Account_Mapping!A:A, Account_Mapping!B:B,"Unmapped")</f>
        <v>Operating Expense</v>
      </c>
      <c r="O1746" cm="1">
        <f t="array" ref="O1746">_xlfn.XLOOKUP(
  1,
  (FX_Rates[Currency]=Cleaned[[#This Row],[Currency]])*
  (FX_Rates[RateDate]&lt;=Cleaned[[#This Row],[TxnDate]]),
  FX_Rates[Rate_To_INR],
  ,
  -1
)</f>
        <v>88</v>
      </c>
      <c r="P1746" s="2">
        <f>Cleaned[[#This Row],[Net Amount]] *  Cleaned[[#This Row],[FX_rates]]</f>
        <v>-10673.52</v>
      </c>
    </row>
    <row r="1747" spans="1:16" x14ac:dyDescent="0.45">
      <c r="A1747" t="s">
        <v>1755</v>
      </c>
      <c r="B1747" s="1">
        <v>45385</v>
      </c>
      <c r="C1747" s="2" t="s">
        <v>2012</v>
      </c>
      <c r="D1747" t="s">
        <v>2017</v>
      </c>
      <c r="E1747">
        <v>1357.35</v>
      </c>
      <c r="F1747">
        <f>Cleaned[[#This Row],[Debit]] * Cleaned[[#This Row],[FX_rates]]</f>
        <v>111302.7</v>
      </c>
      <c r="G1747">
        <v>0</v>
      </c>
      <c r="H1747">
        <f>Cleaned[[#This Row],[Credit]] *  Cleaned[[#This Row],[FX_rates]]</f>
        <v>0</v>
      </c>
      <c r="I1747" t="s">
        <v>2023</v>
      </c>
      <c r="J1747" t="s">
        <v>2027</v>
      </c>
      <c r="K1747" t="s">
        <v>3776</v>
      </c>
      <c r="L1747" t="s">
        <v>4034</v>
      </c>
      <c r="M1747">
        <f>Cleaned[[#This Row],[Credit]]-Cleaned[[#This Row],[Debit]]</f>
        <v>-1357.35</v>
      </c>
      <c r="N1747" t="str">
        <f>_xlfn.XLOOKUP(Cleaned[[#This Row],[AccountName]], Account_Mapping!A:A, Account_Mapping!B:B,"Unmapped")</f>
        <v>Operating Expense</v>
      </c>
      <c r="O1747" cm="1">
        <f t="array" ref="O1747">_xlfn.XLOOKUP(
  1,
  (FX_Rates[Currency]=Cleaned[[#This Row],[Currency]])*
  (FX_Rates[RateDate]&lt;=Cleaned[[#This Row],[TxnDate]]),
  FX_Rates[Rate_To_INR],
  ,
  -1
)</f>
        <v>82</v>
      </c>
      <c r="P1747" s="2">
        <f>Cleaned[[#This Row],[Net Amount]] *  Cleaned[[#This Row],[FX_rates]]</f>
        <v>-111302.7</v>
      </c>
    </row>
    <row r="1748" spans="1:16" x14ac:dyDescent="0.45">
      <c r="A1748" t="s">
        <v>1756</v>
      </c>
      <c r="B1748" s="1">
        <v>45066</v>
      </c>
      <c r="C1748" s="2" t="s">
        <v>2014</v>
      </c>
      <c r="D1748" t="s">
        <v>2019</v>
      </c>
      <c r="E1748">
        <v>0</v>
      </c>
      <c r="F1748">
        <f>Cleaned[[#This Row],[Debit]] * Cleaned[[#This Row],[FX_rates]]</f>
        <v>0</v>
      </c>
      <c r="G1748">
        <v>1658.15</v>
      </c>
      <c r="H1748">
        <f>Cleaned[[#This Row],[Credit]] *  Cleaned[[#This Row],[FX_rates]]</f>
        <v>101147.15000000001</v>
      </c>
      <c r="I1748" t="s">
        <v>2025</v>
      </c>
      <c r="J1748" t="s">
        <v>2028</v>
      </c>
      <c r="K1748" t="s">
        <v>3777</v>
      </c>
      <c r="L1748" t="s">
        <v>4035</v>
      </c>
      <c r="M1748">
        <f>Cleaned[[#This Row],[Credit]]-Cleaned[[#This Row],[Debit]]</f>
        <v>1658.15</v>
      </c>
      <c r="N1748" t="str">
        <f>_xlfn.XLOOKUP(Cleaned[[#This Row],[AccountName]], Account_Mapping!A:A, Account_Mapping!B:B,"Unmapped")</f>
        <v>Revenue</v>
      </c>
      <c r="O1748" cm="1">
        <f t="array" ref="O1748">_xlfn.XLOOKUP(
  1,
  (FX_Rates[Currency]=Cleaned[[#This Row],[Currency]])*
  (FX_Rates[RateDate]&lt;=Cleaned[[#This Row],[TxnDate]]),
  FX_Rates[Rate_To_INR],
  ,
  -1
)</f>
        <v>61</v>
      </c>
      <c r="P1748" s="2">
        <f>Cleaned[[#This Row],[Net Amount]] *  Cleaned[[#This Row],[FX_rates]]</f>
        <v>101147.15000000001</v>
      </c>
    </row>
    <row r="1749" spans="1:16" x14ac:dyDescent="0.45">
      <c r="A1749" t="s">
        <v>1757</v>
      </c>
      <c r="B1749" s="1">
        <v>45664</v>
      </c>
      <c r="C1749" s="2" t="s">
        <v>2013</v>
      </c>
      <c r="D1749" t="s">
        <v>2018</v>
      </c>
      <c r="E1749">
        <v>759.41</v>
      </c>
      <c r="F1749">
        <f>Cleaned[[#This Row],[Debit]] * Cleaned[[#This Row],[FX_rates]]</f>
        <v>42526.96</v>
      </c>
      <c r="G1749">
        <v>0</v>
      </c>
      <c r="H1749">
        <f>Cleaned[[#This Row],[Credit]] *  Cleaned[[#This Row],[FX_rates]]</f>
        <v>0</v>
      </c>
      <c r="I1749" t="s">
        <v>2024</v>
      </c>
      <c r="J1749" t="s">
        <v>2026</v>
      </c>
      <c r="K1749" t="s">
        <v>3778</v>
      </c>
      <c r="L1749" t="s">
        <v>4033</v>
      </c>
      <c r="M1749">
        <f>Cleaned[[#This Row],[Credit]]-Cleaned[[#This Row],[Debit]]</f>
        <v>-759.41</v>
      </c>
      <c r="N1749" t="str">
        <f>_xlfn.XLOOKUP(Cleaned[[#This Row],[AccountName]], Account_Mapping!A:A, Account_Mapping!B:B,"Unmapped")</f>
        <v>Operating Expense</v>
      </c>
      <c r="O1749" cm="1">
        <f t="array" ref="O1749">_xlfn.XLOOKUP(
  1,
  (FX_Rates[Currency]=Cleaned[[#This Row],[Currency]])*
  (FX_Rates[RateDate]&lt;=Cleaned[[#This Row],[TxnDate]]),
  FX_Rates[Rate_To_INR],
  ,
  -1
)</f>
        <v>56</v>
      </c>
      <c r="P1749" s="2">
        <f>Cleaned[[#This Row],[Net Amount]] *  Cleaned[[#This Row],[FX_rates]]</f>
        <v>-42526.96</v>
      </c>
    </row>
    <row r="1750" spans="1:16" x14ac:dyDescent="0.45">
      <c r="A1750" t="s">
        <v>1758</v>
      </c>
      <c r="B1750" s="1">
        <v>45238</v>
      </c>
      <c r="C1750" s="2" t="s">
        <v>2010</v>
      </c>
      <c r="D1750" t="s">
        <v>2015</v>
      </c>
      <c r="E1750">
        <v>0</v>
      </c>
      <c r="F1750">
        <f>Cleaned[[#This Row],[Debit]] * Cleaned[[#This Row],[FX_rates]]</f>
        <v>0</v>
      </c>
      <c r="G1750">
        <v>4703.2</v>
      </c>
      <c r="H1750">
        <f>Cleaned[[#This Row],[Credit]] *  Cleaned[[#This Row],[FX_rates]]</f>
        <v>413881.59999999998</v>
      </c>
      <c r="I1750" t="s">
        <v>2025</v>
      </c>
      <c r="J1750" t="s">
        <v>2028</v>
      </c>
      <c r="K1750" t="s">
        <v>3779</v>
      </c>
      <c r="L1750" t="s">
        <v>4032</v>
      </c>
      <c r="M1750">
        <f>Cleaned[[#This Row],[Credit]]-Cleaned[[#This Row],[Debit]]</f>
        <v>4703.2</v>
      </c>
      <c r="N1750" t="str">
        <f>_xlfn.XLOOKUP(Cleaned[[#This Row],[AccountName]], Account_Mapping!A:A, Account_Mapping!B:B,"Unmapped")</f>
        <v>Revenue</v>
      </c>
      <c r="O1750" cm="1">
        <f t="array" ref="O1750">_xlfn.XLOOKUP(
  1,
  (FX_Rates[Currency]=Cleaned[[#This Row],[Currency]])*
  (FX_Rates[RateDate]&lt;=Cleaned[[#This Row],[TxnDate]]),
  FX_Rates[Rate_To_INR],
  ,
  -1
)</f>
        <v>88</v>
      </c>
      <c r="P1750" s="2">
        <f>Cleaned[[#This Row],[Net Amount]] *  Cleaned[[#This Row],[FX_rates]]</f>
        <v>413881.59999999998</v>
      </c>
    </row>
    <row r="1751" spans="1:16" x14ac:dyDescent="0.45">
      <c r="A1751" t="s">
        <v>1759</v>
      </c>
      <c r="B1751" s="1">
        <v>45156</v>
      </c>
      <c r="C1751" s="2" t="s">
        <v>2014</v>
      </c>
      <c r="D1751" t="s">
        <v>2019</v>
      </c>
      <c r="E1751">
        <v>0</v>
      </c>
      <c r="F1751">
        <f>Cleaned[[#This Row],[Debit]] * Cleaned[[#This Row],[FX_rates]]</f>
        <v>0</v>
      </c>
      <c r="G1751">
        <v>528.16999999999996</v>
      </c>
      <c r="H1751">
        <f>Cleaned[[#This Row],[Credit]] *  Cleaned[[#This Row],[FX_rates]]</f>
        <v>46478.96</v>
      </c>
      <c r="I1751" t="s">
        <v>2023</v>
      </c>
      <c r="J1751" t="s">
        <v>2029</v>
      </c>
      <c r="K1751" t="s">
        <v>3780</v>
      </c>
      <c r="L1751" t="s">
        <v>4032</v>
      </c>
      <c r="M1751">
        <f>Cleaned[[#This Row],[Credit]]-Cleaned[[#This Row],[Debit]]</f>
        <v>528.16999999999996</v>
      </c>
      <c r="N1751" t="str">
        <f>_xlfn.XLOOKUP(Cleaned[[#This Row],[AccountName]], Account_Mapping!A:A, Account_Mapping!B:B,"Unmapped")</f>
        <v>Revenue</v>
      </c>
      <c r="O1751" cm="1">
        <f t="array" ref="O1751">_xlfn.XLOOKUP(
  1,
  (FX_Rates[Currency]=Cleaned[[#This Row],[Currency]])*
  (FX_Rates[RateDate]&lt;=Cleaned[[#This Row],[TxnDate]]),
  FX_Rates[Rate_To_INR],
  ,
  -1
)</f>
        <v>88</v>
      </c>
      <c r="P1751" s="2">
        <f>Cleaned[[#This Row],[Net Amount]] *  Cleaned[[#This Row],[FX_rates]]</f>
        <v>46478.96</v>
      </c>
    </row>
    <row r="1752" spans="1:16" x14ac:dyDescent="0.45">
      <c r="A1752" t="s">
        <v>1760</v>
      </c>
      <c r="B1752" s="1">
        <v>45142</v>
      </c>
      <c r="C1752" s="2" t="s">
        <v>2010</v>
      </c>
      <c r="D1752" t="s">
        <v>2015</v>
      </c>
      <c r="E1752">
        <v>0</v>
      </c>
      <c r="F1752">
        <f>Cleaned[[#This Row],[Debit]] * Cleaned[[#This Row],[FX_rates]]</f>
        <v>0</v>
      </c>
      <c r="G1752">
        <v>4978.6499999999996</v>
      </c>
      <c r="H1752">
        <f>Cleaned[[#This Row],[Credit]] *  Cleaned[[#This Row],[FX_rates]]</f>
        <v>408249.3</v>
      </c>
      <c r="I1752" t="s">
        <v>2022</v>
      </c>
      <c r="J1752" t="s">
        <v>2026</v>
      </c>
      <c r="K1752" t="s">
        <v>3781</v>
      </c>
      <c r="L1752" t="s">
        <v>4034</v>
      </c>
      <c r="M1752">
        <f>Cleaned[[#This Row],[Credit]]-Cleaned[[#This Row],[Debit]]</f>
        <v>4978.6499999999996</v>
      </c>
      <c r="N1752" t="str">
        <f>_xlfn.XLOOKUP(Cleaned[[#This Row],[AccountName]], Account_Mapping!A:A, Account_Mapping!B:B,"Unmapped")</f>
        <v>Revenue</v>
      </c>
      <c r="O1752" cm="1">
        <f t="array" ref="O1752">_xlfn.XLOOKUP(
  1,
  (FX_Rates[Currency]=Cleaned[[#This Row],[Currency]])*
  (FX_Rates[RateDate]&lt;=Cleaned[[#This Row],[TxnDate]]),
  FX_Rates[Rate_To_INR],
  ,
  -1
)</f>
        <v>82</v>
      </c>
      <c r="P1752" s="2">
        <f>Cleaned[[#This Row],[Net Amount]] *  Cleaned[[#This Row],[FX_rates]]</f>
        <v>408249.3</v>
      </c>
    </row>
    <row r="1753" spans="1:16" x14ac:dyDescent="0.45">
      <c r="A1753" t="s">
        <v>1761</v>
      </c>
      <c r="B1753" s="1">
        <v>45838</v>
      </c>
      <c r="C1753" s="2" t="s">
        <v>2012</v>
      </c>
      <c r="D1753" t="s">
        <v>2017</v>
      </c>
      <c r="E1753">
        <v>912.48</v>
      </c>
      <c r="F1753">
        <f>Cleaned[[#This Row],[Debit]] * Cleaned[[#This Row],[FX_rates]]</f>
        <v>80298.240000000005</v>
      </c>
      <c r="G1753">
        <v>0</v>
      </c>
      <c r="H1753">
        <f>Cleaned[[#This Row],[Credit]] *  Cleaned[[#This Row],[FX_rates]]</f>
        <v>0</v>
      </c>
      <c r="I1753" t="s">
        <v>2024</v>
      </c>
      <c r="J1753" t="s">
        <v>2026</v>
      </c>
      <c r="K1753" t="s">
        <v>3782</v>
      </c>
      <c r="L1753" t="s">
        <v>4032</v>
      </c>
      <c r="M1753">
        <f>Cleaned[[#This Row],[Credit]]-Cleaned[[#This Row],[Debit]]</f>
        <v>-912.48</v>
      </c>
      <c r="N1753" t="str">
        <f>_xlfn.XLOOKUP(Cleaned[[#This Row],[AccountName]], Account_Mapping!A:A, Account_Mapping!B:B,"Unmapped")</f>
        <v>Operating Expense</v>
      </c>
      <c r="O1753" cm="1">
        <f t="array" ref="O1753">_xlfn.XLOOKUP(
  1,
  (FX_Rates[Currency]=Cleaned[[#This Row],[Currency]])*
  (FX_Rates[RateDate]&lt;=Cleaned[[#This Row],[TxnDate]]),
  FX_Rates[Rate_To_INR],
  ,
  -1
)</f>
        <v>88</v>
      </c>
      <c r="P1753" s="2">
        <f>Cleaned[[#This Row],[Net Amount]] *  Cleaned[[#This Row],[FX_rates]]</f>
        <v>-80298.240000000005</v>
      </c>
    </row>
    <row r="1754" spans="1:16" x14ac:dyDescent="0.45">
      <c r="A1754" t="s">
        <v>1762</v>
      </c>
      <c r="B1754" s="1">
        <v>45721</v>
      </c>
      <c r="C1754" s="2" t="s">
        <v>2010</v>
      </c>
      <c r="D1754" t="s">
        <v>2015</v>
      </c>
      <c r="E1754">
        <v>0</v>
      </c>
      <c r="F1754">
        <f>Cleaned[[#This Row],[Debit]] * Cleaned[[#This Row],[FX_rates]]</f>
        <v>0</v>
      </c>
      <c r="G1754">
        <v>3719.23</v>
      </c>
      <c r="H1754">
        <f>Cleaned[[#This Row],[Credit]] *  Cleaned[[#This Row],[FX_rates]]</f>
        <v>383080.69</v>
      </c>
      <c r="I1754" t="s">
        <v>2022</v>
      </c>
      <c r="J1754" t="s">
        <v>2030</v>
      </c>
      <c r="K1754" t="s">
        <v>3783</v>
      </c>
      <c r="L1754" t="s">
        <v>4031</v>
      </c>
      <c r="M1754">
        <f>Cleaned[[#This Row],[Credit]]-Cleaned[[#This Row],[Debit]]</f>
        <v>3719.23</v>
      </c>
      <c r="N1754" t="str">
        <f>_xlfn.XLOOKUP(Cleaned[[#This Row],[AccountName]], Account_Mapping!A:A, Account_Mapping!B:B,"Unmapped")</f>
        <v>Revenue</v>
      </c>
      <c r="O1754" cm="1">
        <f t="array" ref="O1754">_xlfn.XLOOKUP(
  1,
  (FX_Rates[Currency]=Cleaned[[#This Row],[Currency]])*
  (FX_Rates[RateDate]&lt;=Cleaned[[#This Row],[TxnDate]]),
  FX_Rates[Rate_To_INR],
  ,
  -1
)</f>
        <v>103</v>
      </c>
      <c r="P1754" s="2">
        <f>Cleaned[[#This Row],[Net Amount]] *  Cleaned[[#This Row],[FX_rates]]</f>
        <v>383080.69</v>
      </c>
    </row>
    <row r="1755" spans="1:16" x14ac:dyDescent="0.45">
      <c r="A1755" t="s">
        <v>1763</v>
      </c>
      <c r="B1755" s="1">
        <v>45664</v>
      </c>
      <c r="C1755" s="2" t="s">
        <v>2011</v>
      </c>
      <c r="D1755" t="s">
        <v>2016</v>
      </c>
      <c r="E1755">
        <v>136.12</v>
      </c>
      <c r="F1755">
        <f>Cleaned[[#This Row],[Debit]] * Cleaned[[#This Row],[FX_rates]]</f>
        <v>14020.36</v>
      </c>
      <c r="G1755">
        <v>0</v>
      </c>
      <c r="H1755">
        <f>Cleaned[[#This Row],[Credit]] *  Cleaned[[#This Row],[FX_rates]]</f>
        <v>0</v>
      </c>
      <c r="I1755" t="s">
        <v>2022</v>
      </c>
      <c r="J1755" t="s">
        <v>2030</v>
      </c>
      <c r="K1755" t="s">
        <v>3784</v>
      </c>
      <c r="L1755" t="s">
        <v>4031</v>
      </c>
      <c r="M1755">
        <f>Cleaned[[#This Row],[Credit]]-Cleaned[[#This Row],[Debit]]</f>
        <v>-136.12</v>
      </c>
      <c r="N1755" t="str">
        <f>_xlfn.XLOOKUP(Cleaned[[#This Row],[AccountName]], Account_Mapping!A:A, Account_Mapping!B:B,"Unmapped")</f>
        <v>COGS</v>
      </c>
      <c r="O1755" cm="1">
        <f t="array" ref="O1755">_xlfn.XLOOKUP(
  1,
  (FX_Rates[Currency]=Cleaned[[#This Row],[Currency]])*
  (FX_Rates[RateDate]&lt;=Cleaned[[#This Row],[TxnDate]]),
  FX_Rates[Rate_To_INR],
  ,
  -1
)</f>
        <v>103</v>
      </c>
      <c r="P1755" s="2">
        <f>Cleaned[[#This Row],[Net Amount]] *  Cleaned[[#This Row],[FX_rates]]</f>
        <v>-14020.36</v>
      </c>
    </row>
    <row r="1756" spans="1:16" x14ac:dyDescent="0.45">
      <c r="A1756" t="s">
        <v>1764</v>
      </c>
      <c r="B1756" s="1">
        <v>45557</v>
      </c>
      <c r="C1756" s="2" t="s">
        <v>2011</v>
      </c>
      <c r="D1756" t="s">
        <v>2016</v>
      </c>
      <c r="E1756">
        <v>501.66</v>
      </c>
      <c r="F1756">
        <f>Cleaned[[#This Row],[Debit]] * Cleaned[[#This Row],[FX_rates]]</f>
        <v>28092.960000000003</v>
      </c>
      <c r="G1756">
        <v>0</v>
      </c>
      <c r="H1756">
        <f>Cleaned[[#This Row],[Credit]] *  Cleaned[[#This Row],[FX_rates]]</f>
        <v>0</v>
      </c>
      <c r="I1756" t="s">
        <v>2025</v>
      </c>
      <c r="J1756" t="s">
        <v>2028</v>
      </c>
      <c r="K1756" t="s">
        <v>3785</v>
      </c>
      <c r="L1756" t="s">
        <v>4033</v>
      </c>
      <c r="M1756">
        <f>Cleaned[[#This Row],[Credit]]-Cleaned[[#This Row],[Debit]]</f>
        <v>-501.66</v>
      </c>
      <c r="N1756" t="str">
        <f>_xlfn.XLOOKUP(Cleaned[[#This Row],[AccountName]], Account_Mapping!A:A, Account_Mapping!B:B,"Unmapped")</f>
        <v>COGS</v>
      </c>
      <c r="O1756" cm="1">
        <f t="array" ref="O1756">_xlfn.XLOOKUP(
  1,
  (FX_Rates[Currency]=Cleaned[[#This Row],[Currency]])*
  (FX_Rates[RateDate]&lt;=Cleaned[[#This Row],[TxnDate]]),
  FX_Rates[Rate_To_INR],
  ,
  -1
)</f>
        <v>56</v>
      </c>
      <c r="P1756" s="2">
        <f>Cleaned[[#This Row],[Net Amount]] *  Cleaned[[#This Row],[FX_rates]]</f>
        <v>-28092.960000000003</v>
      </c>
    </row>
    <row r="1757" spans="1:16" x14ac:dyDescent="0.45">
      <c r="A1757" t="s">
        <v>1765</v>
      </c>
      <c r="B1757" s="1">
        <v>45788</v>
      </c>
      <c r="C1757" s="2" t="s">
        <v>2014</v>
      </c>
      <c r="D1757" t="s">
        <v>2019</v>
      </c>
      <c r="E1757">
        <v>0</v>
      </c>
      <c r="F1757">
        <f>Cleaned[[#This Row],[Debit]] * Cleaned[[#This Row],[FX_rates]]</f>
        <v>0</v>
      </c>
      <c r="G1757">
        <v>4477.99</v>
      </c>
      <c r="H1757">
        <f>Cleaned[[#This Row],[Credit]] *  Cleaned[[#This Row],[FX_rates]]</f>
        <v>461232.97</v>
      </c>
      <c r="I1757" t="s">
        <v>2025</v>
      </c>
      <c r="J1757" t="s">
        <v>2027</v>
      </c>
      <c r="K1757" t="s">
        <v>3786</v>
      </c>
      <c r="L1757" t="s">
        <v>4031</v>
      </c>
      <c r="M1757">
        <f>Cleaned[[#This Row],[Credit]]-Cleaned[[#This Row],[Debit]]</f>
        <v>4477.99</v>
      </c>
      <c r="N1757" t="str">
        <f>_xlfn.XLOOKUP(Cleaned[[#This Row],[AccountName]], Account_Mapping!A:A, Account_Mapping!B:B,"Unmapped")</f>
        <v>Revenue</v>
      </c>
      <c r="O1757" cm="1">
        <f t="array" ref="O1757">_xlfn.XLOOKUP(
  1,
  (FX_Rates[Currency]=Cleaned[[#This Row],[Currency]])*
  (FX_Rates[RateDate]&lt;=Cleaned[[#This Row],[TxnDate]]),
  FX_Rates[Rate_To_INR],
  ,
  -1
)</f>
        <v>103</v>
      </c>
      <c r="P1757" s="2">
        <f>Cleaned[[#This Row],[Net Amount]] *  Cleaned[[#This Row],[FX_rates]]</f>
        <v>461232.97</v>
      </c>
    </row>
    <row r="1758" spans="1:16" x14ac:dyDescent="0.45">
      <c r="A1758" t="s">
        <v>1766</v>
      </c>
      <c r="B1758" s="1">
        <v>45735</v>
      </c>
      <c r="C1758" s="2" t="s">
        <v>2011</v>
      </c>
      <c r="D1758" t="s">
        <v>2016</v>
      </c>
      <c r="E1758">
        <v>310.49</v>
      </c>
      <c r="F1758">
        <f>Cleaned[[#This Row],[Debit]] * Cleaned[[#This Row],[FX_rates]]</f>
        <v>25460.18</v>
      </c>
      <c r="G1758">
        <v>0</v>
      </c>
      <c r="H1758">
        <f>Cleaned[[#This Row],[Credit]] *  Cleaned[[#This Row],[FX_rates]]</f>
        <v>0</v>
      </c>
      <c r="I1758" t="s">
        <v>2021</v>
      </c>
      <c r="J1758" t="s">
        <v>2029</v>
      </c>
      <c r="K1758" t="s">
        <v>3787</v>
      </c>
      <c r="L1758" t="s">
        <v>4034</v>
      </c>
      <c r="M1758">
        <f>Cleaned[[#This Row],[Credit]]-Cleaned[[#This Row],[Debit]]</f>
        <v>-310.49</v>
      </c>
      <c r="N1758" t="str">
        <f>_xlfn.XLOOKUP(Cleaned[[#This Row],[AccountName]], Account_Mapping!A:A, Account_Mapping!B:B,"Unmapped")</f>
        <v>COGS</v>
      </c>
      <c r="O1758" cm="1">
        <f t="array" ref="O1758">_xlfn.XLOOKUP(
  1,
  (FX_Rates[Currency]=Cleaned[[#This Row],[Currency]])*
  (FX_Rates[RateDate]&lt;=Cleaned[[#This Row],[TxnDate]]),
  FX_Rates[Rate_To_INR],
  ,
  -1
)</f>
        <v>82</v>
      </c>
      <c r="P1758" s="2">
        <f>Cleaned[[#This Row],[Net Amount]] *  Cleaned[[#This Row],[FX_rates]]</f>
        <v>-25460.18</v>
      </c>
    </row>
    <row r="1759" spans="1:16" x14ac:dyDescent="0.45">
      <c r="A1759" t="s">
        <v>1767</v>
      </c>
      <c r="B1759" s="1">
        <v>45429</v>
      </c>
      <c r="C1759" s="2" t="s">
        <v>2013</v>
      </c>
      <c r="D1759" t="s">
        <v>2018</v>
      </c>
      <c r="E1759">
        <v>1687.77</v>
      </c>
      <c r="F1759">
        <f>Cleaned[[#This Row],[Debit]] * Cleaned[[#This Row],[FX_rates]]</f>
        <v>102953.97</v>
      </c>
      <c r="G1759">
        <v>0</v>
      </c>
      <c r="H1759">
        <f>Cleaned[[#This Row],[Credit]] *  Cleaned[[#This Row],[FX_rates]]</f>
        <v>0</v>
      </c>
      <c r="I1759" t="s">
        <v>2023</v>
      </c>
      <c r="J1759" t="s">
        <v>2029</v>
      </c>
      <c r="K1759" t="s">
        <v>3788</v>
      </c>
      <c r="L1759" t="s">
        <v>4035</v>
      </c>
      <c r="M1759">
        <f>Cleaned[[#This Row],[Credit]]-Cleaned[[#This Row],[Debit]]</f>
        <v>-1687.77</v>
      </c>
      <c r="N1759" t="str">
        <f>_xlfn.XLOOKUP(Cleaned[[#This Row],[AccountName]], Account_Mapping!A:A, Account_Mapping!B:B,"Unmapped")</f>
        <v>Operating Expense</v>
      </c>
      <c r="O1759" cm="1">
        <f t="array" ref="O1759">_xlfn.XLOOKUP(
  1,
  (FX_Rates[Currency]=Cleaned[[#This Row],[Currency]])*
  (FX_Rates[RateDate]&lt;=Cleaned[[#This Row],[TxnDate]]),
  FX_Rates[Rate_To_INR],
  ,
  -1
)</f>
        <v>61</v>
      </c>
      <c r="P1759" s="2">
        <f>Cleaned[[#This Row],[Net Amount]] *  Cleaned[[#This Row],[FX_rates]]</f>
        <v>-102953.97</v>
      </c>
    </row>
    <row r="1760" spans="1:16" x14ac:dyDescent="0.45">
      <c r="A1760" t="s">
        <v>1768</v>
      </c>
      <c r="B1760" s="1">
        <v>45376</v>
      </c>
      <c r="C1760" s="2" t="s">
        <v>2014</v>
      </c>
      <c r="D1760" t="s">
        <v>2019</v>
      </c>
      <c r="E1760">
        <v>0</v>
      </c>
      <c r="F1760">
        <f>Cleaned[[#This Row],[Debit]] * Cleaned[[#This Row],[FX_rates]]</f>
        <v>0</v>
      </c>
      <c r="G1760">
        <v>3606.68</v>
      </c>
      <c r="H1760">
        <f>Cleaned[[#This Row],[Credit]] *  Cleaned[[#This Row],[FX_rates]]</f>
        <v>220007.47999999998</v>
      </c>
      <c r="I1760" t="s">
        <v>2020</v>
      </c>
      <c r="J1760" t="s">
        <v>2026</v>
      </c>
      <c r="K1760" t="s">
        <v>3789</v>
      </c>
      <c r="L1760" t="s">
        <v>4035</v>
      </c>
      <c r="M1760">
        <f>Cleaned[[#This Row],[Credit]]-Cleaned[[#This Row],[Debit]]</f>
        <v>3606.68</v>
      </c>
      <c r="N1760" t="str">
        <f>_xlfn.XLOOKUP(Cleaned[[#This Row],[AccountName]], Account_Mapping!A:A, Account_Mapping!B:B,"Unmapped")</f>
        <v>Revenue</v>
      </c>
      <c r="O1760" cm="1">
        <f t="array" ref="O1760">_xlfn.XLOOKUP(
  1,
  (FX_Rates[Currency]=Cleaned[[#This Row],[Currency]])*
  (FX_Rates[RateDate]&lt;=Cleaned[[#This Row],[TxnDate]]),
  FX_Rates[Rate_To_INR],
  ,
  -1
)</f>
        <v>61</v>
      </c>
      <c r="P1760" s="2">
        <f>Cleaned[[#This Row],[Net Amount]] *  Cleaned[[#This Row],[FX_rates]]</f>
        <v>220007.47999999998</v>
      </c>
    </row>
    <row r="1761" spans="1:16" x14ac:dyDescent="0.45">
      <c r="A1761" t="s">
        <v>1769</v>
      </c>
      <c r="B1761" s="1">
        <v>45022</v>
      </c>
      <c r="C1761" s="2" t="s">
        <v>2013</v>
      </c>
      <c r="D1761" t="s">
        <v>2018</v>
      </c>
      <c r="E1761">
        <v>1726.93</v>
      </c>
      <c r="F1761">
        <f>Cleaned[[#This Row],[Debit]] * Cleaned[[#This Row],[FX_rates]]</f>
        <v>96708.08</v>
      </c>
      <c r="G1761">
        <v>0</v>
      </c>
      <c r="H1761">
        <f>Cleaned[[#This Row],[Credit]] *  Cleaned[[#This Row],[FX_rates]]</f>
        <v>0</v>
      </c>
      <c r="I1761" t="s">
        <v>2024</v>
      </c>
      <c r="J1761" t="s">
        <v>2028</v>
      </c>
      <c r="K1761" t="s">
        <v>3790</v>
      </c>
      <c r="L1761" t="s">
        <v>4033</v>
      </c>
      <c r="M1761">
        <f>Cleaned[[#This Row],[Credit]]-Cleaned[[#This Row],[Debit]]</f>
        <v>-1726.93</v>
      </c>
      <c r="N1761" t="str">
        <f>_xlfn.XLOOKUP(Cleaned[[#This Row],[AccountName]], Account_Mapping!A:A, Account_Mapping!B:B,"Unmapped")</f>
        <v>Operating Expense</v>
      </c>
      <c r="O1761" cm="1">
        <f t="array" ref="O1761">_xlfn.XLOOKUP(
  1,
  (FX_Rates[Currency]=Cleaned[[#This Row],[Currency]])*
  (FX_Rates[RateDate]&lt;=Cleaned[[#This Row],[TxnDate]]),
  FX_Rates[Rate_To_INR],
  ,
  -1
)</f>
        <v>56</v>
      </c>
      <c r="P1761" s="2">
        <f>Cleaned[[#This Row],[Net Amount]] *  Cleaned[[#This Row],[FX_rates]]</f>
        <v>-96708.08</v>
      </c>
    </row>
    <row r="1762" spans="1:16" x14ac:dyDescent="0.45">
      <c r="A1762" t="s">
        <v>1770</v>
      </c>
      <c r="B1762" s="1">
        <v>44998</v>
      </c>
      <c r="C1762" s="2" t="s">
        <v>2014</v>
      </c>
      <c r="D1762" t="s">
        <v>2019</v>
      </c>
      <c r="E1762">
        <v>0</v>
      </c>
      <c r="F1762">
        <f>Cleaned[[#This Row],[Debit]] * Cleaned[[#This Row],[FX_rates]]</f>
        <v>0</v>
      </c>
      <c r="G1762">
        <v>4091.1</v>
      </c>
      <c r="H1762">
        <f>Cleaned[[#This Row],[Credit]] *  Cleaned[[#This Row],[FX_rates]]</f>
        <v>229101.6</v>
      </c>
      <c r="I1762" t="s">
        <v>2025</v>
      </c>
      <c r="J1762" t="s">
        <v>2026</v>
      </c>
      <c r="K1762" t="s">
        <v>3791</v>
      </c>
      <c r="L1762" t="s">
        <v>4033</v>
      </c>
      <c r="M1762">
        <f>Cleaned[[#This Row],[Credit]]-Cleaned[[#This Row],[Debit]]</f>
        <v>4091.1</v>
      </c>
      <c r="N1762" t="str">
        <f>_xlfn.XLOOKUP(Cleaned[[#This Row],[AccountName]], Account_Mapping!A:A, Account_Mapping!B:B,"Unmapped")</f>
        <v>Revenue</v>
      </c>
      <c r="O1762" cm="1">
        <f t="array" ref="O1762">_xlfn.XLOOKUP(
  1,
  (FX_Rates[Currency]=Cleaned[[#This Row],[Currency]])*
  (FX_Rates[RateDate]&lt;=Cleaned[[#This Row],[TxnDate]]),
  FX_Rates[Rate_To_INR],
  ,
  -1
)</f>
        <v>56</v>
      </c>
      <c r="P1762" s="2">
        <f>Cleaned[[#This Row],[Net Amount]] *  Cleaned[[#This Row],[FX_rates]]</f>
        <v>229101.6</v>
      </c>
    </row>
    <row r="1763" spans="1:16" x14ac:dyDescent="0.45">
      <c r="A1763" t="s">
        <v>1771</v>
      </c>
      <c r="B1763" s="1">
        <v>45115</v>
      </c>
      <c r="C1763" s="2" t="s">
        <v>2011</v>
      </c>
      <c r="D1763" t="s">
        <v>2016</v>
      </c>
      <c r="E1763">
        <v>1712.78</v>
      </c>
      <c r="F1763">
        <f>Cleaned[[#This Row],[Debit]] * Cleaned[[#This Row],[FX_rates]]</f>
        <v>95915.68</v>
      </c>
      <c r="G1763">
        <v>0</v>
      </c>
      <c r="H1763">
        <f>Cleaned[[#This Row],[Credit]] *  Cleaned[[#This Row],[FX_rates]]</f>
        <v>0</v>
      </c>
      <c r="I1763" t="s">
        <v>2022</v>
      </c>
      <c r="J1763" t="s">
        <v>2030</v>
      </c>
      <c r="K1763" t="s">
        <v>3792</v>
      </c>
      <c r="L1763" t="s">
        <v>4033</v>
      </c>
      <c r="M1763">
        <f>Cleaned[[#This Row],[Credit]]-Cleaned[[#This Row],[Debit]]</f>
        <v>-1712.78</v>
      </c>
      <c r="N1763" t="str">
        <f>_xlfn.XLOOKUP(Cleaned[[#This Row],[AccountName]], Account_Mapping!A:A, Account_Mapping!B:B,"Unmapped")</f>
        <v>COGS</v>
      </c>
      <c r="O1763" cm="1">
        <f t="array" ref="O1763">_xlfn.XLOOKUP(
  1,
  (FX_Rates[Currency]=Cleaned[[#This Row],[Currency]])*
  (FX_Rates[RateDate]&lt;=Cleaned[[#This Row],[TxnDate]]),
  FX_Rates[Rate_To_INR],
  ,
  -1
)</f>
        <v>56</v>
      </c>
      <c r="P1763" s="2">
        <f>Cleaned[[#This Row],[Net Amount]] *  Cleaned[[#This Row],[FX_rates]]</f>
        <v>-95915.68</v>
      </c>
    </row>
    <row r="1764" spans="1:16" x14ac:dyDescent="0.45">
      <c r="A1764" t="s">
        <v>1772</v>
      </c>
      <c r="B1764" s="1">
        <v>45051</v>
      </c>
      <c r="C1764" s="2" t="s">
        <v>2014</v>
      </c>
      <c r="D1764" t="s">
        <v>2019</v>
      </c>
      <c r="E1764">
        <v>0</v>
      </c>
      <c r="F1764">
        <f>Cleaned[[#This Row],[Debit]] * Cleaned[[#This Row],[FX_rates]]</f>
        <v>0</v>
      </c>
      <c r="G1764">
        <v>4088.16</v>
      </c>
      <c r="H1764">
        <f>Cleaned[[#This Row],[Credit]] *  Cleaned[[#This Row],[FX_rates]]</f>
        <v>359758.07999999996</v>
      </c>
      <c r="I1764" t="s">
        <v>2021</v>
      </c>
      <c r="J1764" t="s">
        <v>2029</v>
      </c>
      <c r="K1764" t="s">
        <v>3793</v>
      </c>
      <c r="L1764" t="s">
        <v>4032</v>
      </c>
      <c r="M1764">
        <f>Cleaned[[#This Row],[Credit]]-Cleaned[[#This Row],[Debit]]</f>
        <v>4088.16</v>
      </c>
      <c r="N1764" t="str">
        <f>_xlfn.XLOOKUP(Cleaned[[#This Row],[AccountName]], Account_Mapping!A:A, Account_Mapping!B:B,"Unmapped")</f>
        <v>Revenue</v>
      </c>
      <c r="O1764" cm="1">
        <f t="array" ref="O1764">_xlfn.XLOOKUP(
  1,
  (FX_Rates[Currency]=Cleaned[[#This Row],[Currency]])*
  (FX_Rates[RateDate]&lt;=Cleaned[[#This Row],[TxnDate]]),
  FX_Rates[Rate_To_INR],
  ,
  -1
)</f>
        <v>88</v>
      </c>
      <c r="P1764" s="2">
        <f>Cleaned[[#This Row],[Net Amount]] *  Cleaned[[#This Row],[FX_rates]]</f>
        <v>359758.07999999996</v>
      </c>
    </row>
    <row r="1765" spans="1:16" x14ac:dyDescent="0.45">
      <c r="A1765" t="s">
        <v>1773</v>
      </c>
      <c r="B1765" s="1">
        <v>45093</v>
      </c>
      <c r="C1765" s="2" t="s">
        <v>2011</v>
      </c>
      <c r="D1765" t="s">
        <v>2016</v>
      </c>
      <c r="E1765">
        <v>1941.5</v>
      </c>
      <c r="F1765">
        <f>Cleaned[[#This Row],[Debit]] * Cleaned[[#This Row],[FX_rates]]</f>
        <v>199974.5</v>
      </c>
      <c r="G1765">
        <v>0</v>
      </c>
      <c r="H1765">
        <f>Cleaned[[#This Row],[Credit]] *  Cleaned[[#This Row],[FX_rates]]</f>
        <v>0</v>
      </c>
      <c r="I1765" t="s">
        <v>2022</v>
      </c>
      <c r="J1765" t="s">
        <v>2026</v>
      </c>
      <c r="K1765" t="s">
        <v>3794</v>
      </c>
      <c r="L1765" t="s">
        <v>4031</v>
      </c>
      <c r="M1765">
        <f>Cleaned[[#This Row],[Credit]]-Cleaned[[#This Row],[Debit]]</f>
        <v>-1941.5</v>
      </c>
      <c r="N1765" t="str">
        <f>_xlfn.XLOOKUP(Cleaned[[#This Row],[AccountName]], Account_Mapping!A:A, Account_Mapping!B:B,"Unmapped")</f>
        <v>COGS</v>
      </c>
      <c r="O1765" cm="1">
        <f t="array" ref="O1765">_xlfn.XLOOKUP(
  1,
  (FX_Rates[Currency]=Cleaned[[#This Row],[Currency]])*
  (FX_Rates[RateDate]&lt;=Cleaned[[#This Row],[TxnDate]]),
  FX_Rates[Rate_To_INR],
  ,
  -1
)</f>
        <v>103</v>
      </c>
      <c r="P1765" s="2">
        <f>Cleaned[[#This Row],[Net Amount]] *  Cleaned[[#This Row],[FX_rates]]</f>
        <v>-199974.5</v>
      </c>
    </row>
    <row r="1766" spans="1:16" x14ac:dyDescent="0.45">
      <c r="A1766" t="s">
        <v>1774</v>
      </c>
      <c r="B1766" s="1">
        <v>45293</v>
      </c>
      <c r="C1766" s="2" t="s">
        <v>2013</v>
      </c>
      <c r="D1766" t="s">
        <v>2018</v>
      </c>
      <c r="E1766">
        <v>1945.41</v>
      </c>
      <c r="F1766">
        <f>Cleaned[[#This Row],[Debit]] * Cleaned[[#This Row],[FX_rates]]</f>
        <v>200377.23</v>
      </c>
      <c r="G1766">
        <v>0</v>
      </c>
      <c r="H1766">
        <f>Cleaned[[#This Row],[Credit]] *  Cleaned[[#This Row],[FX_rates]]</f>
        <v>0</v>
      </c>
      <c r="I1766" t="s">
        <v>2023</v>
      </c>
      <c r="J1766" t="s">
        <v>2026</v>
      </c>
      <c r="K1766" t="s">
        <v>3795</v>
      </c>
      <c r="L1766" t="s">
        <v>4031</v>
      </c>
      <c r="M1766">
        <f>Cleaned[[#This Row],[Credit]]-Cleaned[[#This Row],[Debit]]</f>
        <v>-1945.41</v>
      </c>
      <c r="N1766" t="str">
        <f>_xlfn.XLOOKUP(Cleaned[[#This Row],[AccountName]], Account_Mapping!A:A, Account_Mapping!B:B,"Unmapped")</f>
        <v>Operating Expense</v>
      </c>
      <c r="O1766" cm="1">
        <f t="array" ref="O1766">_xlfn.XLOOKUP(
  1,
  (FX_Rates[Currency]=Cleaned[[#This Row],[Currency]])*
  (FX_Rates[RateDate]&lt;=Cleaned[[#This Row],[TxnDate]]),
  FX_Rates[Rate_To_INR],
  ,
  -1
)</f>
        <v>103</v>
      </c>
      <c r="P1766" s="2">
        <f>Cleaned[[#This Row],[Net Amount]] *  Cleaned[[#This Row],[FX_rates]]</f>
        <v>-200377.23</v>
      </c>
    </row>
    <row r="1767" spans="1:16" x14ac:dyDescent="0.45">
      <c r="A1767" t="s">
        <v>1775</v>
      </c>
      <c r="B1767" s="1">
        <v>45337</v>
      </c>
      <c r="C1767" s="2" t="s">
        <v>2011</v>
      </c>
      <c r="D1767" t="s">
        <v>2016</v>
      </c>
      <c r="E1767">
        <v>1421.11</v>
      </c>
      <c r="F1767">
        <f>Cleaned[[#This Row],[Debit]] * Cleaned[[#This Row],[FX_rates]]</f>
        <v>86687.709999999992</v>
      </c>
      <c r="G1767">
        <v>0</v>
      </c>
      <c r="H1767">
        <f>Cleaned[[#This Row],[Credit]] *  Cleaned[[#This Row],[FX_rates]]</f>
        <v>0</v>
      </c>
      <c r="I1767" t="s">
        <v>2022</v>
      </c>
      <c r="J1767" t="s">
        <v>2029</v>
      </c>
      <c r="K1767" t="s">
        <v>3796</v>
      </c>
      <c r="L1767" t="s">
        <v>4035</v>
      </c>
      <c r="M1767">
        <f>Cleaned[[#This Row],[Credit]]-Cleaned[[#This Row],[Debit]]</f>
        <v>-1421.11</v>
      </c>
      <c r="N1767" t="str">
        <f>_xlfn.XLOOKUP(Cleaned[[#This Row],[AccountName]], Account_Mapping!A:A, Account_Mapping!B:B,"Unmapped")</f>
        <v>COGS</v>
      </c>
      <c r="O1767" cm="1">
        <f t="array" ref="O1767">_xlfn.XLOOKUP(
  1,
  (FX_Rates[Currency]=Cleaned[[#This Row],[Currency]])*
  (FX_Rates[RateDate]&lt;=Cleaned[[#This Row],[TxnDate]]),
  FX_Rates[Rate_To_INR],
  ,
  -1
)</f>
        <v>61</v>
      </c>
      <c r="P1767" s="2">
        <f>Cleaned[[#This Row],[Net Amount]] *  Cleaned[[#This Row],[FX_rates]]</f>
        <v>-86687.709999999992</v>
      </c>
    </row>
    <row r="1768" spans="1:16" x14ac:dyDescent="0.45">
      <c r="A1768" t="s">
        <v>1776</v>
      </c>
      <c r="B1768" s="1">
        <v>44980</v>
      </c>
      <c r="C1768" s="2" t="s">
        <v>2013</v>
      </c>
      <c r="D1768" t="s">
        <v>2018</v>
      </c>
      <c r="E1768">
        <v>289.94</v>
      </c>
      <c r="F1768">
        <f>Cleaned[[#This Row],[Debit]] * Cleaned[[#This Row],[FX_rates]]</f>
        <v>23775.079999999998</v>
      </c>
      <c r="G1768">
        <v>0</v>
      </c>
      <c r="H1768">
        <f>Cleaned[[#This Row],[Credit]] *  Cleaned[[#This Row],[FX_rates]]</f>
        <v>0</v>
      </c>
      <c r="I1768" t="s">
        <v>2025</v>
      </c>
      <c r="J1768" t="s">
        <v>2029</v>
      </c>
      <c r="K1768" t="s">
        <v>3797</v>
      </c>
      <c r="L1768" t="s">
        <v>4034</v>
      </c>
      <c r="M1768">
        <f>Cleaned[[#This Row],[Credit]]-Cleaned[[#This Row],[Debit]]</f>
        <v>-289.94</v>
      </c>
      <c r="N1768" t="str">
        <f>_xlfn.XLOOKUP(Cleaned[[#This Row],[AccountName]], Account_Mapping!A:A, Account_Mapping!B:B,"Unmapped")</f>
        <v>Operating Expense</v>
      </c>
      <c r="O1768" cm="1">
        <f t="array" ref="O1768">_xlfn.XLOOKUP(
  1,
  (FX_Rates[Currency]=Cleaned[[#This Row],[Currency]])*
  (FX_Rates[RateDate]&lt;=Cleaned[[#This Row],[TxnDate]]),
  FX_Rates[Rate_To_INR],
  ,
  -1
)</f>
        <v>82</v>
      </c>
      <c r="P1768" s="2">
        <f>Cleaned[[#This Row],[Net Amount]] *  Cleaned[[#This Row],[FX_rates]]</f>
        <v>-23775.079999999998</v>
      </c>
    </row>
    <row r="1769" spans="1:16" x14ac:dyDescent="0.45">
      <c r="A1769" t="s">
        <v>1777</v>
      </c>
      <c r="B1769" s="1">
        <v>45156</v>
      </c>
      <c r="C1769" s="2" t="s">
        <v>2013</v>
      </c>
      <c r="D1769" t="s">
        <v>2018</v>
      </c>
      <c r="E1769">
        <v>1061.21</v>
      </c>
      <c r="F1769">
        <f>Cleaned[[#This Row],[Debit]] * Cleaned[[#This Row],[FX_rates]]</f>
        <v>87019.22</v>
      </c>
      <c r="G1769">
        <v>0</v>
      </c>
      <c r="H1769">
        <f>Cleaned[[#This Row],[Credit]] *  Cleaned[[#This Row],[FX_rates]]</f>
        <v>0</v>
      </c>
      <c r="I1769" t="s">
        <v>2024</v>
      </c>
      <c r="J1769" t="s">
        <v>2028</v>
      </c>
      <c r="K1769" t="s">
        <v>3798</v>
      </c>
      <c r="L1769" t="s">
        <v>4034</v>
      </c>
      <c r="M1769">
        <f>Cleaned[[#This Row],[Credit]]-Cleaned[[#This Row],[Debit]]</f>
        <v>-1061.21</v>
      </c>
      <c r="N1769" t="str">
        <f>_xlfn.XLOOKUP(Cleaned[[#This Row],[AccountName]], Account_Mapping!A:A, Account_Mapping!B:B,"Unmapped")</f>
        <v>Operating Expense</v>
      </c>
      <c r="O1769" cm="1">
        <f t="array" ref="O1769">_xlfn.XLOOKUP(
  1,
  (FX_Rates[Currency]=Cleaned[[#This Row],[Currency]])*
  (FX_Rates[RateDate]&lt;=Cleaned[[#This Row],[TxnDate]]),
  FX_Rates[Rate_To_INR],
  ,
  -1
)</f>
        <v>82</v>
      </c>
      <c r="P1769" s="2">
        <f>Cleaned[[#This Row],[Net Amount]] *  Cleaned[[#This Row],[FX_rates]]</f>
        <v>-87019.22</v>
      </c>
    </row>
    <row r="1770" spans="1:16" x14ac:dyDescent="0.45">
      <c r="A1770" t="s">
        <v>1778</v>
      </c>
      <c r="B1770" s="1">
        <v>44983</v>
      </c>
      <c r="C1770" s="2" t="s">
        <v>2010</v>
      </c>
      <c r="D1770" t="s">
        <v>2015</v>
      </c>
      <c r="E1770">
        <v>0</v>
      </c>
      <c r="F1770">
        <f>Cleaned[[#This Row],[Debit]] * Cleaned[[#This Row],[FX_rates]]</f>
        <v>0</v>
      </c>
      <c r="G1770">
        <v>2682.77</v>
      </c>
      <c r="H1770">
        <f>Cleaned[[#This Row],[Credit]] *  Cleaned[[#This Row],[FX_rates]]</f>
        <v>276325.31</v>
      </c>
      <c r="I1770" t="s">
        <v>2021</v>
      </c>
      <c r="J1770" t="s">
        <v>2029</v>
      </c>
      <c r="K1770" t="s">
        <v>3799</v>
      </c>
      <c r="L1770" t="s">
        <v>4031</v>
      </c>
      <c r="M1770">
        <f>Cleaned[[#This Row],[Credit]]-Cleaned[[#This Row],[Debit]]</f>
        <v>2682.77</v>
      </c>
      <c r="N1770" t="str">
        <f>_xlfn.XLOOKUP(Cleaned[[#This Row],[AccountName]], Account_Mapping!A:A, Account_Mapping!B:B,"Unmapped")</f>
        <v>Revenue</v>
      </c>
      <c r="O1770" cm="1">
        <f t="array" ref="O1770">_xlfn.XLOOKUP(
  1,
  (FX_Rates[Currency]=Cleaned[[#This Row],[Currency]])*
  (FX_Rates[RateDate]&lt;=Cleaned[[#This Row],[TxnDate]]),
  FX_Rates[Rate_To_INR],
  ,
  -1
)</f>
        <v>103</v>
      </c>
      <c r="P1770" s="2">
        <f>Cleaned[[#This Row],[Net Amount]] *  Cleaned[[#This Row],[FX_rates]]</f>
        <v>276325.31</v>
      </c>
    </row>
    <row r="1771" spans="1:16" x14ac:dyDescent="0.45">
      <c r="A1771" t="s">
        <v>1779</v>
      </c>
      <c r="B1771" s="1">
        <v>45808</v>
      </c>
      <c r="C1771" s="2" t="s">
        <v>2014</v>
      </c>
      <c r="D1771" t="s">
        <v>2019</v>
      </c>
      <c r="E1771">
        <v>0</v>
      </c>
      <c r="F1771">
        <f>Cleaned[[#This Row],[Debit]] * Cleaned[[#This Row],[FX_rates]]</f>
        <v>0</v>
      </c>
      <c r="G1771">
        <v>250.7</v>
      </c>
      <c r="H1771">
        <f>Cleaned[[#This Row],[Credit]] *  Cleaned[[#This Row],[FX_rates]]</f>
        <v>15292.699999999999</v>
      </c>
      <c r="I1771" t="s">
        <v>2024</v>
      </c>
      <c r="J1771" t="s">
        <v>2029</v>
      </c>
      <c r="K1771" t="s">
        <v>3800</v>
      </c>
      <c r="L1771" t="s">
        <v>4035</v>
      </c>
      <c r="M1771">
        <f>Cleaned[[#This Row],[Credit]]-Cleaned[[#This Row],[Debit]]</f>
        <v>250.7</v>
      </c>
      <c r="N1771" t="str">
        <f>_xlfn.XLOOKUP(Cleaned[[#This Row],[AccountName]], Account_Mapping!A:A, Account_Mapping!B:B,"Unmapped")</f>
        <v>Revenue</v>
      </c>
      <c r="O1771" cm="1">
        <f t="array" ref="O1771">_xlfn.XLOOKUP(
  1,
  (FX_Rates[Currency]=Cleaned[[#This Row],[Currency]])*
  (FX_Rates[RateDate]&lt;=Cleaned[[#This Row],[TxnDate]]),
  FX_Rates[Rate_To_INR],
  ,
  -1
)</f>
        <v>61</v>
      </c>
      <c r="P1771" s="2">
        <f>Cleaned[[#This Row],[Net Amount]] *  Cleaned[[#This Row],[FX_rates]]</f>
        <v>15292.699999999999</v>
      </c>
    </row>
    <row r="1772" spans="1:16" x14ac:dyDescent="0.45">
      <c r="A1772" t="s">
        <v>1780</v>
      </c>
      <c r="B1772" s="1">
        <v>45699</v>
      </c>
      <c r="C1772" s="2" t="s">
        <v>2011</v>
      </c>
      <c r="D1772" t="s">
        <v>2016</v>
      </c>
      <c r="E1772">
        <v>1995.64</v>
      </c>
      <c r="F1772">
        <f>Cleaned[[#This Row],[Debit]] * Cleaned[[#This Row],[FX_rates]]</f>
        <v>163642.48000000001</v>
      </c>
      <c r="G1772">
        <v>0</v>
      </c>
      <c r="H1772">
        <f>Cleaned[[#This Row],[Credit]] *  Cleaned[[#This Row],[FX_rates]]</f>
        <v>0</v>
      </c>
      <c r="I1772" t="s">
        <v>2023</v>
      </c>
      <c r="J1772" t="s">
        <v>2026</v>
      </c>
      <c r="K1772" t="s">
        <v>3801</v>
      </c>
      <c r="L1772" t="s">
        <v>4034</v>
      </c>
      <c r="M1772">
        <f>Cleaned[[#This Row],[Credit]]-Cleaned[[#This Row],[Debit]]</f>
        <v>-1995.64</v>
      </c>
      <c r="N1772" t="str">
        <f>_xlfn.XLOOKUP(Cleaned[[#This Row],[AccountName]], Account_Mapping!A:A, Account_Mapping!B:B,"Unmapped")</f>
        <v>COGS</v>
      </c>
      <c r="O1772" cm="1">
        <f t="array" ref="O1772">_xlfn.XLOOKUP(
  1,
  (FX_Rates[Currency]=Cleaned[[#This Row],[Currency]])*
  (FX_Rates[RateDate]&lt;=Cleaned[[#This Row],[TxnDate]]),
  FX_Rates[Rate_To_INR],
  ,
  -1
)</f>
        <v>82</v>
      </c>
      <c r="P1772" s="2">
        <f>Cleaned[[#This Row],[Net Amount]] *  Cleaned[[#This Row],[FX_rates]]</f>
        <v>-163642.48000000001</v>
      </c>
    </row>
    <row r="1773" spans="1:16" x14ac:dyDescent="0.45">
      <c r="A1773" t="s">
        <v>1781</v>
      </c>
      <c r="B1773" s="1">
        <v>45098</v>
      </c>
      <c r="C1773" s="2" t="s">
        <v>2013</v>
      </c>
      <c r="D1773" t="s">
        <v>2018</v>
      </c>
      <c r="E1773">
        <v>1268.68</v>
      </c>
      <c r="F1773">
        <f>Cleaned[[#This Row],[Debit]] * Cleaned[[#This Row],[FX_rates]]</f>
        <v>111643.84000000001</v>
      </c>
      <c r="G1773">
        <v>0</v>
      </c>
      <c r="H1773">
        <f>Cleaned[[#This Row],[Credit]] *  Cleaned[[#This Row],[FX_rates]]</f>
        <v>0</v>
      </c>
      <c r="I1773" t="s">
        <v>2021</v>
      </c>
      <c r="J1773" t="s">
        <v>2026</v>
      </c>
      <c r="K1773" t="s">
        <v>3802</v>
      </c>
      <c r="L1773" t="s">
        <v>4032</v>
      </c>
      <c r="M1773">
        <f>Cleaned[[#This Row],[Credit]]-Cleaned[[#This Row],[Debit]]</f>
        <v>-1268.68</v>
      </c>
      <c r="N1773" t="str">
        <f>_xlfn.XLOOKUP(Cleaned[[#This Row],[AccountName]], Account_Mapping!A:A, Account_Mapping!B:B,"Unmapped")</f>
        <v>Operating Expense</v>
      </c>
      <c r="O1773" cm="1">
        <f t="array" ref="O1773">_xlfn.XLOOKUP(
  1,
  (FX_Rates[Currency]=Cleaned[[#This Row],[Currency]])*
  (FX_Rates[RateDate]&lt;=Cleaned[[#This Row],[TxnDate]]),
  FX_Rates[Rate_To_INR],
  ,
  -1
)</f>
        <v>88</v>
      </c>
      <c r="P1773" s="2">
        <f>Cleaned[[#This Row],[Net Amount]] *  Cleaned[[#This Row],[FX_rates]]</f>
        <v>-111643.84000000001</v>
      </c>
    </row>
    <row r="1774" spans="1:16" x14ac:dyDescent="0.45">
      <c r="A1774" t="s">
        <v>1782</v>
      </c>
      <c r="B1774" s="1">
        <v>45069</v>
      </c>
      <c r="C1774" s="2" t="s">
        <v>2011</v>
      </c>
      <c r="D1774" t="s">
        <v>2016</v>
      </c>
      <c r="E1774">
        <v>1700.66</v>
      </c>
      <c r="F1774">
        <f>Cleaned[[#This Row],[Debit]] * Cleaned[[#This Row],[FX_rates]]</f>
        <v>103740.26000000001</v>
      </c>
      <c r="G1774">
        <v>0</v>
      </c>
      <c r="H1774">
        <f>Cleaned[[#This Row],[Credit]] *  Cleaned[[#This Row],[FX_rates]]</f>
        <v>0</v>
      </c>
      <c r="I1774" t="s">
        <v>2020</v>
      </c>
      <c r="J1774" t="s">
        <v>2026</v>
      </c>
      <c r="K1774" t="s">
        <v>3803</v>
      </c>
      <c r="L1774" t="s">
        <v>4035</v>
      </c>
      <c r="M1774">
        <f>Cleaned[[#This Row],[Credit]]-Cleaned[[#This Row],[Debit]]</f>
        <v>-1700.66</v>
      </c>
      <c r="N1774" t="str">
        <f>_xlfn.XLOOKUP(Cleaned[[#This Row],[AccountName]], Account_Mapping!A:A, Account_Mapping!B:B,"Unmapped")</f>
        <v>COGS</v>
      </c>
      <c r="O1774" cm="1">
        <f t="array" ref="O1774">_xlfn.XLOOKUP(
  1,
  (FX_Rates[Currency]=Cleaned[[#This Row],[Currency]])*
  (FX_Rates[RateDate]&lt;=Cleaned[[#This Row],[TxnDate]]),
  FX_Rates[Rate_To_INR],
  ,
  -1
)</f>
        <v>61</v>
      </c>
      <c r="P1774" s="2">
        <f>Cleaned[[#This Row],[Net Amount]] *  Cleaned[[#This Row],[FX_rates]]</f>
        <v>-103740.26000000001</v>
      </c>
    </row>
    <row r="1775" spans="1:16" x14ac:dyDescent="0.45">
      <c r="A1775" t="s">
        <v>1783</v>
      </c>
      <c r="B1775" s="1">
        <v>45826</v>
      </c>
      <c r="C1775" s="2" t="s">
        <v>2012</v>
      </c>
      <c r="D1775" t="s">
        <v>2017</v>
      </c>
      <c r="E1775">
        <v>335.24</v>
      </c>
      <c r="F1775">
        <f>Cleaned[[#This Row],[Debit]] * Cleaned[[#This Row],[FX_rates]]</f>
        <v>34529.72</v>
      </c>
      <c r="G1775">
        <v>0</v>
      </c>
      <c r="H1775">
        <f>Cleaned[[#This Row],[Credit]] *  Cleaned[[#This Row],[FX_rates]]</f>
        <v>0</v>
      </c>
      <c r="I1775" t="s">
        <v>2024</v>
      </c>
      <c r="J1775" t="s">
        <v>2027</v>
      </c>
      <c r="K1775" t="s">
        <v>3804</v>
      </c>
      <c r="L1775" t="s">
        <v>4031</v>
      </c>
      <c r="M1775">
        <f>Cleaned[[#This Row],[Credit]]-Cleaned[[#This Row],[Debit]]</f>
        <v>-335.24</v>
      </c>
      <c r="N1775" t="str">
        <f>_xlfn.XLOOKUP(Cleaned[[#This Row],[AccountName]], Account_Mapping!A:A, Account_Mapping!B:B,"Unmapped")</f>
        <v>Operating Expense</v>
      </c>
      <c r="O1775" cm="1">
        <f t="array" ref="O1775">_xlfn.XLOOKUP(
  1,
  (FX_Rates[Currency]=Cleaned[[#This Row],[Currency]])*
  (FX_Rates[RateDate]&lt;=Cleaned[[#This Row],[TxnDate]]),
  FX_Rates[Rate_To_INR],
  ,
  -1
)</f>
        <v>103</v>
      </c>
      <c r="P1775" s="2">
        <f>Cleaned[[#This Row],[Net Amount]] *  Cleaned[[#This Row],[FX_rates]]</f>
        <v>-34529.72</v>
      </c>
    </row>
    <row r="1776" spans="1:16" x14ac:dyDescent="0.45">
      <c r="A1776" t="s">
        <v>1784</v>
      </c>
      <c r="B1776" s="1">
        <v>45454</v>
      </c>
      <c r="C1776" s="2" t="s">
        <v>2012</v>
      </c>
      <c r="D1776" t="s">
        <v>2017</v>
      </c>
      <c r="E1776">
        <v>705.25</v>
      </c>
      <c r="F1776">
        <f>Cleaned[[#This Row],[Debit]] * Cleaned[[#This Row],[FX_rates]]</f>
        <v>39494</v>
      </c>
      <c r="G1776">
        <v>0</v>
      </c>
      <c r="H1776">
        <f>Cleaned[[#This Row],[Credit]] *  Cleaned[[#This Row],[FX_rates]]</f>
        <v>0</v>
      </c>
      <c r="I1776" t="s">
        <v>2021</v>
      </c>
      <c r="J1776" t="s">
        <v>2028</v>
      </c>
      <c r="K1776" t="s">
        <v>3805</v>
      </c>
      <c r="L1776" t="s">
        <v>4033</v>
      </c>
      <c r="M1776">
        <f>Cleaned[[#This Row],[Credit]]-Cleaned[[#This Row],[Debit]]</f>
        <v>-705.25</v>
      </c>
      <c r="N1776" t="str">
        <f>_xlfn.XLOOKUP(Cleaned[[#This Row],[AccountName]], Account_Mapping!A:A, Account_Mapping!B:B,"Unmapped")</f>
        <v>Operating Expense</v>
      </c>
      <c r="O1776" cm="1">
        <f t="array" ref="O1776">_xlfn.XLOOKUP(
  1,
  (FX_Rates[Currency]=Cleaned[[#This Row],[Currency]])*
  (FX_Rates[RateDate]&lt;=Cleaned[[#This Row],[TxnDate]]),
  FX_Rates[Rate_To_INR],
  ,
  -1
)</f>
        <v>56</v>
      </c>
      <c r="P1776" s="2">
        <f>Cleaned[[#This Row],[Net Amount]] *  Cleaned[[#This Row],[FX_rates]]</f>
        <v>-39494</v>
      </c>
    </row>
    <row r="1777" spans="1:16" x14ac:dyDescent="0.45">
      <c r="A1777" t="s">
        <v>1785</v>
      </c>
      <c r="B1777" s="1">
        <v>45141</v>
      </c>
      <c r="C1777" s="2" t="s">
        <v>2011</v>
      </c>
      <c r="D1777" t="s">
        <v>2016</v>
      </c>
      <c r="E1777">
        <v>1859.77</v>
      </c>
      <c r="F1777">
        <f>Cleaned[[#This Row],[Debit]] * Cleaned[[#This Row],[FX_rates]]</f>
        <v>104147.12</v>
      </c>
      <c r="G1777">
        <v>0</v>
      </c>
      <c r="H1777">
        <f>Cleaned[[#This Row],[Credit]] *  Cleaned[[#This Row],[FX_rates]]</f>
        <v>0</v>
      </c>
      <c r="I1777" t="s">
        <v>2025</v>
      </c>
      <c r="J1777" t="s">
        <v>2030</v>
      </c>
      <c r="K1777" t="s">
        <v>3806</v>
      </c>
      <c r="L1777" t="s">
        <v>4033</v>
      </c>
      <c r="M1777">
        <f>Cleaned[[#This Row],[Credit]]-Cleaned[[#This Row],[Debit]]</f>
        <v>-1859.77</v>
      </c>
      <c r="N1777" t="str">
        <f>_xlfn.XLOOKUP(Cleaned[[#This Row],[AccountName]], Account_Mapping!A:A, Account_Mapping!B:B,"Unmapped")</f>
        <v>COGS</v>
      </c>
      <c r="O1777" cm="1">
        <f t="array" ref="O1777">_xlfn.XLOOKUP(
  1,
  (FX_Rates[Currency]=Cleaned[[#This Row],[Currency]])*
  (FX_Rates[RateDate]&lt;=Cleaned[[#This Row],[TxnDate]]),
  FX_Rates[Rate_To_INR],
  ,
  -1
)</f>
        <v>56</v>
      </c>
      <c r="P1777" s="2">
        <f>Cleaned[[#This Row],[Net Amount]] *  Cleaned[[#This Row],[FX_rates]]</f>
        <v>-104147.12</v>
      </c>
    </row>
    <row r="1778" spans="1:16" x14ac:dyDescent="0.45">
      <c r="A1778" t="s">
        <v>1786</v>
      </c>
      <c r="B1778" s="1">
        <v>45270</v>
      </c>
      <c r="C1778" s="2" t="s">
        <v>2012</v>
      </c>
      <c r="D1778" t="s">
        <v>2017</v>
      </c>
      <c r="E1778">
        <v>1672.52</v>
      </c>
      <c r="F1778">
        <f>Cleaned[[#This Row],[Debit]] * Cleaned[[#This Row],[FX_rates]]</f>
        <v>147181.76000000001</v>
      </c>
      <c r="G1778">
        <v>0</v>
      </c>
      <c r="H1778">
        <f>Cleaned[[#This Row],[Credit]] *  Cleaned[[#This Row],[FX_rates]]</f>
        <v>0</v>
      </c>
      <c r="I1778" t="s">
        <v>2020</v>
      </c>
      <c r="J1778" t="s">
        <v>2027</v>
      </c>
      <c r="K1778" t="s">
        <v>3807</v>
      </c>
      <c r="L1778" t="s">
        <v>4032</v>
      </c>
      <c r="M1778">
        <f>Cleaned[[#This Row],[Credit]]-Cleaned[[#This Row],[Debit]]</f>
        <v>-1672.52</v>
      </c>
      <c r="N1778" t="str">
        <f>_xlfn.XLOOKUP(Cleaned[[#This Row],[AccountName]], Account_Mapping!A:A, Account_Mapping!B:B,"Unmapped")</f>
        <v>Operating Expense</v>
      </c>
      <c r="O1778" cm="1">
        <f t="array" ref="O1778">_xlfn.XLOOKUP(
  1,
  (FX_Rates[Currency]=Cleaned[[#This Row],[Currency]])*
  (FX_Rates[RateDate]&lt;=Cleaned[[#This Row],[TxnDate]]),
  FX_Rates[Rate_To_INR],
  ,
  -1
)</f>
        <v>88</v>
      </c>
      <c r="P1778" s="2">
        <f>Cleaned[[#This Row],[Net Amount]] *  Cleaned[[#This Row],[FX_rates]]</f>
        <v>-147181.76000000001</v>
      </c>
    </row>
    <row r="1779" spans="1:16" x14ac:dyDescent="0.45">
      <c r="A1779" t="s">
        <v>1787</v>
      </c>
      <c r="B1779" s="1">
        <v>45442</v>
      </c>
      <c r="C1779" s="2" t="s">
        <v>2012</v>
      </c>
      <c r="D1779" t="s">
        <v>2017</v>
      </c>
      <c r="E1779">
        <v>692.89</v>
      </c>
      <c r="F1779">
        <f>Cleaned[[#This Row],[Debit]] * Cleaned[[#This Row],[FX_rates]]</f>
        <v>71367.67</v>
      </c>
      <c r="G1779">
        <v>0</v>
      </c>
      <c r="H1779">
        <f>Cleaned[[#This Row],[Credit]] *  Cleaned[[#This Row],[FX_rates]]</f>
        <v>0</v>
      </c>
      <c r="I1779" t="s">
        <v>2021</v>
      </c>
      <c r="J1779" t="s">
        <v>2028</v>
      </c>
      <c r="K1779" t="s">
        <v>3808</v>
      </c>
      <c r="L1779" t="s">
        <v>4031</v>
      </c>
      <c r="M1779">
        <f>Cleaned[[#This Row],[Credit]]-Cleaned[[#This Row],[Debit]]</f>
        <v>-692.89</v>
      </c>
      <c r="N1779" t="str">
        <f>_xlfn.XLOOKUP(Cleaned[[#This Row],[AccountName]], Account_Mapping!A:A, Account_Mapping!B:B,"Unmapped")</f>
        <v>Operating Expense</v>
      </c>
      <c r="O1779" cm="1">
        <f t="array" ref="O1779">_xlfn.XLOOKUP(
  1,
  (FX_Rates[Currency]=Cleaned[[#This Row],[Currency]])*
  (FX_Rates[RateDate]&lt;=Cleaned[[#This Row],[TxnDate]]),
  FX_Rates[Rate_To_INR],
  ,
  -1
)</f>
        <v>103</v>
      </c>
      <c r="P1779" s="2">
        <f>Cleaned[[#This Row],[Net Amount]] *  Cleaned[[#This Row],[FX_rates]]</f>
        <v>-71367.67</v>
      </c>
    </row>
    <row r="1780" spans="1:16" x14ac:dyDescent="0.45">
      <c r="A1780" t="s">
        <v>1788</v>
      </c>
      <c r="B1780" s="1">
        <v>44997</v>
      </c>
      <c r="C1780" s="2" t="s">
        <v>2013</v>
      </c>
      <c r="D1780" t="s">
        <v>2018</v>
      </c>
      <c r="E1780">
        <v>324.08</v>
      </c>
      <c r="F1780">
        <f>Cleaned[[#This Row],[Debit]] * Cleaned[[#This Row],[FX_rates]]</f>
        <v>19768.879999999997</v>
      </c>
      <c r="G1780">
        <v>0</v>
      </c>
      <c r="H1780">
        <f>Cleaned[[#This Row],[Credit]] *  Cleaned[[#This Row],[FX_rates]]</f>
        <v>0</v>
      </c>
      <c r="I1780" t="s">
        <v>2020</v>
      </c>
      <c r="J1780" t="s">
        <v>2029</v>
      </c>
      <c r="K1780" t="s">
        <v>3809</v>
      </c>
      <c r="L1780" t="s">
        <v>4035</v>
      </c>
      <c r="M1780">
        <f>Cleaned[[#This Row],[Credit]]-Cleaned[[#This Row],[Debit]]</f>
        <v>-324.08</v>
      </c>
      <c r="N1780" t="str">
        <f>_xlfn.XLOOKUP(Cleaned[[#This Row],[AccountName]], Account_Mapping!A:A, Account_Mapping!B:B,"Unmapped")</f>
        <v>Operating Expense</v>
      </c>
      <c r="O1780" cm="1">
        <f t="array" ref="O1780">_xlfn.XLOOKUP(
  1,
  (FX_Rates[Currency]=Cleaned[[#This Row],[Currency]])*
  (FX_Rates[RateDate]&lt;=Cleaned[[#This Row],[TxnDate]]),
  FX_Rates[Rate_To_INR],
  ,
  -1
)</f>
        <v>61</v>
      </c>
      <c r="P1780" s="2">
        <f>Cleaned[[#This Row],[Net Amount]] *  Cleaned[[#This Row],[FX_rates]]</f>
        <v>-19768.879999999997</v>
      </c>
    </row>
    <row r="1781" spans="1:16" x14ac:dyDescent="0.45">
      <c r="A1781" t="s">
        <v>1789</v>
      </c>
      <c r="B1781" s="1">
        <v>45542</v>
      </c>
      <c r="C1781" s="2" t="s">
        <v>2012</v>
      </c>
      <c r="D1781" t="s">
        <v>2017</v>
      </c>
      <c r="E1781">
        <v>1164.05</v>
      </c>
      <c r="F1781">
        <f>Cleaned[[#This Row],[Debit]] * Cleaned[[#This Row],[FX_rates]]</f>
        <v>95452.099999999991</v>
      </c>
      <c r="G1781">
        <v>0</v>
      </c>
      <c r="H1781">
        <f>Cleaned[[#This Row],[Credit]] *  Cleaned[[#This Row],[FX_rates]]</f>
        <v>0</v>
      </c>
      <c r="I1781" t="s">
        <v>2025</v>
      </c>
      <c r="J1781" t="s">
        <v>2026</v>
      </c>
      <c r="K1781" t="s">
        <v>3810</v>
      </c>
      <c r="L1781" t="s">
        <v>4034</v>
      </c>
      <c r="M1781">
        <f>Cleaned[[#This Row],[Credit]]-Cleaned[[#This Row],[Debit]]</f>
        <v>-1164.05</v>
      </c>
      <c r="N1781" t="str">
        <f>_xlfn.XLOOKUP(Cleaned[[#This Row],[AccountName]], Account_Mapping!A:A, Account_Mapping!B:B,"Unmapped")</f>
        <v>Operating Expense</v>
      </c>
      <c r="O1781" cm="1">
        <f t="array" ref="O1781">_xlfn.XLOOKUP(
  1,
  (FX_Rates[Currency]=Cleaned[[#This Row],[Currency]])*
  (FX_Rates[RateDate]&lt;=Cleaned[[#This Row],[TxnDate]]),
  FX_Rates[Rate_To_INR],
  ,
  -1
)</f>
        <v>82</v>
      </c>
      <c r="P1781" s="2">
        <f>Cleaned[[#This Row],[Net Amount]] *  Cleaned[[#This Row],[FX_rates]]</f>
        <v>-95452.099999999991</v>
      </c>
    </row>
    <row r="1782" spans="1:16" x14ac:dyDescent="0.45">
      <c r="A1782" t="s">
        <v>1790</v>
      </c>
      <c r="B1782" s="1">
        <v>45413</v>
      </c>
      <c r="C1782" s="2" t="s">
        <v>2010</v>
      </c>
      <c r="D1782" t="s">
        <v>2015</v>
      </c>
      <c r="E1782">
        <v>0</v>
      </c>
      <c r="F1782">
        <f>Cleaned[[#This Row],[Debit]] * Cleaned[[#This Row],[FX_rates]]</f>
        <v>0</v>
      </c>
      <c r="G1782">
        <v>778.57</v>
      </c>
      <c r="H1782">
        <f>Cleaned[[#This Row],[Credit]] *  Cleaned[[#This Row],[FX_rates]]</f>
        <v>43599.920000000006</v>
      </c>
      <c r="I1782" t="s">
        <v>2023</v>
      </c>
      <c r="J1782" t="s">
        <v>2030</v>
      </c>
      <c r="K1782" t="s">
        <v>3811</v>
      </c>
      <c r="L1782" t="s">
        <v>4033</v>
      </c>
      <c r="M1782">
        <f>Cleaned[[#This Row],[Credit]]-Cleaned[[#This Row],[Debit]]</f>
        <v>778.57</v>
      </c>
      <c r="N1782" t="str">
        <f>_xlfn.XLOOKUP(Cleaned[[#This Row],[AccountName]], Account_Mapping!A:A, Account_Mapping!B:B,"Unmapped")</f>
        <v>Revenue</v>
      </c>
      <c r="O1782" cm="1">
        <f t="array" ref="O1782">_xlfn.XLOOKUP(
  1,
  (FX_Rates[Currency]=Cleaned[[#This Row],[Currency]])*
  (FX_Rates[RateDate]&lt;=Cleaned[[#This Row],[TxnDate]]),
  FX_Rates[Rate_To_INR],
  ,
  -1
)</f>
        <v>56</v>
      </c>
      <c r="P1782" s="2">
        <f>Cleaned[[#This Row],[Net Amount]] *  Cleaned[[#This Row],[FX_rates]]</f>
        <v>43599.920000000006</v>
      </c>
    </row>
    <row r="1783" spans="1:16" x14ac:dyDescent="0.45">
      <c r="A1783" t="s">
        <v>1791</v>
      </c>
      <c r="B1783" s="1">
        <v>45161</v>
      </c>
      <c r="C1783" s="2" t="s">
        <v>2012</v>
      </c>
      <c r="D1783" t="s">
        <v>2017</v>
      </c>
      <c r="E1783">
        <v>670.62</v>
      </c>
      <c r="F1783">
        <f>Cleaned[[#This Row],[Debit]] * Cleaned[[#This Row],[FX_rates]]</f>
        <v>69073.86</v>
      </c>
      <c r="G1783">
        <v>0</v>
      </c>
      <c r="H1783">
        <f>Cleaned[[#This Row],[Credit]] *  Cleaned[[#This Row],[FX_rates]]</f>
        <v>0</v>
      </c>
      <c r="I1783" t="s">
        <v>2021</v>
      </c>
      <c r="J1783" t="s">
        <v>2028</v>
      </c>
      <c r="K1783" t="s">
        <v>3812</v>
      </c>
      <c r="L1783" t="s">
        <v>4031</v>
      </c>
      <c r="M1783">
        <f>Cleaned[[#This Row],[Credit]]-Cleaned[[#This Row],[Debit]]</f>
        <v>-670.62</v>
      </c>
      <c r="N1783" t="str">
        <f>_xlfn.XLOOKUP(Cleaned[[#This Row],[AccountName]], Account_Mapping!A:A, Account_Mapping!B:B,"Unmapped")</f>
        <v>Operating Expense</v>
      </c>
      <c r="O1783" cm="1">
        <f t="array" ref="O1783">_xlfn.XLOOKUP(
  1,
  (FX_Rates[Currency]=Cleaned[[#This Row],[Currency]])*
  (FX_Rates[RateDate]&lt;=Cleaned[[#This Row],[TxnDate]]),
  FX_Rates[Rate_To_INR],
  ,
  -1
)</f>
        <v>103</v>
      </c>
      <c r="P1783" s="2">
        <f>Cleaned[[#This Row],[Net Amount]] *  Cleaned[[#This Row],[FX_rates]]</f>
        <v>-69073.86</v>
      </c>
    </row>
    <row r="1784" spans="1:16" x14ac:dyDescent="0.45">
      <c r="A1784" t="s">
        <v>1792</v>
      </c>
      <c r="B1784" s="1">
        <v>45545</v>
      </c>
      <c r="C1784" s="2" t="s">
        <v>2012</v>
      </c>
      <c r="D1784" t="s">
        <v>2017</v>
      </c>
      <c r="E1784">
        <v>887.17</v>
      </c>
      <c r="F1784">
        <f>Cleaned[[#This Row],[Debit]] * Cleaned[[#This Row],[FX_rates]]</f>
        <v>78070.959999999992</v>
      </c>
      <c r="G1784">
        <v>0</v>
      </c>
      <c r="H1784">
        <f>Cleaned[[#This Row],[Credit]] *  Cleaned[[#This Row],[FX_rates]]</f>
        <v>0</v>
      </c>
      <c r="I1784" t="s">
        <v>2022</v>
      </c>
      <c r="J1784" t="s">
        <v>2026</v>
      </c>
      <c r="K1784" t="s">
        <v>3813</v>
      </c>
      <c r="L1784" t="s">
        <v>4032</v>
      </c>
      <c r="M1784">
        <f>Cleaned[[#This Row],[Credit]]-Cleaned[[#This Row],[Debit]]</f>
        <v>-887.17</v>
      </c>
      <c r="N1784" t="str">
        <f>_xlfn.XLOOKUP(Cleaned[[#This Row],[AccountName]], Account_Mapping!A:A, Account_Mapping!B:B,"Unmapped")</f>
        <v>Operating Expense</v>
      </c>
      <c r="O1784" cm="1">
        <f t="array" ref="O1784">_xlfn.XLOOKUP(
  1,
  (FX_Rates[Currency]=Cleaned[[#This Row],[Currency]])*
  (FX_Rates[RateDate]&lt;=Cleaned[[#This Row],[TxnDate]]),
  FX_Rates[Rate_To_INR],
  ,
  -1
)</f>
        <v>88</v>
      </c>
      <c r="P1784" s="2">
        <f>Cleaned[[#This Row],[Net Amount]] *  Cleaned[[#This Row],[FX_rates]]</f>
        <v>-78070.959999999992</v>
      </c>
    </row>
    <row r="1785" spans="1:16" x14ac:dyDescent="0.45">
      <c r="A1785" t="s">
        <v>1793</v>
      </c>
      <c r="B1785" s="1">
        <v>45365</v>
      </c>
      <c r="C1785" s="2" t="s">
        <v>2013</v>
      </c>
      <c r="D1785" t="s">
        <v>2018</v>
      </c>
      <c r="E1785">
        <v>680.13</v>
      </c>
      <c r="F1785">
        <f>Cleaned[[#This Row],[Debit]] * Cleaned[[#This Row],[FX_rates]]</f>
        <v>38087.279999999999</v>
      </c>
      <c r="G1785">
        <v>0</v>
      </c>
      <c r="H1785">
        <f>Cleaned[[#This Row],[Credit]] *  Cleaned[[#This Row],[FX_rates]]</f>
        <v>0</v>
      </c>
      <c r="I1785" t="s">
        <v>2022</v>
      </c>
      <c r="J1785" t="s">
        <v>2029</v>
      </c>
      <c r="K1785" t="s">
        <v>3814</v>
      </c>
      <c r="L1785" t="s">
        <v>4033</v>
      </c>
      <c r="M1785">
        <f>Cleaned[[#This Row],[Credit]]-Cleaned[[#This Row],[Debit]]</f>
        <v>-680.13</v>
      </c>
      <c r="N1785" t="str">
        <f>_xlfn.XLOOKUP(Cleaned[[#This Row],[AccountName]], Account_Mapping!A:A, Account_Mapping!B:B,"Unmapped")</f>
        <v>Operating Expense</v>
      </c>
      <c r="O1785" cm="1">
        <f t="array" ref="O1785">_xlfn.XLOOKUP(
  1,
  (FX_Rates[Currency]=Cleaned[[#This Row],[Currency]])*
  (FX_Rates[RateDate]&lt;=Cleaned[[#This Row],[TxnDate]]),
  FX_Rates[Rate_To_INR],
  ,
  -1
)</f>
        <v>56</v>
      </c>
      <c r="P1785" s="2">
        <f>Cleaned[[#This Row],[Net Amount]] *  Cleaned[[#This Row],[FX_rates]]</f>
        <v>-38087.279999999999</v>
      </c>
    </row>
    <row r="1786" spans="1:16" x14ac:dyDescent="0.45">
      <c r="A1786" t="s">
        <v>1794</v>
      </c>
      <c r="B1786" s="1">
        <v>45415</v>
      </c>
      <c r="C1786" s="2" t="s">
        <v>2014</v>
      </c>
      <c r="D1786" t="s">
        <v>2019</v>
      </c>
      <c r="E1786">
        <v>0</v>
      </c>
      <c r="F1786">
        <f>Cleaned[[#This Row],[Debit]] * Cleaned[[#This Row],[FX_rates]]</f>
        <v>0</v>
      </c>
      <c r="G1786">
        <v>841.83</v>
      </c>
      <c r="H1786">
        <f>Cleaned[[#This Row],[Credit]] *  Cleaned[[#This Row],[FX_rates]]</f>
        <v>47142.48</v>
      </c>
      <c r="I1786" t="s">
        <v>2020</v>
      </c>
      <c r="J1786" t="s">
        <v>2026</v>
      </c>
      <c r="K1786" t="s">
        <v>3815</v>
      </c>
      <c r="L1786" t="s">
        <v>4033</v>
      </c>
      <c r="M1786">
        <f>Cleaned[[#This Row],[Credit]]-Cleaned[[#This Row],[Debit]]</f>
        <v>841.83</v>
      </c>
      <c r="N1786" t="str">
        <f>_xlfn.XLOOKUP(Cleaned[[#This Row],[AccountName]], Account_Mapping!A:A, Account_Mapping!B:B,"Unmapped")</f>
        <v>Revenue</v>
      </c>
      <c r="O1786" cm="1">
        <f t="array" ref="O1786">_xlfn.XLOOKUP(
  1,
  (FX_Rates[Currency]=Cleaned[[#This Row],[Currency]])*
  (FX_Rates[RateDate]&lt;=Cleaned[[#This Row],[TxnDate]]),
  FX_Rates[Rate_To_INR],
  ,
  -1
)</f>
        <v>56</v>
      </c>
      <c r="P1786" s="2">
        <f>Cleaned[[#This Row],[Net Amount]] *  Cleaned[[#This Row],[FX_rates]]</f>
        <v>47142.48</v>
      </c>
    </row>
    <row r="1787" spans="1:16" x14ac:dyDescent="0.45">
      <c r="A1787" t="s">
        <v>1795</v>
      </c>
      <c r="B1787" s="1">
        <v>45818</v>
      </c>
      <c r="C1787" s="2" t="s">
        <v>2014</v>
      </c>
      <c r="D1787" t="s">
        <v>2019</v>
      </c>
      <c r="E1787">
        <v>0</v>
      </c>
      <c r="F1787">
        <f>Cleaned[[#This Row],[Debit]] * Cleaned[[#This Row],[FX_rates]]</f>
        <v>0</v>
      </c>
      <c r="G1787">
        <v>302.97000000000003</v>
      </c>
      <c r="H1787">
        <f>Cleaned[[#This Row],[Credit]] *  Cleaned[[#This Row],[FX_rates]]</f>
        <v>24843.54</v>
      </c>
      <c r="I1787" t="s">
        <v>2022</v>
      </c>
      <c r="J1787" t="s">
        <v>2027</v>
      </c>
      <c r="K1787" t="s">
        <v>3816</v>
      </c>
      <c r="L1787" t="s">
        <v>4034</v>
      </c>
      <c r="M1787">
        <f>Cleaned[[#This Row],[Credit]]-Cleaned[[#This Row],[Debit]]</f>
        <v>302.97000000000003</v>
      </c>
      <c r="N1787" t="str">
        <f>_xlfn.XLOOKUP(Cleaned[[#This Row],[AccountName]], Account_Mapping!A:A, Account_Mapping!B:B,"Unmapped")</f>
        <v>Revenue</v>
      </c>
      <c r="O1787" cm="1">
        <f t="array" ref="O1787">_xlfn.XLOOKUP(
  1,
  (FX_Rates[Currency]=Cleaned[[#This Row],[Currency]])*
  (FX_Rates[RateDate]&lt;=Cleaned[[#This Row],[TxnDate]]),
  FX_Rates[Rate_To_INR],
  ,
  -1
)</f>
        <v>82</v>
      </c>
      <c r="P1787" s="2">
        <f>Cleaned[[#This Row],[Net Amount]] *  Cleaned[[#This Row],[FX_rates]]</f>
        <v>24843.54</v>
      </c>
    </row>
    <row r="1788" spans="1:16" x14ac:dyDescent="0.45">
      <c r="A1788" t="s">
        <v>1796</v>
      </c>
      <c r="B1788" s="1">
        <v>45648</v>
      </c>
      <c r="C1788" s="2" t="s">
        <v>2011</v>
      </c>
      <c r="D1788" t="s">
        <v>2016</v>
      </c>
      <c r="E1788">
        <v>80.23</v>
      </c>
      <c r="F1788">
        <f>Cleaned[[#This Row],[Debit]] * Cleaned[[#This Row],[FX_rates]]</f>
        <v>4894.0300000000007</v>
      </c>
      <c r="G1788">
        <v>0</v>
      </c>
      <c r="H1788">
        <f>Cleaned[[#This Row],[Credit]] *  Cleaned[[#This Row],[FX_rates]]</f>
        <v>0</v>
      </c>
      <c r="I1788" t="s">
        <v>2021</v>
      </c>
      <c r="J1788" t="s">
        <v>2029</v>
      </c>
      <c r="K1788" t="s">
        <v>3817</v>
      </c>
      <c r="L1788" t="s">
        <v>4035</v>
      </c>
      <c r="M1788">
        <f>Cleaned[[#This Row],[Credit]]-Cleaned[[#This Row],[Debit]]</f>
        <v>-80.23</v>
      </c>
      <c r="N1788" t="str">
        <f>_xlfn.XLOOKUP(Cleaned[[#This Row],[AccountName]], Account_Mapping!A:A, Account_Mapping!B:B,"Unmapped")</f>
        <v>COGS</v>
      </c>
      <c r="O1788" cm="1">
        <f t="array" ref="O1788">_xlfn.XLOOKUP(
  1,
  (FX_Rates[Currency]=Cleaned[[#This Row],[Currency]])*
  (FX_Rates[RateDate]&lt;=Cleaned[[#This Row],[TxnDate]]),
  FX_Rates[Rate_To_INR],
  ,
  -1
)</f>
        <v>61</v>
      </c>
      <c r="P1788" s="2">
        <f>Cleaned[[#This Row],[Net Amount]] *  Cleaned[[#This Row],[FX_rates]]</f>
        <v>-4894.0300000000007</v>
      </c>
    </row>
    <row r="1789" spans="1:16" x14ac:dyDescent="0.45">
      <c r="A1789" t="s">
        <v>1797</v>
      </c>
      <c r="B1789" s="1">
        <v>45385</v>
      </c>
      <c r="C1789" s="2" t="s">
        <v>2011</v>
      </c>
      <c r="D1789" t="s">
        <v>2016</v>
      </c>
      <c r="E1789">
        <v>338.61</v>
      </c>
      <c r="F1789">
        <f>Cleaned[[#This Row],[Debit]] * Cleaned[[#This Row],[FX_rates]]</f>
        <v>27766.02</v>
      </c>
      <c r="G1789">
        <v>0</v>
      </c>
      <c r="H1789">
        <f>Cleaned[[#This Row],[Credit]] *  Cleaned[[#This Row],[FX_rates]]</f>
        <v>0</v>
      </c>
      <c r="I1789" t="s">
        <v>2024</v>
      </c>
      <c r="J1789" t="s">
        <v>2028</v>
      </c>
      <c r="K1789" t="s">
        <v>3818</v>
      </c>
      <c r="L1789" t="s">
        <v>4034</v>
      </c>
      <c r="M1789">
        <f>Cleaned[[#This Row],[Credit]]-Cleaned[[#This Row],[Debit]]</f>
        <v>-338.61</v>
      </c>
      <c r="N1789" t="str">
        <f>_xlfn.XLOOKUP(Cleaned[[#This Row],[AccountName]], Account_Mapping!A:A, Account_Mapping!B:B,"Unmapped")</f>
        <v>COGS</v>
      </c>
      <c r="O1789" cm="1">
        <f t="array" ref="O1789">_xlfn.XLOOKUP(
  1,
  (FX_Rates[Currency]=Cleaned[[#This Row],[Currency]])*
  (FX_Rates[RateDate]&lt;=Cleaned[[#This Row],[TxnDate]]),
  FX_Rates[Rate_To_INR],
  ,
  -1
)</f>
        <v>82</v>
      </c>
      <c r="P1789" s="2">
        <f>Cleaned[[#This Row],[Net Amount]] *  Cleaned[[#This Row],[FX_rates]]</f>
        <v>-27766.02</v>
      </c>
    </row>
    <row r="1790" spans="1:16" x14ac:dyDescent="0.45">
      <c r="A1790" t="s">
        <v>1798</v>
      </c>
      <c r="B1790" s="1">
        <v>45014</v>
      </c>
      <c r="C1790" s="2" t="s">
        <v>2011</v>
      </c>
      <c r="D1790" t="s">
        <v>2016</v>
      </c>
      <c r="E1790">
        <v>1098.3699999999999</v>
      </c>
      <c r="F1790">
        <f>Cleaned[[#This Row],[Debit]] * Cleaned[[#This Row],[FX_rates]]</f>
        <v>90066.34</v>
      </c>
      <c r="G1790">
        <v>0</v>
      </c>
      <c r="H1790">
        <f>Cleaned[[#This Row],[Credit]] *  Cleaned[[#This Row],[FX_rates]]</f>
        <v>0</v>
      </c>
      <c r="I1790" t="s">
        <v>2024</v>
      </c>
      <c r="J1790" t="s">
        <v>2030</v>
      </c>
      <c r="K1790" t="s">
        <v>3819</v>
      </c>
      <c r="L1790" t="s">
        <v>4034</v>
      </c>
      <c r="M1790">
        <f>Cleaned[[#This Row],[Credit]]-Cleaned[[#This Row],[Debit]]</f>
        <v>-1098.3699999999999</v>
      </c>
      <c r="N1790" t="str">
        <f>_xlfn.XLOOKUP(Cleaned[[#This Row],[AccountName]], Account_Mapping!A:A, Account_Mapping!B:B,"Unmapped")</f>
        <v>COGS</v>
      </c>
      <c r="O1790" cm="1">
        <f t="array" ref="O1790">_xlfn.XLOOKUP(
  1,
  (FX_Rates[Currency]=Cleaned[[#This Row],[Currency]])*
  (FX_Rates[RateDate]&lt;=Cleaned[[#This Row],[TxnDate]]),
  FX_Rates[Rate_To_INR],
  ,
  -1
)</f>
        <v>82</v>
      </c>
      <c r="P1790" s="2">
        <f>Cleaned[[#This Row],[Net Amount]] *  Cleaned[[#This Row],[FX_rates]]</f>
        <v>-90066.34</v>
      </c>
    </row>
    <row r="1791" spans="1:16" x14ac:dyDescent="0.45">
      <c r="A1791" t="s">
        <v>1799</v>
      </c>
      <c r="B1791" s="1">
        <v>45818</v>
      </c>
      <c r="C1791" s="2" t="s">
        <v>2010</v>
      </c>
      <c r="D1791" t="s">
        <v>2015</v>
      </c>
      <c r="E1791">
        <v>0</v>
      </c>
      <c r="F1791">
        <f>Cleaned[[#This Row],[Debit]] * Cleaned[[#This Row],[FX_rates]]</f>
        <v>0</v>
      </c>
      <c r="G1791">
        <v>2290.62</v>
      </c>
      <c r="H1791">
        <f>Cleaned[[#This Row],[Credit]] *  Cleaned[[#This Row],[FX_rates]]</f>
        <v>139727.82</v>
      </c>
      <c r="I1791" t="s">
        <v>2020</v>
      </c>
      <c r="J1791" t="s">
        <v>2029</v>
      </c>
      <c r="K1791" t="s">
        <v>3820</v>
      </c>
      <c r="L1791" t="s">
        <v>4035</v>
      </c>
      <c r="M1791">
        <f>Cleaned[[#This Row],[Credit]]-Cleaned[[#This Row],[Debit]]</f>
        <v>2290.62</v>
      </c>
      <c r="N1791" t="str">
        <f>_xlfn.XLOOKUP(Cleaned[[#This Row],[AccountName]], Account_Mapping!A:A, Account_Mapping!B:B,"Unmapped")</f>
        <v>Revenue</v>
      </c>
      <c r="O1791" cm="1">
        <f t="array" ref="O1791">_xlfn.XLOOKUP(
  1,
  (FX_Rates[Currency]=Cleaned[[#This Row],[Currency]])*
  (FX_Rates[RateDate]&lt;=Cleaned[[#This Row],[TxnDate]]),
  FX_Rates[Rate_To_INR],
  ,
  -1
)</f>
        <v>61</v>
      </c>
      <c r="P1791" s="2">
        <f>Cleaned[[#This Row],[Net Amount]] *  Cleaned[[#This Row],[FX_rates]]</f>
        <v>139727.82</v>
      </c>
    </row>
    <row r="1792" spans="1:16" x14ac:dyDescent="0.45">
      <c r="A1792" t="s">
        <v>1800</v>
      </c>
      <c r="B1792" s="1">
        <v>45150</v>
      </c>
      <c r="C1792" s="2" t="s">
        <v>2013</v>
      </c>
      <c r="D1792" t="s">
        <v>2018</v>
      </c>
      <c r="E1792">
        <v>1294.49</v>
      </c>
      <c r="F1792">
        <f>Cleaned[[#This Row],[Debit]] * Cleaned[[#This Row],[FX_rates]]</f>
        <v>78963.89</v>
      </c>
      <c r="G1792">
        <v>0</v>
      </c>
      <c r="H1792">
        <f>Cleaned[[#This Row],[Credit]] *  Cleaned[[#This Row],[FX_rates]]</f>
        <v>0</v>
      </c>
      <c r="I1792" t="s">
        <v>2021</v>
      </c>
      <c r="J1792" t="s">
        <v>2030</v>
      </c>
      <c r="K1792" t="s">
        <v>3821</v>
      </c>
      <c r="L1792" t="s">
        <v>4035</v>
      </c>
      <c r="M1792">
        <f>Cleaned[[#This Row],[Credit]]-Cleaned[[#This Row],[Debit]]</f>
        <v>-1294.49</v>
      </c>
      <c r="N1792" t="str">
        <f>_xlfn.XLOOKUP(Cleaned[[#This Row],[AccountName]], Account_Mapping!A:A, Account_Mapping!B:B,"Unmapped")</f>
        <v>Operating Expense</v>
      </c>
      <c r="O1792" cm="1">
        <f t="array" ref="O1792">_xlfn.XLOOKUP(
  1,
  (FX_Rates[Currency]=Cleaned[[#This Row],[Currency]])*
  (FX_Rates[RateDate]&lt;=Cleaned[[#This Row],[TxnDate]]),
  FX_Rates[Rate_To_INR],
  ,
  -1
)</f>
        <v>61</v>
      </c>
      <c r="P1792" s="2">
        <f>Cleaned[[#This Row],[Net Amount]] *  Cleaned[[#This Row],[FX_rates]]</f>
        <v>-78963.89</v>
      </c>
    </row>
    <row r="1793" spans="1:16" x14ac:dyDescent="0.45">
      <c r="A1793" t="s">
        <v>1801</v>
      </c>
      <c r="B1793" s="1">
        <v>45729</v>
      </c>
      <c r="C1793" s="2" t="s">
        <v>2013</v>
      </c>
      <c r="D1793" t="s">
        <v>2018</v>
      </c>
      <c r="E1793">
        <v>877.51</v>
      </c>
      <c r="F1793">
        <f>Cleaned[[#This Row],[Debit]] * Cleaned[[#This Row],[FX_rates]]</f>
        <v>53528.11</v>
      </c>
      <c r="G1793">
        <v>0</v>
      </c>
      <c r="H1793">
        <f>Cleaned[[#This Row],[Credit]] *  Cleaned[[#This Row],[FX_rates]]</f>
        <v>0</v>
      </c>
      <c r="I1793" t="s">
        <v>2024</v>
      </c>
      <c r="J1793" t="s">
        <v>2030</v>
      </c>
      <c r="K1793" t="s">
        <v>3822</v>
      </c>
      <c r="L1793" t="s">
        <v>4035</v>
      </c>
      <c r="M1793">
        <f>Cleaned[[#This Row],[Credit]]-Cleaned[[#This Row],[Debit]]</f>
        <v>-877.51</v>
      </c>
      <c r="N1793" t="str">
        <f>_xlfn.XLOOKUP(Cleaned[[#This Row],[AccountName]], Account_Mapping!A:A, Account_Mapping!B:B,"Unmapped")</f>
        <v>Operating Expense</v>
      </c>
      <c r="O1793" cm="1">
        <f t="array" ref="O1793">_xlfn.XLOOKUP(
  1,
  (FX_Rates[Currency]=Cleaned[[#This Row],[Currency]])*
  (FX_Rates[RateDate]&lt;=Cleaned[[#This Row],[TxnDate]]),
  FX_Rates[Rate_To_INR],
  ,
  -1
)</f>
        <v>61</v>
      </c>
      <c r="P1793" s="2">
        <f>Cleaned[[#This Row],[Net Amount]] *  Cleaned[[#This Row],[FX_rates]]</f>
        <v>-53528.11</v>
      </c>
    </row>
    <row r="1794" spans="1:16" x14ac:dyDescent="0.45">
      <c r="A1794" t="s">
        <v>1802</v>
      </c>
      <c r="B1794" s="1">
        <v>45624</v>
      </c>
      <c r="C1794" s="2" t="s">
        <v>2010</v>
      </c>
      <c r="D1794" t="s">
        <v>2015</v>
      </c>
      <c r="E1794">
        <v>0</v>
      </c>
      <c r="F1794">
        <f>Cleaned[[#This Row],[Debit]] * Cleaned[[#This Row],[FX_rates]]</f>
        <v>0</v>
      </c>
      <c r="G1794">
        <v>2987.63</v>
      </c>
      <c r="H1794">
        <f>Cleaned[[#This Row],[Credit]] *  Cleaned[[#This Row],[FX_rates]]</f>
        <v>262911.44</v>
      </c>
      <c r="I1794" t="s">
        <v>2021</v>
      </c>
      <c r="J1794" t="s">
        <v>2028</v>
      </c>
      <c r="K1794" t="s">
        <v>3823</v>
      </c>
      <c r="L1794" t="s">
        <v>4032</v>
      </c>
      <c r="M1794">
        <f>Cleaned[[#This Row],[Credit]]-Cleaned[[#This Row],[Debit]]</f>
        <v>2987.63</v>
      </c>
      <c r="N1794" t="str">
        <f>_xlfn.XLOOKUP(Cleaned[[#This Row],[AccountName]], Account_Mapping!A:A, Account_Mapping!B:B,"Unmapped")</f>
        <v>Revenue</v>
      </c>
      <c r="O1794" cm="1">
        <f t="array" ref="O1794">_xlfn.XLOOKUP(
  1,
  (FX_Rates[Currency]=Cleaned[[#This Row],[Currency]])*
  (FX_Rates[RateDate]&lt;=Cleaned[[#This Row],[TxnDate]]),
  FX_Rates[Rate_To_INR],
  ,
  -1
)</f>
        <v>88</v>
      </c>
      <c r="P1794" s="2">
        <f>Cleaned[[#This Row],[Net Amount]] *  Cleaned[[#This Row],[FX_rates]]</f>
        <v>262911.44</v>
      </c>
    </row>
    <row r="1795" spans="1:16" x14ac:dyDescent="0.45">
      <c r="A1795" t="s">
        <v>1803</v>
      </c>
      <c r="B1795" s="1">
        <v>45322</v>
      </c>
      <c r="C1795" s="2" t="s">
        <v>2011</v>
      </c>
      <c r="D1795" t="s">
        <v>2016</v>
      </c>
      <c r="E1795">
        <v>1925.26</v>
      </c>
      <c r="F1795">
        <f>Cleaned[[#This Row],[Debit]] * Cleaned[[#This Row],[FX_rates]]</f>
        <v>198301.78</v>
      </c>
      <c r="G1795">
        <v>0</v>
      </c>
      <c r="H1795">
        <f>Cleaned[[#This Row],[Credit]] *  Cleaned[[#This Row],[FX_rates]]</f>
        <v>0</v>
      </c>
      <c r="I1795" t="s">
        <v>2024</v>
      </c>
      <c r="J1795" t="s">
        <v>2027</v>
      </c>
      <c r="K1795" t="s">
        <v>3824</v>
      </c>
      <c r="L1795" t="s">
        <v>4031</v>
      </c>
      <c r="M1795">
        <f>Cleaned[[#This Row],[Credit]]-Cleaned[[#This Row],[Debit]]</f>
        <v>-1925.26</v>
      </c>
      <c r="N1795" t="str">
        <f>_xlfn.XLOOKUP(Cleaned[[#This Row],[AccountName]], Account_Mapping!A:A, Account_Mapping!B:B,"Unmapped")</f>
        <v>COGS</v>
      </c>
      <c r="O1795" cm="1">
        <f t="array" ref="O1795">_xlfn.XLOOKUP(
  1,
  (FX_Rates[Currency]=Cleaned[[#This Row],[Currency]])*
  (FX_Rates[RateDate]&lt;=Cleaned[[#This Row],[TxnDate]]),
  FX_Rates[Rate_To_INR],
  ,
  -1
)</f>
        <v>103</v>
      </c>
      <c r="P1795" s="2">
        <f>Cleaned[[#This Row],[Net Amount]] *  Cleaned[[#This Row],[FX_rates]]</f>
        <v>-198301.78</v>
      </c>
    </row>
    <row r="1796" spans="1:16" x14ac:dyDescent="0.45">
      <c r="A1796" t="s">
        <v>1804</v>
      </c>
      <c r="B1796" s="1">
        <v>45358</v>
      </c>
      <c r="C1796" s="2" t="s">
        <v>2010</v>
      </c>
      <c r="D1796" t="s">
        <v>2015</v>
      </c>
      <c r="E1796">
        <v>0</v>
      </c>
      <c r="F1796">
        <f>Cleaned[[#This Row],[Debit]] * Cleaned[[#This Row],[FX_rates]]</f>
        <v>0</v>
      </c>
      <c r="G1796">
        <v>1216.3499999999999</v>
      </c>
      <c r="H1796">
        <f>Cleaned[[#This Row],[Credit]] *  Cleaned[[#This Row],[FX_rates]]</f>
        <v>74197.349999999991</v>
      </c>
      <c r="I1796" t="s">
        <v>2024</v>
      </c>
      <c r="J1796" t="s">
        <v>2029</v>
      </c>
      <c r="K1796" t="s">
        <v>3825</v>
      </c>
      <c r="L1796" t="s">
        <v>4035</v>
      </c>
      <c r="M1796">
        <f>Cleaned[[#This Row],[Credit]]-Cleaned[[#This Row],[Debit]]</f>
        <v>1216.3499999999999</v>
      </c>
      <c r="N1796" t="str">
        <f>_xlfn.XLOOKUP(Cleaned[[#This Row],[AccountName]], Account_Mapping!A:A, Account_Mapping!B:B,"Unmapped")</f>
        <v>Revenue</v>
      </c>
      <c r="O1796" cm="1">
        <f t="array" ref="O1796">_xlfn.XLOOKUP(
  1,
  (FX_Rates[Currency]=Cleaned[[#This Row],[Currency]])*
  (FX_Rates[RateDate]&lt;=Cleaned[[#This Row],[TxnDate]]),
  FX_Rates[Rate_To_INR],
  ,
  -1
)</f>
        <v>61</v>
      </c>
      <c r="P1796" s="2">
        <f>Cleaned[[#This Row],[Net Amount]] *  Cleaned[[#This Row],[FX_rates]]</f>
        <v>74197.349999999991</v>
      </c>
    </row>
    <row r="1797" spans="1:16" x14ac:dyDescent="0.45">
      <c r="A1797" t="s">
        <v>1805</v>
      </c>
      <c r="B1797" s="1">
        <v>45756</v>
      </c>
      <c r="C1797" s="2" t="s">
        <v>2013</v>
      </c>
      <c r="D1797" t="s">
        <v>2018</v>
      </c>
      <c r="E1797">
        <v>1553.28</v>
      </c>
      <c r="F1797">
        <f>Cleaned[[#This Row],[Debit]] * Cleaned[[#This Row],[FX_rates]]</f>
        <v>127368.95999999999</v>
      </c>
      <c r="G1797">
        <v>0</v>
      </c>
      <c r="H1797">
        <f>Cleaned[[#This Row],[Credit]] *  Cleaned[[#This Row],[FX_rates]]</f>
        <v>0</v>
      </c>
      <c r="I1797" t="s">
        <v>2023</v>
      </c>
      <c r="J1797" t="s">
        <v>2027</v>
      </c>
      <c r="K1797" t="s">
        <v>3826</v>
      </c>
      <c r="L1797" t="s">
        <v>4034</v>
      </c>
      <c r="M1797">
        <f>Cleaned[[#This Row],[Credit]]-Cleaned[[#This Row],[Debit]]</f>
        <v>-1553.28</v>
      </c>
      <c r="N1797" t="str">
        <f>_xlfn.XLOOKUP(Cleaned[[#This Row],[AccountName]], Account_Mapping!A:A, Account_Mapping!B:B,"Unmapped")</f>
        <v>Operating Expense</v>
      </c>
      <c r="O1797" cm="1">
        <f t="array" ref="O1797">_xlfn.XLOOKUP(
  1,
  (FX_Rates[Currency]=Cleaned[[#This Row],[Currency]])*
  (FX_Rates[RateDate]&lt;=Cleaned[[#This Row],[TxnDate]]),
  FX_Rates[Rate_To_INR],
  ,
  -1
)</f>
        <v>82</v>
      </c>
      <c r="P1797" s="2">
        <f>Cleaned[[#This Row],[Net Amount]] *  Cleaned[[#This Row],[FX_rates]]</f>
        <v>-127368.95999999999</v>
      </c>
    </row>
    <row r="1798" spans="1:16" x14ac:dyDescent="0.45">
      <c r="A1798" t="s">
        <v>1806</v>
      </c>
      <c r="B1798" s="1">
        <v>45494</v>
      </c>
      <c r="C1798" s="2" t="s">
        <v>2010</v>
      </c>
      <c r="D1798" t="s">
        <v>2015</v>
      </c>
      <c r="E1798">
        <v>0</v>
      </c>
      <c r="F1798">
        <f>Cleaned[[#This Row],[Debit]] * Cleaned[[#This Row],[FX_rates]]</f>
        <v>0</v>
      </c>
      <c r="G1798">
        <v>1122.51</v>
      </c>
      <c r="H1798">
        <f>Cleaned[[#This Row],[Credit]] *  Cleaned[[#This Row],[FX_rates]]</f>
        <v>92045.819999999992</v>
      </c>
      <c r="I1798" t="s">
        <v>2023</v>
      </c>
      <c r="J1798" t="s">
        <v>2030</v>
      </c>
      <c r="K1798" t="s">
        <v>3827</v>
      </c>
      <c r="L1798" t="s">
        <v>4034</v>
      </c>
      <c r="M1798">
        <f>Cleaned[[#This Row],[Credit]]-Cleaned[[#This Row],[Debit]]</f>
        <v>1122.51</v>
      </c>
      <c r="N1798" t="str">
        <f>_xlfn.XLOOKUP(Cleaned[[#This Row],[AccountName]], Account_Mapping!A:A, Account_Mapping!B:B,"Unmapped")</f>
        <v>Revenue</v>
      </c>
      <c r="O1798" cm="1">
        <f t="array" ref="O1798">_xlfn.XLOOKUP(
  1,
  (FX_Rates[Currency]=Cleaned[[#This Row],[Currency]])*
  (FX_Rates[RateDate]&lt;=Cleaned[[#This Row],[TxnDate]]),
  FX_Rates[Rate_To_INR],
  ,
  -1
)</f>
        <v>82</v>
      </c>
      <c r="P1798" s="2">
        <f>Cleaned[[#This Row],[Net Amount]] *  Cleaned[[#This Row],[FX_rates]]</f>
        <v>92045.819999999992</v>
      </c>
    </row>
    <row r="1799" spans="1:16" x14ac:dyDescent="0.45">
      <c r="A1799" t="s">
        <v>1807</v>
      </c>
      <c r="B1799" s="1">
        <v>44969</v>
      </c>
      <c r="C1799" s="2" t="s">
        <v>2012</v>
      </c>
      <c r="D1799" t="s">
        <v>2017</v>
      </c>
      <c r="E1799">
        <v>1893.28</v>
      </c>
      <c r="F1799">
        <f>Cleaned[[#This Row],[Debit]] * Cleaned[[#This Row],[FX_rates]]</f>
        <v>106023.67999999999</v>
      </c>
      <c r="G1799">
        <v>0</v>
      </c>
      <c r="H1799">
        <f>Cleaned[[#This Row],[Credit]] *  Cleaned[[#This Row],[FX_rates]]</f>
        <v>0</v>
      </c>
      <c r="I1799" t="s">
        <v>2023</v>
      </c>
      <c r="J1799" t="s">
        <v>2028</v>
      </c>
      <c r="K1799" t="s">
        <v>3828</v>
      </c>
      <c r="L1799" t="s">
        <v>4033</v>
      </c>
      <c r="M1799">
        <f>Cleaned[[#This Row],[Credit]]-Cleaned[[#This Row],[Debit]]</f>
        <v>-1893.28</v>
      </c>
      <c r="N1799" t="str">
        <f>_xlfn.XLOOKUP(Cleaned[[#This Row],[AccountName]], Account_Mapping!A:A, Account_Mapping!B:B,"Unmapped")</f>
        <v>Operating Expense</v>
      </c>
      <c r="O1799" cm="1">
        <f t="array" ref="O1799">_xlfn.XLOOKUP(
  1,
  (FX_Rates[Currency]=Cleaned[[#This Row],[Currency]])*
  (FX_Rates[RateDate]&lt;=Cleaned[[#This Row],[TxnDate]]),
  FX_Rates[Rate_To_INR],
  ,
  -1
)</f>
        <v>56</v>
      </c>
      <c r="P1799" s="2">
        <f>Cleaned[[#This Row],[Net Amount]] *  Cleaned[[#This Row],[FX_rates]]</f>
        <v>-106023.67999999999</v>
      </c>
    </row>
    <row r="1800" spans="1:16" x14ac:dyDescent="0.45">
      <c r="A1800" t="s">
        <v>1808</v>
      </c>
      <c r="B1800" s="1">
        <v>45551</v>
      </c>
      <c r="C1800" s="2" t="s">
        <v>2011</v>
      </c>
      <c r="D1800" t="s">
        <v>2016</v>
      </c>
      <c r="E1800">
        <v>1667.55</v>
      </c>
      <c r="F1800">
        <f>Cleaned[[#This Row],[Debit]] * Cleaned[[#This Row],[FX_rates]]</f>
        <v>146744.4</v>
      </c>
      <c r="G1800">
        <v>0</v>
      </c>
      <c r="H1800">
        <f>Cleaned[[#This Row],[Credit]] *  Cleaned[[#This Row],[FX_rates]]</f>
        <v>0</v>
      </c>
      <c r="I1800" t="s">
        <v>2021</v>
      </c>
      <c r="J1800" t="s">
        <v>2026</v>
      </c>
      <c r="K1800" t="s">
        <v>3829</v>
      </c>
      <c r="L1800" t="s">
        <v>4032</v>
      </c>
      <c r="M1800">
        <f>Cleaned[[#This Row],[Credit]]-Cleaned[[#This Row],[Debit]]</f>
        <v>-1667.55</v>
      </c>
      <c r="N1800" t="str">
        <f>_xlfn.XLOOKUP(Cleaned[[#This Row],[AccountName]], Account_Mapping!A:A, Account_Mapping!B:B,"Unmapped")</f>
        <v>COGS</v>
      </c>
      <c r="O1800" cm="1">
        <f t="array" ref="O1800">_xlfn.XLOOKUP(
  1,
  (FX_Rates[Currency]=Cleaned[[#This Row],[Currency]])*
  (FX_Rates[RateDate]&lt;=Cleaned[[#This Row],[TxnDate]]),
  FX_Rates[Rate_To_INR],
  ,
  -1
)</f>
        <v>88</v>
      </c>
      <c r="P1800" s="2">
        <f>Cleaned[[#This Row],[Net Amount]] *  Cleaned[[#This Row],[FX_rates]]</f>
        <v>-146744.4</v>
      </c>
    </row>
    <row r="1801" spans="1:16" x14ac:dyDescent="0.45">
      <c r="A1801" t="s">
        <v>1809</v>
      </c>
      <c r="B1801" s="1">
        <v>45280</v>
      </c>
      <c r="C1801" s="2" t="s">
        <v>2011</v>
      </c>
      <c r="D1801" t="s">
        <v>2016</v>
      </c>
      <c r="E1801">
        <v>1448.96</v>
      </c>
      <c r="F1801">
        <f>Cleaned[[#This Row],[Debit]] * Cleaned[[#This Row],[FX_rates]]</f>
        <v>118814.72</v>
      </c>
      <c r="G1801">
        <v>0</v>
      </c>
      <c r="H1801">
        <f>Cleaned[[#This Row],[Credit]] *  Cleaned[[#This Row],[FX_rates]]</f>
        <v>0</v>
      </c>
      <c r="I1801" t="s">
        <v>2020</v>
      </c>
      <c r="J1801" t="s">
        <v>2030</v>
      </c>
      <c r="K1801" t="s">
        <v>3830</v>
      </c>
      <c r="L1801" t="s">
        <v>4034</v>
      </c>
      <c r="M1801">
        <f>Cleaned[[#This Row],[Credit]]-Cleaned[[#This Row],[Debit]]</f>
        <v>-1448.96</v>
      </c>
      <c r="N1801" t="str">
        <f>_xlfn.XLOOKUP(Cleaned[[#This Row],[AccountName]], Account_Mapping!A:A, Account_Mapping!B:B,"Unmapped")</f>
        <v>COGS</v>
      </c>
      <c r="O1801" cm="1">
        <f t="array" ref="O1801">_xlfn.XLOOKUP(
  1,
  (FX_Rates[Currency]=Cleaned[[#This Row],[Currency]])*
  (FX_Rates[RateDate]&lt;=Cleaned[[#This Row],[TxnDate]]),
  FX_Rates[Rate_To_INR],
  ,
  -1
)</f>
        <v>82</v>
      </c>
      <c r="P1801" s="2">
        <f>Cleaned[[#This Row],[Net Amount]] *  Cleaned[[#This Row],[FX_rates]]</f>
        <v>-118814.72</v>
      </c>
    </row>
    <row r="1802" spans="1:16" x14ac:dyDescent="0.45">
      <c r="A1802" t="s">
        <v>1810</v>
      </c>
      <c r="B1802" s="1">
        <v>45318</v>
      </c>
      <c r="C1802" s="2" t="s">
        <v>2013</v>
      </c>
      <c r="D1802" t="s">
        <v>2018</v>
      </c>
      <c r="E1802">
        <v>292.83999999999997</v>
      </c>
      <c r="F1802">
        <f>Cleaned[[#This Row],[Debit]] * Cleaned[[#This Row],[FX_rates]]</f>
        <v>24012.879999999997</v>
      </c>
      <c r="G1802">
        <v>0</v>
      </c>
      <c r="H1802">
        <f>Cleaned[[#This Row],[Credit]] *  Cleaned[[#This Row],[FX_rates]]</f>
        <v>0</v>
      </c>
      <c r="I1802" t="s">
        <v>2023</v>
      </c>
      <c r="J1802" t="s">
        <v>2029</v>
      </c>
      <c r="K1802" t="s">
        <v>3831</v>
      </c>
      <c r="L1802" t="s">
        <v>4034</v>
      </c>
      <c r="M1802">
        <f>Cleaned[[#This Row],[Credit]]-Cleaned[[#This Row],[Debit]]</f>
        <v>-292.83999999999997</v>
      </c>
      <c r="N1802" t="str">
        <f>_xlfn.XLOOKUP(Cleaned[[#This Row],[AccountName]], Account_Mapping!A:A, Account_Mapping!B:B,"Unmapped")</f>
        <v>Operating Expense</v>
      </c>
      <c r="O1802" cm="1">
        <f t="array" ref="O1802">_xlfn.XLOOKUP(
  1,
  (FX_Rates[Currency]=Cleaned[[#This Row],[Currency]])*
  (FX_Rates[RateDate]&lt;=Cleaned[[#This Row],[TxnDate]]),
  FX_Rates[Rate_To_INR],
  ,
  -1
)</f>
        <v>82</v>
      </c>
      <c r="P1802" s="2">
        <f>Cleaned[[#This Row],[Net Amount]] *  Cleaned[[#This Row],[FX_rates]]</f>
        <v>-24012.879999999997</v>
      </c>
    </row>
    <row r="1803" spans="1:16" x14ac:dyDescent="0.45">
      <c r="A1803" t="s">
        <v>1811</v>
      </c>
      <c r="B1803" s="1">
        <v>45245</v>
      </c>
      <c r="C1803" s="2" t="s">
        <v>2011</v>
      </c>
      <c r="D1803" t="s">
        <v>2016</v>
      </c>
      <c r="E1803">
        <v>1746.92</v>
      </c>
      <c r="F1803">
        <f>Cleaned[[#This Row],[Debit]] * Cleaned[[#This Row],[FX_rates]]</f>
        <v>143247.44</v>
      </c>
      <c r="G1803">
        <v>0</v>
      </c>
      <c r="H1803">
        <f>Cleaned[[#This Row],[Credit]] *  Cleaned[[#This Row],[FX_rates]]</f>
        <v>0</v>
      </c>
      <c r="I1803" t="s">
        <v>2022</v>
      </c>
      <c r="J1803" t="s">
        <v>2027</v>
      </c>
      <c r="K1803" t="s">
        <v>3832</v>
      </c>
      <c r="L1803" t="s">
        <v>4034</v>
      </c>
      <c r="M1803">
        <f>Cleaned[[#This Row],[Credit]]-Cleaned[[#This Row],[Debit]]</f>
        <v>-1746.92</v>
      </c>
      <c r="N1803" t="str">
        <f>_xlfn.XLOOKUP(Cleaned[[#This Row],[AccountName]], Account_Mapping!A:A, Account_Mapping!B:B,"Unmapped")</f>
        <v>COGS</v>
      </c>
      <c r="O1803" cm="1">
        <f t="array" ref="O1803">_xlfn.XLOOKUP(
  1,
  (FX_Rates[Currency]=Cleaned[[#This Row],[Currency]])*
  (FX_Rates[RateDate]&lt;=Cleaned[[#This Row],[TxnDate]]),
  FX_Rates[Rate_To_INR],
  ,
  -1
)</f>
        <v>82</v>
      </c>
      <c r="P1803" s="2">
        <f>Cleaned[[#This Row],[Net Amount]] *  Cleaned[[#This Row],[FX_rates]]</f>
        <v>-143247.44</v>
      </c>
    </row>
    <row r="1804" spans="1:16" x14ac:dyDescent="0.45">
      <c r="A1804" t="s">
        <v>1812</v>
      </c>
      <c r="B1804" s="1">
        <v>45172</v>
      </c>
      <c r="C1804" s="2" t="s">
        <v>2012</v>
      </c>
      <c r="D1804" t="s">
        <v>2017</v>
      </c>
      <c r="E1804">
        <v>870.1</v>
      </c>
      <c r="F1804">
        <f>Cleaned[[#This Row],[Debit]] * Cleaned[[#This Row],[FX_rates]]</f>
        <v>53076.1</v>
      </c>
      <c r="G1804">
        <v>0</v>
      </c>
      <c r="H1804">
        <f>Cleaned[[#This Row],[Credit]] *  Cleaned[[#This Row],[FX_rates]]</f>
        <v>0</v>
      </c>
      <c r="I1804" t="s">
        <v>2024</v>
      </c>
      <c r="J1804" t="s">
        <v>2028</v>
      </c>
      <c r="K1804" t="s">
        <v>3833</v>
      </c>
      <c r="L1804" t="s">
        <v>4035</v>
      </c>
      <c r="M1804">
        <f>Cleaned[[#This Row],[Credit]]-Cleaned[[#This Row],[Debit]]</f>
        <v>-870.1</v>
      </c>
      <c r="N1804" t="str">
        <f>_xlfn.XLOOKUP(Cleaned[[#This Row],[AccountName]], Account_Mapping!A:A, Account_Mapping!B:B,"Unmapped")</f>
        <v>Operating Expense</v>
      </c>
      <c r="O1804" cm="1">
        <f t="array" ref="O1804">_xlfn.XLOOKUP(
  1,
  (FX_Rates[Currency]=Cleaned[[#This Row],[Currency]])*
  (FX_Rates[RateDate]&lt;=Cleaned[[#This Row],[TxnDate]]),
  FX_Rates[Rate_To_INR],
  ,
  -1
)</f>
        <v>61</v>
      </c>
      <c r="P1804" s="2">
        <f>Cleaned[[#This Row],[Net Amount]] *  Cleaned[[#This Row],[FX_rates]]</f>
        <v>-53076.1</v>
      </c>
    </row>
    <row r="1805" spans="1:16" x14ac:dyDescent="0.45">
      <c r="A1805" t="s">
        <v>1813</v>
      </c>
      <c r="B1805" s="1">
        <v>44986</v>
      </c>
      <c r="C1805" s="2" t="s">
        <v>2011</v>
      </c>
      <c r="D1805" t="s">
        <v>2016</v>
      </c>
      <c r="E1805">
        <v>1451.54</v>
      </c>
      <c r="F1805">
        <f>Cleaned[[#This Row],[Debit]] * Cleaned[[#This Row],[FX_rates]]</f>
        <v>119026.28</v>
      </c>
      <c r="G1805">
        <v>0</v>
      </c>
      <c r="H1805">
        <f>Cleaned[[#This Row],[Credit]] *  Cleaned[[#This Row],[FX_rates]]</f>
        <v>0</v>
      </c>
      <c r="I1805" t="s">
        <v>2022</v>
      </c>
      <c r="J1805" t="s">
        <v>2029</v>
      </c>
      <c r="K1805" t="s">
        <v>3834</v>
      </c>
      <c r="L1805" t="s">
        <v>4034</v>
      </c>
      <c r="M1805">
        <f>Cleaned[[#This Row],[Credit]]-Cleaned[[#This Row],[Debit]]</f>
        <v>-1451.54</v>
      </c>
      <c r="N1805" t="str">
        <f>_xlfn.XLOOKUP(Cleaned[[#This Row],[AccountName]], Account_Mapping!A:A, Account_Mapping!B:B,"Unmapped")</f>
        <v>COGS</v>
      </c>
      <c r="O1805" cm="1">
        <f t="array" ref="O1805">_xlfn.XLOOKUP(
  1,
  (FX_Rates[Currency]=Cleaned[[#This Row],[Currency]])*
  (FX_Rates[RateDate]&lt;=Cleaned[[#This Row],[TxnDate]]),
  FX_Rates[Rate_To_INR],
  ,
  -1
)</f>
        <v>82</v>
      </c>
      <c r="P1805" s="2">
        <f>Cleaned[[#This Row],[Net Amount]] *  Cleaned[[#This Row],[FX_rates]]</f>
        <v>-119026.28</v>
      </c>
    </row>
    <row r="1806" spans="1:16" x14ac:dyDescent="0.45">
      <c r="A1806" t="s">
        <v>1814</v>
      </c>
      <c r="B1806" s="1">
        <v>45060</v>
      </c>
      <c r="C1806" s="2" t="s">
        <v>2014</v>
      </c>
      <c r="D1806" t="s">
        <v>2019</v>
      </c>
      <c r="E1806">
        <v>0</v>
      </c>
      <c r="F1806">
        <f>Cleaned[[#This Row],[Debit]] * Cleaned[[#This Row],[FX_rates]]</f>
        <v>0</v>
      </c>
      <c r="G1806">
        <v>905.45</v>
      </c>
      <c r="H1806">
        <f>Cleaned[[#This Row],[Credit]] *  Cleaned[[#This Row],[FX_rates]]</f>
        <v>50705.200000000004</v>
      </c>
      <c r="I1806" t="s">
        <v>2020</v>
      </c>
      <c r="J1806" t="s">
        <v>2026</v>
      </c>
      <c r="K1806" t="s">
        <v>3835</v>
      </c>
      <c r="L1806" t="s">
        <v>4033</v>
      </c>
      <c r="M1806">
        <f>Cleaned[[#This Row],[Credit]]-Cleaned[[#This Row],[Debit]]</f>
        <v>905.45</v>
      </c>
      <c r="N1806" t="str">
        <f>_xlfn.XLOOKUP(Cleaned[[#This Row],[AccountName]], Account_Mapping!A:A, Account_Mapping!B:B,"Unmapped")</f>
        <v>Revenue</v>
      </c>
      <c r="O1806" cm="1">
        <f t="array" ref="O1806">_xlfn.XLOOKUP(
  1,
  (FX_Rates[Currency]=Cleaned[[#This Row],[Currency]])*
  (FX_Rates[RateDate]&lt;=Cleaned[[#This Row],[TxnDate]]),
  FX_Rates[Rate_To_INR],
  ,
  -1
)</f>
        <v>56</v>
      </c>
      <c r="P1806" s="2">
        <f>Cleaned[[#This Row],[Net Amount]] *  Cleaned[[#This Row],[FX_rates]]</f>
        <v>50705.200000000004</v>
      </c>
    </row>
    <row r="1807" spans="1:16" x14ac:dyDescent="0.45">
      <c r="A1807" t="s">
        <v>1815</v>
      </c>
      <c r="B1807" s="1">
        <v>45288</v>
      </c>
      <c r="C1807" s="2" t="s">
        <v>2011</v>
      </c>
      <c r="D1807" t="s">
        <v>2016</v>
      </c>
      <c r="E1807">
        <v>435.57</v>
      </c>
      <c r="F1807">
        <f>Cleaned[[#This Row],[Debit]] * Cleaned[[#This Row],[FX_rates]]</f>
        <v>35716.74</v>
      </c>
      <c r="G1807">
        <v>0</v>
      </c>
      <c r="H1807">
        <f>Cleaned[[#This Row],[Credit]] *  Cleaned[[#This Row],[FX_rates]]</f>
        <v>0</v>
      </c>
      <c r="I1807" t="s">
        <v>2022</v>
      </c>
      <c r="J1807" t="s">
        <v>2029</v>
      </c>
      <c r="K1807" t="s">
        <v>3836</v>
      </c>
      <c r="L1807" t="s">
        <v>4034</v>
      </c>
      <c r="M1807">
        <f>Cleaned[[#This Row],[Credit]]-Cleaned[[#This Row],[Debit]]</f>
        <v>-435.57</v>
      </c>
      <c r="N1807" t="str">
        <f>_xlfn.XLOOKUP(Cleaned[[#This Row],[AccountName]], Account_Mapping!A:A, Account_Mapping!B:B,"Unmapped")</f>
        <v>COGS</v>
      </c>
      <c r="O1807" cm="1">
        <f t="array" ref="O1807">_xlfn.XLOOKUP(
  1,
  (FX_Rates[Currency]=Cleaned[[#This Row],[Currency]])*
  (FX_Rates[RateDate]&lt;=Cleaned[[#This Row],[TxnDate]]),
  FX_Rates[Rate_To_INR],
  ,
  -1
)</f>
        <v>82</v>
      </c>
      <c r="P1807" s="2">
        <f>Cleaned[[#This Row],[Net Amount]] *  Cleaned[[#This Row],[FX_rates]]</f>
        <v>-35716.74</v>
      </c>
    </row>
    <row r="1808" spans="1:16" x14ac:dyDescent="0.45">
      <c r="A1808" t="s">
        <v>1816</v>
      </c>
      <c r="B1808" s="1">
        <v>45728</v>
      </c>
      <c r="C1808" s="2" t="s">
        <v>2014</v>
      </c>
      <c r="D1808" t="s">
        <v>2019</v>
      </c>
      <c r="E1808">
        <v>0</v>
      </c>
      <c r="F1808">
        <f>Cleaned[[#This Row],[Debit]] * Cleaned[[#This Row],[FX_rates]]</f>
        <v>0</v>
      </c>
      <c r="G1808">
        <v>1129.92</v>
      </c>
      <c r="H1808">
        <f>Cleaned[[#This Row],[Credit]] *  Cleaned[[#This Row],[FX_rates]]</f>
        <v>99432.960000000006</v>
      </c>
      <c r="I1808" t="s">
        <v>2025</v>
      </c>
      <c r="J1808" t="s">
        <v>2030</v>
      </c>
      <c r="K1808" t="s">
        <v>3837</v>
      </c>
      <c r="L1808" t="s">
        <v>4032</v>
      </c>
      <c r="M1808">
        <f>Cleaned[[#This Row],[Credit]]-Cleaned[[#This Row],[Debit]]</f>
        <v>1129.92</v>
      </c>
      <c r="N1808" t="str">
        <f>_xlfn.XLOOKUP(Cleaned[[#This Row],[AccountName]], Account_Mapping!A:A, Account_Mapping!B:B,"Unmapped")</f>
        <v>Revenue</v>
      </c>
      <c r="O1808" cm="1">
        <f t="array" ref="O1808">_xlfn.XLOOKUP(
  1,
  (FX_Rates[Currency]=Cleaned[[#This Row],[Currency]])*
  (FX_Rates[RateDate]&lt;=Cleaned[[#This Row],[TxnDate]]),
  FX_Rates[Rate_To_INR],
  ,
  -1
)</f>
        <v>88</v>
      </c>
      <c r="P1808" s="2">
        <f>Cleaned[[#This Row],[Net Amount]] *  Cleaned[[#This Row],[FX_rates]]</f>
        <v>99432.960000000006</v>
      </c>
    </row>
    <row r="1809" spans="1:16" x14ac:dyDescent="0.45">
      <c r="A1809" t="s">
        <v>1817</v>
      </c>
      <c r="B1809" s="1">
        <v>45008</v>
      </c>
      <c r="C1809" s="2" t="s">
        <v>2011</v>
      </c>
      <c r="D1809" t="s">
        <v>2016</v>
      </c>
      <c r="E1809">
        <v>956.25</v>
      </c>
      <c r="F1809">
        <f>Cleaned[[#This Row],[Debit]] * Cleaned[[#This Row],[FX_rates]]</f>
        <v>84150</v>
      </c>
      <c r="G1809">
        <v>0</v>
      </c>
      <c r="H1809">
        <f>Cleaned[[#This Row],[Credit]] *  Cleaned[[#This Row],[FX_rates]]</f>
        <v>0</v>
      </c>
      <c r="I1809" t="s">
        <v>2020</v>
      </c>
      <c r="J1809" t="s">
        <v>2029</v>
      </c>
      <c r="K1809" t="s">
        <v>3838</v>
      </c>
      <c r="L1809" t="s">
        <v>4032</v>
      </c>
      <c r="M1809">
        <f>Cleaned[[#This Row],[Credit]]-Cleaned[[#This Row],[Debit]]</f>
        <v>-956.25</v>
      </c>
      <c r="N1809" t="str">
        <f>_xlfn.XLOOKUP(Cleaned[[#This Row],[AccountName]], Account_Mapping!A:A, Account_Mapping!B:B,"Unmapped")</f>
        <v>COGS</v>
      </c>
      <c r="O1809" cm="1">
        <f t="array" ref="O1809">_xlfn.XLOOKUP(
  1,
  (FX_Rates[Currency]=Cleaned[[#This Row],[Currency]])*
  (FX_Rates[RateDate]&lt;=Cleaned[[#This Row],[TxnDate]]),
  FX_Rates[Rate_To_INR],
  ,
  -1
)</f>
        <v>88</v>
      </c>
      <c r="P1809" s="2">
        <f>Cleaned[[#This Row],[Net Amount]] *  Cleaned[[#This Row],[FX_rates]]</f>
        <v>-84150</v>
      </c>
    </row>
    <row r="1810" spans="1:16" x14ac:dyDescent="0.45">
      <c r="A1810" t="s">
        <v>1818</v>
      </c>
      <c r="B1810" s="1">
        <v>45573</v>
      </c>
      <c r="C1810" s="2" t="s">
        <v>2011</v>
      </c>
      <c r="D1810" t="s">
        <v>2016</v>
      </c>
      <c r="E1810">
        <v>1866.55</v>
      </c>
      <c r="F1810">
        <f>Cleaned[[#This Row],[Debit]] * Cleaned[[#This Row],[FX_rates]]</f>
        <v>164256.4</v>
      </c>
      <c r="G1810">
        <v>0</v>
      </c>
      <c r="H1810">
        <f>Cleaned[[#This Row],[Credit]] *  Cleaned[[#This Row],[FX_rates]]</f>
        <v>0</v>
      </c>
      <c r="I1810" t="s">
        <v>2021</v>
      </c>
      <c r="J1810" t="s">
        <v>2026</v>
      </c>
      <c r="K1810" t="s">
        <v>3839</v>
      </c>
      <c r="L1810" t="s">
        <v>4032</v>
      </c>
      <c r="M1810">
        <f>Cleaned[[#This Row],[Credit]]-Cleaned[[#This Row],[Debit]]</f>
        <v>-1866.55</v>
      </c>
      <c r="N1810" t="str">
        <f>_xlfn.XLOOKUP(Cleaned[[#This Row],[AccountName]], Account_Mapping!A:A, Account_Mapping!B:B,"Unmapped")</f>
        <v>COGS</v>
      </c>
      <c r="O1810" cm="1">
        <f t="array" ref="O1810">_xlfn.XLOOKUP(
  1,
  (FX_Rates[Currency]=Cleaned[[#This Row],[Currency]])*
  (FX_Rates[RateDate]&lt;=Cleaned[[#This Row],[TxnDate]]),
  FX_Rates[Rate_To_INR],
  ,
  -1
)</f>
        <v>88</v>
      </c>
      <c r="P1810" s="2">
        <f>Cleaned[[#This Row],[Net Amount]] *  Cleaned[[#This Row],[FX_rates]]</f>
        <v>-164256.4</v>
      </c>
    </row>
    <row r="1811" spans="1:16" x14ac:dyDescent="0.45">
      <c r="A1811" t="s">
        <v>1819</v>
      </c>
      <c r="B1811" s="1">
        <v>45815</v>
      </c>
      <c r="C1811" s="2" t="s">
        <v>2011</v>
      </c>
      <c r="D1811" t="s">
        <v>2016</v>
      </c>
      <c r="E1811">
        <v>1920.83</v>
      </c>
      <c r="F1811">
        <f>Cleaned[[#This Row],[Debit]] * Cleaned[[#This Row],[FX_rates]]</f>
        <v>117170.62999999999</v>
      </c>
      <c r="G1811">
        <v>0</v>
      </c>
      <c r="H1811">
        <f>Cleaned[[#This Row],[Credit]] *  Cleaned[[#This Row],[FX_rates]]</f>
        <v>0</v>
      </c>
      <c r="I1811" t="s">
        <v>2023</v>
      </c>
      <c r="J1811" t="s">
        <v>2029</v>
      </c>
      <c r="K1811" t="s">
        <v>3840</v>
      </c>
      <c r="L1811" t="s">
        <v>4035</v>
      </c>
      <c r="M1811">
        <f>Cleaned[[#This Row],[Credit]]-Cleaned[[#This Row],[Debit]]</f>
        <v>-1920.83</v>
      </c>
      <c r="N1811" t="str">
        <f>_xlfn.XLOOKUP(Cleaned[[#This Row],[AccountName]], Account_Mapping!A:A, Account_Mapping!B:B,"Unmapped")</f>
        <v>COGS</v>
      </c>
      <c r="O1811" cm="1">
        <f t="array" ref="O1811">_xlfn.XLOOKUP(
  1,
  (FX_Rates[Currency]=Cleaned[[#This Row],[Currency]])*
  (FX_Rates[RateDate]&lt;=Cleaned[[#This Row],[TxnDate]]),
  FX_Rates[Rate_To_INR],
  ,
  -1
)</f>
        <v>61</v>
      </c>
      <c r="P1811" s="2">
        <f>Cleaned[[#This Row],[Net Amount]] *  Cleaned[[#This Row],[FX_rates]]</f>
        <v>-117170.62999999999</v>
      </c>
    </row>
    <row r="1812" spans="1:16" x14ac:dyDescent="0.45">
      <c r="A1812" t="s">
        <v>1820</v>
      </c>
      <c r="B1812" s="1">
        <v>45603</v>
      </c>
      <c r="C1812" s="2" t="s">
        <v>2010</v>
      </c>
      <c r="D1812" t="s">
        <v>2015</v>
      </c>
      <c r="E1812">
        <v>0</v>
      </c>
      <c r="F1812">
        <f>Cleaned[[#This Row],[Debit]] * Cleaned[[#This Row],[FX_rates]]</f>
        <v>0</v>
      </c>
      <c r="G1812">
        <v>4953.79</v>
      </c>
      <c r="H1812">
        <f>Cleaned[[#This Row],[Credit]] *  Cleaned[[#This Row],[FX_rates]]</f>
        <v>302181.19</v>
      </c>
      <c r="I1812" t="s">
        <v>2025</v>
      </c>
      <c r="J1812" t="s">
        <v>2027</v>
      </c>
      <c r="K1812" t="s">
        <v>3841</v>
      </c>
      <c r="L1812" t="s">
        <v>4035</v>
      </c>
      <c r="M1812">
        <f>Cleaned[[#This Row],[Credit]]-Cleaned[[#This Row],[Debit]]</f>
        <v>4953.79</v>
      </c>
      <c r="N1812" t="str">
        <f>_xlfn.XLOOKUP(Cleaned[[#This Row],[AccountName]], Account_Mapping!A:A, Account_Mapping!B:B,"Unmapped")</f>
        <v>Revenue</v>
      </c>
      <c r="O1812" cm="1">
        <f t="array" ref="O1812">_xlfn.XLOOKUP(
  1,
  (FX_Rates[Currency]=Cleaned[[#This Row],[Currency]])*
  (FX_Rates[RateDate]&lt;=Cleaned[[#This Row],[TxnDate]]),
  FX_Rates[Rate_To_INR],
  ,
  -1
)</f>
        <v>61</v>
      </c>
      <c r="P1812" s="2">
        <f>Cleaned[[#This Row],[Net Amount]] *  Cleaned[[#This Row],[FX_rates]]</f>
        <v>302181.19</v>
      </c>
    </row>
    <row r="1813" spans="1:16" x14ac:dyDescent="0.45">
      <c r="A1813" t="s">
        <v>1821</v>
      </c>
      <c r="B1813" s="1">
        <v>45423</v>
      </c>
      <c r="C1813" s="2" t="s">
        <v>2011</v>
      </c>
      <c r="D1813" t="s">
        <v>2016</v>
      </c>
      <c r="E1813">
        <v>1790.29</v>
      </c>
      <c r="F1813">
        <f>Cleaned[[#This Row],[Debit]] * Cleaned[[#This Row],[FX_rates]]</f>
        <v>184399.87</v>
      </c>
      <c r="G1813">
        <v>0</v>
      </c>
      <c r="H1813">
        <f>Cleaned[[#This Row],[Credit]] *  Cleaned[[#This Row],[FX_rates]]</f>
        <v>0</v>
      </c>
      <c r="I1813" t="s">
        <v>2025</v>
      </c>
      <c r="J1813" t="s">
        <v>2027</v>
      </c>
      <c r="K1813" t="s">
        <v>3842</v>
      </c>
      <c r="L1813" t="s">
        <v>4031</v>
      </c>
      <c r="M1813">
        <f>Cleaned[[#This Row],[Credit]]-Cleaned[[#This Row],[Debit]]</f>
        <v>-1790.29</v>
      </c>
      <c r="N1813" t="str">
        <f>_xlfn.XLOOKUP(Cleaned[[#This Row],[AccountName]], Account_Mapping!A:A, Account_Mapping!B:B,"Unmapped")</f>
        <v>COGS</v>
      </c>
      <c r="O1813" cm="1">
        <f t="array" ref="O1813">_xlfn.XLOOKUP(
  1,
  (FX_Rates[Currency]=Cleaned[[#This Row],[Currency]])*
  (FX_Rates[RateDate]&lt;=Cleaned[[#This Row],[TxnDate]]),
  FX_Rates[Rate_To_INR],
  ,
  -1
)</f>
        <v>103</v>
      </c>
      <c r="P1813" s="2">
        <f>Cleaned[[#This Row],[Net Amount]] *  Cleaned[[#This Row],[FX_rates]]</f>
        <v>-184399.87</v>
      </c>
    </row>
    <row r="1814" spans="1:16" x14ac:dyDescent="0.45">
      <c r="A1814" t="s">
        <v>1822</v>
      </c>
      <c r="B1814" s="1">
        <v>45802</v>
      </c>
      <c r="C1814" s="2" t="s">
        <v>2010</v>
      </c>
      <c r="D1814" t="s">
        <v>2015</v>
      </c>
      <c r="E1814">
        <v>0</v>
      </c>
      <c r="F1814">
        <f>Cleaned[[#This Row],[Debit]] * Cleaned[[#This Row],[FX_rates]]</f>
        <v>0</v>
      </c>
      <c r="G1814">
        <v>523.59</v>
      </c>
      <c r="H1814">
        <f>Cleaned[[#This Row],[Credit]] *  Cleaned[[#This Row],[FX_rates]]</f>
        <v>31938.99</v>
      </c>
      <c r="I1814" t="s">
        <v>2021</v>
      </c>
      <c r="J1814" t="s">
        <v>2029</v>
      </c>
      <c r="K1814" t="s">
        <v>3843</v>
      </c>
      <c r="L1814" t="s">
        <v>4035</v>
      </c>
      <c r="M1814">
        <f>Cleaned[[#This Row],[Credit]]-Cleaned[[#This Row],[Debit]]</f>
        <v>523.59</v>
      </c>
      <c r="N1814" t="str">
        <f>_xlfn.XLOOKUP(Cleaned[[#This Row],[AccountName]], Account_Mapping!A:A, Account_Mapping!B:B,"Unmapped")</f>
        <v>Revenue</v>
      </c>
      <c r="O1814" cm="1">
        <f t="array" ref="O1814">_xlfn.XLOOKUP(
  1,
  (FX_Rates[Currency]=Cleaned[[#This Row],[Currency]])*
  (FX_Rates[RateDate]&lt;=Cleaned[[#This Row],[TxnDate]]),
  FX_Rates[Rate_To_INR],
  ,
  -1
)</f>
        <v>61</v>
      </c>
      <c r="P1814" s="2">
        <f>Cleaned[[#This Row],[Net Amount]] *  Cleaned[[#This Row],[FX_rates]]</f>
        <v>31938.99</v>
      </c>
    </row>
    <row r="1815" spans="1:16" x14ac:dyDescent="0.45">
      <c r="A1815" t="s">
        <v>1823</v>
      </c>
      <c r="B1815" s="1">
        <v>45298</v>
      </c>
      <c r="C1815" s="2" t="s">
        <v>2013</v>
      </c>
      <c r="D1815" t="s">
        <v>2018</v>
      </c>
      <c r="E1815">
        <v>200.91</v>
      </c>
      <c r="F1815">
        <f>Cleaned[[#This Row],[Debit]] * Cleaned[[#This Row],[FX_rates]]</f>
        <v>16474.62</v>
      </c>
      <c r="G1815">
        <v>0</v>
      </c>
      <c r="H1815">
        <f>Cleaned[[#This Row],[Credit]] *  Cleaned[[#This Row],[FX_rates]]</f>
        <v>0</v>
      </c>
      <c r="I1815" t="s">
        <v>2024</v>
      </c>
      <c r="J1815" t="s">
        <v>2029</v>
      </c>
      <c r="K1815" t="s">
        <v>3844</v>
      </c>
      <c r="L1815" t="s">
        <v>4034</v>
      </c>
      <c r="M1815">
        <f>Cleaned[[#This Row],[Credit]]-Cleaned[[#This Row],[Debit]]</f>
        <v>-200.91</v>
      </c>
      <c r="N1815" t="str">
        <f>_xlfn.XLOOKUP(Cleaned[[#This Row],[AccountName]], Account_Mapping!A:A, Account_Mapping!B:B,"Unmapped")</f>
        <v>Operating Expense</v>
      </c>
      <c r="O1815" cm="1">
        <f t="array" ref="O1815">_xlfn.XLOOKUP(
  1,
  (FX_Rates[Currency]=Cleaned[[#This Row],[Currency]])*
  (FX_Rates[RateDate]&lt;=Cleaned[[#This Row],[TxnDate]]),
  FX_Rates[Rate_To_INR],
  ,
  -1
)</f>
        <v>82</v>
      </c>
      <c r="P1815" s="2">
        <f>Cleaned[[#This Row],[Net Amount]] *  Cleaned[[#This Row],[FX_rates]]</f>
        <v>-16474.62</v>
      </c>
    </row>
    <row r="1816" spans="1:16" x14ac:dyDescent="0.45">
      <c r="A1816" t="s">
        <v>1824</v>
      </c>
      <c r="B1816" s="1">
        <v>45612</v>
      </c>
      <c r="C1816" s="2" t="s">
        <v>2012</v>
      </c>
      <c r="D1816" t="s">
        <v>2017</v>
      </c>
      <c r="E1816">
        <v>219.39</v>
      </c>
      <c r="F1816">
        <f>Cleaned[[#This Row],[Debit]] * Cleaned[[#This Row],[FX_rates]]</f>
        <v>13382.789999999999</v>
      </c>
      <c r="G1816">
        <v>0</v>
      </c>
      <c r="H1816">
        <f>Cleaned[[#This Row],[Credit]] *  Cleaned[[#This Row],[FX_rates]]</f>
        <v>0</v>
      </c>
      <c r="I1816" t="s">
        <v>2021</v>
      </c>
      <c r="J1816" t="s">
        <v>2030</v>
      </c>
      <c r="K1816" t="s">
        <v>3845</v>
      </c>
      <c r="L1816" t="s">
        <v>4035</v>
      </c>
      <c r="M1816">
        <f>Cleaned[[#This Row],[Credit]]-Cleaned[[#This Row],[Debit]]</f>
        <v>-219.39</v>
      </c>
      <c r="N1816" t="str">
        <f>_xlfn.XLOOKUP(Cleaned[[#This Row],[AccountName]], Account_Mapping!A:A, Account_Mapping!B:B,"Unmapped")</f>
        <v>Operating Expense</v>
      </c>
      <c r="O1816" cm="1">
        <f t="array" ref="O1816">_xlfn.XLOOKUP(
  1,
  (FX_Rates[Currency]=Cleaned[[#This Row],[Currency]])*
  (FX_Rates[RateDate]&lt;=Cleaned[[#This Row],[TxnDate]]),
  FX_Rates[Rate_To_INR],
  ,
  -1
)</f>
        <v>61</v>
      </c>
      <c r="P1816" s="2">
        <f>Cleaned[[#This Row],[Net Amount]] *  Cleaned[[#This Row],[FX_rates]]</f>
        <v>-13382.789999999999</v>
      </c>
    </row>
    <row r="1817" spans="1:16" x14ac:dyDescent="0.45">
      <c r="A1817" t="s">
        <v>1825</v>
      </c>
      <c r="B1817" s="1">
        <v>45000</v>
      </c>
      <c r="C1817" s="2" t="s">
        <v>2013</v>
      </c>
      <c r="D1817" t="s">
        <v>2018</v>
      </c>
      <c r="E1817">
        <v>1274.73</v>
      </c>
      <c r="F1817">
        <f>Cleaned[[#This Row],[Debit]] * Cleaned[[#This Row],[FX_rates]]</f>
        <v>77758.53</v>
      </c>
      <c r="G1817">
        <v>0</v>
      </c>
      <c r="H1817">
        <f>Cleaned[[#This Row],[Credit]] *  Cleaned[[#This Row],[FX_rates]]</f>
        <v>0</v>
      </c>
      <c r="I1817" t="s">
        <v>2025</v>
      </c>
      <c r="J1817" t="s">
        <v>2030</v>
      </c>
      <c r="K1817" t="s">
        <v>3846</v>
      </c>
      <c r="L1817" t="s">
        <v>4035</v>
      </c>
      <c r="M1817">
        <f>Cleaned[[#This Row],[Credit]]-Cleaned[[#This Row],[Debit]]</f>
        <v>-1274.73</v>
      </c>
      <c r="N1817" t="str">
        <f>_xlfn.XLOOKUP(Cleaned[[#This Row],[AccountName]], Account_Mapping!A:A, Account_Mapping!B:B,"Unmapped")</f>
        <v>Operating Expense</v>
      </c>
      <c r="O1817" cm="1">
        <f t="array" ref="O1817">_xlfn.XLOOKUP(
  1,
  (FX_Rates[Currency]=Cleaned[[#This Row],[Currency]])*
  (FX_Rates[RateDate]&lt;=Cleaned[[#This Row],[TxnDate]]),
  FX_Rates[Rate_To_INR],
  ,
  -1
)</f>
        <v>61</v>
      </c>
      <c r="P1817" s="2">
        <f>Cleaned[[#This Row],[Net Amount]] *  Cleaned[[#This Row],[FX_rates]]</f>
        <v>-77758.53</v>
      </c>
    </row>
    <row r="1818" spans="1:16" x14ac:dyDescent="0.45">
      <c r="A1818" t="s">
        <v>1826</v>
      </c>
      <c r="B1818" s="1">
        <v>45775</v>
      </c>
      <c r="C1818" s="2" t="s">
        <v>2011</v>
      </c>
      <c r="D1818" t="s">
        <v>2016</v>
      </c>
      <c r="E1818">
        <v>692.56</v>
      </c>
      <c r="F1818">
        <f>Cleaned[[#This Row],[Debit]] * Cleaned[[#This Row],[FX_rates]]</f>
        <v>38783.360000000001</v>
      </c>
      <c r="G1818">
        <v>0</v>
      </c>
      <c r="H1818">
        <f>Cleaned[[#This Row],[Credit]] *  Cleaned[[#This Row],[FX_rates]]</f>
        <v>0</v>
      </c>
      <c r="I1818" t="s">
        <v>2020</v>
      </c>
      <c r="J1818" t="s">
        <v>2026</v>
      </c>
      <c r="K1818" t="s">
        <v>3847</v>
      </c>
      <c r="L1818" t="s">
        <v>4033</v>
      </c>
      <c r="M1818">
        <f>Cleaned[[#This Row],[Credit]]-Cleaned[[#This Row],[Debit]]</f>
        <v>-692.56</v>
      </c>
      <c r="N1818" t="str">
        <f>_xlfn.XLOOKUP(Cleaned[[#This Row],[AccountName]], Account_Mapping!A:A, Account_Mapping!B:B,"Unmapped")</f>
        <v>COGS</v>
      </c>
      <c r="O1818" cm="1">
        <f t="array" ref="O1818">_xlfn.XLOOKUP(
  1,
  (FX_Rates[Currency]=Cleaned[[#This Row],[Currency]])*
  (FX_Rates[RateDate]&lt;=Cleaned[[#This Row],[TxnDate]]),
  FX_Rates[Rate_To_INR],
  ,
  -1
)</f>
        <v>56</v>
      </c>
      <c r="P1818" s="2">
        <f>Cleaned[[#This Row],[Net Amount]] *  Cleaned[[#This Row],[FX_rates]]</f>
        <v>-38783.360000000001</v>
      </c>
    </row>
    <row r="1819" spans="1:16" x14ac:dyDescent="0.45">
      <c r="A1819" t="s">
        <v>1827</v>
      </c>
      <c r="B1819" s="1">
        <v>45704</v>
      </c>
      <c r="C1819" s="2" t="s">
        <v>2011</v>
      </c>
      <c r="D1819" t="s">
        <v>2016</v>
      </c>
      <c r="E1819">
        <v>1914.11</v>
      </c>
      <c r="F1819">
        <f>Cleaned[[#This Row],[Debit]] * Cleaned[[#This Row],[FX_rates]]</f>
        <v>168441.68</v>
      </c>
      <c r="G1819">
        <v>0</v>
      </c>
      <c r="H1819">
        <f>Cleaned[[#This Row],[Credit]] *  Cleaned[[#This Row],[FX_rates]]</f>
        <v>0</v>
      </c>
      <c r="I1819" t="s">
        <v>2025</v>
      </c>
      <c r="J1819" t="s">
        <v>2029</v>
      </c>
      <c r="K1819" t="s">
        <v>3848</v>
      </c>
      <c r="L1819" t="s">
        <v>4032</v>
      </c>
      <c r="M1819">
        <f>Cleaned[[#This Row],[Credit]]-Cleaned[[#This Row],[Debit]]</f>
        <v>-1914.11</v>
      </c>
      <c r="N1819" t="str">
        <f>_xlfn.XLOOKUP(Cleaned[[#This Row],[AccountName]], Account_Mapping!A:A, Account_Mapping!B:B,"Unmapped")</f>
        <v>COGS</v>
      </c>
      <c r="O1819" cm="1">
        <f t="array" ref="O1819">_xlfn.XLOOKUP(
  1,
  (FX_Rates[Currency]=Cleaned[[#This Row],[Currency]])*
  (FX_Rates[RateDate]&lt;=Cleaned[[#This Row],[TxnDate]]),
  FX_Rates[Rate_To_INR],
  ,
  -1
)</f>
        <v>88</v>
      </c>
      <c r="P1819" s="2">
        <f>Cleaned[[#This Row],[Net Amount]] *  Cleaned[[#This Row],[FX_rates]]</f>
        <v>-168441.68</v>
      </c>
    </row>
    <row r="1820" spans="1:16" x14ac:dyDescent="0.45">
      <c r="A1820" t="s">
        <v>1828</v>
      </c>
      <c r="B1820" s="1">
        <v>45027</v>
      </c>
      <c r="C1820" s="2" t="s">
        <v>2013</v>
      </c>
      <c r="D1820" t="s">
        <v>2018</v>
      </c>
      <c r="E1820">
        <v>1033.2</v>
      </c>
      <c r="F1820">
        <f>Cleaned[[#This Row],[Debit]] * Cleaned[[#This Row],[FX_rates]]</f>
        <v>57859.200000000004</v>
      </c>
      <c r="G1820">
        <v>0</v>
      </c>
      <c r="H1820">
        <f>Cleaned[[#This Row],[Credit]] *  Cleaned[[#This Row],[FX_rates]]</f>
        <v>0</v>
      </c>
      <c r="I1820" t="s">
        <v>2021</v>
      </c>
      <c r="J1820" t="s">
        <v>2026</v>
      </c>
      <c r="K1820" t="s">
        <v>3849</v>
      </c>
      <c r="L1820" t="s">
        <v>4033</v>
      </c>
      <c r="M1820">
        <f>Cleaned[[#This Row],[Credit]]-Cleaned[[#This Row],[Debit]]</f>
        <v>-1033.2</v>
      </c>
      <c r="N1820" t="str">
        <f>_xlfn.XLOOKUP(Cleaned[[#This Row],[AccountName]], Account_Mapping!A:A, Account_Mapping!B:B,"Unmapped")</f>
        <v>Operating Expense</v>
      </c>
      <c r="O1820" cm="1">
        <f t="array" ref="O1820">_xlfn.XLOOKUP(
  1,
  (FX_Rates[Currency]=Cleaned[[#This Row],[Currency]])*
  (FX_Rates[RateDate]&lt;=Cleaned[[#This Row],[TxnDate]]),
  FX_Rates[Rate_To_INR],
  ,
  -1
)</f>
        <v>56</v>
      </c>
      <c r="P1820" s="2">
        <f>Cleaned[[#This Row],[Net Amount]] *  Cleaned[[#This Row],[FX_rates]]</f>
        <v>-57859.200000000004</v>
      </c>
    </row>
    <row r="1821" spans="1:16" x14ac:dyDescent="0.45">
      <c r="A1821" t="s">
        <v>1829</v>
      </c>
      <c r="B1821" s="1">
        <v>44958</v>
      </c>
      <c r="C1821" s="2" t="s">
        <v>2014</v>
      </c>
      <c r="D1821" t="s">
        <v>2019</v>
      </c>
      <c r="E1821">
        <v>0</v>
      </c>
      <c r="F1821">
        <f>Cleaned[[#This Row],[Debit]] * Cleaned[[#This Row],[FX_rates]]</f>
        <v>0</v>
      </c>
      <c r="G1821">
        <v>2648.51</v>
      </c>
      <c r="H1821">
        <f>Cleaned[[#This Row],[Credit]] *  Cleaned[[#This Row],[FX_rates]]</f>
        <v>161559.11000000002</v>
      </c>
      <c r="I1821" t="s">
        <v>2023</v>
      </c>
      <c r="J1821" t="s">
        <v>2027</v>
      </c>
      <c r="K1821" t="s">
        <v>3850</v>
      </c>
      <c r="L1821" t="s">
        <v>4035</v>
      </c>
      <c r="M1821">
        <f>Cleaned[[#This Row],[Credit]]-Cleaned[[#This Row],[Debit]]</f>
        <v>2648.51</v>
      </c>
      <c r="N1821" t="str">
        <f>_xlfn.XLOOKUP(Cleaned[[#This Row],[AccountName]], Account_Mapping!A:A, Account_Mapping!B:B,"Unmapped")</f>
        <v>Revenue</v>
      </c>
      <c r="O1821" cm="1">
        <f t="array" ref="O1821">_xlfn.XLOOKUP(
  1,
  (FX_Rates[Currency]=Cleaned[[#This Row],[Currency]])*
  (FX_Rates[RateDate]&lt;=Cleaned[[#This Row],[TxnDate]]),
  FX_Rates[Rate_To_INR],
  ,
  -1
)</f>
        <v>61</v>
      </c>
      <c r="P1821" s="2">
        <f>Cleaned[[#This Row],[Net Amount]] *  Cleaned[[#This Row],[FX_rates]]</f>
        <v>161559.11000000002</v>
      </c>
    </row>
    <row r="1822" spans="1:16" x14ac:dyDescent="0.45">
      <c r="A1822" t="s">
        <v>1830</v>
      </c>
      <c r="B1822" s="1">
        <v>45118</v>
      </c>
      <c r="C1822" s="2" t="s">
        <v>2010</v>
      </c>
      <c r="D1822" t="s">
        <v>2015</v>
      </c>
      <c r="E1822">
        <v>0</v>
      </c>
      <c r="F1822">
        <f>Cleaned[[#This Row],[Debit]] * Cleaned[[#This Row],[FX_rates]]</f>
        <v>0</v>
      </c>
      <c r="G1822">
        <v>737.9</v>
      </c>
      <c r="H1822">
        <f>Cleaned[[#This Row],[Credit]] *  Cleaned[[#This Row],[FX_rates]]</f>
        <v>64935.199999999997</v>
      </c>
      <c r="I1822" t="s">
        <v>2025</v>
      </c>
      <c r="J1822" t="s">
        <v>2027</v>
      </c>
      <c r="K1822" t="s">
        <v>3851</v>
      </c>
      <c r="L1822" t="s">
        <v>4032</v>
      </c>
      <c r="M1822">
        <f>Cleaned[[#This Row],[Credit]]-Cleaned[[#This Row],[Debit]]</f>
        <v>737.9</v>
      </c>
      <c r="N1822" t="str">
        <f>_xlfn.XLOOKUP(Cleaned[[#This Row],[AccountName]], Account_Mapping!A:A, Account_Mapping!B:B,"Unmapped")</f>
        <v>Revenue</v>
      </c>
      <c r="O1822" cm="1">
        <f t="array" ref="O1822">_xlfn.XLOOKUP(
  1,
  (FX_Rates[Currency]=Cleaned[[#This Row],[Currency]])*
  (FX_Rates[RateDate]&lt;=Cleaned[[#This Row],[TxnDate]]),
  FX_Rates[Rate_To_INR],
  ,
  -1
)</f>
        <v>88</v>
      </c>
      <c r="P1822" s="2">
        <f>Cleaned[[#This Row],[Net Amount]] *  Cleaned[[#This Row],[FX_rates]]</f>
        <v>64935.199999999997</v>
      </c>
    </row>
    <row r="1823" spans="1:16" x14ac:dyDescent="0.45">
      <c r="A1823" t="s">
        <v>1831</v>
      </c>
      <c r="B1823" s="1">
        <v>45289</v>
      </c>
      <c r="C1823" s="2" t="s">
        <v>2012</v>
      </c>
      <c r="D1823" t="s">
        <v>2017</v>
      </c>
      <c r="E1823">
        <v>323.47000000000003</v>
      </c>
      <c r="F1823">
        <f>Cleaned[[#This Row],[Debit]] * Cleaned[[#This Row],[FX_rates]]</f>
        <v>26524.54</v>
      </c>
      <c r="G1823">
        <v>0</v>
      </c>
      <c r="H1823">
        <f>Cleaned[[#This Row],[Credit]] *  Cleaned[[#This Row],[FX_rates]]</f>
        <v>0</v>
      </c>
      <c r="I1823" t="s">
        <v>2023</v>
      </c>
      <c r="J1823" t="s">
        <v>2028</v>
      </c>
      <c r="K1823" t="s">
        <v>3852</v>
      </c>
      <c r="L1823" t="s">
        <v>4034</v>
      </c>
      <c r="M1823">
        <f>Cleaned[[#This Row],[Credit]]-Cleaned[[#This Row],[Debit]]</f>
        <v>-323.47000000000003</v>
      </c>
      <c r="N1823" t="str">
        <f>_xlfn.XLOOKUP(Cleaned[[#This Row],[AccountName]], Account_Mapping!A:A, Account_Mapping!B:B,"Unmapped")</f>
        <v>Operating Expense</v>
      </c>
      <c r="O1823" cm="1">
        <f t="array" ref="O1823">_xlfn.XLOOKUP(
  1,
  (FX_Rates[Currency]=Cleaned[[#This Row],[Currency]])*
  (FX_Rates[RateDate]&lt;=Cleaned[[#This Row],[TxnDate]]),
  FX_Rates[Rate_To_INR],
  ,
  -1
)</f>
        <v>82</v>
      </c>
      <c r="P1823" s="2">
        <f>Cleaned[[#This Row],[Net Amount]] *  Cleaned[[#This Row],[FX_rates]]</f>
        <v>-26524.54</v>
      </c>
    </row>
    <row r="1824" spans="1:16" x14ac:dyDescent="0.45">
      <c r="A1824" t="s">
        <v>1832</v>
      </c>
      <c r="B1824" s="1">
        <v>45410</v>
      </c>
      <c r="C1824" s="2" t="s">
        <v>2013</v>
      </c>
      <c r="D1824" t="s">
        <v>2018</v>
      </c>
      <c r="E1824">
        <v>728.68</v>
      </c>
      <c r="F1824">
        <f>Cleaned[[#This Row],[Debit]] * Cleaned[[#This Row],[FX_rates]]</f>
        <v>44449.479999999996</v>
      </c>
      <c r="G1824">
        <v>0</v>
      </c>
      <c r="H1824">
        <f>Cleaned[[#This Row],[Credit]] *  Cleaned[[#This Row],[FX_rates]]</f>
        <v>0</v>
      </c>
      <c r="I1824" t="s">
        <v>2021</v>
      </c>
      <c r="J1824" t="s">
        <v>2027</v>
      </c>
      <c r="K1824" t="s">
        <v>3853</v>
      </c>
      <c r="L1824" t="s">
        <v>4035</v>
      </c>
      <c r="M1824">
        <f>Cleaned[[#This Row],[Credit]]-Cleaned[[#This Row],[Debit]]</f>
        <v>-728.68</v>
      </c>
      <c r="N1824" t="str">
        <f>_xlfn.XLOOKUP(Cleaned[[#This Row],[AccountName]], Account_Mapping!A:A, Account_Mapping!B:B,"Unmapped")</f>
        <v>Operating Expense</v>
      </c>
      <c r="O1824" cm="1">
        <f t="array" ref="O1824">_xlfn.XLOOKUP(
  1,
  (FX_Rates[Currency]=Cleaned[[#This Row],[Currency]])*
  (FX_Rates[RateDate]&lt;=Cleaned[[#This Row],[TxnDate]]),
  FX_Rates[Rate_To_INR],
  ,
  -1
)</f>
        <v>61</v>
      </c>
      <c r="P1824" s="2">
        <f>Cleaned[[#This Row],[Net Amount]] *  Cleaned[[#This Row],[FX_rates]]</f>
        <v>-44449.479999999996</v>
      </c>
    </row>
    <row r="1825" spans="1:16" x14ac:dyDescent="0.45">
      <c r="A1825" t="s">
        <v>1833</v>
      </c>
      <c r="B1825" s="1">
        <v>45374</v>
      </c>
      <c r="C1825" s="2" t="s">
        <v>2011</v>
      </c>
      <c r="D1825" t="s">
        <v>2016</v>
      </c>
      <c r="E1825">
        <v>1625.93</v>
      </c>
      <c r="F1825">
        <f>Cleaned[[#This Row],[Debit]] * Cleaned[[#This Row],[FX_rates]]</f>
        <v>143081.84</v>
      </c>
      <c r="G1825">
        <v>0</v>
      </c>
      <c r="H1825">
        <f>Cleaned[[#This Row],[Credit]] *  Cleaned[[#This Row],[FX_rates]]</f>
        <v>0</v>
      </c>
      <c r="I1825" t="s">
        <v>2023</v>
      </c>
      <c r="J1825" t="s">
        <v>2026</v>
      </c>
      <c r="K1825" t="s">
        <v>3854</v>
      </c>
      <c r="L1825" t="s">
        <v>4032</v>
      </c>
      <c r="M1825">
        <f>Cleaned[[#This Row],[Credit]]-Cleaned[[#This Row],[Debit]]</f>
        <v>-1625.93</v>
      </c>
      <c r="N1825" t="str">
        <f>_xlfn.XLOOKUP(Cleaned[[#This Row],[AccountName]], Account_Mapping!A:A, Account_Mapping!B:B,"Unmapped")</f>
        <v>COGS</v>
      </c>
      <c r="O1825" cm="1">
        <f t="array" ref="O1825">_xlfn.XLOOKUP(
  1,
  (FX_Rates[Currency]=Cleaned[[#This Row],[Currency]])*
  (FX_Rates[RateDate]&lt;=Cleaned[[#This Row],[TxnDate]]),
  FX_Rates[Rate_To_INR],
  ,
  -1
)</f>
        <v>88</v>
      </c>
      <c r="P1825" s="2">
        <f>Cleaned[[#This Row],[Net Amount]] *  Cleaned[[#This Row],[FX_rates]]</f>
        <v>-143081.84</v>
      </c>
    </row>
    <row r="1826" spans="1:16" x14ac:dyDescent="0.45">
      <c r="A1826" t="s">
        <v>1834</v>
      </c>
      <c r="B1826" s="1">
        <v>45474</v>
      </c>
      <c r="C1826" s="2" t="s">
        <v>2010</v>
      </c>
      <c r="D1826" t="s">
        <v>2015</v>
      </c>
      <c r="E1826">
        <v>0</v>
      </c>
      <c r="F1826">
        <f>Cleaned[[#This Row],[Debit]] * Cleaned[[#This Row],[FX_rates]]</f>
        <v>0</v>
      </c>
      <c r="G1826">
        <v>166.02</v>
      </c>
      <c r="H1826">
        <f>Cleaned[[#This Row],[Credit]] *  Cleaned[[#This Row],[FX_rates]]</f>
        <v>14609.76</v>
      </c>
      <c r="I1826" t="s">
        <v>2022</v>
      </c>
      <c r="J1826" t="s">
        <v>2026</v>
      </c>
      <c r="K1826" t="s">
        <v>3855</v>
      </c>
      <c r="L1826" t="s">
        <v>4032</v>
      </c>
      <c r="M1826">
        <f>Cleaned[[#This Row],[Credit]]-Cleaned[[#This Row],[Debit]]</f>
        <v>166.02</v>
      </c>
      <c r="N1826" t="str">
        <f>_xlfn.XLOOKUP(Cleaned[[#This Row],[AccountName]], Account_Mapping!A:A, Account_Mapping!B:B,"Unmapped")</f>
        <v>Revenue</v>
      </c>
      <c r="O1826" cm="1">
        <f t="array" ref="O1826">_xlfn.XLOOKUP(
  1,
  (FX_Rates[Currency]=Cleaned[[#This Row],[Currency]])*
  (FX_Rates[RateDate]&lt;=Cleaned[[#This Row],[TxnDate]]),
  FX_Rates[Rate_To_INR],
  ,
  -1
)</f>
        <v>88</v>
      </c>
      <c r="P1826" s="2">
        <f>Cleaned[[#This Row],[Net Amount]] *  Cleaned[[#This Row],[FX_rates]]</f>
        <v>14609.76</v>
      </c>
    </row>
    <row r="1827" spans="1:16" x14ac:dyDescent="0.45">
      <c r="A1827" t="s">
        <v>1835</v>
      </c>
      <c r="B1827" s="1">
        <v>45492</v>
      </c>
      <c r="C1827" s="2" t="s">
        <v>2011</v>
      </c>
      <c r="D1827" t="s">
        <v>2016</v>
      </c>
      <c r="E1827">
        <v>510</v>
      </c>
      <c r="F1827">
        <f>Cleaned[[#This Row],[Debit]] * Cleaned[[#This Row],[FX_rates]]</f>
        <v>28560</v>
      </c>
      <c r="G1827">
        <v>0</v>
      </c>
      <c r="H1827">
        <f>Cleaned[[#This Row],[Credit]] *  Cleaned[[#This Row],[FX_rates]]</f>
        <v>0</v>
      </c>
      <c r="I1827" t="s">
        <v>2022</v>
      </c>
      <c r="J1827" t="s">
        <v>2028</v>
      </c>
      <c r="K1827" t="s">
        <v>3856</v>
      </c>
      <c r="L1827" t="s">
        <v>4033</v>
      </c>
      <c r="M1827">
        <f>Cleaned[[#This Row],[Credit]]-Cleaned[[#This Row],[Debit]]</f>
        <v>-510</v>
      </c>
      <c r="N1827" t="str">
        <f>_xlfn.XLOOKUP(Cleaned[[#This Row],[AccountName]], Account_Mapping!A:A, Account_Mapping!B:B,"Unmapped")</f>
        <v>COGS</v>
      </c>
      <c r="O1827" cm="1">
        <f t="array" ref="O1827">_xlfn.XLOOKUP(
  1,
  (FX_Rates[Currency]=Cleaned[[#This Row],[Currency]])*
  (FX_Rates[RateDate]&lt;=Cleaned[[#This Row],[TxnDate]]),
  FX_Rates[Rate_To_INR],
  ,
  -1
)</f>
        <v>56</v>
      </c>
      <c r="P1827" s="2">
        <f>Cleaned[[#This Row],[Net Amount]] *  Cleaned[[#This Row],[FX_rates]]</f>
        <v>-28560</v>
      </c>
    </row>
    <row r="1828" spans="1:16" x14ac:dyDescent="0.45">
      <c r="A1828" t="s">
        <v>1836</v>
      </c>
      <c r="B1828" s="1">
        <v>45574</v>
      </c>
      <c r="C1828" s="2" t="s">
        <v>2014</v>
      </c>
      <c r="D1828" t="s">
        <v>2019</v>
      </c>
      <c r="E1828">
        <v>0</v>
      </c>
      <c r="F1828">
        <f>Cleaned[[#This Row],[Debit]] * Cleaned[[#This Row],[FX_rates]]</f>
        <v>0</v>
      </c>
      <c r="G1828">
        <v>1743.21</v>
      </c>
      <c r="H1828">
        <f>Cleaned[[#This Row],[Credit]] *  Cleaned[[#This Row],[FX_rates]]</f>
        <v>179550.63</v>
      </c>
      <c r="I1828" t="s">
        <v>2025</v>
      </c>
      <c r="J1828" t="s">
        <v>2028</v>
      </c>
      <c r="K1828" t="s">
        <v>3857</v>
      </c>
      <c r="L1828" t="s">
        <v>4031</v>
      </c>
      <c r="M1828">
        <f>Cleaned[[#This Row],[Credit]]-Cleaned[[#This Row],[Debit]]</f>
        <v>1743.21</v>
      </c>
      <c r="N1828" t="str">
        <f>_xlfn.XLOOKUP(Cleaned[[#This Row],[AccountName]], Account_Mapping!A:A, Account_Mapping!B:B,"Unmapped")</f>
        <v>Revenue</v>
      </c>
      <c r="O1828" cm="1">
        <f t="array" ref="O1828">_xlfn.XLOOKUP(
  1,
  (FX_Rates[Currency]=Cleaned[[#This Row],[Currency]])*
  (FX_Rates[RateDate]&lt;=Cleaned[[#This Row],[TxnDate]]),
  FX_Rates[Rate_To_INR],
  ,
  -1
)</f>
        <v>103</v>
      </c>
      <c r="P1828" s="2">
        <f>Cleaned[[#This Row],[Net Amount]] *  Cleaned[[#This Row],[FX_rates]]</f>
        <v>179550.63</v>
      </c>
    </row>
    <row r="1829" spans="1:16" x14ac:dyDescent="0.45">
      <c r="A1829" t="s">
        <v>1837</v>
      </c>
      <c r="B1829" s="1">
        <v>45488</v>
      </c>
      <c r="C1829" s="2" t="s">
        <v>2013</v>
      </c>
      <c r="D1829" t="s">
        <v>2018</v>
      </c>
      <c r="E1829">
        <v>652.48</v>
      </c>
      <c r="F1829">
        <f>Cleaned[[#This Row],[Debit]] * Cleaned[[#This Row],[FX_rates]]</f>
        <v>36538.880000000005</v>
      </c>
      <c r="G1829">
        <v>0</v>
      </c>
      <c r="H1829">
        <f>Cleaned[[#This Row],[Credit]] *  Cleaned[[#This Row],[FX_rates]]</f>
        <v>0</v>
      </c>
      <c r="I1829" t="s">
        <v>2020</v>
      </c>
      <c r="J1829" t="s">
        <v>2026</v>
      </c>
      <c r="K1829" t="s">
        <v>3858</v>
      </c>
      <c r="L1829" t="s">
        <v>4033</v>
      </c>
      <c r="M1829">
        <f>Cleaned[[#This Row],[Credit]]-Cleaned[[#This Row],[Debit]]</f>
        <v>-652.48</v>
      </c>
      <c r="N1829" t="str">
        <f>_xlfn.XLOOKUP(Cleaned[[#This Row],[AccountName]], Account_Mapping!A:A, Account_Mapping!B:B,"Unmapped")</f>
        <v>Operating Expense</v>
      </c>
      <c r="O1829" cm="1">
        <f t="array" ref="O1829">_xlfn.XLOOKUP(
  1,
  (FX_Rates[Currency]=Cleaned[[#This Row],[Currency]])*
  (FX_Rates[RateDate]&lt;=Cleaned[[#This Row],[TxnDate]]),
  FX_Rates[Rate_To_INR],
  ,
  -1
)</f>
        <v>56</v>
      </c>
      <c r="P1829" s="2">
        <f>Cleaned[[#This Row],[Net Amount]] *  Cleaned[[#This Row],[FX_rates]]</f>
        <v>-36538.880000000005</v>
      </c>
    </row>
    <row r="1830" spans="1:16" x14ac:dyDescent="0.45">
      <c r="A1830" t="s">
        <v>1838</v>
      </c>
      <c r="B1830" s="1">
        <v>45247</v>
      </c>
      <c r="C1830" s="2" t="s">
        <v>2011</v>
      </c>
      <c r="D1830" t="s">
        <v>2016</v>
      </c>
      <c r="E1830">
        <v>710.38</v>
      </c>
      <c r="F1830">
        <f>Cleaned[[#This Row],[Debit]] * Cleaned[[#This Row],[FX_rates]]</f>
        <v>62513.440000000002</v>
      </c>
      <c r="G1830">
        <v>0</v>
      </c>
      <c r="H1830">
        <f>Cleaned[[#This Row],[Credit]] *  Cleaned[[#This Row],[FX_rates]]</f>
        <v>0</v>
      </c>
      <c r="I1830" t="s">
        <v>2020</v>
      </c>
      <c r="J1830" t="s">
        <v>2030</v>
      </c>
      <c r="K1830" t="s">
        <v>3859</v>
      </c>
      <c r="L1830" t="s">
        <v>4032</v>
      </c>
      <c r="M1830">
        <f>Cleaned[[#This Row],[Credit]]-Cleaned[[#This Row],[Debit]]</f>
        <v>-710.38</v>
      </c>
      <c r="N1830" t="str">
        <f>_xlfn.XLOOKUP(Cleaned[[#This Row],[AccountName]], Account_Mapping!A:A, Account_Mapping!B:B,"Unmapped")</f>
        <v>COGS</v>
      </c>
      <c r="O1830" cm="1">
        <f t="array" ref="O1830">_xlfn.XLOOKUP(
  1,
  (FX_Rates[Currency]=Cleaned[[#This Row],[Currency]])*
  (FX_Rates[RateDate]&lt;=Cleaned[[#This Row],[TxnDate]]),
  FX_Rates[Rate_To_INR],
  ,
  -1
)</f>
        <v>88</v>
      </c>
      <c r="P1830" s="2">
        <f>Cleaned[[#This Row],[Net Amount]] *  Cleaned[[#This Row],[FX_rates]]</f>
        <v>-62513.440000000002</v>
      </c>
    </row>
    <row r="1831" spans="1:16" x14ac:dyDescent="0.45">
      <c r="A1831" t="s">
        <v>1839</v>
      </c>
      <c r="B1831" s="1">
        <v>45717</v>
      </c>
      <c r="C1831" s="2" t="s">
        <v>2014</v>
      </c>
      <c r="D1831" t="s">
        <v>2019</v>
      </c>
      <c r="E1831">
        <v>0</v>
      </c>
      <c r="F1831">
        <f>Cleaned[[#This Row],[Debit]] * Cleaned[[#This Row],[FX_rates]]</f>
        <v>0</v>
      </c>
      <c r="G1831">
        <v>4569.3500000000004</v>
      </c>
      <c r="H1831">
        <f>Cleaned[[#This Row],[Credit]] *  Cleaned[[#This Row],[FX_rates]]</f>
        <v>402102.80000000005</v>
      </c>
      <c r="I1831" t="s">
        <v>2020</v>
      </c>
      <c r="J1831" t="s">
        <v>2029</v>
      </c>
      <c r="K1831" t="s">
        <v>3860</v>
      </c>
      <c r="L1831" t="s">
        <v>4032</v>
      </c>
      <c r="M1831">
        <f>Cleaned[[#This Row],[Credit]]-Cleaned[[#This Row],[Debit]]</f>
        <v>4569.3500000000004</v>
      </c>
      <c r="N1831" t="str">
        <f>_xlfn.XLOOKUP(Cleaned[[#This Row],[AccountName]], Account_Mapping!A:A, Account_Mapping!B:B,"Unmapped")</f>
        <v>Revenue</v>
      </c>
      <c r="O1831" cm="1">
        <f t="array" ref="O1831">_xlfn.XLOOKUP(
  1,
  (FX_Rates[Currency]=Cleaned[[#This Row],[Currency]])*
  (FX_Rates[RateDate]&lt;=Cleaned[[#This Row],[TxnDate]]),
  FX_Rates[Rate_To_INR],
  ,
  -1
)</f>
        <v>88</v>
      </c>
      <c r="P1831" s="2">
        <f>Cleaned[[#This Row],[Net Amount]] *  Cleaned[[#This Row],[FX_rates]]</f>
        <v>402102.80000000005</v>
      </c>
    </row>
    <row r="1832" spans="1:16" x14ac:dyDescent="0.45">
      <c r="A1832" t="s">
        <v>1840</v>
      </c>
      <c r="B1832" s="1">
        <v>45596</v>
      </c>
      <c r="C1832" s="2" t="s">
        <v>2011</v>
      </c>
      <c r="D1832" t="s">
        <v>2016</v>
      </c>
      <c r="E1832">
        <v>1247.49</v>
      </c>
      <c r="F1832">
        <f>Cleaned[[#This Row],[Debit]] * Cleaned[[#This Row],[FX_rates]]</f>
        <v>69859.44</v>
      </c>
      <c r="G1832">
        <v>0</v>
      </c>
      <c r="H1832">
        <f>Cleaned[[#This Row],[Credit]] *  Cleaned[[#This Row],[FX_rates]]</f>
        <v>0</v>
      </c>
      <c r="I1832" t="s">
        <v>2024</v>
      </c>
      <c r="J1832" t="s">
        <v>2028</v>
      </c>
      <c r="K1832" t="s">
        <v>3861</v>
      </c>
      <c r="L1832" t="s">
        <v>4033</v>
      </c>
      <c r="M1832">
        <f>Cleaned[[#This Row],[Credit]]-Cleaned[[#This Row],[Debit]]</f>
        <v>-1247.49</v>
      </c>
      <c r="N1832" t="str">
        <f>_xlfn.XLOOKUP(Cleaned[[#This Row],[AccountName]], Account_Mapping!A:A, Account_Mapping!B:B,"Unmapped")</f>
        <v>COGS</v>
      </c>
      <c r="O1832" cm="1">
        <f t="array" ref="O1832">_xlfn.XLOOKUP(
  1,
  (FX_Rates[Currency]=Cleaned[[#This Row],[Currency]])*
  (FX_Rates[RateDate]&lt;=Cleaned[[#This Row],[TxnDate]]),
  FX_Rates[Rate_To_INR],
  ,
  -1
)</f>
        <v>56</v>
      </c>
      <c r="P1832" s="2">
        <f>Cleaned[[#This Row],[Net Amount]] *  Cleaned[[#This Row],[FX_rates]]</f>
        <v>-69859.44</v>
      </c>
    </row>
    <row r="1833" spans="1:16" x14ac:dyDescent="0.45">
      <c r="A1833" t="s">
        <v>1841</v>
      </c>
      <c r="B1833" s="1">
        <v>45467</v>
      </c>
      <c r="C1833" s="2" t="s">
        <v>2012</v>
      </c>
      <c r="D1833" t="s">
        <v>2017</v>
      </c>
      <c r="E1833">
        <v>153.35</v>
      </c>
      <c r="F1833">
        <f>Cleaned[[#This Row],[Debit]] * Cleaned[[#This Row],[FX_rates]]</f>
        <v>9354.35</v>
      </c>
      <c r="G1833">
        <v>0</v>
      </c>
      <c r="H1833">
        <f>Cleaned[[#This Row],[Credit]] *  Cleaned[[#This Row],[FX_rates]]</f>
        <v>0</v>
      </c>
      <c r="I1833" t="s">
        <v>2024</v>
      </c>
      <c r="J1833" t="s">
        <v>2028</v>
      </c>
      <c r="K1833" t="s">
        <v>3862</v>
      </c>
      <c r="L1833" t="s">
        <v>4035</v>
      </c>
      <c r="M1833">
        <f>Cleaned[[#This Row],[Credit]]-Cleaned[[#This Row],[Debit]]</f>
        <v>-153.35</v>
      </c>
      <c r="N1833" t="str">
        <f>_xlfn.XLOOKUP(Cleaned[[#This Row],[AccountName]], Account_Mapping!A:A, Account_Mapping!B:B,"Unmapped")</f>
        <v>Operating Expense</v>
      </c>
      <c r="O1833" cm="1">
        <f t="array" ref="O1833">_xlfn.XLOOKUP(
  1,
  (FX_Rates[Currency]=Cleaned[[#This Row],[Currency]])*
  (FX_Rates[RateDate]&lt;=Cleaned[[#This Row],[TxnDate]]),
  FX_Rates[Rate_To_INR],
  ,
  -1
)</f>
        <v>61</v>
      </c>
      <c r="P1833" s="2">
        <f>Cleaned[[#This Row],[Net Amount]] *  Cleaned[[#This Row],[FX_rates]]</f>
        <v>-9354.35</v>
      </c>
    </row>
    <row r="1834" spans="1:16" x14ac:dyDescent="0.45">
      <c r="A1834" t="s">
        <v>1842</v>
      </c>
      <c r="B1834" s="1">
        <v>45711</v>
      </c>
      <c r="C1834" s="2" t="s">
        <v>2014</v>
      </c>
      <c r="D1834" t="s">
        <v>2019</v>
      </c>
      <c r="E1834">
        <v>0</v>
      </c>
      <c r="F1834">
        <f>Cleaned[[#This Row],[Debit]] * Cleaned[[#This Row],[FX_rates]]</f>
        <v>0</v>
      </c>
      <c r="G1834">
        <v>432.36</v>
      </c>
      <c r="H1834">
        <f>Cleaned[[#This Row],[Credit]] *  Cleaned[[#This Row],[FX_rates]]</f>
        <v>24212.16</v>
      </c>
      <c r="I1834" t="s">
        <v>2020</v>
      </c>
      <c r="J1834" t="s">
        <v>2028</v>
      </c>
      <c r="K1834" t="s">
        <v>3863</v>
      </c>
      <c r="L1834" t="s">
        <v>4033</v>
      </c>
      <c r="M1834">
        <f>Cleaned[[#This Row],[Credit]]-Cleaned[[#This Row],[Debit]]</f>
        <v>432.36</v>
      </c>
      <c r="N1834" t="str">
        <f>_xlfn.XLOOKUP(Cleaned[[#This Row],[AccountName]], Account_Mapping!A:A, Account_Mapping!B:B,"Unmapped")</f>
        <v>Revenue</v>
      </c>
      <c r="O1834" cm="1">
        <f t="array" ref="O1834">_xlfn.XLOOKUP(
  1,
  (FX_Rates[Currency]=Cleaned[[#This Row],[Currency]])*
  (FX_Rates[RateDate]&lt;=Cleaned[[#This Row],[TxnDate]]),
  FX_Rates[Rate_To_INR],
  ,
  -1
)</f>
        <v>56</v>
      </c>
      <c r="P1834" s="2">
        <f>Cleaned[[#This Row],[Net Amount]] *  Cleaned[[#This Row],[FX_rates]]</f>
        <v>24212.16</v>
      </c>
    </row>
    <row r="1835" spans="1:16" x14ac:dyDescent="0.45">
      <c r="A1835" t="s">
        <v>1843</v>
      </c>
      <c r="B1835" s="1">
        <v>45712</v>
      </c>
      <c r="C1835" s="2" t="s">
        <v>2013</v>
      </c>
      <c r="D1835" t="s">
        <v>2018</v>
      </c>
      <c r="E1835">
        <v>283.95999999999998</v>
      </c>
      <c r="F1835">
        <f>Cleaned[[#This Row],[Debit]] * Cleaned[[#This Row],[FX_rates]]</f>
        <v>23284.719999999998</v>
      </c>
      <c r="G1835">
        <v>0</v>
      </c>
      <c r="H1835">
        <f>Cleaned[[#This Row],[Credit]] *  Cleaned[[#This Row],[FX_rates]]</f>
        <v>0</v>
      </c>
      <c r="I1835" t="s">
        <v>2021</v>
      </c>
      <c r="J1835" t="s">
        <v>2026</v>
      </c>
      <c r="K1835" t="s">
        <v>3864</v>
      </c>
      <c r="L1835" t="s">
        <v>4034</v>
      </c>
      <c r="M1835">
        <f>Cleaned[[#This Row],[Credit]]-Cleaned[[#This Row],[Debit]]</f>
        <v>-283.95999999999998</v>
      </c>
      <c r="N1835" t="str">
        <f>_xlfn.XLOOKUP(Cleaned[[#This Row],[AccountName]], Account_Mapping!A:A, Account_Mapping!B:B,"Unmapped")</f>
        <v>Operating Expense</v>
      </c>
      <c r="O1835" cm="1">
        <f t="array" ref="O1835">_xlfn.XLOOKUP(
  1,
  (FX_Rates[Currency]=Cleaned[[#This Row],[Currency]])*
  (FX_Rates[RateDate]&lt;=Cleaned[[#This Row],[TxnDate]]),
  FX_Rates[Rate_To_INR],
  ,
  -1
)</f>
        <v>82</v>
      </c>
      <c r="P1835" s="2">
        <f>Cleaned[[#This Row],[Net Amount]] *  Cleaned[[#This Row],[FX_rates]]</f>
        <v>-23284.719999999998</v>
      </c>
    </row>
    <row r="1836" spans="1:16" x14ac:dyDescent="0.45">
      <c r="A1836" t="s">
        <v>1844</v>
      </c>
      <c r="B1836" s="1">
        <v>44966</v>
      </c>
      <c r="C1836" s="2" t="s">
        <v>2011</v>
      </c>
      <c r="D1836" t="s">
        <v>2016</v>
      </c>
      <c r="E1836">
        <v>1915.58</v>
      </c>
      <c r="F1836">
        <f>Cleaned[[#This Row],[Debit]] * Cleaned[[#This Row],[FX_rates]]</f>
        <v>157077.56</v>
      </c>
      <c r="G1836">
        <v>0</v>
      </c>
      <c r="H1836">
        <f>Cleaned[[#This Row],[Credit]] *  Cleaned[[#This Row],[FX_rates]]</f>
        <v>0</v>
      </c>
      <c r="I1836" t="s">
        <v>2024</v>
      </c>
      <c r="J1836" t="s">
        <v>2030</v>
      </c>
      <c r="K1836" t="s">
        <v>3865</v>
      </c>
      <c r="L1836" t="s">
        <v>4034</v>
      </c>
      <c r="M1836">
        <f>Cleaned[[#This Row],[Credit]]-Cleaned[[#This Row],[Debit]]</f>
        <v>-1915.58</v>
      </c>
      <c r="N1836" t="str">
        <f>_xlfn.XLOOKUP(Cleaned[[#This Row],[AccountName]], Account_Mapping!A:A, Account_Mapping!B:B,"Unmapped")</f>
        <v>COGS</v>
      </c>
      <c r="O1836" cm="1">
        <f t="array" ref="O1836">_xlfn.XLOOKUP(
  1,
  (FX_Rates[Currency]=Cleaned[[#This Row],[Currency]])*
  (FX_Rates[RateDate]&lt;=Cleaned[[#This Row],[TxnDate]]),
  FX_Rates[Rate_To_INR],
  ,
  -1
)</f>
        <v>82</v>
      </c>
      <c r="P1836" s="2">
        <f>Cleaned[[#This Row],[Net Amount]] *  Cleaned[[#This Row],[FX_rates]]</f>
        <v>-157077.56</v>
      </c>
    </row>
    <row r="1837" spans="1:16" x14ac:dyDescent="0.45">
      <c r="A1837" t="s">
        <v>1845</v>
      </c>
      <c r="B1837" s="1">
        <v>45025</v>
      </c>
      <c r="C1837" s="2" t="s">
        <v>2011</v>
      </c>
      <c r="D1837" t="s">
        <v>2016</v>
      </c>
      <c r="E1837">
        <v>229.78</v>
      </c>
      <c r="F1837">
        <f>Cleaned[[#This Row],[Debit]] * Cleaned[[#This Row],[FX_rates]]</f>
        <v>23667.34</v>
      </c>
      <c r="G1837">
        <v>0</v>
      </c>
      <c r="H1837">
        <f>Cleaned[[#This Row],[Credit]] *  Cleaned[[#This Row],[FX_rates]]</f>
        <v>0</v>
      </c>
      <c r="I1837" t="s">
        <v>2023</v>
      </c>
      <c r="J1837" t="s">
        <v>2029</v>
      </c>
      <c r="K1837" t="s">
        <v>3866</v>
      </c>
      <c r="L1837" t="s">
        <v>4031</v>
      </c>
      <c r="M1837">
        <f>Cleaned[[#This Row],[Credit]]-Cleaned[[#This Row],[Debit]]</f>
        <v>-229.78</v>
      </c>
      <c r="N1837" t="str">
        <f>_xlfn.XLOOKUP(Cleaned[[#This Row],[AccountName]], Account_Mapping!A:A, Account_Mapping!B:B,"Unmapped")</f>
        <v>COGS</v>
      </c>
      <c r="O1837" cm="1">
        <f t="array" ref="O1837">_xlfn.XLOOKUP(
  1,
  (FX_Rates[Currency]=Cleaned[[#This Row],[Currency]])*
  (FX_Rates[RateDate]&lt;=Cleaned[[#This Row],[TxnDate]]),
  FX_Rates[Rate_To_INR],
  ,
  -1
)</f>
        <v>103</v>
      </c>
      <c r="P1837" s="2">
        <f>Cleaned[[#This Row],[Net Amount]] *  Cleaned[[#This Row],[FX_rates]]</f>
        <v>-23667.34</v>
      </c>
    </row>
    <row r="1838" spans="1:16" x14ac:dyDescent="0.45">
      <c r="A1838" t="s">
        <v>1846</v>
      </c>
      <c r="B1838" s="1">
        <v>45651</v>
      </c>
      <c r="C1838" s="2" t="s">
        <v>2012</v>
      </c>
      <c r="D1838" t="s">
        <v>2017</v>
      </c>
      <c r="E1838">
        <v>1583.41</v>
      </c>
      <c r="F1838">
        <f>Cleaned[[#This Row],[Debit]] * Cleaned[[#This Row],[FX_rates]]</f>
        <v>139340.08000000002</v>
      </c>
      <c r="G1838">
        <v>0</v>
      </c>
      <c r="H1838">
        <f>Cleaned[[#This Row],[Credit]] *  Cleaned[[#This Row],[FX_rates]]</f>
        <v>0</v>
      </c>
      <c r="I1838" t="s">
        <v>2021</v>
      </c>
      <c r="J1838" t="s">
        <v>2026</v>
      </c>
      <c r="K1838" t="s">
        <v>3867</v>
      </c>
      <c r="L1838" t="s">
        <v>4032</v>
      </c>
      <c r="M1838">
        <f>Cleaned[[#This Row],[Credit]]-Cleaned[[#This Row],[Debit]]</f>
        <v>-1583.41</v>
      </c>
      <c r="N1838" t="str">
        <f>_xlfn.XLOOKUP(Cleaned[[#This Row],[AccountName]], Account_Mapping!A:A, Account_Mapping!B:B,"Unmapped")</f>
        <v>Operating Expense</v>
      </c>
      <c r="O1838" cm="1">
        <f t="array" ref="O1838">_xlfn.XLOOKUP(
  1,
  (FX_Rates[Currency]=Cleaned[[#This Row],[Currency]])*
  (FX_Rates[RateDate]&lt;=Cleaned[[#This Row],[TxnDate]]),
  FX_Rates[Rate_To_INR],
  ,
  -1
)</f>
        <v>88</v>
      </c>
      <c r="P1838" s="2">
        <f>Cleaned[[#This Row],[Net Amount]] *  Cleaned[[#This Row],[FX_rates]]</f>
        <v>-139340.08000000002</v>
      </c>
    </row>
    <row r="1839" spans="1:16" x14ac:dyDescent="0.45">
      <c r="A1839" t="s">
        <v>1847</v>
      </c>
      <c r="B1839" s="1">
        <v>44978</v>
      </c>
      <c r="C1839" s="2" t="s">
        <v>2014</v>
      </c>
      <c r="D1839" t="s">
        <v>2019</v>
      </c>
      <c r="E1839">
        <v>0</v>
      </c>
      <c r="F1839">
        <f>Cleaned[[#This Row],[Debit]] * Cleaned[[#This Row],[FX_rates]]</f>
        <v>0</v>
      </c>
      <c r="G1839">
        <v>4316.26</v>
      </c>
      <c r="H1839">
        <f>Cleaned[[#This Row],[Credit]] *  Cleaned[[#This Row],[FX_rates]]</f>
        <v>444574.78</v>
      </c>
      <c r="I1839" t="s">
        <v>2021</v>
      </c>
      <c r="J1839" t="s">
        <v>2030</v>
      </c>
      <c r="K1839" t="s">
        <v>3868</v>
      </c>
      <c r="L1839" t="s">
        <v>4031</v>
      </c>
      <c r="M1839">
        <f>Cleaned[[#This Row],[Credit]]-Cleaned[[#This Row],[Debit]]</f>
        <v>4316.26</v>
      </c>
      <c r="N1839" t="str">
        <f>_xlfn.XLOOKUP(Cleaned[[#This Row],[AccountName]], Account_Mapping!A:A, Account_Mapping!B:B,"Unmapped")</f>
        <v>Revenue</v>
      </c>
      <c r="O1839" cm="1">
        <f t="array" ref="O1839">_xlfn.XLOOKUP(
  1,
  (FX_Rates[Currency]=Cleaned[[#This Row],[Currency]])*
  (FX_Rates[RateDate]&lt;=Cleaned[[#This Row],[TxnDate]]),
  FX_Rates[Rate_To_INR],
  ,
  -1
)</f>
        <v>103</v>
      </c>
      <c r="P1839" s="2">
        <f>Cleaned[[#This Row],[Net Amount]] *  Cleaned[[#This Row],[FX_rates]]</f>
        <v>444574.78</v>
      </c>
    </row>
    <row r="1840" spans="1:16" x14ac:dyDescent="0.45">
      <c r="A1840" t="s">
        <v>1848</v>
      </c>
      <c r="B1840" s="1">
        <v>45460</v>
      </c>
      <c r="C1840" s="2" t="s">
        <v>2010</v>
      </c>
      <c r="D1840" t="s">
        <v>2015</v>
      </c>
      <c r="E1840">
        <v>0</v>
      </c>
      <c r="F1840">
        <f>Cleaned[[#This Row],[Debit]] * Cleaned[[#This Row],[FX_rates]]</f>
        <v>0</v>
      </c>
      <c r="G1840">
        <v>887.28</v>
      </c>
      <c r="H1840">
        <f>Cleaned[[#This Row],[Credit]] *  Cleaned[[#This Row],[FX_rates]]</f>
        <v>78080.639999999999</v>
      </c>
      <c r="I1840" t="s">
        <v>2020</v>
      </c>
      <c r="J1840" t="s">
        <v>2029</v>
      </c>
      <c r="K1840" t="s">
        <v>3869</v>
      </c>
      <c r="L1840" t="s">
        <v>4032</v>
      </c>
      <c r="M1840">
        <f>Cleaned[[#This Row],[Credit]]-Cleaned[[#This Row],[Debit]]</f>
        <v>887.28</v>
      </c>
      <c r="N1840" t="str">
        <f>_xlfn.XLOOKUP(Cleaned[[#This Row],[AccountName]], Account_Mapping!A:A, Account_Mapping!B:B,"Unmapped")</f>
        <v>Revenue</v>
      </c>
      <c r="O1840" cm="1">
        <f t="array" ref="O1840">_xlfn.XLOOKUP(
  1,
  (FX_Rates[Currency]=Cleaned[[#This Row],[Currency]])*
  (FX_Rates[RateDate]&lt;=Cleaned[[#This Row],[TxnDate]]),
  FX_Rates[Rate_To_INR],
  ,
  -1
)</f>
        <v>88</v>
      </c>
      <c r="P1840" s="2">
        <f>Cleaned[[#This Row],[Net Amount]] *  Cleaned[[#This Row],[FX_rates]]</f>
        <v>78080.639999999999</v>
      </c>
    </row>
    <row r="1841" spans="1:16" x14ac:dyDescent="0.45">
      <c r="A1841" t="s">
        <v>1849</v>
      </c>
      <c r="B1841" s="1">
        <v>45831</v>
      </c>
      <c r="C1841" s="2" t="s">
        <v>2014</v>
      </c>
      <c r="D1841" t="s">
        <v>2019</v>
      </c>
      <c r="E1841">
        <v>0</v>
      </c>
      <c r="F1841">
        <f>Cleaned[[#This Row],[Debit]] * Cleaned[[#This Row],[FX_rates]]</f>
        <v>0</v>
      </c>
      <c r="G1841">
        <v>1446.64</v>
      </c>
      <c r="H1841">
        <f>Cleaned[[#This Row],[Credit]] *  Cleaned[[#This Row],[FX_rates]]</f>
        <v>127304.32000000001</v>
      </c>
      <c r="I1841" t="s">
        <v>2021</v>
      </c>
      <c r="J1841" t="s">
        <v>2028</v>
      </c>
      <c r="K1841" t="s">
        <v>3870</v>
      </c>
      <c r="L1841" t="s">
        <v>4032</v>
      </c>
      <c r="M1841">
        <f>Cleaned[[#This Row],[Credit]]-Cleaned[[#This Row],[Debit]]</f>
        <v>1446.64</v>
      </c>
      <c r="N1841" t="str">
        <f>_xlfn.XLOOKUP(Cleaned[[#This Row],[AccountName]], Account_Mapping!A:A, Account_Mapping!B:B,"Unmapped")</f>
        <v>Revenue</v>
      </c>
      <c r="O1841" cm="1">
        <f t="array" ref="O1841">_xlfn.XLOOKUP(
  1,
  (FX_Rates[Currency]=Cleaned[[#This Row],[Currency]])*
  (FX_Rates[RateDate]&lt;=Cleaned[[#This Row],[TxnDate]]),
  FX_Rates[Rate_To_INR],
  ,
  -1
)</f>
        <v>88</v>
      </c>
      <c r="P1841" s="2">
        <f>Cleaned[[#This Row],[Net Amount]] *  Cleaned[[#This Row],[FX_rates]]</f>
        <v>127304.32000000001</v>
      </c>
    </row>
    <row r="1842" spans="1:16" x14ac:dyDescent="0.45">
      <c r="A1842" t="s">
        <v>1850</v>
      </c>
      <c r="B1842" s="1">
        <v>45615</v>
      </c>
      <c r="C1842" s="2" t="s">
        <v>2013</v>
      </c>
      <c r="D1842" t="s">
        <v>2018</v>
      </c>
      <c r="E1842">
        <v>794.56</v>
      </c>
      <c r="F1842">
        <f>Cleaned[[#This Row],[Debit]] * Cleaned[[#This Row],[FX_rates]]</f>
        <v>65153.919999999998</v>
      </c>
      <c r="G1842">
        <v>0</v>
      </c>
      <c r="H1842">
        <f>Cleaned[[#This Row],[Credit]] *  Cleaned[[#This Row],[FX_rates]]</f>
        <v>0</v>
      </c>
      <c r="I1842" t="s">
        <v>2025</v>
      </c>
      <c r="J1842" t="s">
        <v>2030</v>
      </c>
      <c r="K1842" t="s">
        <v>3871</v>
      </c>
      <c r="L1842" t="s">
        <v>4034</v>
      </c>
      <c r="M1842">
        <f>Cleaned[[#This Row],[Credit]]-Cleaned[[#This Row],[Debit]]</f>
        <v>-794.56</v>
      </c>
      <c r="N1842" t="str">
        <f>_xlfn.XLOOKUP(Cleaned[[#This Row],[AccountName]], Account_Mapping!A:A, Account_Mapping!B:B,"Unmapped")</f>
        <v>Operating Expense</v>
      </c>
      <c r="O1842" cm="1">
        <f t="array" ref="O1842">_xlfn.XLOOKUP(
  1,
  (FX_Rates[Currency]=Cleaned[[#This Row],[Currency]])*
  (FX_Rates[RateDate]&lt;=Cleaned[[#This Row],[TxnDate]]),
  FX_Rates[Rate_To_INR],
  ,
  -1
)</f>
        <v>82</v>
      </c>
      <c r="P1842" s="2">
        <f>Cleaned[[#This Row],[Net Amount]] *  Cleaned[[#This Row],[FX_rates]]</f>
        <v>-65153.919999999998</v>
      </c>
    </row>
    <row r="1843" spans="1:16" x14ac:dyDescent="0.45">
      <c r="A1843" t="s">
        <v>1851</v>
      </c>
      <c r="B1843" s="1">
        <v>44993</v>
      </c>
      <c r="C1843" s="2" t="s">
        <v>2010</v>
      </c>
      <c r="D1843" t="s">
        <v>2015</v>
      </c>
      <c r="E1843">
        <v>0</v>
      </c>
      <c r="F1843">
        <f>Cleaned[[#This Row],[Debit]] * Cleaned[[#This Row],[FX_rates]]</f>
        <v>0</v>
      </c>
      <c r="G1843">
        <v>1094.51</v>
      </c>
      <c r="H1843">
        <f>Cleaned[[#This Row],[Credit]] *  Cleaned[[#This Row],[FX_rates]]</f>
        <v>89749.819999999992</v>
      </c>
      <c r="I1843" t="s">
        <v>2021</v>
      </c>
      <c r="J1843" t="s">
        <v>2028</v>
      </c>
      <c r="K1843" t="s">
        <v>3872</v>
      </c>
      <c r="L1843" t="s">
        <v>4034</v>
      </c>
      <c r="M1843">
        <f>Cleaned[[#This Row],[Credit]]-Cleaned[[#This Row],[Debit]]</f>
        <v>1094.51</v>
      </c>
      <c r="N1843" t="str">
        <f>_xlfn.XLOOKUP(Cleaned[[#This Row],[AccountName]], Account_Mapping!A:A, Account_Mapping!B:B,"Unmapped")</f>
        <v>Revenue</v>
      </c>
      <c r="O1843" cm="1">
        <f t="array" ref="O1843">_xlfn.XLOOKUP(
  1,
  (FX_Rates[Currency]=Cleaned[[#This Row],[Currency]])*
  (FX_Rates[RateDate]&lt;=Cleaned[[#This Row],[TxnDate]]),
  FX_Rates[Rate_To_INR],
  ,
  -1
)</f>
        <v>82</v>
      </c>
      <c r="P1843" s="2">
        <f>Cleaned[[#This Row],[Net Amount]] *  Cleaned[[#This Row],[FX_rates]]</f>
        <v>89749.819999999992</v>
      </c>
    </row>
    <row r="1844" spans="1:16" x14ac:dyDescent="0.45">
      <c r="A1844" t="s">
        <v>1852</v>
      </c>
      <c r="B1844" s="1">
        <v>45421</v>
      </c>
      <c r="C1844" s="2" t="s">
        <v>2014</v>
      </c>
      <c r="D1844" t="s">
        <v>2019</v>
      </c>
      <c r="E1844">
        <v>0</v>
      </c>
      <c r="F1844">
        <f>Cleaned[[#This Row],[Debit]] * Cleaned[[#This Row],[FX_rates]]</f>
        <v>0</v>
      </c>
      <c r="G1844">
        <v>1492.82</v>
      </c>
      <c r="H1844">
        <f>Cleaned[[#This Row],[Credit]] *  Cleaned[[#This Row],[FX_rates]]</f>
        <v>122411.23999999999</v>
      </c>
      <c r="I1844" t="s">
        <v>2022</v>
      </c>
      <c r="J1844" t="s">
        <v>2029</v>
      </c>
      <c r="K1844" t="s">
        <v>3873</v>
      </c>
      <c r="L1844" t="s">
        <v>4034</v>
      </c>
      <c r="M1844">
        <f>Cleaned[[#This Row],[Credit]]-Cleaned[[#This Row],[Debit]]</f>
        <v>1492.82</v>
      </c>
      <c r="N1844" t="str">
        <f>_xlfn.XLOOKUP(Cleaned[[#This Row],[AccountName]], Account_Mapping!A:A, Account_Mapping!B:B,"Unmapped")</f>
        <v>Revenue</v>
      </c>
      <c r="O1844" cm="1">
        <f t="array" ref="O1844">_xlfn.XLOOKUP(
  1,
  (FX_Rates[Currency]=Cleaned[[#This Row],[Currency]])*
  (FX_Rates[RateDate]&lt;=Cleaned[[#This Row],[TxnDate]]),
  FX_Rates[Rate_To_INR],
  ,
  -1
)</f>
        <v>82</v>
      </c>
      <c r="P1844" s="2">
        <f>Cleaned[[#This Row],[Net Amount]] *  Cleaned[[#This Row],[FX_rates]]</f>
        <v>122411.23999999999</v>
      </c>
    </row>
    <row r="1845" spans="1:16" x14ac:dyDescent="0.45">
      <c r="A1845" t="s">
        <v>1853</v>
      </c>
      <c r="B1845" s="1">
        <v>45660</v>
      </c>
      <c r="C1845" s="2" t="s">
        <v>2010</v>
      </c>
      <c r="D1845" t="s">
        <v>2015</v>
      </c>
      <c r="E1845">
        <v>0</v>
      </c>
      <c r="F1845">
        <f>Cleaned[[#This Row],[Debit]] * Cleaned[[#This Row],[FX_rates]]</f>
        <v>0</v>
      </c>
      <c r="G1845">
        <v>1521.98</v>
      </c>
      <c r="H1845">
        <f>Cleaned[[#This Row],[Credit]] *  Cleaned[[#This Row],[FX_rates]]</f>
        <v>156763.94</v>
      </c>
      <c r="I1845" t="s">
        <v>2023</v>
      </c>
      <c r="J1845" t="s">
        <v>2028</v>
      </c>
      <c r="K1845" t="s">
        <v>3874</v>
      </c>
      <c r="L1845" t="s">
        <v>4031</v>
      </c>
      <c r="M1845">
        <f>Cleaned[[#This Row],[Credit]]-Cleaned[[#This Row],[Debit]]</f>
        <v>1521.98</v>
      </c>
      <c r="N1845" t="str">
        <f>_xlfn.XLOOKUP(Cleaned[[#This Row],[AccountName]], Account_Mapping!A:A, Account_Mapping!B:B,"Unmapped")</f>
        <v>Revenue</v>
      </c>
      <c r="O1845" cm="1">
        <f t="array" ref="O1845">_xlfn.XLOOKUP(
  1,
  (FX_Rates[Currency]=Cleaned[[#This Row],[Currency]])*
  (FX_Rates[RateDate]&lt;=Cleaned[[#This Row],[TxnDate]]),
  FX_Rates[Rate_To_INR],
  ,
  -1
)</f>
        <v>103</v>
      </c>
      <c r="P1845" s="2">
        <f>Cleaned[[#This Row],[Net Amount]] *  Cleaned[[#This Row],[FX_rates]]</f>
        <v>156763.94</v>
      </c>
    </row>
    <row r="1846" spans="1:16" x14ac:dyDescent="0.45">
      <c r="A1846" t="s">
        <v>1854</v>
      </c>
      <c r="B1846" s="1">
        <v>45527</v>
      </c>
      <c r="C1846" s="2" t="s">
        <v>2013</v>
      </c>
      <c r="D1846" t="s">
        <v>2018</v>
      </c>
      <c r="E1846">
        <v>597.86</v>
      </c>
      <c r="F1846">
        <f>Cleaned[[#This Row],[Debit]] * Cleaned[[#This Row],[FX_rates]]</f>
        <v>52611.68</v>
      </c>
      <c r="G1846">
        <v>0</v>
      </c>
      <c r="H1846">
        <f>Cleaned[[#This Row],[Credit]] *  Cleaned[[#This Row],[FX_rates]]</f>
        <v>0</v>
      </c>
      <c r="I1846" t="s">
        <v>2023</v>
      </c>
      <c r="J1846" t="s">
        <v>2030</v>
      </c>
      <c r="K1846" t="s">
        <v>3875</v>
      </c>
      <c r="L1846" t="s">
        <v>4032</v>
      </c>
      <c r="M1846">
        <f>Cleaned[[#This Row],[Credit]]-Cleaned[[#This Row],[Debit]]</f>
        <v>-597.86</v>
      </c>
      <c r="N1846" t="str">
        <f>_xlfn.XLOOKUP(Cleaned[[#This Row],[AccountName]], Account_Mapping!A:A, Account_Mapping!B:B,"Unmapped")</f>
        <v>Operating Expense</v>
      </c>
      <c r="O1846" cm="1">
        <f t="array" ref="O1846">_xlfn.XLOOKUP(
  1,
  (FX_Rates[Currency]=Cleaned[[#This Row],[Currency]])*
  (FX_Rates[RateDate]&lt;=Cleaned[[#This Row],[TxnDate]]),
  FX_Rates[Rate_To_INR],
  ,
  -1
)</f>
        <v>88</v>
      </c>
      <c r="P1846" s="2">
        <f>Cleaned[[#This Row],[Net Amount]] *  Cleaned[[#This Row],[FX_rates]]</f>
        <v>-52611.68</v>
      </c>
    </row>
    <row r="1847" spans="1:16" x14ac:dyDescent="0.45">
      <c r="A1847" t="s">
        <v>1855</v>
      </c>
      <c r="B1847" s="1">
        <v>45312</v>
      </c>
      <c r="C1847" s="2" t="s">
        <v>2012</v>
      </c>
      <c r="D1847" t="s">
        <v>2017</v>
      </c>
      <c r="E1847">
        <v>106.18</v>
      </c>
      <c r="F1847">
        <f>Cleaned[[#This Row],[Debit]] * Cleaned[[#This Row],[FX_rates]]</f>
        <v>8706.76</v>
      </c>
      <c r="G1847">
        <v>0</v>
      </c>
      <c r="H1847">
        <f>Cleaned[[#This Row],[Credit]] *  Cleaned[[#This Row],[FX_rates]]</f>
        <v>0</v>
      </c>
      <c r="I1847" t="s">
        <v>2023</v>
      </c>
      <c r="J1847" t="s">
        <v>2029</v>
      </c>
      <c r="K1847" t="s">
        <v>3876</v>
      </c>
      <c r="L1847" t="s">
        <v>4034</v>
      </c>
      <c r="M1847">
        <f>Cleaned[[#This Row],[Credit]]-Cleaned[[#This Row],[Debit]]</f>
        <v>-106.18</v>
      </c>
      <c r="N1847" t="str">
        <f>_xlfn.XLOOKUP(Cleaned[[#This Row],[AccountName]], Account_Mapping!A:A, Account_Mapping!B:B,"Unmapped")</f>
        <v>Operating Expense</v>
      </c>
      <c r="O1847" cm="1">
        <f t="array" ref="O1847">_xlfn.XLOOKUP(
  1,
  (FX_Rates[Currency]=Cleaned[[#This Row],[Currency]])*
  (FX_Rates[RateDate]&lt;=Cleaned[[#This Row],[TxnDate]]),
  FX_Rates[Rate_To_INR],
  ,
  -1
)</f>
        <v>82</v>
      </c>
      <c r="P1847" s="2">
        <f>Cleaned[[#This Row],[Net Amount]] *  Cleaned[[#This Row],[FX_rates]]</f>
        <v>-8706.76</v>
      </c>
    </row>
    <row r="1848" spans="1:16" x14ac:dyDescent="0.45">
      <c r="A1848" t="s">
        <v>1856</v>
      </c>
      <c r="B1848" s="1">
        <v>45118</v>
      </c>
      <c r="C1848" s="2" t="s">
        <v>2013</v>
      </c>
      <c r="D1848" t="s">
        <v>2018</v>
      </c>
      <c r="E1848">
        <v>446.48</v>
      </c>
      <c r="F1848">
        <f>Cleaned[[#This Row],[Debit]] * Cleaned[[#This Row],[FX_rates]]</f>
        <v>45987.44</v>
      </c>
      <c r="G1848">
        <v>0</v>
      </c>
      <c r="H1848">
        <f>Cleaned[[#This Row],[Credit]] *  Cleaned[[#This Row],[FX_rates]]</f>
        <v>0</v>
      </c>
      <c r="I1848" t="s">
        <v>2020</v>
      </c>
      <c r="J1848" t="s">
        <v>2029</v>
      </c>
      <c r="K1848" t="s">
        <v>3877</v>
      </c>
      <c r="L1848" t="s">
        <v>4031</v>
      </c>
      <c r="M1848">
        <f>Cleaned[[#This Row],[Credit]]-Cleaned[[#This Row],[Debit]]</f>
        <v>-446.48</v>
      </c>
      <c r="N1848" t="str">
        <f>_xlfn.XLOOKUP(Cleaned[[#This Row],[AccountName]], Account_Mapping!A:A, Account_Mapping!B:B,"Unmapped")</f>
        <v>Operating Expense</v>
      </c>
      <c r="O1848" cm="1">
        <f t="array" ref="O1848">_xlfn.XLOOKUP(
  1,
  (FX_Rates[Currency]=Cleaned[[#This Row],[Currency]])*
  (FX_Rates[RateDate]&lt;=Cleaned[[#This Row],[TxnDate]]),
  FX_Rates[Rate_To_INR],
  ,
  -1
)</f>
        <v>103</v>
      </c>
      <c r="P1848" s="2">
        <f>Cleaned[[#This Row],[Net Amount]] *  Cleaned[[#This Row],[FX_rates]]</f>
        <v>-45987.44</v>
      </c>
    </row>
    <row r="1849" spans="1:16" x14ac:dyDescent="0.45">
      <c r="A1849" t="s">
        <v>1857</v>
      </c>
      <c r="B1849" s="1">
        <v>45645</v>
      </c>
      <c r="C1849" s="2" t="s">
        <v>2012</v>
      </c>
      <c r="D1849" t="s">
        <v>2017</v>
      </c>
      <c r="E1849">
        <v>405.28</v>
      </c>
      <c r="F1849">
        <f>Cleaned[[#This Row],[Debit]] * Cleaned[[#This Row],[FX_rates]]</f>
        <v>41743.839999999997</v>
      </c>
      <c r="G1849">
        <v>0</v>
      </c>
      <c r="H1849">
        <f>Cleaned[[#This Row],[Credit]] *  Cleaned[[#This Row],[FX_rates]]</f>
        <v>0</v>
      </c>
      <c r="I1849" t="s">
        <v>2021</v>
      </c>
      <c r="J1849" t="s">
        <v>2028</v>
      </c>
      <c r="K1849" t="s">
        <v>3878</v>
      </c>
      <c r="L1849" t="s">
        <v>4031</v>
      </c>
      <c r="M1849">
        <f>Cleaned[[#This Row],[Credit]]-Cleaned[[#This Row],[Debit]]</f>
        <v>-405.28</v>
      </c>
      <c r="N1849" t="str">
        <f>_xlfn.XLOOKUP(Cleaned[[#This Row],[AccountName]], Account_Mapping!A:A, Account_Mapping!B:B,"Unmapped")</f>
        <v>Operating Expense</v>
      </c>
      <c r="O1849" cm="1">
        <f t="array" ref="O1849">_xlfn.XLOOKUP(
  1,
  (FX_Rates[Currency]=Cleaned[[#This Row],[Currency]])*
  (FX_Rates[RateDate]&lt;=Cleaned[[#This Row],[TxnDate]]),
  FX_Rates[Rate_To_INR],
  ,
  -1
)</f>
        <v>103</v>
      </c>
      <c r="P1849" s="2">
        <f>Cleaned[[#This Row],[Net Amount]] *  Cleaned[[#This Row],[FX_rates]]</f>
        <v>-41743.839999999997</v>
      </c>
    </row>
    <row r="1850" spans="1:16" x14ac:dyDescent="0.45">
      <c r="A1850" t="s">
        <v>1858</v>
      </c>
      <c r="B1850" s="1">
        <v>45120</v>
      </c>
      <c r="C1850" s="2" t="s">
        <v>2011</v>
      </c>
      <c r="D1850" t="s">
        <v>2016</v>
      </c>
      <c r="E1850">
        <v>1418.69</v>
      </c>
      <c r="F1850">
        <f>Cleaned[[#This Row],[Debit]] * Cleaned[[#This Row],[FX_rates]]</f>
        <v>116332.58</v>
      </c>
      <c r="G1850">
        <v>0</v>
      </c>
      <c r="H1850">
        <f>Cleaned[[#This Row],[Credit]] *  Cleaned[[#This Row],[FX_rates]]</f>
        <v>0</v>
      </c>
      <c r="I1850" t="s">
        <v>2021</v>
      </c>
      <c r="J1850" t="s">
        <v>2027</v>
      </c>
      <c r="K1850" t="s">
        <v>3879</v>
      </c>
      <c r="L1850" t="s">
        <v>4034</v>
      </c>
      <c r="M1850">
        <f>Cleaned[[#This Row],[Credit]]-Cleaned[[#This Row],[Debit]]</f>
        <v>-1418.69</v>
      </c>
      <c r="N1850" t="str">
        <f>_xlfn.XLOOKUP(Cleaned[[#This Row],[AccountName]], Account_Mapping!A:A, Account_Mapping!B:B,"Unmapped")</f>
        <v>COGS</v>
      </c>
      <c r="O1850" cm="1">
        <f t="array" ref="O1850">_xlfn.XLOOKUP(
  1,
  (FX_Rates[Currency]=Cleaned[[#This Row],[Currency]])*
  (FX_Rates[RateDate]&lt;=Cleaned[[#This Row],[TxnDate]]),
  FX_Rates[Rate_To_INR],
  ,
  -1
)</f>
        <v>82</v>
      </c>
      <c r="P1850" s="2">
        <f>Cleaned[[#This Row],[Net Amount]] *  Cleaned[[#This Row],[FX_rates]]</f>
        <v>-116332.58</v>
      </c>
    </row>
    <row r="1851" spans="1:16" x14ac:dyDescent="0.45">
      <c r="A1851" t="s">
        <v>1859</v>
      </c>
      <c r="B1851" s="1">
        <v>45714</v>
      </c>
      <c r="C1851" s="2" t="s">
        <v>2012</v>
      </c>
      <c r="D1851" t="s">
        <v>2017</v>
      </c>
      <c r="E1851">
        <v>622.67999999999995</v>
      </c>
      <c r="F1851">
        <f>Cleaned[[#This Row],[Debit]] * Cleaned[[#This Row],[FX_rates]]</f>
        <v>51059.759999999995</v>
      </c>
      <c r="G1851">
        <v>0</v>
      </c>
      <c r="H1851">
        <f>Cleaned[[#This Row],[Credit]] *  Cleaned[[#This Row],[FX_rates]]</f>
        <v>0</v>
      </c>
      <c r="I1851" t="s">
        <v>2021</v>
      </c>
      <c r="J1851" t="s">
        <v>2029</v>
      </c>
      <c r="K1851" t="s">
        <v>3880</v>
      </c>
      <c r="L1851" t="s">
        <v>4034</v>
      </c>
      <c r="M1851">
        <f>Cleaned[[#This Row],[Credit]]-Cleaned[[#This Row],[Debit]]</f>
        <v>-622.67999999999995</v>
      </c>
      <c r="N1851" t="str">
        <f>_xlfn.XLOOKUP(Cleaned[[#This Row],[AccountName]], Account_Mapping!A:A, Account_Mapping!B:B,"Unmapped")</f>
        <v>Operating Expense</v>
      </c>
      <c r="O1851" cm="1">
        <f t="array" ref="O1851">_xlfn.XLOOKUP(
  1,
  (FX_Rates[Currency]=Cleaned[[#This Row],[Currency]])*
  (FX_Rates[RateDate]&lt;=Cleaned[[#This Row],[TxnDate]]),
  FX_Rates[Rate_To_INR],
  ,
  -1
)</f>
        <v>82</v>
      </c>
      <c r="P1851" s="2">
        <f>Cleaned[[#This Row],[Net Amount]] *  Cleaned[[#This Row],[FX_rates]]</f>
        <v>-51059.759999999995</v>
      </c>
    </row>
    <row r="1852" spans="1:16" x14ac:dyDescent="0.45">
      <c r="A1852" t="s">
        <v>1860</v>
      </c>
      <c r="B1852" s="1">
        <v>45536</v>
      </c>
      <c r="C1852" s="2" t="s">
        <v>2012</v>
      </c>
      <c r="D1852" t="s">
        <v>2017</v>
      </c>
      <c r="E1852">
        <v>568.46</v>
      </c>
      <c r="F1852">
        <f>Cleaned[[#This Row],[Debit]] * Cleaned[[#This Row],[FX_rates]]</f>
        <v>31833.760000000002</v>
      </c>
      <c r="G1852">
        <v>0</v>
      </c>
      <c r="H1852">
        <f>Cleaned[[#This Row],[Credit]] *  Cleaned[[#This Row],[FX_rates]]</f>
        <v>0</v>
      </c>
      <c r="I1852" t="s">
        <v>2021</v>
      </c>
      <c r="J1852" t="s">
        <v>2026</v>
      </c>
      <c r="K1852" t="s">
        <v>3881</v>
      </c>
      <c r="L1852" t="s">
        <v>4033</v>
      </c>
      <c r="M1852">
        <f>Cleaned[[#This Row],[Credit]]-Cleaned[[#This Row],[Debit]]</f>
        <v>-568.46</v>
      </c>
      <c r="N1852" t="str">
        <f>_xlfn.XLOOKUP(Cleaned[[#This Row],[AccountName]], Account_Mapping!A:A, Account_Mapping!B:B,"Unmapped")</f>
        <v>Operating Expense</v>
      </c>
      <c r="O1852" cm="1">
        <f t="array" ref="O1852">_xlfn.XLOOKUP(
  1,
  (FX_Rates[Currency]=Cleaned[[#This Row],[Currency]])*
  (FX_Rates[RateDate]&lt;=Cleaned[[#This Row],[TxnDate]]),
  FX_Rates[Rate_To_INR],
  ,
  -1
)</f>
        <v>56</v>
      </c>
      <c r="P1852" s="2">
        <f>Cleaned[[#This Row],[Net Amount]] *  Cleaned[[#This Row],[FX_rates]]</f>
        <v>-31833.760000000002</v>
      </c>
    </row>
    <row r="1853" spans="1:16" x14ac:dyDescent="0.45">
      <c r="A1853" t="s">
        <v>1861</v>
      </c>
      <c r="B1853" s="1">
        <v>45151</v>
      </c>
      <c r="C1853" s="2" t="s">
        <v>2011</v>
      </c>
      <c r="D1853" t="s">
        <v>2016</v>
      </c>
      <c r="E1853">
        <v>544.71</v>
      </c>
      <c r="F1853">
        <f>Cleaned[[#This Row],[Debit]] * Cleaned[[#This Row],[FX_rates]]</f>
        <v>33227.310000000005</v>
      </c>
      <c r="G1853">
        <v>0</v>
      </c>
      <c r="H1853">
        <f>Cleaned[[#This Row],[Credit]] *  Cleaned[[#This Row],[FX_rates]]</f>
        <v>0</v>
      </c>
      <c r="I1853" t="s">
        <v>2025</v>
      </c>
      <c r="J1853" t="s">
        <v>2030</v>
      </c>
      <c r="K1853" t="s">
        <v>3882</v>
      </c>
      <c r="L1853" t="s">
        <v>4035</v>
      </c>
      <c r="M1853">
        <f>Cleaned[[#This Row],[Credit]]-Cleaned[[#This Row],[Debit]]</f>
        <v>-544.71</v>
      </c>
      <c r="N1853" t="str">
        <f>_xlfn.XLOOKUP(Cleaned[[#This Row],[AccountName]], Account_Mapping!A:A, Account_Mapping!B:B,"Unmapped")</f>
        <v>COGS</v>
      </c>
      <c r="O1853" cm="1">
        <f t="array" ref="O1853">_xlfn.XLOOKUP(
  1,
  (FX_Rates[Currency]=Cleaned[[#This Row],[Currency]])*
  (FX_Rates[RateDate]&lt;=Cleaned[[#This Row],[TxnDate]]),
  FX_Rates[Rate_To_INR],
  ,
  -1
)</f>
        <v>61</v>
      </c>
      <c r="P1853" s="2">
        <f>Cleaned[[#This Row],[Net Amount]] *  Cleaned[[#This Row],[FX_rates]]</f>
        <v>-33227.310000000005</v>
      </c>
    </row>
    <row r="1854" spans="1:16" x14ac:dyDescent="0.45">
      <c r="A1854" t="s">
        <v>1862</v>
      </c>
      <c r="B1854" s="1">
        <v>44945</v>
      </c>
      <c r="C1854" s="2" t="s">
        <v>2011</v>
      </c>
      <c r="D1854" t="s">
        <v>2016</v>
      </c>
      <c r="E1854">
        <v>1849.24</v>
      </c>
      <c r="F1854">
        <f>Cleaned[[#This Row],[Debit]] * Cleaned[[#This Row],[FX_rates]]</f>
        <v>151637.68</v>
      </c>
      <c r="G1854">
        <v>0</v>
      </c>
      <c r="H1854">
        <f>Cleaned[[#This Row],[Credit]] *  Cleaned[[#This Row],[FX_rates]]</f>
        <v>0</v>
      </c>
      <c r="I1854" t="s">
        <v>2023</v>
      </c>
      <c r="J1854" t="s">
        <v>2028</v>
      </c>
      <c r="K1854" t="s">
        <v>3883</v>
      </c>
      <c r="L1854" t="s">
        <v>4034</v>
      </c>
      <c r="M1854">
        <f>Cleaned[[#This Row],[Credit]]-Cleaned[[#This Row],[Debit]]</f>
        <v>-1849.24</v>
      </c>
      <c r="N1854" t="str">
        <f>_xlfn.XLOOKUP(Cleaned[[#This Row],[AccountName]], Account_Mapping!A:A, Account_Mapping!B:B,"Unmapped")</f>
        <v>COGS</v>
      </c>
      <c r="O1854" cm="1">
        <f t="array" ref="O1854">_xlfn.XLOOKUP(
  1,
  (FX_Rates[Currency]=Cleaned[[#This Row],[Currency]])*
  (FX_Rates[RateDate]&lt;=Cleaned[[#This Row],[TxnDate]]),
  FX_Rates[Rate_To_INR],
  ,
  -1
)</f>
        <v>82</v>
      </c>
      <c r="P1854" s="2">
        <f>Cleaned[[#This Row],[Net Amount]] *  Cleaned[[#This Row],[FX_rates]]</f>
        <v>-151637.68</v>
      </c>
    </row>
    <row r="1855" spans="1:16" x14ac:dyDescent="0.45">
      <c r="A1855" t="s">
        <v>1863</v>
      </c>
      <c r="B1855" s="1">
        <v>45533</v>
      </c>
      <c r="C1855" s="2" t="s">
        <v>2012</v>
      </c>
      <c r="D1855" t="s">
        <v>2017</v>
      </c>
      <c r="E1855">
        <v>499.11</v>
      </c>
      <c r="F1855">
        <f>Cleaned[[#This Row],[Debit]] * Cleaned[[#This Row],[FX_rates]]</f>
        <v>30445.71</v>
      </c>
      <c r="G1855">
        <v>0</v>
      </c>
      <c r="H1855">
        <f>Cleaned[[#This Row],[Credit]] *  Cleaned[[#This Row],[FX_rates]]</f>
        <v>0</v>
      </c>
      <c r="I1855" t="s">
        <v>2020</v>
      </c>
      <c r="J1855" t="s">
        <v>2030</v>
      </c>
      <c r="K1855" t="s">
        <v>3884</v>
      </c>
      <c r="L1855" t="s">
        <v>4035</v>
      </c>
      <c r="M1855">
        <f>Cleaned[[#This Row],[Credit]]-Cleaned[[#This Row],[Debit]]</f>
        <v>-499.11</v>
      </c>
      <c r="N1855" t="str">
        <f>_xlfn.XLOOKUP(Cleaned[[#This Row],[AccountName]], Account_Mapping!A:A, Account_Mapping!B:B,"Unmapped")</f>
        <v>Operating Expense</v>
      </c>
      <c r="O1855" cm="1">
        <f t="array" ref="O1855">_xlfn.XLOOKUP(
  1,
  (FX_Rates[Currency]=Cleaned[[#This Row],[Currency]])*
  (FX_Rates[RateDate]&lt;=Cleaned[[#This Row],[TxnDate]]),
  FX_Rates[Rate_To_INR],
  ,
  -1
)</f>
        <v>61</v>
      </c>
      <c r="P1855" s="2">
        <f>Cleaned[[#This Row],[Net Amount]] *  Cleaned[[#This Row],[FX_rates]]</f>
        <v>-30445.71</v>
      </c>
    </row>
    <row r="1856" spans="1:16" x14ac:dyDescent="0.45">
      <c r="A1856" t="s">
        <v>1864</v>
      </c>
      <c r="B1856" s="1">
        <v>45440</v>
      </c>
      <c r="C1856" s="2" t="s">
        <v>2012</v>
      </c>
      <c r="D1856" t="s">
        <v>2017</v>
      </c>
      <c r="E1856">
        <v>288.41000000000003</v>
      </c>
      <c r="F1856">
        <f>Cleaned[[#This Row],[Debit]] * Cleaned[[#This Row],[FX_rates]]</f>
        <v>29706.230000000003</v>
      </c>
      <c r="G1856">
        <v>0</v>
      </c>
      <c r="H1856">
        <f>Cleaned[[#This Row],[Credit]] *  Cleaned[[#This Row],[FX_rates]]</f>
        <v>0</v>
      </c>
      <c r="I1856" t="s">
        <v>2023</v>
      </c>
      <c r="J1856" t="s">
        <v>2026</v>
      </c>
      <c r="K1856" t="s">
        <v>3885</v>
      </c>
      <c r="L1856" t="s">
        <v>4031</v>
      </c>
      <c r="M1856">
        <f>Cleaned[[#This Row],[Credit]]-Cleaned[[#This Row],[Debit]]</f>
        <v>-288.41000000000003</v>
      </c>
      <c r="N1856" t="str">
        <f>_xlfn.XLOOKUP(Cleaned[[#This Row],[AccountName]], Account_Mapping!A:A, Account_Mapping!B:B,"Unmapped")</f>
        <v>Operating Expense</v>
      </c>
      <c r="O1856" cm="1">
        <f t="array" ref="O1856">_xlfn.XLOOKUP(
  1,
  (FX_Rates[Currency]=Cleaned[[#This Row],[Currency]])*
  (FX_Rates[RateDate]&lt;=Cleaned[[#This Row],[TxnDate]]),
  FX_Rates[Rate_To_INR],
  ,
  -1
)</f>
        <v>103</v>
      </c>
      <c r="P1856" s="2">
        <f>Cleaned[[#This Row],[Net Amount]] *  Cleaned[[#This Row],[FX_rates]]</f>
        <v>-29706.230000000003</v>
      </c>
    </row>
    <row r="1857" spans="1:16" x14ac:dyDescent="0.45">
      <c r="A1857" t="s">
        <v>1865</v>
      </c>
      <c r="B1857" s="1">
        <v>45033</v>
      </c>
      <c r="C1857" s="2" t="s">
        <v>2014</v>
      </c>
      <c r="D1857" t="s">
        <v>2019</v>
      </c>
      <c r="E1857">
        <v>0</v>
      </c>
      <c r="F1857">
        <f>Cleaned[[#This Row],[Debit]] * Cleaned[[#This Row],[FX_rates]]</f>
        <v>0</v>
      </c>
      <c r="G1857">
        <v>4589.42</v>
      </c>
      <c r="H1857">
        <f>Cleaned[[#This Row],[Credit]] *  Cleaned[[#This Row],[FX_rates]]</f>
        <v>403868.96</v>
      </c>
      <c r="I1857" t="s">
        <v>2020</v>
      </c>
      <c r="J1857" t="s">
        <v>2028</v>
      </c>
      <c r="K1857" t="s">
        <v>3886</v>
      </c>
      <c r="L1857" t="s">
        <v>4032</v>
      </c>
      <c r="M1857">
        <f>Cleaned[[#This Row],[Credit]]-Cleaned[[#This Row],[Debit]]</f>
        <v>4589.42</v>
      </c>
      <c r="N1857" t="str">
        <f>_xlfn.XLOOKUP(Cleaned[[#This Row],[AccountName]], Account_Mapping!A:A, Account_Mapping!B:B,"Unmapped")</f>
        <v>Revenue</v>
      </c>
      <c r="O1857" cm="1">
        <f t="array" ref="O1857">_xlfn.XLOOKUP(
  1,
  (FX_Rates[Currency]=Cleaned[[#This Row],[Currency]])*
  (FX_Rates[RateDate]&lt;=Cleaned[[#This Row],[TxnDate]]),
  FX_Rates[Rate_To_INR],
  ,
  -1
)</f>
        <v>88</v>
      </c>
      <c r="P1857" s="2">
        <f>Cleaned[[#This Row],[Net Amount]] *  Cleaned[[#This Row],[FX_rates]]</f>
        <v>403868.96</v>
      </c>
    </row>
    <row r="1858" spans="1:16" x14ac:dyDescent="0.45">
      <c r="A1858" t="s">
        <v>1866</v>
      </c>
      <c r="B1858" s="1">
        <v>45613</v>
      </c>
      <c r="C1858" s="2" t="s">
        <v>2014</v>
      </c>
      <c r="D1858" t="s">
        <v>2019</v>
      </c>
      <c r="E1858">
        <v>0</v>
      </c>
      <c r="F1858">
        <f>Cleaned[[#This Row],[Debit]] * Cleaned[[#This Row],[FX_rates]]</f>
        <v>0</v>
      </c>
      <c r="G1858">
        <v>4897.2299999999996</v>
      </c>
      <c r="H1858">
        <f>Cleaned[[#This Row],[Credit]] *  Cleaned[[#This Row],[FX_rates]]</f>
        <v>298731.02999999997</v>
      </c>
      <c r="I1858" t="s">
        <v>2023</v>
      </c>
      <c r="J1858" t="s">
        <v>2028</v>
      </c>
      <c r="K1858" t="s">
        <v>3887</v>
      </c>
      <c r="L1858" t="s">
        <v>4035</v>
      </c>
      <c r="M1858">
        <f>Cleaned[[#This Row],[Credit]]-Cleaned[[#This Row],[Debit]]</f>
        <v>4897.2299999999996</v>
      </c>
      <c r="N1858" t="str">
        <f>_xlfn.XLOOKUP(Cleaned[[#This Row],[AccountName]], Account_Mapping!A:A, Account_Mapping!B:B,"Unmapped")</f>
        <v>Revenue</v>
      </c>
      <c r="O1858" cm="1">
        <f t="array" ref="O1858">_xlfn.XLOOKUP(
  1,
  (FX_Rates[Currency]=Cleaned[[#This Row],[Currency]])*
  (FX_Rates[RateDate]&lt;=Cleaned[[#This Row],[TxnDate]]),
  FX_Rates[Rate_To_INR],
  ,
  -1
)</f>
        <v>61</v>
      </c>
      <c r="P1858" s="2">
        <f>Cleaned[[#This Row],[Net Amount]] *  Cleaned[[#This Row],[FX_rates]]</f>
        <v>298731.02999999997</v>
      </c>
    </row>
    <row r="1859" spans="1:16" x14ac:dyDescent="0.45">
      <c r="A1859" t="s">
        <v>1867</v>
      </c>
      <c r="B1859" s="1">
        <v>45417</v>
      </c>
      <c r="C1859" s="2" t="s">
        <v>2014</v>
      </c>
      <c r="D1859" t="s">
        <v>2019</v>
      </c>
      <c r="E1859">
        <v>0</v>
      </c>
      <c r="F1859">
        <f>Cleaned[[#This Row],[Debit]] * Cleaned[[#This Row],[FX_rates]]</f>
        <v>0</v>
      </c>
      <c r="G1859">
        <v>4365.5600000000004</v>
      </c>
      <c r="H1859">
        <f>Cleaned[[#This Row],[Credit]] *  Cleaned[[#This Row],[FX_rates]]</f>
        <v>449652.68000000005</v>
      </c>
      <c r="I1859" t="s">
        <v>2025</v>
      </c>
      <c r="J1859" t="s">
        <v>2027</v>
      </c>
      <c r="K1859" t="s">
        <v>3888</v>
      </c>
      <c r="L1859" t="s">
        <v>4031</v>
      </c>
      <c r="M1859">
        <f>Cleaned[[#This Row],[Credit]]-Cleaned[[#This Row],[Debit]]</f>
        <v>4365.5600000000004</v>
      </c>
      <c r="N1859" t="str">
        <f>_xlfn.XLOOKUP(Cleaned[[#This Row],[AccountName]], Account_Mapping!A:A, Account_Mapping!B:B,"Unmapped")</f>
        <v>Revenue</v>
      </c>
      <c r="O1859" cm="1">
        <f t="array" ref="O1859">_xlfn.XLOOKUP(
  1,
  (FX_Rates[Currency]=Cleaned[[#This Row],[Currency]])*
  (FX_Rates[RateDate]&lt;=Cleaned[[#This Row],[TxnDate]]),
  FX_Rates[Rate_To_INR],
  ,
  -1
)</f>
        <v>103</v>
      </c>
      <c r="P1859" s="2">
        <f>Cleaned[[#This Row],[Net Amount]] *  Cleaned[[#This Row],[FX_rates]]</f>
        <v>449652.68000000005</v>
      </c>
    </row>
    <row r="1860" spans="1:16" x14ac:dyDescent="0.45">
      <c r="A1860" t="s">
        <v>1868</v>
      </c>
      <c r="B1860" s="1">
        <v>45663</v>
      </c>
      <c r="C1860" s="2" t="s">
        <v>2013</v>
      </c>
      <c r="D1860" t="s">
        <v>2018</v>
      </c>
      <c r="E1860">
        <v>1569.69</v>
      </c>
      <c r="F1860">
        <f>Cleaned[[#This Row],[Debit]] * Cleaned[[#This Row],[FX_rates]]</f>
        <v>128714.58</v>
      </c>
      <c r="G1860">
        <v>0</v>
      </c>
      <c r="H1860">
        <f>Cleaned[[#This Row],[Credit]] *  Cleaned[[#This Row],[FX_rates]]</f>
        <v>0</v>
      </c>
      <c r="I1860" t="s">
        <v>2021</v>
      </c>
      <c r="J1860" t="s">
        <v>2028</v>
      </c>
      <c r="K1860" t="s">
        <v>3889</v>
      </c>
      <c r="L1860" t="s">
        <v>4034</v>
      </c>
      <c r="M1860">
        <f>Cleaned[[#This Row],[Credit]]-Cleaned[[#This Row],[Debit]]</f>
        <v>-1569.69</v>
      </c>
      <c r="N1860" t="str">
        <f>_xlfn.XLOOKUP(Cleaned[[#This Row],[AccountName]], Account_Mapping!A:A, Account_Mapping!B:B,"Unmapped")</f>
        <v>Operating Expense</v>
      </c>
      <c r="O1860" cm="1">
        <f t="array" ref="O1860">_xlfn.XLOOKUP(
  1,
  (FX_Rates[Currency]=Cleaned[[#This Row],[Currency]])*
  (FX_Rates[RateDate]&lt;=Cleaned[[#This Row],[TxnDate]]),
  FX_Rates[Rate_To_INR],
  ,
  -1
)</f>
        <v>82</v>
      </c>
      <c r="P1860" s="2">
        <f>Cleaned[[#This Row],[Net Amount]] *  Cleaned[[#This Row],[FX_rates]]</f>
        <v>-128714.58</v>
      </c>
    </row>
    <row r="1861" spans="1:16" x14ac:dyDescent="0.45">
      <c r="A1861" t="s">
        <v>1869</v>
      </c>
      <c r="B1861" s="1">
        <v>45827</v>
      </c>
      <c r="C1861" s="2" t="s">
        <v>2012</v>
      </c>
      <c r="D1861" t="s">
        <v>2017</v>
      </c>
      <c r="E1861">
        <v>1592.97</v>
      </c>
      <c r="F1861">
        <f>Cleaned[[#This Row],[Debit]] * Cleaned[[#This Row],[FX_rates]]</f>
        <v>164075.91</v>
      </c>
      <c r="G1861">
        <v>0</v>
      </c>
      <c r="H1861">
        <f>Cleaned[[#This Row],[Credit]] *  Cleaned[[#This Row],[FX_rates]]</f>
        <v>0</v>
      </c>
      <c r="I1861" t="s">
        <v>2021</v>
      </c>
      <c r="J1861" t="s">
        <v>2029</v>
      </c>
      <c r="K1861" t="s">
        <v>3890</v>
      </c>
      <c r="L1861" t="s">
        <v>4031</v>
      </c>
      <c r="M1861">
        <f>Cleaned[[#This Row],[Credit]]-Cleaned[[#This Row],[Debit]]</f>
        <v>-1592.97</v>
      </c>
      <c r="N1861" t="str">
        <f>_xlfn.XLOOKUP(Cleaned[[#This Row],[AccountName]], Account_Mapping!A:A, Account_Mapping!B:B,"Unmapped")</f>
        <v>Operating Expense</v>
      </c>
      <c r="O1861" cm="1">
        <f t="array" ref="O1861">_xlfn.XLOOKUP(
  1,
  (FX_Rates[Currency]=Cleaned[[#This Row],[Currency]])*
  (FX_Rates[RateDate]&lt;=Cleaned[[#This Row],[TxnDate]]),
  FX_Rates[Rate_To_INR],
  ,
  -1
)</f>
        <v>103</v>
      </c>
      <c r="P1861" s="2">
        <f>Cleaned[[#This Row],[Net Amount]] *  Cleaned[[#This Row],[FX_rates]]</f>
        <v>-164075.91</v>
      </c>
    </row>
    <row r="1862" spans="1:16" x14ac:dyDescent="0.45">
      <c r="A1862" t="s">
        <v>1870</v>
      </c>
      <c r="B1862" s="1">
        <v>45270</v>
      </c>
      <c r="C1862" s="2" t="s">
        <v>2014</v>
      </c>
      <c r="D1862" t="s">
        <v>2019</v>
      </c>
      <c r="E1862">
        <v>0</v>
      </c>
      <c r="F1862">
        <f>Cleaned[[#This Row],[Debit]] * Cleaned[[#This Row],[FX_rates]]</f>
        <v>0</v>
      </c>
      <c r="G1862">
        <v>871.59</v>
      </c>
      <c r="H1862">
        <f>Cleaned[[#This Row],[Credit]] *  Cleaned[[#This Row],[FX_rates]]</f>
        <v>71470.38</v>
      </c>
      <c r="I1862" t="s">
        <v>2024</v>
      </c>
      <c r="J1862" t="s">
        <v>2029</v>
      </c>
      <c r="K1862" t="s">
        <v>3891</v>
      </c>
      <c r="L1862" t="s">
        <v>4034</v>
      </c>
      <c r="M1862">
        <f>Cleaned[[#This Row],[Credit]]-Cleaned[[#This Row],[Debit]]</f>
        <v>871.59</v>
      </c>
      <c r="N1862" t="str">
        <f>_xlfn.XLOOKUP(Cleaned[[#This Row],[AccountName]], Account_Mapping!A:A, Account_Mapping!B:B,"Unmapped")</f>
        <v>Revenue</v>
      </c>
      <c r="O1862" cm="1">
        <f t="array" ref="O1862">_xlfn.XLOOKUP(
  1,
  (FX_Rates[Currency]=Cleaned[[#This Row],[Currency]])*
  (FX_Rates[RateDate]&lt;=Cleaned[[#This Row],[TxnDate]]),
  FX_Rates[Rate_To_INR],
  ,
  -1
)</f>
        <v>82</v>
      </c>
      <c r="P1862" s="2">
        <f>Cleaned[[#This Row],[Net Amount]] *  Cleaned[[#This Row],[FX_rates]]</f>
        <v>71470.38</v>
      </c>
    </row>
    <row r="1863" spans="1:16" x14ac:dyDescent="0.45">
      <c r="A1863" t="s">
        <v>1871</v>
      </c>
      <c r="B1863" s="1">
        <v>45022</v>
      </c>
      <c r="C1863" s="2" t="s">
        <v>2011</v>
      </c>
      <c r="D1863" t="s">
        <v>2016</v>
      </c>
      <c r="E1863">
        <v>585.89</v>
      </c>
      <c r="F1863">
        <f>Cleaned[[#This Row],[Debit]] * Cleaned[[#This Row],[FX_rates]]</f>
        <v>51558.32</v>
      </c>
      <c r="G1863">
        <v>0</v>
      </c>
      <c r="H1863">
        <f>Cleaned[[#This Row],[Credit]] *  Cleaned[[#This Row],[FX_rates]]</f>
        <v>0</v>
      </c>
      <c r="I1863" t="s">
        <v>2021</v>
      </c>
      <c r="J1863" t="s">
        <v>2027</v>
      </c>
      <c r="K1863" t="s">
        <v>3892</v>
      </c>
      <c r="L1863" t="s">
        <v>4032</v>
      </c>
      <c r="M1863">
        <f>Cleaned[[#This Row],[Credit]]-Cleaned[[#This Row],[Debit]]</f>
        <v>-585.89</v>
      </c>
      <c r="N1863" t="str">
        <f>_xlfn.XLOOKUP(Cleaned[[#This Row],[AccountName]], Account_Mapping!A:A, Account_Mapping!B:B,"Unmapped")</f>
        <v>COGS</v>
      </c>
      <c r="O1863" cm="1">
        <f t="array" ref="O1863">_xlfn.XLOOKUP(
  1,
  (FX_Rates[Currency]=Cleaned[[#This Row],[Currency]])*
  (FX_Rates[RateDate]&lt;=Cleaned[[#This Row],[TxnDate]]),
  FX_Rates[Rate_To_INR],
  ,
  -1
)</f>
        <v>88</v>
      </c>
      <c r="P1863" s="2">
        <f>Cleaned[[#This Row],[Net Amount]] *  Cleaned[[#This Row],[FX_rates]]</f>
        <v>-51558.32</v>
      </c>
    </row>
    <row r="1864" spans="1:16" x14ac:dyDescent="0.45">
      <c r="A1864" t="s">
        <v>1872</v>
      </c>
      <c r="B1864" s="1">
        <v>45075</v>
      </c>
      <c r="C1864" s="2" t="s">
        <v>2011</v>
      </c>
      <c r="D1864" t="s">
        <v>2016</v>
      </c>
      <c r="E1864">
        <v>1221.74</v>
      </c>
      <c r="F1864">
        <f>Cleaned[[#This Row],[Debit]] * Cleaned[[#This Row],[FX_rates]]</f>
        <v>107513.12</v>
      </c>
      <c r="G1864">
        <v>0</v>
      </c>
      <c r="H1864">
        <f>Cleaned[[#This Row],[Credit]] *  Cleaned[[#This Row],[FX_rates]]</f>
        <v>0</v>
      </c>
      <c r="I1864" t="s">
        <v>2025</v>
      </c>
      <c r="J1864" t="s">
        <v>2026</v>
      </c>
      <c r="K1864" t="s">
        <v>3893</v>
      </c>
      <c r="L1864" t="s">
        <v>4032</v>
      </c>
      <c r="M1864">
        <f>Cleaned[[#This Row],[Credit]]-Cleaned[[#This Row],[Debit]]</f>
        <v>-1221.74</v>
      </c>
      <c r="N1864" t="str">
        <f>_xlfn.XLOOKUP(Cleaned[[#This Row],[AccountName]], Account_Mapping!A:A, Account_Mapping!B:B,"Unmapped")</f>
        <v>COGS</v>
      </c>
      <c r="O1864" cm="1">
        <f t="array" ref="O1864">_xlfn.XLOOKUP(
  1,
  (FX_Rates[Currency]=Cleaned[[#This Row],[Currency]])*
  (FX_Rates[RateDate]&lt;=Cleaned[[#This Row],[TxnDate]]),
  FX_Rates[Rate_To_INR],
  ,
  -1
)</f>
        <v>88</v>
      </c>
      <c r="P1864" s="2">
        <f>Cleaned[[#This Row],[Net Amount]] *  Cleaned[[#This Row],[FX_rates]]</f>
        <v>-107513.12</v>
      </c>
    </row>
    <row r="1865" spans="1:16" x14ac:dyDescent="0.45">
      <c r="A1865" t="s">
        <v>1873</v>
      </c>
      <c r="B1865" s="1">
        <v>45347</v>
      </c>
      <c r="C1865" s="2" t="s">
        <v>2010</v>
      </c>
      <c r="D1865" t="s">
        <v>2015</v>
      </c>
      <c r="E1865">
        <v>0</v>
      </c>
      <c r="F1865">
        <f>Cleaned[[#This Row],[Debit]] * Cleaned[[#This Row],[FX_rates]]</f>
        <v>0</v>
      </c>
      <c r="G1865">
        <v>4982.43</v>
      </c>
      <c r="H1865">
        <f>Cleaned[[#This Row],[Credit]] *  Cleaned[[#This Row],[FX_rates]]</f>
        <v>513190.29000000004</v>
      </c>
      <c r="I1865" t="s">
        <v>2023</v>
      </c>
      <c r="J1865" t="s">
        <v>2027</v>
      </c>
      <c r="K1865" t="s">
        <v>3894</v>
      </c>
      <c r="L1865" t="s">
        <v>4031</v>
      </c>
      <c r="M1865">
        <f>Cleaned[[#This Row],[Credit]]-Cleaned[[#This Row],[Debit]]</f>
        <v>4982.43</v>
      </c>
      <c r="N1865" t="str">
        <f>_xlfn.XLOOKUP(Cleaned[[#This Row],[AccountName]], Account_Mapping!A:A, Account_Mapping!B:B,"Unmapped")</f>
        <v>Revenue</v>
      </c>
      <c r="O1865" cm="1">
        <f t="array" ref="O1865">_xlfn.XLOOKUP(
  1,
  (FX_Rates[Currency]=Cleaned[[#This Row],[Currency]])*
  (FX_Rates[RateDate]&lt;=Cleaned[[#This Row],[TxnDate]]),
  FX_Rates[Rate_To_INR],
  ,
  -1
)</f>
        <v>103</v>
      </c>
      <c r="P1865" s="2">
        <f>Cleaned[[#This Row],[Net Amount]] *  Cleaned[[#This Row],[FX_rates]]</f>
        <v>513190.29000000004</v>
      </c>
    </row>
    <row r="1866" spans="1:16" x14ac:dyDescent="0.45">
      <c r="A1866" t="s">
        <v>1874</v>
      </c>
      <c r="B1866" s="1">
        <v>45617</v>
      </c>
      <c r="C1866" s="2" t="s">
        <v>2011</v>
      </c>
      <c r="D1866" t="s">
        <v>2016</v>
      </c>
      <c r="E1866">
        <v>1723.01</v>
      </c>
      <c r="F1866">
        <f>Cleaned[[#This Row],[Debit]] * Cleaned[[#This Row],[FX_rates]]</f>
        <v>96488.56</v>
      </c>
      <c r="G1866">
        <v>0</v>
      </c>
      <c r="H1866">
        <f>Cleaned[[#This Row],[Credit]] *  Cleaned[[#This Row],[FX_rates]]</f>
        <v>0</v>
      </c>
      <c r="I1866" t="s">
        <v>2022</v>
      </c>
      <c r="J1866" t="s">
        <v>2030</v>
      </c>
      <c r="K1866" t="s">
        <v>3895</v>
      </c>
      <c r="L1866" t="s">
        <v>4033</v>
      </c>
      <c r="M1866">
        <f>Cleaned[[#This Row],[Credit]]-Cleaned[[#This Row],[Debit]]</f>
        <v>-1723.01</v>
      </c>
      <c r="N1866" t="str">
        <f>_xlfn.XLOOKUP(Cleaned[[#This Row],[AccountName]], Account_Mapping!A:A, Account_Mapping!B:B,"Unmapped")</f>
        <v>COGS</v>
      </c>
      <c r="O1866" cm="1">
        <f t="array" ref="O1866">_xlfn.XLOOKUP(
  1,
  (FX_Rates[Currency]=Cleaned[[#This Row],[Currency]])*
  (FX_Rates[RateDate]&lt;=Cleaned[[#This Row],[TxnDate]]),
  FX_Rates[Rate_To_INR],
  ,
  -1
)</f>
        <v>56</v>
      </c>
      <c r="P1866" s="2">
        <f>Cleaned[[#This Row],[Net Amount]] *  Cleaned[[#This Row],[FX_rates]]</f>
        <v>-96488.56</v>
      </c>
    </row>
    <row r="1867" spans="1:16" x14ac:dyDescent="0.45">
      <c r="A1867" t="s">
        <v>1875</v>
      </c>
      <c r="B1867" s="1">
        <v>45636</v>
      </c>
      <c r="C1867" s="2" t="s">
        <v>2013</v>
      </c>
      <c r="D1867" t="s">
        <v>2018</v>
      </c>
      <c r="E1867">
        <v>1741.23</v>
      </c>
      <c r="F1867">
        <f>Cleaned[[#This Row],[Debit]] * Cleaned[[#This Row],[FX_rates]]</f>
        <v>179346.69</v>
      </c>
      <c r="G1867">
        <v>0</v>
      </c>
      <c r="H1867">
        <f>Cleaned[[#This Row],[Credit]] *  Cleaned[[#This Row],[FX_rates]]</f>
        <v>0</v>
      </c>
      <c r="I1867" t="s">
        <v>2021</v>
      </c>
      <c r="J1867" t="s">
        <v>2028</v>
      </c>
      <c r="K1867" t="s">
        <v>3896</v>
      </c>
      <c r="L1867" t="s">
        <v>4031</v>
      </c>
      <c r="M1867">
        <f>Cleaned[[#This Row],[Credit]]-Cleaned[[#This Row],[Debit]]</f>
        <v>-1741.23</v>
      </c>
      <c r="N1867" t="str">
        <f>_xlfn.XLOOKUP(Cleaned[[#This Row],[AccountName]], Account_Mapping!A:A, Account_Mapping!B:B,"Unmapped")</f>
        <v>Operating Expense</v>
      </c>
      <c r="O1867" cm="1">
        <f t="array" ref="O1867">_xlfn.XLOOKUP(
  1,
  (FX_Rates[Currency]=Cleaned[[#This Row],[Currency]])*
  (FX_Rates[RateDate]&lt;=Cleaned[[#This Row],[TxnDate]]),
  FX_Rates[Rate_To_INR],
  ,
  -1
)</f>
        <v>103</v>
      </c>
      <c r="P1867" s="2">
        <f>Cleaned[[#This Row],[Net Amount]] *  Cleaned[[#This Row],[FX_rates]]</f>
        <v>-179346.69</v>
      </c>
    </row>
    <row r="1868" spans="1:16" x14ac:dyDescent="0.45">
      <c r="A1868" t="s">
        <v>1876</v>
      </c>
      <c r="B1868" s="1">
        <v>45326</v>
      </c>
      <c r="C1868" s="2" t="s">
        <v>2012</v>
      </c>
      <c r="D1868" t="s">
        <v>2017</v>
      </c>
      <c r="E1868">
        <v>1055.53</v>
      </c>
      <c r="F1868">
        <f>Cleaned[[#This Row],[Debit]] * Cleaned[[#This Row],[FX_rates]]</f>
        <v>108719.59</v>
      </c>
      <c r="G1868">
        <v>0</v>
      </c>
      <c r="H1868">
        <f>Cleaned[[#This Row],[Credit]] *  Cleaned[[#This Row],[FX_rates]]</f>
        <v>0</v>
      </c>
      <c r="I1868" t="s">
        <v>2022</v>
      </c>
      <c r="J1868" t="s">
        <v>2029</v>
      </c>
      <c r="K1868" t="s">
        <v>3897</v>
      </c>
      <c r="L1868" t="s">
        <v>4031</v>
      </c>
      <c r="M1868">
        <f>Cleaned[[#This Row],[Credit]]-Cleaned[[#This Row],[Debit]]</f>
        <v>-1055.53</v>
      </c>
      <c r="N1868" t="str">
        <f>_xlfn.XLOOKUP(Cleaned[[#This Row],[AccountName]], Account_Mapping!A:A, Account_Mapping!B:B,"Unmapped")</f>
        <v>Operating Expense</v>
      </c>
      <c r="O1868" cm="1">
        <f t="array" ref="O1868">_xlfn.XLOOKUP(
  1,
  (FX_Rates[Currency]=Cleaned[[#This Row],[Currency]])*
  (FX_Rates[RateDate]&lt;=Cleaned[[#This Row],[TxnDate]]),
  FX_Rates[Rate_To_INR],
  ,
  -1
)</f>
        <v>103</v>
      </c>
      <c r="P1868" s="2">
        <f>Cleaned[[#This Row],[Net Amount]] *  Cleaned[[#This Row],[FX_rates]]</f>
        <v>-108719.59</v>
      </c>
    </row>
    <row r="1869" spans="1:16" x14ac:dyDescent="0.45">
      <c r="A1869" t="s">
        <v>1877</v>
      </c>
      <c r="B1869" s="1">
        <v>45684</v>
      </c>
      <c r="C1869" s="2" t="s">
        <v>2012</v>
      </c>
      <c r="D1869" t="s">
        <v>2017</v>
      </c>
      <c r="E1869">
        <v>349.69</v>
      </c>
      <c r="F1869">
        <f>Cleaned[[#This Row],[Debit]] * Cleaned[[#This Row],[FX_rates]]</f>
        <v>36018.07</v>
      </c>
      <c r="G1869">
        <v>0</v>
      </c>
      <c r="H1869">
        <f>Cleaned[[#This Row],[Credit]] *  Cleaned[[#This Row],[FX_rates]]</f>
        <v>0</v>
      </c>
      <c r="I1869" t="s">
        <v>2024</v>
      </c>
      <c r="J1869" t="s">
        <v>2030</v>
      </c>
      <c r="K1869" t="s">
        <v>3898</v>
      </c>
      <c r="L1869" t="s">
        <v>4031</v>
      </c>
      <c r="M1869">
        <f>Cleaned[[#This Row],[Credit]]-Cleaned[[#This Row],[Debit]]</f>
        <v>-349.69</v>
      </c>
      <c r="N1869" t="str">
        <f>_xlfn.XLOOKUP(Cleaned[[#This Row],[AccountName]], Account_Mapping!A:A, Account_Mapping!B:B,"Unmapped")</f>
        <v>Operating Expense</v>
      </c>
      <c r="O1869" cm="1">
        <f t="array" ref="O1869">_xlfn.XLOOKUP(
  1,
  (FX_Rates[Currency]=Cleaned[[#This Row],[Currency]])*
  (FX_Rates[RateDate]&lt;=Cleaned[[#This Row],[TxnDate]]),
  FX_Rates[Rate_To_INR],
  ,
  -1
)</f>
        <v>103</v>
      </c>
      <c r="P1869" s="2">
        <f>Cleaned[[#This Row],[Net Amount]] *  Cleaned[[#This Row],[FX_rates]]</f>
        <v>-36018.07</v>
      </c>
    </row>
    <row r="1870" spans="1:16" x14ac:dyDescent="0.45">
      <c r="A1870" t="s">
        <v>1878</v>
      </c>
      <c r="B1870" s="1">
        <v>45588</v>
      </c>
      <c r="C1870" s="2" t="s">
        <v>2014</v>
      </c>
      <c r="D1870" t="s">
        <v>2019</v>
      </c>
      <c r="E1870">
        <v>0</v>
      </c>
      <c r="F1870">
        <f>Cleaned[[#This Row],[Debit]] * Cleaned[[#This Row],[FX_rates]]</f>
        <v>0</v>
      </c>
      <c r="G1870">
        <v>1886.23</v>
      </c>
      <c r="H1870">
        <f>Cleaned[[#This Row],[Credit]] *  Cleaned[[#This Row],[FX_rates]]</f>
        <v>165988.24</v>
      </c>
      <c r="I1870" t="s">
        <v>2020</v>
      </c>
      <c r="J1870" t="s">
        <v>2026</v>
      </c>
      <c r="K1870" t="s">
        <v>3899</v>
      </c>
      <c r="L1870" t="s">
        <v>4032</v>
      </c>
      <c r="M1870">
        <f>Cleaned[[#This Row],[Credit]]-Cleaned[[#This Row],[Debit]]</f>
        <v>1886.23</v>
      </c>
      <c r="N1870" t="str">
        <f>_xlfn.XLOOKUP(Cleaned[[#This Row],[AccountName]], Account_Mapping!A:A, Account_Mapping!B:B,"Unmapped")</f>
        <v>Revenue</v>
      </c>
      <c r="O1870" cm="1">
        <f t="array" ref="O1870">_xlfn.XLOOKUP(
  1,
  (FX_Rates[Currency]=Cleaned[[#This Row],[Currency]])*
  (FX_Rates[RateDate]&lt;=Cleaned[[#This Row],[TxnDate]]),
  FX_Rates[Rate_To_INR],
  ,
  -1
)</f>
        <v>88</v>
      </c>
      <c r="P1870" s="2">
        <f>Cleaned[[#This Row],[Net Amount]] *  Cleaned[[#This Row],[FX_rates]]</f>
        <v>165988.24</v>
      </c>
    </row>
    <row r="1871" spans="1:16" x14ac:dyDescent="0.45">
      <c r="A1871" t="s">
        <v>1879</v>
      </c>
      <c r="B1871" s="1">
        <v>45263</v>
      </c>
      <c r="C1871" s="2" t="s">
        <v>2012</v>
      </c>
      <c r="D1871" t="s">
        <v>2017</v>
      </c>
      <c r="E1871">
        <v>552.91</v>
      </c>
      <c r="F1871">
        <f>Cleaned[[#This Row],[Debit]] * Cleaned[[#This Row],[FX_rates]]</f>
        <v>30962.959999999999</v>
      </c>
      <c r="G1871">
        <v>0</v>
      </c>
      <c r="H1871">
        <f>Cleaned[[#This Row],[Credit]] *  Cleaned[[#This Row],[FX_rates]]</f>
        <v>0</v>
      </c>
      <c r="I1871" t="s">
        <v>2023</v>
      </c>
      <c r="J1871" t="s">
        <v>2029</v>
      </c>
      <c r="K1871" t="s">
        <v>3900</v>
      </c>
      <c r="L1871" t="s">
        <v>4033</v>
      </c>
      <c r="M1871">
        <f>Cleaned[[#This Row],[Credit]]-Cleaned[[#This Row],[Debit]]</f>
        <v>-552.91</v>
      </c>
      <c r="N1871" t="str">
        <f>_xlfn.XLOOKUP(Cleaned[[#This Row],[AccountName]], Account_Mapping!A:A, Account_Mapping!B:B,"Unmapped")</f>
        <v>Operating Expense</v>
      </c>
      <c r="O1871" cm="1">
        <f t="array" ref="O1871">_xlfn.XLOOKUP(
  1,
  (FX_Rates[Currency]=Cleaned[[#This Row],[Currency]])*
  (FX_Rates[RateDate]&lt;=Cleaned[[#This Row],[TxnDate]]),
  FX_Rates[Rate_To_INR],
  ,
  -1
)</f>
        <v>56</v>
      </c>
      <c r="P1871" s="2">
        <f>Cleaned[[#This Row],[Net Amount]] *  Cleaned[[#This Row],[FX_rates]]</f>
        <v>-30962.959999999999</v>
      </c>
    </row>
    <row r="1872" spans="1:16" x14ac:dyDescent="0.45">
      <c r="A1872" t="s">
        <v>1880</v>
      </c>
      <c r="B1872" s="1">
        <v>45620</v>
      </c>
      <c r="C1872" s="2" t="s">
        <v>2014</v>
      </c>
      <c r="D1872" t="s">
        <v>2019</v>
      </c>
      <c r="E1872">
        <v>0</v>
      </c>
      <c r="F1872">
        <f>Cleaned[[#This Row],[Debit]] * Cleaned[[#This Row],[FX_rates]]</f>
        <v>0</v>
      </c>
      <c r="G1872">
        <v>258.08</v>
      </c>
      <c r="H1872">
        <f>Cleaned[[#This Row],[Credit]] *  Cleaned[[#This Row],[FX_rates]]</f>
        <v>21162.559999999998</v>
      </c>
      <c r="I1872" t="s">
        <v>2024</v>
      </c>
      <c r="J1872" t="s">
        <v>2027</v>
      </c>
      <c r="K1872" t="s">
        <v>3901</v>
      </c>
      <c r="L1872" t="s">
        <v>4034</v>
      </c>
      <c r="M1872">
        <f>Cleaned[[#This Row],[Credit]]-Cleaned[[#This Row],[Debit]]</f>
        <v>258.08</v>
      </c>
      <c r="N1872" t="str">
        <f>_xlfn.XLOOKUP(Cleaned[[#This Row],[AccountName]], Account_Mapping!A:A, Account_Mapping!B:B,"Unmapped")</f>
        <v>Revenue</v>
      </c>
      <c r="O1872" cm="1">
        <f t="array" ref="O1872">_xlfn.XLOOKUP(
  1,
  (FX_Rates[Currency]=Cleaned[[#This Row],[Currency]])*
  (FX_Rates[RateDate]&lt;=Cleaned[[#This Row],[TxnDate]]),
  FX_Rates[Rate_To_INR],
  ,
  -1
)</f>
        <v>82</v>
      </c>
      <c r="P1872" s="2">
        <f>Cleaned[[#This Row],[Net Amount]] *  Cleaned[[#This Row],[FX_rates]]</f>
        <v>21162.559999999998</v>
      </c>
    </row>
    <row r="1873" spans="1:16" x14ac:dyDescent="0.45">
      <c r="A1873" t="s">
        <v>1881</v>
      </c>
      <c r="B1873" s="1">
        <v>45795</v>
      </c>
      <c r="C1873" s="2" t="s">
        <v>2013</v>
      </c>
      <c r="D1873" t="s">
        <v>2018</v>
      </c>
      <c r="E1873">
        <v>1370.81</v>
      </c>
      <c r="F1873">
        <f>Cleaned[[#This Row],[Debit]] * Cleaned[[#This Row],[FX_rates]]</f>
        <v>76765.36</v>
      </c>
      <c r="G1873">
        <v>0</v>
      </c>
      <c r="H1873">
        <f>Cleaned[[#This Row],[Credit]] *  Cleaned[[#This Row],[FX_rates]]</f>
        <v>0</v>
      </c>
      <c r="I1873" t="s">
        <v>2024</v>
      </c>
      <c r="J1873" t="s">
        <v>2026</v>
      </c>
      <c r="K1873" t="s">
        <v>3902</v>
      </c>
      <c r="L1873" t="s">
        <v>4033</v>
      </c>
      <c r="M1873">
        <f>Cleaned[[#This Row],[Credit]]-Cleaned[[#This Row],[Debit]]</f>
        <v>-1370.81</v>
      </c>
      <c r="N1873" t="str">
        <f>_xlfn.XLOOKUP(Cleaned[[#This Row],[AccountName]], Account_Mapping!A:A, Account_Mapping!B:B,"Unmapped")</f>
        <v>Operating Expense</v>
      </c>
      <c r="O1873" cm="1">
        <f t="array" ref="O1873">_xlfn.XLOOKUP(
  1,
  (FX_Rates[Currency]=Cleaned[[#This Row],[Currency]])*
  (FX_Rates[RateDate]&lt;=Cleaned[[#This Row],[TxnDate]]),
  FX_Rates[Rate_To_INR],
  ,
  -1
)</f>
        <v>56</v>
      </c>
      <c r="P1873" s="2">
        <f>Cleaned[[#This Row],[Net Amount]] *  Cleaned[[#This Row],[FX_rates]]</f>
        <v>-76765.36</v>
      </c>
    </row>
    <row r="1874" spans="1:16" x14ac:dyDescent="0.45">
      <c r="A1874" t="s">
        <v>1882</v>
      </c>
      <c r="B1874" s="1">
        <v>45382</v>
      </c>
      <c r="C1874" s="2" t="s">
        <v>2012</v>
      </c>
      <c r="D1874" t="s">
        <v>2017</v>
      </c>
      <c r="E1874">
        <v>1669.15</v>
      </c>
      <c r="F1874">
        <f>Cleaned[[#This Row],[Debit]] * Cleaned[[#This Row],[FX_rates]]</f>
        <v>136870.30000000002</v>
      </c>
      <c r="G1874">
        <v>0</v>
      </c>
      <c r="H1874">
        <f>Cleaned[[#This Row],[Credit]] *  Cleaned[[#This Row],[FX_rates]]</f>
        <v>0</v>
      </c>
      <c r="I1874" t="s">
        <v>2022</v>
      </c>
      <c r="J1874" t="s">
        <v>2027</v>
      </c>
      <c r="K1874" t="s">
        <v>3903</v>
      </c>
      <c r="L1874" t="s">
        <v>4034</v>
      </c>
      <c r="M1874">
        <f>Cleaned[[#This Row],[Credit]]-Cleaned[[#This Row],[Debit]]</f>
        <v>-1669.15</v>
      </c>
      <c r="N1874" t="str">
        <f>_xlfn.XLOOKUP(Cleaned[[#This Row],[AccountName]], Account_Mapping!A:A, Account_Mapping!B:B,"Unmapped")</f>
        <v>Operating Expense</v>
      </c>
      <c r="O1874" cm="1">
        <f t="array" ref="O1874">_xlfn.XLOOKUP(
  1,
  (FX_Rates[Currency]=Cleaned[[#This Row],[Currency]])*
  (FX_Rates[RateDate]&lt;=Cleaned[[#This Row],[TxnDate]]),
  FX_Rates[Rate_To_INR],
  ,
  -1
)</f>
        <v>82</v>
      </c>
      <c r="P1874" s="2">
        <f>Cleaned[[#This Row],[Net Amount]] *  Cleaned[[#This Row],[FX_rates]]</f>
        <v>-136870.30000000002</v>
      </c>
    </row>
    <row r="1875" spans="1:16" x14ac:dyDescent="0.45">
      <c r="A1875" t="s">
        <v>1883</v>
      </c>
      <c r="B1875" s="1">
        <v>45095</v>
      </c>
      <c r="C1875" s="2" t="s">
        <v>2013</v>
      </c>
      <c r="D1875" t="s">
        <v>2018</v>
      </c>
      <c r="E1875">
        <v>1711.71</v>
      </c>
      <c r="F1875">
        <f>Cleaned[[#This Row],[Debit]] * Cleaned[[#This Row],[FX_rates]]</f>
        <v>150630.48000000001</v>
      </c>
      <c r="G1875">
        <v>0</v>
      </c>
      <c r="H1875">
        <f>Cleaned[[#This Row],[Credit]] *  Cleaned[[#This Row],[FX_rates]]</f>
        <v>0</v>
      </c>
      <c r="I1875" t="s">
        <v>2020</v>
      </c>
      <c r="J1875" t="s">
        <v>2028</v>
      </c>
      <c r="K1875" t="s">
        <v>3904</v>
      </c>
      <c r="L1875" t="s">
        <v>4032</v>
      </c>
      <c r="M1875">
        <f>Cleaned[[#This Row],[Credit]]-Cleaned[[#This Row],[Debit]]</f>
        <v>-1711.71</v>
      </c>
      <c r="N1875" t="str">
        <f>_xlfn.XLOOKUP(Cleaned[[#This Row],[AccountName]], Account_Mapping!A:A, Account_Mapping!B:B,"Unmapped")</f>
        <v>Operating Expense</v>
      </c>
      <c r="O1875" cm="1">
        <f t="array" ref="O1875">_xlfn.XLOOKUP(
  1,
  (FX_Rates[Currency]=Cleaned[[#This Row],[Currency]])*
  (FX_Rates[RateDate]&lt;=Cleaned[[#This Row],[TxnDate]]),
  FX_Rates[Rate_To_INR],
  ,
  -1
)</f>
        <v>88</v>
      </c>
      <c r="P1875" s="2">
        <f>Cleaned[[#This Row],[Net Amount]] *  Cleaned[[#This Row],[FX_rates]]</f>
        <v>-150630.48000000001</v>
      </c>
    </row>
    <row r="1876" spans="1:16" x14ac:dyDescent="0.45">
      <c r="A1876" t="s">
        <v>1884</v>
      </c>
      <c r="B1876" s="1">
        <v>44933</v>
      </c>
      <c r="C1876" s="2" t="s">
        <v>2011</v>
      </c>
      <c r="D1876" t="s">
        <v>2016</v>
      </c>
      <c r="E1876">
        <v>520.70000000000005</v>
      </c>
      <c r="F1876">
        <f>Cleaned[[#This Row],[Debit]] * Cleaned[[#This Row],[FX_rates]]</f>
        <v>42697.4</v>
      </c>
      <c r="G1876">
        <v>0</v>
      </c>
      <c r="H1876">
        <f>Cleaned[[#This Row],[Credit]] *  Cleaned[[#This Row],[FX_rates]]</f>
        <v>0</v>
      </c>
      <c r="I1876" t="s">
        <v>2021</v>
      </c>
      <c r="J1876" t="s">
        <v>2030</v>
      </c>
      <c r="K1876" t="s">
        <v>3905</v>
      </c>
      <c r="L1876" t="s">
        <v>4034</v>
      </c>
      <c r="M1876">
        <f>Cleaned[[#This Row],[Credit]]-Cleaned[[#This Row],[Debit]]</f>
        <v>-520.70000000000005</v>
      </c>
      <c r="N1876" t="str">
        <f>_xlfn.XLOOKUP(Cleaned[[#This Row],[AccountName]], Account_Mapping!A:A, Account_Mapping!B:B,"Unmapped")</f>
        <v>COGS</v>
      </c>
      <c r="O1876" cm="1">
        <f t="array" ref="O1876">_xlfn.XLOOKUP(
  1,
  (FX_Rates[Currency]=Cleaned[[#This Row],[Currency]])*
  (FX_Rates[RateDate]&lt;=Cleaned[[#This Row],[TxnDate]]),
  FX_Rates[Rate_To_INR],
  ,
  -1
)</f>
        <v>82</v>
      </c>
      <c r="P1876" s="2">
        <f>Cleaned[[#This Row],[Net Amount]] *  Cleaned[[#This Row],[FX_rates]]</f>
        <v>-42697.4</v>
      </c>
    </row>
    <row r="1877" spans="1:16" x14ac:dyDescent="0.45">
      <c r="A1877" t="s">
        <v>1885</v>
      </c>
      <c r="B1877" s="1">
        <v>45378</v>
      </c>
      <c r="C1877" s="2" t="s">
        <v>2012</v>
      </c>
      <c r="D1877" t="s">
        <v>2017</v>
      </c>
      <c r="E1877">
        <v>501.53</v>
      </c>
      <c r="F1877">
        <f>Cleaned[[#This Row],[Debit]] * Cleaned[[#This Row],[FX_rates]]</f>
        <v>41125.46</v>
      </c>
      <c r="G1877">
        <v>0</v>
      </c>
      <c r="H1877">
        <f>Cleaned[[#This Row],[Credit]] *  Cleaned[[#This Row],[FX_rates]]</f>
        <v>0</v>
      </c>
      <c r="I1877" t="s">
        <v>2020</v>
      </c>
      <c r="J1877" t="s">
        <v>2030</v>
      </c>
      <c r="K1877" t="s">
        <v>3906</v>
      </c>
      <c r="L1877" t="s">
        <v>4034</v>
      </c>
      <c r="M1877">
        <f>Cleaned[[#This Row],[Credit]]-Cleaned[[#This Row],[Debit]]</f>
        <v>-501.53</v>
      </c>
      <c r="N1877" t="str">
        <f>_xlfn.XLOOKUP(Cleaned[[#This Row],[AccountName]], Account_Mapping!A:A, Account_Mapping!B:B,"Unmapped")</f>
        <v>Operating Expense</v>
      </c>
      <c r="O1877" cm="1">
        <f t="array" ref="O1877">_xlfn.XLOOKUP(
  1,
  (FX_Rates[Currency]=Cleaned[[#This Row],[Currency]])*
  (FX_Rates[RateDate]&lt;=Cleaned[[#This Row],[TxnDate]]),
  FX_Rates[Rate_To_INR],
  ,
  -1
)</f>
        <v>82</v>
      </c>
      <c r="P1877" s="2">
        <f>Cleaned[[#This Row],[Net Amount]] *  Cleaned[[#This Row],[FX_rates]]</f>
        <v>-41125.46</v>
      </c>
    </row>
    <row r="1878" spans="1:16" x14ac:dyDescent="0.45">
      <c r="A1878" t="s">
        <v>1886</v>
      </c>
      <c r="B1878" s="1">
        <v>45293</v>
      </c>
      <c r="C1878" s="2" t="s">
        <v>2013</v>
      </c>
      <c r="D1878" t="s">
        <v>2018</v>
      </c>
      <c r="E1878">
        <v>283.45</v>
      </c>
      <c r="F1878">
        <f>Cleaned[[#This Row],[Debit]] * Cleaned[[#This Row],[FX_rates]]</f>
        <v>23242.899999999998</v>
      </c>
      <c r="G1878">
        <v>0</v>
      </c>
      <c r="H1878">
        <f>Cleaned[[#This Row],[Credit]] *  Cleaned[[#This Row],[FX_rates]]</f>
        <v>0</v>
      </c>
      <c r="I1878" t="s">
        <v>2021</v>
      </c>
      <c r="J1878" t="s">
        <v>2027</v>
      </c>
      <c r="K1878" t="s">
        <v>3907</v>
      </c>
      <c r="L1878" t="s">
        <v>4034</v>
      </c>
      <c r="M1878">
        <f>Cleaned[[#This Row],[Credit]]-Cleaned[[#This Row],[Debit]]</f>
        <v>-283.45</v>
      </c>
      <c r="N1878" t="str">
        <f>_xlfn.XLOOKUP(Cleaned[[#This Row],[AccountName]], Account_Mapping!A:A, Account_Mapping!B:B,"Unmapped")</f>
        <v>Operating Expense</v>
      </c>
      <c r="O1878" cm="1">
        <f t="array" ref="O1878">_xlfn.XLOOKUP(
  1,
  (FX_Rates[Currency]=Cleaned[[#This Row],[Currency]])*
  (FX_Rates[RateDate]&lt;=Cleaned[[#This Row],[TxnDate]]),
  FX_Rates[Rate_To_INR],
  ,
  -1
)</f>
        <v>82</v>
      </c>
      <c r="P1878" s="2">
        <f>Cleaned[[#This Row],[Net Amount]] *  Cleaned[[#This Row],[FX_rates]]</f>
        <v>-23242.899999999998</v>
      </c>
    </row>
    <row r="1879" spans="1:16" x14ac:dyDescent="0.45">
      <c r="A1879" t="s">
        <v>1887</v>
      </c>
      <c r="B1879" s="1">
        <v>45811</v>
      </c>
      <c r="C1879" s="2" t="s">
        <v>2014</v>
      </c>
      <c r="D1879" t="s">
        <v>2019</v>
      </c>
      <c r="E1879">
        <v>0</v>
      </c>
      <c r="F1879">
        <f>Cleaned[[#This Row],[Debit]] * Cleaned[[#This Row],[FX_rates]]</f>
        <v>0</v>
      </c>
      <c r="G1879">
        <v>3079.85</v>
      </c>
      <c r="H1879">
        <f>Cleaned[[#This Row],[Credit]] *  Cleaned[[#This Row],[FX_rates]]</f>
        <v>187870.85</v>
      </c>
      <c r="I1879" t="s">
        <v>2021</v>
      </c>
      <c r="J1879" t="s">
        <v>2027</v>
      </c>
      <c r="K1879" t="s">
        <v>3908</v>
      </c>
      <c r="L1879" t="s">
        <v>4035</v>
      </c>
      <c r="M1879">
        <f>Cleaned[[#This Row],[Credit]]-Cleaned[[#This Row],[Debit]]</f>
        <v>3079.85</v>
      </c>
      <c r="N1879" t="str">
        <f>_xlfn.XLOOKUP(Cleaned[[#This Row],[AccountName]], Account_Mapping!A:A, Account_Mapping!B:B,"Unmapped")</f>
        <v>Revenue</v>
      </c>
      <c r="O1879" cm="1">
        <f t="array" ref="O1879">_xlfn.XLOOKUP(
  1,
  (FX_Rates[Currency]=Cleaned[[#This Row],[Currency]])*
  (FX_Rates[RateDate]&lt;=Cleaned[[#This Row],[TxnDate]]),
  FX_Rates[Rate_To_INR],
  ,
  -1
)</f>
        <v>61</v>
      </c>
      <c r="P1879" s="2">
        <f>Cleaned[[#This Row],[Net Amount]] *  Cleaned[[#This Row],[FX_rates]]</f>
        <v>187870.85</v>
      </c>
    </row>
    <row r="1880" spans="1:16" x14ac:dyDescent="0.45">
      <c r="A1880" t="s">
        <v>1888</v>
      </c>
      <c r="B1880" s="1">
        <v>45221</v>
      </c>
      <c r="C1880" s="2" t="s">
        <v>2012</v>
      </c>
      <c r="D1880" t="s">
        <v>2017</v>
      </c>
      <c r="E1880">
        <v>316.08</v>
      </c>
      <c r="F1880">
        <f>Cleaned[[#This Row],[Debit]] * Cleaned[[#This Row],[FX_rates]]</f>
        <v>19280.879999999997</v>
      </c>
      <c r="G1880">
        <v>0</v>
      </c>
      <c r="H1880">
        <f>Cleaned[[#This Row],[Credit]] *  Cleaned[[#This Row],[FX_rates]]</f>
        <v>0</v>
      </c>
      <c r="I1880" t="s">
        <v>2021</v>
      </c>
      <c r="J1880" t="s">
        <v>2026</v>
      </c>
      <c r="K1880" t="s">
        <v>3909</v>
      </c>
      <c r="L1880" t="s">
        <v>4035</v>
      </c>
      <c r="M1880">
        <f>Cleaned[[#This Row],[Credit]]-Cleaned[[#This Row],[Debit]]</f>
        <v>-316.08</v>
      </c>
      <c r="N1880" t="str">
        <f>_xlfn.XLOOKUP(Cleaned[[#This Row],[AccountName]], Account_Mapping!A:A, Account_Mapping!B:B,"Unmapped")</f>
        <v>Operating Expense</v>
      </c>
      <c r="O1880" cm="1">
        <f t="array" ref="O1880">_xlfn.XLOOKUP(
  1,
  (FX_Rates[Currency]=Cleaned[[#This Row],[Currency]])*
  (FX_Rates[RateDate]&lt;=Cleaned[[#This Row],[TxnDate]]),
  FX_Rates[Rate_To_INR],
  ,
  -1
)</f>
        <v>61</v>
      </c>
      <c r="P1880" s="2">
        <f>Cleaned[[#This Row],[Net Amount]] *  Cleaned[[#This Row],[FX_rates]]</f>
        <v>-19280.879999999997</v>
      </c>
    </row>
    <row r="1881" spans="1:16" x14ac:dyDescent="0.45">
      <c r="A1881" t="s">
        <v>1889</v>
      </c>
      <c r="B1881" s="1">
        <v>45334</v>
      </c>
      <c r="C1881" s="2" t="s">
        <v>2013</v>
      </c>
      <c r="D1881" t="s">
        <v>2018</v>
      </c>
      <c r="E1881">
        <v>1517.3</v>
      </c>
      <c r="F1881">
        <f>Cleaned[[#This Row],[Debit]] * Cleaned[[#This Row],[FX_rates]]</f>
        <v>84968.8</v>
      </c>
      <c r="G1881">
        <v>0</v>
      </c>
      <c r="H1881">
        <f>Cleaned[[#This Row],[Credit]] *  Cleaned[[#This Row],[FX_rates]]</f>
        <v>0</v>
      </c>
      <c r="I1881" t="s">
        <v>2024</v>
      </c>
      <c r="J1881" t="s">
        <v>2029</v>
      </c>
      <c r="K1881" t="s">
        <v>3910</v>
      </c>
      <c r="L1881" t="s">
        <v>4033</v>
      </c>
      <c r="M1881">
        <f>Cleaned[[#This Row],[Credit]]-Cleaned[[#This Row],[Debit]]</f>
        <v>-1517.3</v>
      </c>
      <c r="N1881" t="str">
        <f>_xlfn.XLOOKUP(Cleaned[[#This Row],[AccountName]], Account_Mapping!A:A, Account_Mapping!B:B,"Unmapped")</f>
        <v>Operating Expense</v>
      </c>
      <c r="O1881" cm="1">
        <f t="array" ref="O1881">_xlfn.XLOOKUP(
  1,
  (FX_Rates[Currency]=Cleaned[[#This Row],[Currency]])*
  (FX_Rates[RateDate]&lt;=Cleaned[[#This Row],[TxnDate]]),
  FX_Rates[Rate_To_INR],
  ,
  -1
)</f>
        <v>56</v>
      </c>
      <c r="P1881" s="2">
        <f>Cleaned[[#This Row],[Net Amount]] *  Cleaned[[#This Row],[FX_rates]]</f>
        <v>-84968.8</v>
      </c>
    </row>
    <row r="1882" spans="1:16" x14ac:dyDescent="0.45">
      <c r="A1882" t="s">
        <v>1890</v>
      </c>
      <c r="B1882" s="1">
        <v>45493</v>
      </c>
      <c r="C1882" s="2" t="s">
        <v>2011</v>
      </c>
      <c r="D1882" t="s">
        <v>2016</v>
      </c>
      <c r="E1882">
        <v>1863.66</v>
      </c>
      <c r="F1882">
        <f>Cleaned[[#This Row],[Debit]] * Cleaned[[#This Row],[FX_rates]]</f>
        <v>113683.26000000001</v>
      </c>
      <c r="G1882">
        <v>0</v>
      </c>
      <c r="H1882">
        <f>Cleaned[[#This Row],[Credit]] *  Cleaned[[#This Row],[FX_rates]]</f>
        <v>0</v>
      </c>
      <c r="I1882" t="s">
        <v>2025</v>
      </c>
      <c r="J1882" t="s">
        <v>2030</v>
      </c>
      <c r="K1882" t="s">
        <v>3911</v>
      </c>
      <c r="L1882" t="s">
        <v>4035</v>
      </c>
      <c r="M1882">
        <f>Cleaned[[#This Row],[Credit]]-Cleaned[[#This Row],[Debit]]</f>
        <v>-1863.66</v>
      </c>
      <c r="N1882" t="str">
        <f>_xlfn.XLOOKUP(Cleaned[[#This Row],[AccountName]], Account_Mapping!A:A, Account_Mapping!B:B,"Unmapped")</f>
        <v>COGS</v>
      </c>
      <c r="O1882" cm="1">
        <f t="array" ref="O1882">_xlfn.XLOOKUP(
  1,
  (FX_Rates[Currency]=Cleaned[[#This Row],[Currency]])*
  (FX_Rates[RateDate]&lt;=Cleaned[[#This Row],[TxnDate]]),
  FX_Rates[Rate_To_INR],
  ,
  -1
)</f>
        <v>61</v>
      </c>
      <c r="P1882" s="2">
        <f>Cleaned[[#This Row],[Net Amount]] *  Cleaned[[#This Row],[FX_rates]]</f>
        <v>-113683.26000000001</v>
      </c>
    </row>
    <row r="1883" spans="1:16" x14ac:dyDescent="0.45">
      <c r="A1883" t="s">
        <v>1891</v>
      </c>
      <c r="B1883" s="1">
        <v>45466</v>
      </c>
      <c r="C1883" s="2" t="s">
        <v>2011</v>
      </c>
      <c r="D1883" t="s">
        <v>2016</v>
      </c>
      <c r="E1883">
        <v>146.04</v>
      </c>
      <c r="F1883">
        <f>Cleaned[[#This Row],[Debit]] * Cleaned[[#This Row],[FX_rates]]</f>
        <v>8178.24</v>
      </c>
      <c r="G1883">
        <v>0</v>
      </c>
      <c r="H1883">
        <f>Cleaned[[#This Row],[Credit]] *  Cleaned[[#This Row],[FX_rates]]</f>
        <v>0</v>
      </c>
      <c r="I1883" t="s">
        <v>2025</v>
      </c>
      <c r="J1883" t="s">
        <v>2028</v>
      </c>
      <c r="K1883" t="s">
        <v>3912</v>
      </c>
      <c r="L1883" t="s">
        <v>4033</v>
      </c>
      <c r="M1883">
        <f>Cleaned[[#This Row],[Credit]]-Cleaned[[#This Row],[Debit]]</f>
        <v>-146.04</v>
      </c>
      <c r="N1883" t="str">
        <f>_xlfn.XLOOKUP(Cleaned[[#This Row],[AccountName]], Account_Mapping!A:A, Account_Mapping!B:B,"Unmapped")</f>
        <v>COGS</v>
      </c>
      <c r="O1883" cm="1">
        <f t="array" ref="O1883">_xlfn.XLOOKUP(
  1,
  (FX_Rates[Currency]=Cleaned[[#This Row],[Currency]])*
  (FX_Rates[RateDate]&lt;=Cleaned[[#This Row],[TxnDate]]),
  FX_Rates[Rate_To_INR],
  ,
  -1
)</f>
        <v>56</v>
      </c>
      <c r="P1883" s="2">
        <f>Cleaned[[#This Row],[Net Amount]] *  Cleaned[[#This Row],[FX_rates]]</f>
        <v>-8178.24</v>
      </c>
    </row>
    <row r="1884" spans="1:16" x14ac:dyDescent="0.45">
      <c r="A1884" t="s">
        <v>1892</v>
      </c>
      <c r="B1884" s="1">
        <v>45225</v>
      </c>
      <c r="C1884" s="2" t="s">
        <v>2012</v>
      </c>
      <c r="D1884" t="s">
        <v>2017</v>
      </c>
      <c r="E1884">
        <v>701.14</v>
      </c>
      <c r="F1884">
        <f>Cleaned[[#This Row],[Debit]] * Cleaned[[#This Row],[FX_rates]]</f>
        <v>61700.32</v>
      </c>
      <c r="G1884">
        <v>0</v>
      </c>
      <c r="H1884">
        <f>Cleaned[[#This Row],[Credit]] *  Cleaned[[#This Row],[FX_rates]]</f>
        <v>0</v>
      </c>
      <c r="I1884" t="s">
        <v>2020</v>
      </c>
      <c r="J1884" t="s">
        <v>2028</v>
      </c>
      <c r="K1884" t="s">
        <v>3913</v>
      </c>
      <c r="L1884" t="s">
        <v>4032</v>
      </c>
      <c r="M1884">
        <f>Cleaned[[#This Row],[Credit]]-Cleaned[[#This Row],[Debit]]</f>
        <v>-701.14</v>
      </c>
      <c r="N1884" t="str">
        <f>_xlfn.XLOOKUP(Cleaned[[#This Row],[AccountName]], Account_Mapping!A:A, Account_Mapping!B:B,"Unmapped")</f>
        <v>Operating Expense</v>
      </c>
      <c r="O1884" cm="1">
        <f t="array" ref="O1884">_xlfn.XLOOKUP(
  1,
  (FX_Rates[Currency]=Cleaned[[#This Row],[Currency]])*
  (FX_Rates[RateDate]&lt;=Cleaned[[#This Row],[TxnDate]]),
  FX_Rates[Rate_To_INR],
  ,
  -1
)</f>
        <v>88</v>
      </c>
      <c r="P1884" s="2">
        <f>Cleaned[[#This Row],[Net Amount]] *  Cleaned[[#This Row],[FX_rates]]</f>
        <v>-61700.32</v>
      </c>
    </row>
    <row r="1885" spans="1:16" x14ac:dyDescent="0.45">
      <c r="A1885" t="s">
        <v>1893</v>
      </c>
      <c r="B1885" s="1">
        <v>45562</v>
      </c>
      <c r="C1885" s="2" t="s">
        <v>2013</v>
      </c>
      <c r="D1885" t="s">
        <v>2018</v>
      </c>
      <c r="E1885">
        <v>1033.6199999999999</v>
      </c>
      <c r="F1885">
        <f>Cleaned[[#This Row],[Debit]] * Cleaned[[#This Row],[FX_rates]]</f>
        <v>84756.84</v>
      </c>
      <c r="G1885">
        <v>0</v>
      </c>
      <c r="H1885">
        <f>Cleaned[[#This Row],[Credit]] *  Cleaned[[#This Row],[FX_rates]]</f>
        <v>0</v>
      </c>
      <c r="I1885" t="s">
        <v>2022</v>
      </c>
      <c r="J1885" t="s">
        <v>2028</v>
      </c>
      <c r="K1885" t="s">
        <v>3914</v>
      </c>
      <c r="L1885" t="s">
        <v>4034</v>
      </c>
      <c r="M1885">
        <f>Cleaned[[#This Row],[Credit]]-Cleaned[[#This Row],[Debit]]</f>
        <v>-1033.6199999999999</v>
      </c>
      <c r="N1885" t="str">
        <f>_xlfn.XLOOKUP(Cleaned[[#This Row],[AccountName]], Account_Mapping!A:A, Account_Mapping!B:B,"Unmapped")</f>
        <v>Operating Expense</v>
      </c>
      <c r="O1885" cm="1">
        <f t="array" ref="O1885">_xlfn.XLOOKUP(
  1,
  (FX_Rates[Currency]=Cleaned[[#This Row],[Currency]])*
  (FX_Rates[RateDate]&lt;=Cleaned[[#This Row],[TxnDate]]),
  FX_Rates[Rate_To_INR],
  ,
  -1
)</f>
        <v>82</v>
      </c>
      <c r="P1885" s="2">
        <f>Cleaned[[#This Row],[Net Amount]] *  Cleaned[[#This Row],[FX_rates]]</f>
        <v>-84756.84</v>
      </c>
    </row>
    <row r="1886" spans="1:16" x14ac:dyDescent="0.45">
      <c r="A1886" t="s">
        <v>1894</v>
      </c>
      <c r="B1886" s="1">
        <v>45787</v>
      </c>
      <c r="C1886" s="2" t="s">
        <v>2012</v>
      </c>
      <c r="D1886" t="s">
        <v>2017</v>
      </c>
      <c r="E1886">
        <v>652.77</v>
      </c>
      <c r="F1886">
        <f>Cleaned[[#This Row],[Debit]] * Cleaned[[#This Row],[FX_rates]]</f>
        <v>53527.14</v>
      </c>
      <c r="G1886">
        <v>0</v>
      </c>
      <c r="H1886">
        <f>Cleaned[[#This Row],[Credit]] *  Cleaned[[#This Row],[FX_rates]]</f>
        <v>0</v>
      </c>
      <c r="I1886" t="s">
        <v>2024</v>
      </c>
      <c r="J1886" t="s">
        <v>2027</v>
      </c>
      <c r="K1886" t="s">
        <v>3915</v>
      </c>
      <c r="L1886" t="s">
        <v>4034</v>
      </c>
      <c r="M1886">
        <f>Cleaned[[#This Row],[Credit]]-Cleaned[[#This Row],[Debit]]</f>
        <v>-652.77</v>
      </c>
      <c r="N1886" t="str">
        <f>_xlfn.XLOOKUP(Cleaned[[#This Row],[AccountName]], Account_Mapping!A:A, Account_Mapping!B:B,"Unmapped")</f>
        <v>Operating Expense</v>
      </c>
      <c r="O1886" cm="1">
        <f t="array" ref="O1886">_xlfn.XLOOKUP(
  1,
  (FX_Rates[Currency]=Cleaned[[#This Row],[Currency]])*
  (FX_Rates[RateDate]&lt;=Cleaned[[#This Row],[TxnDate]]),
  FX_Rates[Rate_To_INR],
  ,
  -1
)</f>
        <v>82</v>
      </c>
      <c r="P1886" s="2">
        <f>Cleaned[[#This Row],[Net Amount]] *  Cleaned[[#This Row],[FX_rates]]</f>
        <v>-53527.14</v>
      </c>
    </row>
    <row r="1887" spans="1:16" x14ac:dyDescent="0.45">
      <c r="A1887" t="s">
        <v>1895</v>
      </c>
      <c r="B1887" s="1">
        <v>45110</v>
      </c>
      <c r="C1887" s="2" t="s">
        <v>2010</v>
      </c>
      <c r="D1887" t="s">
        <v>2015</v>
      </c>
      <c r="E1887">
        <v>0</v>
      </c>
      <c r="F1887">
        <f>Cleaned[[#This Row],[Debit]] * Cleaned[[#This Row],[FX_rates]]</f>
        <v>0</v>
      </c>
      <c r="G1887">
        <v>2202.71</v>
      </c>
      <c r="H1887">
        <f>Cleaned[[#This Row],[Credit]] *  Cleaned[[#This Row],[FX_rates]]</f>
        <v>180622.22</v>
      </c>
      <c r="I1887" t="s">
        <v>2020</v>
      </c>
      <c r="J1887" t="s">
        <v>2028</v>
      </c>
      <c r="K1887" t="s">
        <v>3916</v>
      </c>
      <c r="L1887" t="s">
        <v>4034</v>
      </c>
      <c r="M1887">
        <f>Cleaned[[#This Row],[Credit]]-Cleaned[[#This Row],[Debit]]</f>
        <v>2202.71</v>
      </c>
      <c r="N1887" t="str">
        <f>_xlfn.XLOOKUP(Cleaned[[#This Row],[AccountName]], Account_Mapping!A:A, Account_Mapping!B:B,"Unmapped")</f>
        <v>Revenue</v>
      </c>
      <c r="O1887" cm="1">
        <f t="array" ref="O1887">_xlfn.XLOOKUP(
  1,
  (FX_Rates[Currency]=Cleaned[[#This Row],[Currency]])*
  (FX_Rates[RateDate]&lt;=Cleaned[[#This Row],[TxnDate]]),
  FX_Rates[Rate_To_INR],
  ,
  -1
)</f>
        <v>82</v>
      </c>
      <c r="P1887" s="2">
        <f>Cleaned[[#This Row],[Net Amount]] *  Cleaned[[#This Row],[FX_rates]]</f>
        <v>180622.22</v>
      </c>
    </row>
    <row r="1888" spans="1:16" x14ac:dyDescent="0.45">
      <c r="A1888" t="s">
        <v>1896</v>
      </c>
      <c r="B1888" s="1">
        <v>45201</v>
      </c>
      <c r="C1888" s="2" t="s">
        <v>2012</v>
      </c>
      <c r="D1888" t="s">
        <v>2017</v>
      </c>
      <c r="E1888">
        <v>1252.73</v>
      </c>
      <c r="F1888">
        <f>Cleaned[[#This Row],[Debit]] * Cleaned[[#This Row],[FX_rates]]</f>
        <v>102723.86</v>
      </c>
      <c r="G1888">
        <v>0</v>
      </c>
      <c r="H1888">
        <f>Cleaned[[#This Row],[Credit]] *  Cleaned[[#This Row],[FX_rates]]</f>
        <v>0</v>
      </c>
      <c r="I1888" t="s">
        <v>2024</v>
      </c>
      <c r="J1888" t="s">
        <v>2029</v>
      </c>
      <c r="K1888" t="s">
        <v>3917</v>
      </c>
      <c r="L1888" t="s">
        <v>4034</v>
      </c>
      <c r="M1888">
        <f>Cleaned[[#This Row],[Credit]]-Cleaned[[#This Row],[Debit]]</f>
        <v>-1252.73</v>
      </c>
      <c r="N1888" t="str">
        <f>_xlfn.XLOOKUP(Cleaned[[#This Row],[AccountName]], Account_Mapping!A:A, Account_Mapping!B:B,"Unmapped")</f>
        <v>Operating Expense</v>
      </c>
      <c r="O1888" cm="1">
        <f t="array" ref="O1888">_xlfn.XLOOKUP(
  1,
  (FX_Rates[Currency]=Cleaned[[#This Row],[Currency]])*
  (FX_Rates[RateDate]&lt;=Cleaned[[#This Row],[TxnDate]]),
  FX_Rates[Rate_To_INR],
  ,
  -1
)</f>
        <v>82</v>
      </c>
      <c r="P1888" s="2">
        <f>Cleaned[[#This Row],[Net Amount]] *  Cleaned[[#This Row],[FX_rates]]</f>
        <v>-102723.86</v>
      </c>
    </row>
    <row r="1889" spans="1:16" x14ac:dyDescent="0.45">
      <c r="A1889" t="s">
        <v>1897</v>
      </c>
      <c r="B1889" s="1">
        <v>45386</v>
      </c>
      <c r="C1889" s="2" t="s">
        <v>2011</v>
      </c>
      <c r="D1889" t="s">
        <v>2016</v>
      </c>
      <c r="E1889">
        <v>1422.61</v>
      </c>
      <c r="F1889">
        <f>Cleaned[[#This Row],[Debit]] * Cleaned[[#This Row],[FX_rates]]</f>
        <v>86779.209999999992</v>
      </c>
      <c r="G1889">
        <v>0</v>
      </c>
      <c r="H1889">
        <f>Cleaned[[#This Row],[Credit]] *  Cleaned[[#This Row],[FX_rates]]</f>
        <v>0</v>
      </c>
      <c r="I1889" t="s">
        <v>2021</v>
      </c>
      <c r="J1889" t="s">
        <v>2029</v>
      </c>
      <c r="K1889" t="s">
        <v>3918</v>
      </c>
      <c r="L1889" t="s">
        <v>4035</v>
      </c>
      <c r="M1889">
        <f>Cleaned[[#This Row],[Credit]]-Cleaned[[#This Row],[Debit]]</f>
        <v>-1422.61</v>
      </c>
      <c r="N1889" t="str">
        <f>_xlfn.XLOOKUP(Cleaned[[#This Row],[AccountName]], Account_Mapping!A:A, Account_Mapping!B:B,"Unmapped")</f>
        <v>COGS</v>
      </c>
      <c r="O1889" cm="1">
        <f t="array" ref="O1889">_xlfn.XLOOKUP(
  1,
  (FX_Rates[Currency]=Cleaned[[#This Row],[Currency]])*
  (FX_Rates[RateDate]&lt;=Cleaned[[#This Row],[TxnDate]]),
  FX_Rates[Rate_To_INR],
  ,
  -1
)</f>
        <v>61</v>
      </c>
      <c r="P1889" s="2">
        <f>Cleaned[[#This Row],[Net Amount]] *  Cleaned[[#This Row],[FX_rates]]</f>
        <v>-86779.209999999992</v>
      </c>
    </row>
    <row r="1890" spans="1:16" x14ac:dyDescent="0.45">
      <c r="A1890" t="s">
        <v>1898</v>
      </c>
      <c r="B1890" s="1">
        <v>45810</v>
      </c>
      <c r="C1890" s="2" t="s">
        <v>2013</v>
      </c>
      <c r="D1890" t="s">
        <v>2018</v>
      </c>
      <c r="E1890">
        <v>729.53</v>
      </c>
      <c r="F1890">
        <f>Cleaned[[#This Row],[Debit]] * Cleaned[[#This Row],[FX_rates]]</f>
        <v>64198.64</v>
      </c>
      <c r="G1890">
        <v>0</v>
      </c>
      <c r="H1890">
        <f>Cleaned[[#This Row],[Credit]] *  Cleaned[[#This Row],[FX_rates]]</f>
        <v>0</v>
      </c>
      <c r="I1890" t="s">
        <v>2023</v>
      </c>
      <c r="J1890" t="s">
        <v>2026</v>
      </c>
      <c r="K1890" t="s">
        <v>3919</v>
      </c>
      <c r="L1890" t="s">
        <v>4032</v>
      </c>
      <c r="M1890">
        <f>Cleaned[[#This Row],[Credit]]-Cleaned[[#This Row],[Debit]]</f>
        <v>-729.53</v>
      </c>
      <c r="N1890" t="str">
        <f>_xlfn.XLOOKUP(Cleaned[[#This Row],[AccountName]], Account_Mapping!A:A, Account_Mapping!B:B,"Unmapped")</f>
        <v>Operating Expense</v>
      </c>
      <c r="O1890" cm="1">
        <f t="array" ref="O1890">_xlfn.XLOOKUP(
  1,
  (FX_Rates[Currency]=Cleaned[[#This Row],[Currency]])*
  (FX_Rates[RateDate]&lt;=Cleaned[[#This Row],[TxnDate]]),
  FX_Rates[Rate_To_INR],
  ,
  -1
)</f>
        <v>88</v>
      </c>
      <c r="P1890" s="2">
        <f>Cleaned[[#This Row],[Net Amount]] *  Cleaned[[#This Row],[FX_rates]]</f>
        <v>-64198.64</v>
      </c>
    </row>
    <row r="1891" spans="1:16" x14ac:dyDescent="0.45">
      <c r="A1891" t="s">
        <v>1899</v>
      </c>
      <c r="B1891" s="1">
        <v>44945</v>
      </c>
      <c r="C1891" s="2" t="s">
        <v>2013</v>
      </c>
      <c r="D1891" t="s">
        <v>2018</v>
      </c>
      <c r="E1891">
        <v>1561.21</v>
      </c>
      <c r="F1891">
        <f>Cleaned[[#This Row],[Debit]] * Cleaned[[#This Row],[FX_rates]]</f>
        <v>128019.22</v>
      </c>
      <c r="G1891">
        <v>0</v>
      </c>
      <c r="H1891">
        <f>Cleaned[[#This Row],[Credit]] *  Cleaned[[#This Row],[FX_rates]]</f>
        <v>0</v>
      </c>
      <c r="I1891" t="s">
        <v>2021</v>
      </c>
      <c r="J1891" t="s">
        <v>2029</v>
      </c>
      <c r="K1891" t="s">
        <v>3920</v>
      </c>
      <c r="L1891" t="s">
        <v>4034</v>
      </c>
      <c r="M1891">
        <f>Cleaned[[#This Row],[Credit]]-Cleaned[[#This Row],[Debit]]</f>
        <v>-1561.21</v>
      </c>
      <c r="N1891" t="str">
        <f>_xlfn.XLOOKUP(Cleaned[[#This Row],[AccountName]], Account_Mapping!A:A, Account_Mapping!B:B,"Unmapped")</f>
        <v>Operating Expense</v>
      </c>
      <c r="O1891" cm="1">
        <f t="array" ref="O1891">_xlfn.XLOOKUP(
  1,
  (FX_Rates[Currency]=Cleaned[[#This Row],[Currency]])*
  (FX_Rates[RateDate]&lt;=Cleaned[[#This Row],[TxnDate]]),
  FX_Rates[Rate_To_INR],
  ,
  -1
)</f>
        <v>82</v>
      </c>
      <c r="P1891" s="2">
        <f>Cleaned[[#This Row],[Net Amount]] *  Cleaned[[#This Row],[FX_rates]]</f>
        <v>-128019.22</v>
      </c>
    </row>
    <row r="1892" spans="1:16" x14ac:dyDescent="0.45">
      <c r="A1892" t="s">
        <v>1900</v>
      </c>
      <c r="B1892" s="1">
        <v>45701</v>
      </c>
      <c r="C1892" s="2" t="s">
        <v>2014</v>
      </c>
      <c r="D1892" t="s">
        <v>2019</v>
      </c>
      <c r="E1892">
        <v>0</v>
      </c>
      <c r="F1892">
        <f>Cleaned[[#This Row],[Debit]] * Cleaned[[#This Row],[FX_rates]]</f>
        <v>0</v>
      </c>
      <c r="G1892">
        <v>3774.32</v>
      </c>
      <c r="H1892">
        <f>Cleaned[[#This Row],[Credit]] *  Cleaned[[#This Row],[FX_rates]]</f>
        <v>230233.52000000002</v>
      </c>
      <c r="I1892" t="s">
        <v>2025</v>
      </c>
      <c r="J1892" t="s">
        <v>2027</v>
      </c>
      <c r="K1892" t="s">
        <v>3921</v>
      </c>
      <c r="L1892" t="s">
        <v>4035</v>
      </c>
      <c r="M1892">
        <f>Cleaned[[#This Row],[Credit]]-Cleaned[[#This Row],[Debit]]</f>
        <v>3774.32</v>
      </c>
      <c r="N1892" t="str">
        <f>_xlfn.XLOOKUP(Cleaned[[#This Row],[AccountName]], Account_Mapping!A:A, Account_Mapping!B:B,"Unmapped")</f>
        <v>Revenue</v>
      </c>
      <c r="O1892" cm="1">
        <f t="array" ref="O1892">_xlfn.XLOOKUP(
  1,
  (FX_Rates[Currency]=Cleaned[[#This Row],[Currency]])*
  (FX_Rates[RateDate]&lt;=Cleaned[[#This Row],[TxnDate]]),
  FX_Rates[Rate_To_INR],
  ,
  -1
)</f>
        <v>61</v>
      </c>
      <c r="P1892" s="2">
        <f>Cleaned[[#This Row],[Net Amount]] *  Cleaned[[#This Row],[FX_rates]]</f>
        <v>230233.52000000002</v>
      </c>
    </row>
    <row r="1893" spans="1:16" x14ac:dyDescent="0.45">
      <c r="A1893" t="s">
        <v>1901</v>
      </c>
      <c r="B1893" s="1">
        <v>45159</v>
      </c>
      <c r="C1893" s="2" t="s">
        <v>2012</v>
      </c>
      <c r="D1893" t="s">
        <v>2017</v>
      </c>
      <c r="E1893">
        <v>503.88</v>
      </c>
      <c r="F1893">
        <f>Cleaned[[#This Row],[Debit]] * Cleaned[[#This Row],[FX_rates]]</f>
        <v>44341.440000000002</v>
      </c>
      <c r="G1893">
        <v>0</v>
      </c>
      <c r="H1893">
        <f>Cleaned[[#This Row],[Credit]] *  Cleaned[[#This Row],[FX_rates]]</f>
        <v>0</v>
      </c>
      <c r="I1893" t="s">
        <v>2023</v>
      </c>
      <c r="J1893" t="s">
        <v>2027</v>
      </c>
      <c r="K1893" t="s">
        <v>3922</v>
      </c>
      <c r="L1893" t="s">
        <v>4032</v>
      </c>
      <c r="M1893">
        <f>Cleaned[[#This Row],[Credit]]-Cleaned[[#This Row],[Debit]]</f>
        <v>-503.88</v>
      </c>
      <c r="N1893" t="str">
        <f>_xlfn.XLOOKUP(Cleaned[[#This Row],[AccountName]], Account_Mapping!A:A, Account_Mapping!B:B,"Unmapped")</f>
        <v>Operating Expense</v>
      </c>
      <c r="O1893" cm="1">
        <f t="array" ref="O1893">_xlfn.XLOOKUP(
  1,
  (FX_Rates[Currency]=Cleaned[[#This Row],[Currency]])*
  (FX_Rates[RateDate]&lt;=Cleaned[[#This Row],[TxnDate]]),
  FX_Rates[Rate_To_INR],
  ,
  -1
)</f>
        <v>88</v>
      </c>
      <c r="P1893" s="2">
        <f>Cleaned[[#This Row],[Net Amount]] *  Cleaned[[#This Row],[FX_rates]]</f>
        <v>-44341.440000000002</v>
      </c>
    </row>
    <row r="1894" spans="1:16" x14ac:dyDescent="0.45">
      <c r="A1894" t="s">
        <v>1902</v>
      </c>
      <c r="B1894" s="1">
        <v>45212</v>
      </c>
      <c r="C1894" s="2" t="s">
        <v>2014</v>
      </c>
      <c r="D1894" t="s">
        <v>2019</v>
      </c>
      <c r="E1894">
        <v>0</v>
      </c>
      <c r="F1894">
        <f>Cleaned[[#This Row],[Debit]] * Cleaned[[#This Row],[FX_rates]]</f>
        <v>0</v>
      </c>
      <c r="G1894">
        <v>2344.2199999999998</v>
      </c>
      <c r="H1894">
        <f>Cleaned[[#This Row],[Credit]] *  Cleaned[[#This Row],[FX_rates]]</f>
        <v>206291.36</v>
      </c>
      <c r="I1894" t="s">
        <v>2021</v>
      </c>
      <c r="J1894" t="s">
        <v>2027</v>
      </c>
      <c r="K1894" t="s">
        <v>3923</v>
      </c>
      <c r="L1894" t="s">
        <v>4032</v>
      </c>
      <c r="M1894">
        <f>Cleaned[[#This Row],[Credit]]-Cleaned[[#This Row],[Debit]]</f>
        <v>2344.2199999999998</v>
      </c>
      <c r="N1894" t="str">
        <f>_xlfn.XLOOKUP(Cleaned[[#This Row],[AccountName]], Account_Mapping!A:A, Account_Mapping!B:B,"Unmapped")</f>
        <v>Revenue</v>
      </c>
      <c r="O1894" cm="1">
        <f t="array" ref="O1894">_xlfn.XLOOKUP(
  1,
  (FX_Rates[Currency]=Cleaned[[#This Row],[Currency]])*
  (FX_Rates[RateDate]&lt;=Cleaned[[#This Row],[TxnDate]]),
  FX_Rates[Rate_To_INR],
  ,
  -1
)</f>
        <v>88</v>
      </c>
      <c r="P1894" s="2">
        <f>Cleaned[[#This Row],[Net Amount]] *  Cleaned[[#This Row],[FX_rates]]</f>
        <v>206291.36</v>
      </c>
    </row>
    <row r="1895" spans="1:16" x14ac:dyDescent="0.45">
      <c r="A1895" t="s">
        <v>1903</v>
      </c>
      <c r="B1895" s="1">
        <v>45304</v>
      </c>
      <c r="C1895" s="2" t="s">
        <v>2013</v>
      </c>
      <c r="D1895" t="s">
        <v>2018</v>
      </c>
      <c r="E1895">
        <v>1283.57</v>
      </c>
      <c r="F1895">
        <f>Cleaned[[#This Row],[Debit]] * Cleaned[[#This Row],[FX_rates]]</f>
        <v>78297.76999999999</v>
      </c>
      <c r="G1895">
        <v>0</v>
      </c>
      <c r="H1895">
        <f>Cleaned[[#This Row],[Credit]] *  Cleaned[[#This Row],[FX_rates]]</f>
        <v>0</v>
      </c>
      <c r="I1895" t="s">
        <v>2021</v>
      </c>
      <c r="J1895" t="s">
        <v>2030</v>
      </c>
      <c r="K1895" t="s">
        <v>3924</v>
      </c>
      <c r="L1895" t="s">
        <v>4035</v>
      </c>
      <c r="M1895">
        <f>Cleaned[[#This Row],[Credit]]-Cleaned[[#This Row],[Debit]]</f>
        <v>-1283.57</v>
      </c>
      <c r="N1895" t="str">
        <f>_xlfn.XLOOKUP(Cleaned[[#This Row],[AccountName]], Account_Mapping!A:A, Account_Mapping!B:B,"Unmapped")</f>
        <v>Operating Expense</v>
      </c>
      <c r="O1895" cm="1">
        <f t="array" ref="O1895">_xlfn.XLOOKUP(
  1,
  (FX_Rates[Currency]=Cleaned[[#This Row],[Currency]])*
  (FX_Rates[RateDate]&lt;=Cleaned[[#This Row],[TxnDate]]),
  FX_Rates[Rate_To_INR],
  ,
  -1
)</f>
        <v>61</v>
      </c>
      <c r="P1895" s="2">
        <f>Cleaned[[#This Row],[Net Amount]] *  Cleaned[[#This Row],[FX_rates]]</f>
        <v>-78297.76999999999</v>
      </c>
    </row>
    <row r="1896" spans="1:16" x14ac:dyDescent="0.45">
      <c r="A1896" t="s">
        <v>1904</v>
      </c>
      <c r="B1896" s="1">
        <v>45483</v>
      </c>
      <c r="C1896" s="2" t="s">
        <v>2014</v>
      </c>
      <c r="D1896" t="s">
        <v>2019</v>
      </c>
      <c r="E1896">
        <v>0</v>
      </c>
      <c r="F1896">
        <f>Cleaned[[#This Row],[Debit]] * Cleaned[[#This Row],[FX_rates]]</f>
        <v>0</v>
      </c>
      <c r="G1896">
        <v>1964.79</v>
      </c>
      <c r="H1896">
        <f>Cleaned[[#This Row],[Credit]] *  Cleaned[[#This Row],[FX_rates]]</f>
        <v>110028.23999999999</v>
      </c>
      <c r="I1896" t="s">
        <v>2025</v>
      </c>
      <c r="J1896" t="s">
        <v>2027</v>
      </c>
      <c r="K1896" t="s">
        <v>3925</v>
      </c>
      <c r="L1896" t="s">
        <v>4033</v>
      </c>
      <c r="M1896">
        <f>Cleaned[[#This Row],[Credit]]-Cleaned[[#This Row],[Debit]]</f>
        <v>1964.79</v>
      </c>
      <c r="N1896" t="str">
        <f>_xlfn.XLOOKUP(Cleaned[[#This Row],[AccountName]], Account_Mapping!A:A, Account_Mapping!B:B,"Unmapped")</f>
        <v>Revenue</v>
      </c>
      <c r="O1896" cm="1">
        <f t="array" ref="O1896">_xlfn.XLOOKUP(
  1,
  (FX_Rates[Currency]=Cleaned[[#This Row],[Currency]])*
  (FX_Rates[RateDate]&lt;=Cleaned[[#This Row],[TxnDate]]),
  FX_Rates[Rate_To_INR],
  ,
  -1
)</f>
        <v>56</v>
      </c>
      <c r="P1896" s="2">
        <f>Cleaned[[#This Row],[Net Amount]] *  Cleaned[[#This Row],[FX_rates]]</f>
        <v>110028.23999999999</v>
      </c>
    </row>
    <row r="1897" spans="1:16" x14ac:dyDescent="0.45">
      <c r="A1897" t="s">
        <v>1905</v>
      </c>
      <c r="B1897" s="1">
        <v>45481</v>
      </c>
      <c r="C1897" s="2" t="s">
        <v>2014</v>
      </c>
      <c r="D1897" t="s">
        <v>2019</v>
      </c>
      <c r="E1897">
        <v>0</v>
      </c>
      <c r="F1897">
        <f>Cleaned[[#This Row],[Debit]] * Cleaned[[#This Row],[FX_rates]]</f>
        <v>0</v>
      </c>
      <c r="G1897">
        <v>3387.63</v>
      </c>
      <c r="H1897">
        <f>Cleaned[[#This Row],[Credit]] *  Cleaned[[#This Row],[FX_rates]]</f>
        <v>298111.44</v>
      </c>
      <c r="I1897" t="s">
        <v>2024</v>
      </c>
      <c r="J1897" t="s">
        <v>2029</v>
      </c>
      <c r="K1897" t="s">
        <v>3926</v>
      </c>
      <c r="L1897" t="s">
        <v>4032</v>
      </c>
      <c r="M1897">
        <f>Cleaned[[#This Row],[Credit]]-Cleaned[[#This Row],[Debit]]</f>
        <v>3387.63</v>
      </c>
      <c r="N1897" t="str">
        <f>_xlfn.XLOOKUP(Cleaned[[#This Row],[AccountName]], Account_Mapping!A:A, Account_Mapping!B:B,"Unmapped")</f>
        <v>Revenue</v>
      </c>
      <c r="O1897" cm="1">
        <f t="array" ref="O1897">_xlfn.XLOOKUP(
  1,
  (FX_Rates[Currency]=Cleaned[[#This Row],[Currency]])*
  (FX_Rates[RateDate]&lt;=Cleaned[[#This Row],[TxnDate]]),
  FX_Rates[Rate_To_INR],
  ,
  -1
)</f>
        <v>88</v>
      </c>
      <c r="P1897" s="2">
        <f>Cleaned[[#This Row],[Net Amount]] *  Cleaned[[#This Row],[FX_rates]]</f>
        <v>298111.44</v>
      </c>
    </row>
    <row r="1898" spans="1:16" x14ac:dyDescent="0.45">
      <c r="A1898" t="s">
        <v>1906</v>
      </c>
      <c r="B1898" s="1">
        <v>45166</v>
      </c>
      <c r="C1898" s="2" t="s">
        <v>2012</v>
      </c>
      <c r="D1898" t="s">
        <v>2017</v>
      </c>
      <c r="E1898">
        <v>1756.28</v>
      </c>
      <c r="F1898">
        <f>Cleaned[[#This Row],[Debit]] * Cleaned[[#This Row],[FX_rates]]</f>
        <v>154552.63999999998</v>
      </c>
      <c r="G1898">
        <v>0</v>
      </c>
      <c r="H1898">
        <f>Cleaned[[#This Row],[Credit]] *  Cleaned[[#This Row],[FX_rates]]</f>
        <v>0</v>
      </c>
      <c r="I1898" t="s">
        <v>2022</v>
      </c>
      <c r="J1898" t="s">
        <v>2030</v>
      </c>
      <c r="K1898" t="s">
        <v>3927</v>
      </c>
      <c r="L1898" t="s">
        <v>4032</v>
      </c>
      <c r="M1898">
        <f>Cleaned[[#This Row],[Credit]]-Cleaned[[#This Row],[Debit]]</f>
        <v>-1756.28</v>
      </c>
      <c r="N1898" t="str">
        <f>_xlfn.XLOOKUP(Cleaned[[#This Row],[AccountName]], Account_Mapping!A:A, Account_Mapping!B:B,"Unmapped")</f>
        <v>Operating Expense</v>
      </c>
      <c r="O1898" cm="1">
        <f t="array" ref="O1898">_xlfn.XLOOKUP(
  1,
  (FX_Rates[Currency]=Cleaned[[#This Row],[Currency]])*
  (FX_Rates[RateDate]&lt;=Cleaned[[#This Row],[TxnDate]]),
  FX_Rates[Rate_To_INR],
  ,
  -1
)</f>
        <v>88</v>
      </c>
      <c r="P1898" s="2">
        <f>Cleaned[[#This Row],[Net Amount]] *  Cleaned[[#This Row],[FX_rates]]</f>
        <v>-154552.63999999998</v>
      </c>
    </row>
    <row r="1899" spans="1:16" x14ac:dyDescent="0.45">
      <c r="A1899" t="s">
        <v>1907</v>
      </c>
      <c r="B1899" s="1">
        <v>45291</v>
      </c>
      <c r="C1899" s="2" t="s">
        <v>2012</v>
      </c>
      <c r="D1899" t="s">
        <v>2017</v>
      </c>
      <c r="E1899">
        <v>938.88</v>
      </c>
      <c r="F1899">
        <f>Cleaned[[#This Row],[Debit]] * Cleaned[[#This Row],[FX_rates]]</f>
        <v>96704.639999999999</v>
      </c>
      <c r="G1899">
        <v>0</v>
      </c>
      <c r="H1899">
        <f>Cleaned[[#This Row],[Credit]] *  Cleaned[[#This Row],[FX_rates]]</f>
        <v>0</v>
      </c>
      <c r="I1899" t="s">
        <v>2021</v>
      </c>
      <c r="J1899" t="s">
        <v>2030</v>
      </c>
      <c r="K1899" t="s">
        <v>3928</v>
      </c>
      <c r="L1899" t="s">
        <v>4031</v>
      </c>
      <c r="M1899">
        <f>Cleaned[[#This Row],[Credit]]-Cleaned[[#This Row],[Debit]]</f>
        <v>-938.88</v>
      </c>
      <c r="N1899" t="str">
        <f>_xlfn.XLOOKUP(Cleaned[[#This Row],[AccountName]], Account_Mapping!A:A, Account_Mapping!B:B,"Unmapped")</f>
        <v>Operating Expense</v>
      </c>
      <c r="O1899" cm="1">
        <f t="array" ref="O1899">_xlfn.XLOOKUP(
  1,
  (FX_Rates[Currency]=Cleaned[[#This Row],[Currency]])*
  (FX_Rates[RateDate]&lt;=Cleaned[[#This Row],[TxnDate]]),
  FX_Rates[Rate_To_INR],
  ,
  -1
)</f>
        <v>103</v>
      </c>
      <c r="P1899" s="2">
        <f>Cleaned[[#This Row],[Net Amount]] *  Cleaned[[#This Row],[FX_rates]]</f>
        <v>-96704.639999999999</v>
      </c>
    </row>
    <row r="1900" spans="1:16" x14ac:dyDescent="0.45">
      <c r="A1900" t="s">
        <v>1908</v>
      </c>
      <c r="B1900" s="1">
        <v>45637</v>
      </c>
      <c r="C1900" s="2" t="s">
        <v>2010</v>
      </c>
      <c r="D1900" t="s">
        <v>2015</v>
      </c>
      <c r="E1900">
        <v>0</v>
      </c>
      <c r="F1900">
        <f>Cleaned[[#This Row],[Debit]] * Cleaned[[#This Row],[FX_rates]]</f>
        <v>0</v>
      </c>
      <c r="G1900">
        <v>994.95</v>
      </c>
      <c r="H1900">
        <f>Cleaned[[#This Row],[Credit]] *  Cleaned[[#This Row],[FX_rates]]</f>
        <v>60691.950000000004</v>
      </c>
      <c r="I1900" t="s">
        <v>2021</v>
      </c>
      <c r="J1900" t="s">
        <v>2026</v>
      </c>
      <c r="K1900" t="s">
        <v>3929</v>
      </c>
      <c r="L1900" t="s">
        <v>4035</v>
      </c>
      <c r="M1900">
        <f>Cleaned[[#This Row],[Credit]]-Cleaned[[#This Row],[Debit]]</f>
        <v>994.95</v>
      </c>
      <c r="N1900" t="str">
        <f>_xlfn.XLOOKUP(Cleaned[[#This Row],[AccountName]], Account_Mapping!A:A, Account_Mapping!B:B,"Unmapped")</f>
        <v>Revenue</v>
      </c>
      <c r="O1900" cm="1">
        <f t="array" ref="O1900">_xlfn.XLOOKUP(
  1,
  (FX_Rates[Currency]=Cleaned[[#This Row],[Currency]])*
  (FX_Rates[RateDate]&lt;=Cleaned[[#This Row],[TxnDate]]),
  FX_Rates[Rate_To_INR],
  ,
  -1
)</f>
        <v>61</v>
      </c>
      <c r="P1900" s="2">
        <f>Cleaned[[#This Row],[Net Amount]] *  Cleaned[[#This Row],[FX_rates]]</f>
        <v>60691.950000000004</v>
      </c>
    </row>
    <row r="1901" spans="1:16" x14ac:dyDescent="0.45">
      <c r="A1901" t="s">
        <v>1909</v>
      </c>
      <c r="B1901" s="1">
        <v>45480</v>
      </c>
      <c r="C1901" s="2" t="s">
        <v>2011</v>
      </c>
      <c r="D1901" t="s">
        <v>2016</v>
      </c>
      <c r="E1901">
        <v>1619.31</v>
      </c>
      <c r="F1901">
        <f>Cleaned[[#This Row],[Debit]] * Cleaned[[#This Row],[FX_rates]]</f>
        <v>90681.36</v>
      </c>
      <c r="G1901">
        <v>0</v>
      </c>
      <c r="H1901">
        <f>Cleaned[[#This Row],[Credit]] *  Cleaned[[#This Row],[FX_rates]]</f>
        <v>0</v>
      </c>
      <c r="I1901" t="s">
        <v>2023</v>
      </c>
      <c r="J1901" t="s">
        <v>2027</v>
      </c>
      <c r="K1901" t="s">
        <v>3930</v>
      </c>
      <c r="L1901" t="s">
        <v>4033</v>
      </c>
      <c r="M1901">
        <f>Cleaned[[#This Row],[Credit]]-Cleaned[[#This Row],[Debit]]</f>
        <v>-1619.31</v>
      </c>
      <c r="N1901" t="str">
        <f>_xlfn.XLOOKUP(Cleaned[[#This Row],[AccountName]], Account_Mapping!A:A, Account_Mapping!B:B,"Unmapped")</f>
        <v>COGS</v>
      </c>
      <c r="O1901" cm="1">
        <f t="array" ref="O1901">_xlfn.XLOOKUP(
  1,
  (FX_Rates[Currency]=Cleaned[[#This Row],[Currency]])*
  (FX_Rates[RateDate]&lt;=Cleaned[[#This Row],[TxnDate]]),
  FX_Rates[Rate_To_INR],
  ,
  -1
)</f>
        <v>56</v>
      </c>
      <c r="P1901" s="2">
        <f>Cleaned[[#This Row],[Net Amount]] *  Cleaned[[#This Row],[FX_rates]]</f>
        <v>-90681.36</v>
      </c>
    </row>
    <row r="1902" spans="1:16" x14ac:dyDescent="0.45">
      <c r="A1902" t="s">
        <v>1910</v>
      </c>
      <c r="B1902" s="1">
        <v>45413</v>
      </c>
      <c r="C1902" s="2" t="s">
        <v>2014</v>
      </c>
      <c r="D1902" t="s">
        <v>2019</v>
      </c>
      <c r="E1902">
        <v>0</v>
      </c>
      <c r="F1902">
        <f>Cleaned[[#This Row],[Debit]] * Cleaned[[#This Row],[FX_rates]]</f>
        <v>0</v>
      </c>
      <c r="G1902">
        <v>2332.9299999999998</v>
      </c>
      <c r="H1902">
        <f>Cleaned[[#This Row],[Credit]] *  Cleaned[[#This Row],[FX_rates]]</f>
        <v>191300.25999999998</v>
      </c>
      <c r="I1902" t="s">
        <v>2020</v>
      </c>
      <c r="J1902" t="s">
        <v>2030</v>
      </c>
      <c r="K1902" t="s">
        <v>3931</v>
      </c>
      <c r="L1902" t="s">
        <v>4034</v>
      </c>
      <c r="M1902">
        <f>Cleaned[[#This Row],[Credit]]-Cleaned[[#This Row],[Debit]]</f>
        <v>2332.9299999999998</v>
      </c>
      <c r="N1902" t="str">
        <f>_xlfn.XLOOKUP(Cleaned[[#This Row],[AccountName]], Account_Mapping!A:A, Account_Mapping!B:B,"Unmapped")</f>
        <v>Revenue</v>
      </c>
      <c r="O1902" cm="1">
        <f t="array" ref="O1902">_xlfn.XLOOKUP(
  1,
  (FX_Rates[Currency]=Cleaned[[#This Row],[Currency]])*
  (FX_Rates[RateDate]&lt;=Cleaned[[#This Row],[TxnDate]]),
  FX_Rates[Rate_To_INR],
  ,
  -1
)</f>
        <v>82</v>
      </c>
      <c r="P1902" s="2">
        <f>Cleaned[[#This Row],[Net Amount]] *  Cleaned[[#This Row],[FX_rates]]</f>
        <v>191300.25999999998</v>
      </c>
    </row>
    <row r="1903" spans="1:16" x14ac:dyDescent="0.45">
      <c r="A1903" t="s">
        <v>1911</v>
      </c>
      <c r="B1903" s="1">
        <v>45199</v>
      </c>
      <c r="C1903" s="2" t="s">
        <v>2013</v>
      </c>
      <c r="D1903" t="s">
        <v>2018</v>
      </c>
      <c r="E1903">
        <v>335.2</v>
      </c>
      <c r="F1903">
        <f>Cleaned[[#This Row],[Debit]] * Cleaned[[#This Row],[FX_rates]]</f>
        <v>27486.399999999998</v>
      </c>
      <c r="G1903">
        <v>0</v>
      </c>
      <c r="H1903">
        <f>Cleaned[[#This Row],[Credit]] *  Cleaned[[#This Row],[FX_rates]]</f>
        <v>0</v>
      </c>
      <c r="I1903" t="s">
        <v>2023</v>
      </c>
      <c r="J1903" t="s">
        <v>2027</v>
      </c>
      <c r="K1903" t="s">
        <v>3932</v>
      </c>
      <c r="L1903" t="s">
        <v>4034</v>
      </c>
      <c r="M1903">
        <f>Cleaned[[#This Row],[Credit]]-Cleaned[[#This Row],[Debit]]</f>
        <v>-335.2</v>
      </c>
      <c r="N1903" t="str">
        <f>_xlfn.XLOOKUP(Cleaned[[#This Row],[AccountName]], Account_Mapping!A:A, Account_Mapping!B:B,"Unmapped")</f>
        <v>Operating Expense</v>
      </c>
      <c r="O1903" cm="1">
        <f t="array" ref="O1903">_xlfn.XLOOKUP(
  1,
  (FX_Rates[Currency]=Cleaned[[#This Row],[Currency]])*
  (FX_Rates[RateDate]&lt;=Cleaned[[#This Row],[TxnDate]]),
  FX_Rates[Rate_To_INR],
  ,
  -1
)</f>
        <v>82</v>
      </c>
      <c r="P1903" s="2">
        <f>Cleaned[[#This Row],[Net Amount]] *  Cleaned[[#This Row],[FX_rates]]</f>
        <v>-27486.399999999998</v>
      </c>
    </row>
    <row r="1904" spans="1:16" x14ac:dyDescent="0.45">
      <c r="A1904" t="s">
        <v>1912</v>
      </c>
      <c r="B1904" s="1">
        <v>45545</v>
      </c>
      <c r="C1904" s="2" t="s">
        <v>2013</v>
      </c>
      <c r="D1904" t="s">
        <v>2018</v>
      </c>
      <c r="E1904">
        <v>1838.96</v>
      </c>
      <c r="F1904">
        <f>Cleaned[[#This Row],[Debit]] * Cleaned[[#This Row],[FX_rates]]</f>
        <v>102981.76000000001</v>
      </c>
      <c r="G1904">
        <v>0</v>
      </c>
      <c r="H1904">
        <f>Cleaned[[#This Row],[Credit]] *  Cleaned[[#This Row],[FX_rates]]</f>
        <v>0</v>
      </c>
      <c r="I1904" t="s">
        <v>2025</v>
      </c>
      <c r="J1904" t="s">
        <v>2029</v>
      </c>
      <c r="K1904" t="s">
        <v>3933</v>
      </c>
      <c r="L1904" t="s">
        <v>4033</v>
      </c>
      <c r="M1904">
        <f>Cleaned[[#This Row],[Credit]]-Cleaned[[#This Row],[Debit]]</f>
        <v>-1838.96</v>
      </c>
      <c r="N1904" t="str">
        <f>_xlfn.XLOOKUP(Cleaned[[#This Row],[AccountName]], Account_Mapping!A:A, Account_Mapping!B:B,"Unmapped")</f>
        <v>Operating Expense</v>
      </c>
      <c r="O1904" cm="1">
        <f t="array" ref="O1904">_xlfn.XLOOKUP(
  1,
  (FX_Rates[Currency]=Cleaned[[#This Row],[Currency]])*
  (FX_Rates[RateDate]&lt;=Cleaned[[#This Row],[TxnDate]]),
  FX_Rates[Rate_To_INR],
  ,
  -1
)</f>
        <v>56</v>
      </c>
      <c r="P1904" s="2">
        <f>Cleaned[[#This Row],[Net Amount]] *  Cleaned[[#This Row],[FX_rates]]</f>
        <v>-102981.76000000001</v>
      </c>
    </row>
    <row r="1905" spans="1:16" x14ac:dyDescent="0.45">
      <c r="A1905" t="s">
        <v>1913</v>
      </c>
      <c r="B1905" s="1">
        <v>45753</v>
      </c>
      <c r="C1905" s="2" t="s">
        <v>2010</v>
      </c>
      <c r="D1905" t="s">
        <v>2015</v>
      </c>
      <c r="E1905">
        <v>0</v>
      </c>
      <c r="F1905">
        <f>Cleaned[[#This Row],[Debit]] * Cleaned[[#This Row],[FX_rates]]</f>
        <v>0</v>
      </c>
      <c r="G1905">
        <v>2599.65</v>
      </c>
      <c r="H1905">
        <f>Cleaned[[#This Row],[Credit]] *  Cleaned[[#This Row],[FX_rates]]</f>
        <v>228769.2</v>
      </c>
      <c r="I1905" t="s">
        <v>2021</v>
      </c>
      <c r="J1905" t="s">
        <v>2027</v>
      </c>
      <c r="K1905" t="s">
        <v>3934</v>
      </c>
      <c r="L1905" t="s">
        <v>4032</v>
      </c>
      <c r="M1905">
        <f>Cleaned[[#This Row],[Credit]]-Cleaned[[#This Row],[Debit]]</f>
        <v>2599.65</v>
      </c>
      <c r="N1905" t="str">
        <f>_xlfn.XLOOKUP(Cleaned[[#This Row],[AccountName]], Account_Mapping!A:A, Account_Mapping!B:B,"Unmapped")</f>
        <v>Revenue</v>
      </c>
      <c r="O1905" cm="1">
        <f t="array" ref="O1905">_xlfn.XLOOKUP(
  1,
  (FX_Rates[Currency]=Cleaned[[#This Row],[Currency]])*
  (FX_Rates[RateDate]&lt;=Cleaned[[#This Row],[TxnDate]]),
  FX_Rates[Rate_To_INR],
  ,
  -1
)</f>
        <v>88</v>
      </c>
      <c r="P1905" s="2">
        <f>Cleaned[[#This Row],[Net Amount]] *  Cleaned[[#This Row],[FX_rates]]</f>
        <v>228769.2</v>
      </c>
    </row>
    <row r="1906" spans="1:16" x14ac:dyDescent="0.45">
      <c r="A1906" t="s">
        <v>1914</v>
      </c>
      <c r="B1906" s="1">
        <v>45069</v>
      </c>
      <c r="C1906" s="2" t="s">
        <v>2011</v>
      </c>
      <c r="D1906" t="s">
        <v>2016</v>
      </c>
      <c r="E1906">
        <v>801.83</v>
      </c>
      <c r="F1906">
        <f>Cleaned[[#This Row],[Debit]] * Cleaned[[#This Row],[FX_rates]]</f>
        <v>65750.06</v>
      </c>
      <c r="G1906">
        <v>0</v>
      </c>
      <c r="H1906">
        <f>Cleaned[[#This Row],[Credit]] *  Cleaned[[#This Row],[FX_rates]]</f>
        <v>0</v>
      </c>
      <c r="I1906" t="s">
        <v>2022</v>
      </c>
      <c r="J1906" t="s">
        <v>2028</v>
      </c>
      <c r="K1906" t="s">
        <v>3935</v>
      </c>
      <c r="L1906" t="s">
        <v>4034</v>
      </c>
      <c r="M1906">
        <f>Cleaned[[#This Row],[Credit]]-Cleaned[[#This Row],[Debit]]</f>
        <v>-801.83</v>
      </c>
      <c r="N1906" t="str">
        <f>_xlfn.XLOOKUP(Cleaned[[#This Row],[AccountName]], Account_Mapping!A:A, Account_Mapping!B:B,"Unmapped")</f>
        <v>COGS</v>
      </c>
      <c r="O1906" cm="1">
        <f t="array" ref="O1906">_xlfn.XLOOKUP(
  1,
  (FX_Rates[Currency]=Cleaned[[#This Row],[Currency]])*
  (FX_Rates[RateDate]&lt;=Cleaned[[#This Row],[TxnDate]]),
  FX_Rates[Rate_To_INR],
  ,
  -1
)</f>
        <v>82</v>
      </c>
      <c r="P1906" s="2">
        <f>Cleaned[[#This Row],[Net Amount]] *  Cleaned[[#This Row],[FX_rates]]</f>
        <v>-65750.06</v>
      </c>
    </row>
    <row r="1907" spans="1:16" x14ac:dyDescent="0.45">
      <c r="A1907" t="s">
        <v>1915</v>
      </c>
      <c r="B1907" s="1">
        <v>45153</v>
      </c>
      <c r="C1907" s="2" t="s">
        <v>2011</v>
      </c>
      <c r="D1907" t="s">
        <v>2016</v>
      </c>
      <c r="E1907">
        <v>54.12</v>
      </c>
      <c r="F1907">
        <f>Cleaned[[#This Row],[Debit]] * Cleaned[[#This Row],[FX_rates]]</f>
        <v>5574.36</v>
      </c>
      <c r="G1907">
        <v>0</v>
      </c>
      <c r="H1907">
        <f>Cleaned[[#This Row],[Credit]] *  Cleaned[[#This Row],[FX_rates]]</f>
        <v>0</v>
      </c>
      <c r="I1907" t="s">
        <v>2020</v>
      </c>
      <c r="J1907" t="s">
        <v>2030</v>
      </c>
      <c r="K1907" t="s">
        <v>3936</v>
      </c>
      <c r="L1907" t="s">
        <v>4031</v>
      </c>
      <c r="M1907">
        <f>Cleaned[[#This Row],[Credit]]-Cleaned[[#This Row],[Debit]]</f>
        <v>-54.12</v>
      </c>
      <c r="N1907" t="str">
        <f>_xlfn.XLOOKUP(Cleaned[[#This Row],[AccountName]], Account_Mapping!A:A, Account_Mapping!B:B,"Unmapped")</f>
        <v>COGS</v>
      </c>
      <c r="O1907" cm="1">
        <f t="array" ref="O1907">_xlfn.XLOOKUP(
  1,
  (FX_Rates[Currency]=Cleaned[[#This Row],[Currency]])*
  (FX_Rates[RateDate]&lt;=Cleaned[[#This Row],[TxnDate]]),
  FX_Rates[Rate_To_INR],
  ,
  -1
)</f>
        <v>103</v>
      </c>
      <c r="P1907" s="2">
        <f>Cleaned[[#This Row],[Net Amount]] *  Cleaned[[#This Row],[FX_rates]]</f>
        <v>-5574.36</v>
      </c>
    </row>
    <row r="1908" spans="1:16" x14ac:dyDescent="0.45">
      <c r="A1908" t="s">
        <v>1916</v>
      </c>
      <c r="B1908" s="1">
        <v>44973</v>
      </c>
      <c r="C1908" s="2" t="s">
        <v>2011</v>
      </c>
      <c r="D1908" t="s">
        <v>2016</v>
      </c>
      <c r="E1908">
        <v>326.83</v>
      </c>
      <c r="F1908">
        <f>Cleaned[[#This Row],[Debit]] * Cleaned[[#This Row],[FX_rates]]</f>
        <v>19936.629999999997</v>
      </c>
      <c r="G1908">
        <v>0</v>
      </c>
      <c r="H1908">
        <f>Cleaned[[#This Row],[Credit]] *  Cleaned[[#This Row],[FX_rates]]</f>
        <v>0</v>
      </c>
      <c r="I1908" t="s">
        <v>2023</v>
      </c>
      <c r="J1908" t="s">
        <v>2029</v>
      </c>
      <c r="K1908" t="s">
        <v>3937</v>
      </c>
      <c r="L1908" t="s">
        <v>4035</v>
      </c>
      <c r="M1908">
        <f>Cleaned[[#This Row],[Credit]]-Cleaned[[#This Row],[Debit]]</f>
        <v>-326.83</v>
      </c>
      <c r="N1908" t="str">
        <f>_xlfn.XLOOKUP(Cleaned[[#This Row],[AccountName]], Account_Mapping!A:A, Account_Mapping!B:B,"Unmapped")</f>
        <v>COGS</v>
      </c>
      <c r="O1908" cm="1">
        <f t="array" ref="O1908">_xlfn.XLOOKUP(
  1,
  (FX_Rates[Currency]=Cleaned[[#This Row],[Currency]])*
  (FX_Rates[RateDate]&lt;=Cleaned[[#This Row],[TxnDate]]),
  FX_Rates[Rate_To_INR],
  ,
  -1
)</f>
        <v>61</v>
      </c>
      <c r="P1908" s="2">
        <f>Cleaned[[#This Row],[Net Amount]] *  Cleaned[[#This Row],[FX_rates]]</f>
        <v>-19936.629999999997</v>
      </c>
    </row>
    <row r="1909" spans="1:16" x14ac:dyDescent="0.45">
      <c r="A1909" t="s">
        <v>1917</v>
      </c>
      <c r="B1909" s="1">
        <v>45327</v>
      </c>
      <c r="C1909" s="2" t="s">
        <v>2011</v>
      </c>
      <c r="D1909" t="s">
        <v>2016</v>
      </c>
      <c r="E1909">
        <v>1868.89</v>
      </c>
      <c r="F1909">
        <f>Cleaned[[#This Row],[Debit]] * Cleaned[[#This Row],[FX_rates]]</f>
        <v>192495.67</v>
      </c>
      <c r="G1909">
        <v>0</v>
      </c>
      <c r="H1909">
        <f>Cleaned[[#This Row],[Credit]] *  Cleaned[[#This Row],[FX_rates]]</f>
        <v>0</v>
      </c>
      <c r="I1909" t="s">
        <v>2020</v>
      </c>
      <c r="J1909" t="s">
        <v>2030</v>
      </c>
      <c r="K1909" t="s">
        <v>3938</v>
      </c>
      <c r="L1909" t="s">
        <v>4031</v>
      </c>
      <c r="M1909">
        <f>Cleaned[[#This Row],[Credit]]-Cleaned[[#This Row],[Debit]]</f>
        <v>-1868.89</v>
      </c>
      <c r="N1909" t="str">
        <f>_xlfn.XLOOKUP(Cleaned[[#This Row],[AccountName]], Account_Mapping!A:A, Account_Mapping!B:B,"Unmapped")</f>
        <v>COGS</v>
      </c>
      <c r="O1909" cm="1">
        <f t="array" ref="O1909">_xlfn.XLOOKUP(
  1,
  (FX_Rates[Currency]=Cleaned[[#This Row],[Currency]])*
  (FX_Rates[RateDate]&lt;=Cleaned[[#This Row],[TxnDate]]),
  FX_Rates[Rate_To_INR],
  ,
  -1
)</f>
        <v>103</v>
      </c>
      <c r="P1909" s="2">
        <f>Cleaned[[#This Row],[Net Amount]] *  Cleaned[[#This Row],[FX_rates]]</f>
        <v>-192495.67</v>
      </c>
    </row>
    <row r="1910" spans="1:16" x14ac:dyDescent="0.45">
      <c r="A1910" t="s">
        <v>1918</v>
      </c>
      <c r="B1910" s="1">
        <v>45513</v>
      </c>
      <c r="C1910" s="2" t="s">
        <v>2012</v>
      </c>
      <c r="D1910" t="s">
        <v>2017</v>
      </c>
      <c r="E1910">
        <v>1572.8</v>
      </c>
      <c r="F1910">
        <f>Cleaned[[#This Row],[Debit]] * Cleaned[[#This Row],[FX_rates]]</f>
        <v>88076.800000000003</v>
      </c>
      <c r="G1910">
        <v>0</v>
      </c>
      <c r="H1910">
        <f>Cleaned[[#This Row],[Credit]] *  Cleaned[[#This Row],[FX_rates]]</f>
        <v>0</v>
      </c>
      <c r="I1910" t="s">
        <v>2025</v>
      </c>
      <c r="J1910" t="s">
        <v>2028</v>
      </c>
      <c r="K1910" t="s">
        <v>3939</v>
      </c>
      <c r="L1910" t="s">
        <v>4033</v>
      </c>
      <c r="M1910">
        <f>Cleaned[[#This Row],[Credit]]-Cleaned[[#This Row],[Debit]]</f>
        <v>-1572.8</v>
      </c>
      <c r="N1910" t="str">
        <f>_xlfn.XLOOKUP(Cleaned[[#This Row],[AccountName]], Account_Mapping!A:A, Account_Mapping!B:B,"Unmapped")</f>
        <v>Operating Expense</v>
      </c>
      <c r="O1910" cm="1">
        <f t="array" ref="O1910">_xlfn.XLOOKUP(
  1,
  (FX_Rates[Currency]=Cleaned[[#This Row],[Currency]])*
  (FX_Rates[RateDate]&lt;=Cleaned[[#This Row],[TxnDate]]),
  FX_Rates[Rate_To_INR],
  ,
  -1
)</f>
        <v>56</v>
      </c>
      <c r="P1910" s="2">
        <f>Cleaned[[#This Row],[Net Amount]] *  Cleaned[[#This Row],[FX_rates]]</f>
        <v>-88076.800000000003</v>
      </c>
    </row>
    <row r="1911" spans="1:16" x14ac:dyDescent="0.45">
      <c r="A1911" t="s">
        <v>1919</v>
      </c>
      <c r="B1911" s="1">
        <v>45786</v>
      </c>
      <c r="C1911" s="2" t="s">
        <v>2013</v>
      </c>
      <c r="D1911" t="s">
        <v>2018</v>
      </c>
      <c r="E1911">
        <v>284.08</v>
      </c>
      <c r="F1911">
        <f>Cleaned[[#This Row],[Debit]] * Cleaned[[#This Row],[FX_rates]]</f>
        <v>15908.48</v>
      </c>
      <c r="G1911">
        <v>0</v>
      </c>
      <c r="H1911">
        <f>Cleaned[[#This Row],[Credit]] *  Cleaned[[#This Row],[FX_rates]]</f>
        <v>0</v>
      </c>
      <c r="I1911" t="s">
        <v>2023</v>
      </c>
      <c r="J1911" t="s">
        <v>2030</v>
      </c>
      <c r="K1911" t="s">
        <v>3940</v>
      </c>
      <c r="L1911" t="s">
        <v>4033</v>
      </c>
      <c r="M1911">
        <f>Cleaned[[#This Row],[Credit]]-Cleaned[[#This Row],[Debit]]</f>
        <v>-284.08</v>
      </c>
      <c r="N1911" t="str">
        <f>_xlfn.XLOOKUP(Cleaned[[#This Row],[AccountName]], Account_Mapping!A:A, Account_Mapping!B:B,"Unmapped")</f>
        <v>Operating Expense</v>
      </c>
      <c r="O1911" cm="1">
        <f t="array" ref="O1911">_xlfn.XLOOKUP(
  1,
  (FX_Rates[Currency]=Cleaned[[#This Row],[Currency]])*
  (FX_Rates[RateDate]&lt;=Cleaned[[#This Row],[TxnDate]]),
  FX_Rates[Rate_To_INR],
  ,
  -1
)</f>
        <v>56</v>
      </c>
      <c r="P1911" s="2">
        <f>Cleaned[[#This Row],[Net Amount]] *  Cleaned[[#This Row],[FX_rates]]</f>
        <v>-15908.48</v>
      </c>
    </row>
    <row r="1912" spans="1:16" x14ac:dyDescent="0.45">
      <c r="A1912" t="s">
        <v>1920</v>
      </c>
      <c r="B1912" s="1">
        <v>45262</v>
      </c>
      <c r="C1912" s="2" t="s">
        <v>2014</v>
      </c>
      <c r="D1912" t="s">
        <v>2019</v>
      </c>
      <c r="E1912">
        <v>0</v>
      </c>
      <c r="F1912">
        <f>Cleaned[[#This Row],[Debit]] * Cleaned[[#This Row],[FX_rates]]</f>
        <v>0</v>
      </c>
      <c r="G1912">
        <v>2962.29</v>
      </c>
      <c r="H1912">
        <f>Cleaned[[#This Row],[Credit]] *  Cleaned[[#This Row],[FX_rates]]</f>
        <v>242907.78</v>
      </c>
      <c r="I1912" t="s">
        <v>2020</v>
      </c>
      <c r="J1912" t="s">
        <v>2027</v>
      </c>
      <c r="K1912" t="s">
        <v>3941</v>
      </c>
      <c r="L1912" t="s">
        <v>4034</v>
      </c>
      <c r="M1912">
        <f>Cleaned[[#This Row],[Credit]]-Cleaned[[#This Row],[Debit]]</f>
        <v>2962.29</v>
      </c>
      <c r="N1912" t="str">
        <f>_xlfn.XLOOKUP(Cleaned[[#This Row],[AccountName]], Account_Mapping!A:A, Account_Mapping!B:B,"Unmapped")</f>
        <v>Revenue</v>
      </c>
      <c r="O1912" cm="1">
        <f t="array" ref="O1912">_xlfn.XLOOKUP(
  1,
  (FX_Rates[Currency]=Cleaned[[#This Row],[Currency]])*
  (FX_Rates[RateDate]&lt;=Cleaned[[#This Row],[TxnDate]]),
  FX_Rates[Rate_To_INR],
  ,
  -1
)</f>
        <v>82</v>
      </c>
      <c r="P1912" s="2">
        <f>Cleaned[[#This Row],[Net Amount]] *  Cleaned[[#This Row],[FX_rates]]</f>
        <v>242907.78</v>
      </c>
    </row>
    <row r="1913" spans="1:16" x14ac:dyDescent="0.45">
      <c r="A1913" t="s">
        <v>1921</v>
      </c>
      <c r="B1913" s="1">
        <v>45739</v>
      </c>
      <c r="C1913" s="2" t="s">
        <v>2014</v>
      </c>
      <c r="D1913" t="s">
        <v>2019</v>
      </c>
      <c r="E1913">
        <v>0</v>
      </c>
      <c r="F1913">
        <f>Cleaned[[#This Row],[Debit]] * Cleaned[[#This Row],[FX_rates]]</f>
        <v>0</v>
      </c>
      <c r="G1913">
        <v>1937.71</v>
      </c>
      <c r="H1913">
        <f>Cleaned[[#This Row],[Credit]] *  Cleaned[[#This Row],[FX_rates]]</f>
        <v>170518.48</v>
      </c>
      <c r="I1913" t="s">
        <v>2022</v>
      </c>
      <c r="J1913" t="s">
        <v>2030</v>
      </c>
      <c r="K1913" t="s">
        <v>3942</v>
      </c>
      <c r="L1913" t="s">
        <v>4032</v>
      </c>
      <c r="M1913">
        <f>Cleaned[[#This Row],[Credit]]-Cleaned[[#This Row],[Debit]]</f>
        <v>1937.71</v>
      </c>
      <c r="N1913" t="str">
        <f>_xlfn.XLOOKUP(Cleaned[[#This Row],[AccountName]], Account_Mapping!A:A, Account_Mapping!B:B,"Unmapped")</f>
        <v>Revenue</v>
      </c>
      <c r="O1913" cm="1">
        <f t="array" ref="O1913">_xlfn.XLOOKUP(
  1,
  (FX_Rates[Currency]=Cleaned[[#This Row],[Currency]])*
  (FX_Rates[RateDate]&lt;=Cleaned[[#This Row],[TxnDate]]),
  FX_Rates[Rate_To_INR],
  ,
  -1
)</f>
        <v>88</v>
      </c>
      <c r="P1913" s="2">
        <f>Cleaned[[#This Row],[Net Amount]] *  Cleaned[[#This Row],[FX_rates]]</f>
        <v>170518.48</v>
      </c>
    </row>
    <row r="1914" spans="1:16" x14ac:dyDescent="0.45">
      <c r="A1914" t="s">
        <v>1922</v>
      </c>
      <c r="B1914" s="1">
        <v>45223</v>
      </c>
      <c r="C1914" s="2" t="s">
        <v>2014</v>
      </c>
      <c r="D1914" t="s">
        <v>2019</v>
      </c>
      <c r="E1914">
        <v>0</v>
      </c>
      <c r="F1914">
        <f>Cleaned[[#This Row],[Debit]] * Cleaned[[#This Row],[FX_rates]]</f>
        <v>0</v>
      </c>
      <c r="G1914">
        <v>166.31</v>
      </c>
      <c r="H1914">
        <f>Cleaned[[#This Row],[Credit]] *  Cleaned[[#This Row],[FX_rates]]</f>
        <v>10144.91</v>
      </c>
      <c r="I1914" t="s">
        <v>2024</v>
      </c>
      <c r="J1914" t="s">
        <v>2026</v>
      </c>
      <c r="K1914" t="s">
        <v>3943</v>
      </c>
      <c r="L1914" t="s">
        <v>4035</v>
      </c>
      <c r="M1914">
        <f>Cleaned[[#This Row],[Credit]]-Cleaned[[#This Row],[Debit]]</f>
        <v>166.31</v>
      </c>
      <c r="N1914" t="str">
        <f>_xlfn.XLOOKUP(Cleaned[[#This Row],[AccountName]], Account_Mapping!A:A, Account_Mapping!B:B,"Unmapped")</f>
        <v>Revenue</v>
      </c>
      <c r="O1914" cm="1">
        <f t="array" ref="O1914">_xlfn.XLOOKUP(
  1,
  (FX_Rates[Currency]=Cleaned[[#This Row],[Currency]])*
  (FX_Rates[RateDate]&lt;=Cleaned[[#This Row],[TxnDate]]),
  FX_Rates[Rate_To_INR],
  ,
  -1
)</f>
        <v>61</v>
      </c>
      <c r="P1914" s="2">
        <f>Cleaned[[#This Row],[Net Amount]] *  Cleaned[[#This Row],[FX_rates]]</f>
        <v>10144.91</v>
      </c>
    </row>
    <row r="1915" spans="1:16" x14ac:dyDescent="0.45">
      <c r="A1915" t="s">
        <v>1923</v>
      </c>
      <c r="B1915" s="1">
        <v>45035</v>
      </c>
      <c r="C1915" s="2" t="s">
        <v>2010</v>
      </c>
      <c r="D1915" t="s">
        <v>2015</v>
      </c>
      <c r="E1915">
        <v>0</v>
      </c>
      <c r="F1915">
        <f>Cleaned[[#This Row],[Debit]] * Cleaned[[#This Row],[FX_rates]]</f>
        <v>0</v>
      </c>
      <c r="G1915">
        <v>1137.06</v>
      </c>
      <c r="H1915">
        <f>Cleaned[[#This Row],[Credit]] *  Cleaned[[#This Row],[FX_rates]]</f>
        <v>100061.28</v>
      </c>
      <c r="I1915" t="s">
        <v>2022</v>
      </c>
      <c r="J1915" t="s">
        <v>2029</v>
      </c>
      <c r="K1915" t="s">
        <v>3944</v>
      </c>
      <c r="L1915" t="s">
        <v>4032</v>
      </c>
      <c r="M1915">
        <f>Cleaned[[#This Row],[Credit]]-Cleaned[[#This Row],[Debit]]</f>
        <v>1137.06</v>
      </c>
      <c r="N1915" t="str">
        <f>_xlfn.XLOOKUP(Cleaned[[#This Row],[AccountName]], Account_Mapping!A:A, Account_Mapping!B:B,"Unmapped")</f>
        <v>Revenue</v>
      </c>
      <c r="O1915" cm="1">
        <f t="array" ref="O1915">_xlfn.XLOOKUP(
  1,
  (FX_Rates[Currency]=Cleaned[[#This Row],[Currency]])*
  (FX_Rates[RateDate]&lt;=Cleaned[[#This Row],[TxnDate]]),
  FX_Rates[Rate_To_INR],
  ,
  -1
)</f>
        <v>88</v>
      </c>
      <c r="P1915" s="2">
        <f>Cleaned[[#This Row],[Net Amount]] *  Cleaned[[#This Row],[FX_rates]]</f>
        <v>100061.28</v>
      </c>
    </row>
    <row r="1916" spans="1:16" x14ac:dyDescent="0.45">
      <c r="A1916" t="s">
        <v>1924</v>
      </c>
      <c r="B1916" s="1">
        <v>45366</v>
      </c>
      <c r="C1916" s="2" t="s">
        <v>2014</v>
      </c>
      <c r="D1916" t="s">
        <v>2019</v>
      </c>
      <c r="E1916">
        <v>0</v>
      </c>
      <c r="F1916">
        <f>Cleaned[[#This Row],[Debit]] * Cleaned[[#This Row],[FX_rates]]</f>
        <v>0</v>
      </c>
      <c r="G1916">
        <v>993.38</v>
      </c>
      <c r="H1916">
        <f>Cleaned[[#This Row],[Credit]] *  Cleaned[[#This Row],[FX_rates]]</f>
        <v>55629.279999999999</v>
      </c>
      <c r="I1916" t="s">
        <v>2024</v>
      </c>
      <c r="J1916" t="s">
        <v>2030</v>
      </c>
      <c r="K1916" t="s">
        <v>3945</v>
      </c>
      <c r="L1916" t="s">
        <v>4033</v>
      </c>
      <c r="M1916">
        <f>Cleaned[[#This Row],[Credit]]-Cleaned[[#This Row],[Debit]]</f>
        <v>993.38</v>
      </c>
      <c r="N1916" t="str">
        <f>_xlfn.XLOOKUP(Cleaned[[#This Row],[AccountName]], Account_Mapping!A:A, Account_Mapping!B:B,"Unmapped")</f>
        <v>Revenue</v>
      </c>
      <c r="O1916" cm="1">
        <f t="array" ref="O1916">_xlfn.XLOOKUP(
  1,
  (FX_Rates[Currency]=Cleaned[[#This Row],[Currency]])*
  (FX_Rates[RateDate]&lt;=Cleaned[[#This Row],[TxnDate]]),
  FX_Rates[Rate_To_INR],
  ,
  -1
)</f>
        <v>56</v>
      </c>
      <c r="P1916" s="2">
        <f>Cleaned[[#This Row],[Net Amount]] *  Cleaned[[#This Row],[FX_rates]]</f>
        <v>55629.279999999999</v>
      </c>
    </row>
    <row r="1917" spans="1:16" x14ac:dyDescent="0.45">
      <c r="A1917" t="s">
        <v>1925</v>
      </c>
      <c r="B1917" s="1">
        <v>45445</v>
      </c>
      <c r="C1917" s="2" t="s">
        <v>2013</v>
      </c>
      <c r="D1917" t="s">
        <v>2018</v>
      </c>
      <c r="E1917">
        <v>1915.74</v>
      </c>
      <c r="F1917">
        <f>Cleaned[[#This Row],[Debit]] * Cleaned[[#This Row],[FX_rates]]</f>
        <v>197321.22</v>
      </c>
      <c r="G1917">
        <v>0</v>
      </c>
      <c r="H1917">
        <f>Cleaned[[#This Row],[Credit]] *  Cleaned[[#This Row],[FX_rates]]</f>
        <v>0</v>
      </c>
      <c r="I1917" t="s">
        <v>2024</v>
      </c>
      <c r="J1917" t="s">
        <v>2027</v>
      </c>
      <c r="K1917" t="s">
        <v>3946</v>
      </c>
      <c r="L1917" t="s">
        <v>4031</v>
      </c>
      <c r="M1917">
        <f>Cleaned[[#This Row],[Credit]]-Cleaned[[#This Row],[Debit]]</f>
        <v>-1915.74</v>
      </c>
      <c r="N1917" t="str">
        <f>_xlfn.XLOOKUP(Cleaned[[#This Row],[AccountName]], Account_Mapping!A:A, Account_Mapping!B:B,"Unmapped")</f>
        <v>Operating Expense</v>
      </c>
      <c r="O1917" cm="1">
        <f t="array" ref="O1917">_xlfn.XLOOKUP(
  1,
  (FX_Rates[Currency]=Cleaned[[#This Row],[Currency]])*
  (FX_Rates[RateDate]&lt;=Cleaned[[#This Row],[TxnDate]]),
  FX_Rates[Rate_To_INR],
  ,
  -1
)</f>
        <v>103</v>
      </c>
      <c r="P1917" s="2">
        <f>Cleaned[[#This Row],[Net Amount]] *  Cleaned[[#This Row],[FX_rates]]</f>
        <v>-197321.22</v>
      </c>
    </row>
    <row r="1918" spans="1:16" x14ac:dyDescent="0.45">
      <c r="A1918" t="s">
        <v>1926</v>
      </c>
      <c r="B1918" s="1">
        <v>45145</v>
      </c>
      <c r="C1918" s="2" t="s">
        <v>2013</v>
      </c>
      <c r="D1918" t="s">
        <v>2018</v>
      </c>
      <c r="E1918">
        <v>1850.88</v>
      </c>
      <c r="F1918">
        <f>Cleaned[[#This Row],[Debit]] * Cleaned[[#This Row],[FX_rates]]</f>
        <v>190640.64000000001</v>
      </c>
      <c r="G1918">
        <v>0</v>
      </c>
      <c r="H1918">
        <f>Cleaned[[#This Row],[Credit]] *  Cleaned[[#This Row],[FX_rates]]</f>
        <v>0</v>
      </c>
      <c r="I1918" t="s">
        <v>2023</v>
      </c>
      <c r="J1918" t="s">
        <v>2027</v>
      </c>
      <c r="K1918" t="s">
        <v>3947</v>
      </c>
      <c r="L1918" t="s">
        <v>4031</v>
      </c>
      <c r="M1918">
        <f>Cleaned[[#This Row],[Credit]]-Cleaned[[#This Row],[Debit]]</f>
        <v>-1850.88</v>
      </c>
      <c r="N1918" t="str">
        <f>_xlfn.XLOOKUP(Cleaned[[#This Row],[AccountName]], Account_Mapping!A:A, Account_Mapping!B:B,"Unmapped")</f>
        <v>Operating Expense</v>
      </c>
      <c r="O1918" cm="1">
        <f t="array" ref="O1918">_xlfn.XLOOKUP(
  1,
  (FX_Rates[Currency]=Cleaned[[#This Row],[Currency]])*
  (FX_Rates[RateDate]&lt;=Cleaned[[#This Row],[TxnDate]]),
  FX_Rates[Rate_To_INR],
  ,
  -1
)</f>
        <v>103</v>
      </c>
      <c r="P1918" s="2">
        <f>Cleaned[[#This Row],[Net Amount]] *  Cleaned[[#This Row],[FX_rates]]</f>
        <v>-190640.64000000001</v>
      </c>
    </row>
    <row r="1919" spans="1:16" x14ac:dyDescent="0.45">
      <c r="A1919" t="s">
        <v>1927</v>
      </c>
      <c r="B1919" s="1">
        <v>45143</v>
      </c>
      <c r="C1919" s="2" t="s">
        <v>2014</v>
      </c>
      <c r="D1919" t="s">
        <v>2019</v>
      </c>
      <c r="E1919">
        <v>0</v>
      </c>
      <c r="F1919">
        <f>Cleaned[[#This Row],[Debit]] * Cleaned[[#This Row],[FX_rates]]</f>
        <v>0</v>
      </c>
      <c r="G1919">
        <v>4525.68</v>
      </c>
      <c r="H1919">
        <f>Cleaned[[#This Row],[Credit]] *  Cleaned[[#This Row],[FX_rates]]</f>
        <v>371105.76</v>
      </c>
      <c r="I1919" t="s">
        <v>2020</v>
      </c>
      <c r="J1919" t="s">
        <v>2030</v>
      </c>
      <c r="K1919" t="s">
        <v>3948</v>
      </c>
      <c r="L1919" t="s">
        <v>4034</v>
      </c>
      <c r="M1919">
        <f>Cleaned[[#This Row],[Credit]]-Cleaned[[#This Row],[Debit]]</f>
        <v>4525.68</v>
      </c>
      <c r="N1919" t="str">
        <f>_xlfn.XLOOKUP(Cleaned[[#This Row],[AccountName]], Account_Mapping!A:A, Account_Mapping!B:B,"Unmapped")</f>
        <v>Revenue</v>
      </c>
      <c r="O1919" cm="1">
        <f t="array" ref="O1919">_xlfn.XLOOKUP(
  1,
  (FX_Rates[Currency]=Cleaned[[#This Row],[Currency]])*
  (FX_Rates[RateDate]&lt;=Cleaned[[#This Row],[TxnDate]]),
  FX_Rates[Rate_To_INR],
  ,
  -1
)</f>
        <v>82</v>
      </c>
      <c r="P1919" s="2">
        <f>Cleaned[[#This Row],[Net Amount]] *  Cleaned[[#This Row],[FX_rates]]</f>
        <v>371105.76</v>
      </c>
    </row>
    <row r="1920" spans="1:16" x14ac:dyDescent="0.45">
      <c r="A1920" t="s">
        <v>1928</v>
      </c>
      <c r="B1920" s="1">
        <v>44942</v>
      </c>
      <c r="C1920" s="2" t="s">
        <v>2013</v>
      </c>
      <c r="D1920" t="s">
        <v>2018</v>
      </c>
      <c r="E1920">
        <v>854.45</v>
      </c>
      <c r="F1920">
        <f>Cleaned[[#This Row],[Debit]] * Cleaned[[#This Row],[FX_rates]]</f>
        <v>88008.35</v>
      </c>
      <c r="G1920">
        <v>0</v>
      </c>
      <c r="H1920">
        <f>Cleaned[[#This Row],[Credit]] *  Cleaned[[#This Row],[FX_rates]]</f>
        <v>0</v>
      </c>
      <c r="I1920" t="s">
        <v>2023</v>
      </c>
      <c r="J1920" t="s">
        <v>2030</v>
      </c>
      <c r="K1920" t="s">
        <v>3949</v>
      </c>
      <c r="L1920" t="s">
        <v>4031</v>
      </c>
      <c r="M1920">
        <f>Cleaned[[#This Row],[Credit]]-Cleaned[[#This Row],[Debit]]</f>
        <v>-854.45</v>
      </c>
      <c r="N1920" t="str">
        <f>_xlfn.XLOOKUP(Cleaned[[#This Row],[AccountName]], Account_Mapping!A:A, Account_Mapping!B:B,"Unmapped")</f>
        <v>Operating Expense</v>
      </c>
      <c r="O1920" cm="1">
        <f t="array" ref="O1920">_xlfn.XLOOKUP(
  1,
  (FX_Rates[Currency]=Cleaned[[#This Row],[Currency]])*
  (FX_Rates[RateDate]&lt;=Cleaned[[#This Row],[TxnDate]]),
  FX_Rates[Rate_To_INR],
  ,
  -1
)</f>
        <v>103</v>
      </c>
      <c r="P1920" s="2">
        <f>Cleaned[[#This Row],[Net Amount]] *  Cleaned[[#This Row],[FX_rates]]</f>
        <v>-88008.35</v>
      </c>
    </row>
    <row r="1921" spans="1:16" x14ac:dyDescent="0.45">
      <c r="A1921" t="s">
        <v>1929</v>
      </c>
      <c r="B1921" s="1">
        <v>45574</v>
      </c>
      <c r="C1921" s="2" t="s">
        <v>2011</v>
      </c>
      <c r="D1921" t="s">
        <v>2016</v>
      </c>
      <c r="E1921">
        <v>198.43</v>
      </c>
      <c r="F1921">
        <f>Cleaned[[#This Row],[Debit]] * Cleaned[[#This Row],[FX_rates]]</f>
        <v>11112.08</v>
      </c>
      <c r="G1921">
        <v>0</v>
      </c>
      <c r="H1921">
        <f>Cleaned[[#This Row],[Credit]] *  Cleaned[[#This Row],[FX_rates]]</f>
        <v>0</v>
      </c>
      <c r="I1921" t="s">
        <v>2022</v>
      </c>
      <c r="J1921" t="s">
        <v>2028</v>
      </c>
      <c r="K1921" t="s">
        <v>3950</v>
      </c>
      <c r="L1921" t="s">
        <v>4033</v>
      </c>
      <c r="M1921">
        <f>Cleaned[[#This Row],[Credit]]-Cleaned[[#This Row],[Debit]]</f>
        <v>-198.43</v>
      </c>
      <c r="N1921" t="str">
        <f>_xlfn.XLOOKUP(Cleaned[[#This Row],[AccountName]], Account_Mapping!A:A, Account_Mapping!B:B,"Unmapped")</f>
        <v>COGS</v>
      </c>
      <c r="O1921" cm="1">
        <f t="array" ref="O1921">_xlfn.XLOOKUP(
  1,
  (FX_Rates[Currency]=Cleaned[[#This Row],[Currency]])*
  (FX_Rates[RateDate]&lt;=Cleaned[[#This Row],[TxnDate]]),
  FX_Rates[Rate_To_INR],
  ,
  -1
)</f>
        <v>56</v>
      </c>
      <c r="P1921" s="2">
        <f>Cleaned[[#This Row],[Net Amount]] *  Cleaned[[#This Row],[FX_rates]]</f>
        <v>-11112.08</v>
      </c>
    </row>
    <row r="1922" spans="1:16" x14ac:dyDescent="0.45">
      <c r="A1922" t="s">
        <v>1930</v>
      </c>
      <c r="B1922" s="1">
        <v>45720</v>
      </c>
      <c r="C1922" s="2" t="s">
        <v>2012</v>
      </c>
      <c r="D1922" t="s">
        <v>2017</v>
      </c>
      <c r="E1922">
        <v>1818.32</v>
      </c>
      <c r="F1922">
        <f>Cleaned[[#This Row],[Debit]] * Cleaned[[#This Row],[FX_rates]]</f>
        <v>110917.51999999999</v>
      </c>
      <c r="G1922">
        <v>0</v>
      </c>
      <c r="H1922">
        <f>Cleaned[[#This Row],[Credit]] *  Cleaned[[#This Row],[FX_rates]]</f>
        <v>0</v>
      </c>
      <c r="I1922" t="s">
        <v>2024</v>
      </c>
      <c r="J1922" t="s">
        <v>2027</v>
      </c>
      <c r="K1922" t="s">
        <v>3951</v>
      </c>
      <c r="L1922" t="s">
        <v>4035</v>
      </c>
      <c r="M1922">
        <f>Cleaned[[#This Row],[Credit]]-Cleaned[[#This Row],[Debit]]</f>
        <v>-1818.32</v>
      </c>
      <c r="N1922" t="str">
        <f>_xlfn.XLOOKUP(Cleaned[[#This Row],[AccountName]], Account_Mapping!A:A, Account_Mapping!B:B,"Unmapped")</f>
        <v>Operating Expense</v>
      </c>
      <c r="O1922" cm="1">
        <f t="array" ref="O1922">_xlfn.XLOOKUP(
  1,
  (FX_Rates[Currency]=Cleaned[[#This Row],[Currency]])*
  (FX_Rates[RateDate]&lt;=Cleaned[[#This Row],[TxnDate]]),
  FX_Rates[Rate_To_INR],
  ,
  -1
)</f>
        <v>61</v>
      </c>
      <c r="P1922" s="2">
        <f>Cleaned[[#This Row],[Net Amount]] *  Cleaned[[#This Row],[FX_rates]]</f>
        <v>-110917.51999999999</v>
      </c>
    </row>
    <row r="1923" spans="1:16" x14ac:dyDescent="0.45">
      <c r="A1923" t="s">
        <v>1931</v>
      </c>
      <c r="B1923" s="1">
        <v>45384</v>
      </c>
      <c r="C1923" s="2" t="s">
        <v>2014</v>
      </c>
      <c r="D1923" t="s">
        <v>2019</v>
      </c>
      <c r="E1923">
        <v>0</v>
      </c>
      <c r="F1923">
        <f>Cleaned[[#This Row],[Debit]] * Cleaned[[#This Row],[FX_rates]]</f>
        <v>0</v>
      </c>
      <c r="G1923">
        <v>2638.4</v>
      </c>
      <c r="H1923">
        <f>Cleaned[[#This Row],[Credit]] *  Cleaned[[#This Row],[FX_rates]]</f>
        <v>216348.80000000002</v>
      </c>
      <c r="I1923" t="s">
        <v>2025</v>
      </c>
      <c r="J1923" t="s">
        <v>2030</v>
      </c>
      <c r="K1923" t="s">
        <v>3952</v>
      </c>
      <c r="L1923" t="s">
        <v>4034</v>
      </c>
      <c r="M1923">
        <f>Cleaned[[#This Row],[Credit]]-Cleaned[[#This Row],[Debit]]</f>
        <v>2638.4</v>
      </c>
      <c r="N1923" t="str">
        <f>_xlfn.XLOOKUP(Cleaned[[#This Row],[AccountName]], Account_Mapping!A:A, Account_Mapping!B:B,"Unmapped")</f>
        <v>Revenue</v>
      </c>
      <c r="O1923" cm="1">
        <f t="array" ref="O1923">_xlfn.XLOOKUP(
  1,
  (FX_Rates[Currency]=Cleaned[[#This Row],[Currency]])*
  (FX_Rates[RateDate]&lt;=Cleaned[[#This Row],[TxnDate]]),
  FX_Rates[Rate_To_INR],
  ,
  -1
)</f>
        <v>82</v>
      </c>
      <c r="P1923" s="2">
        <f>Cleaned[[#This Row],[Net Amount]] *  Cleaned[[#This Row],[FX_rates]]</f>
        <v>216348.80000000002</v>
      </c>
    </row>
    <row r="1924" spans="1:16" x14ac:dyDescent="0.45">
      <c r="A1924" t="s">
        <v>1932</v>
      </c>
      <c r="B1924" s="1">
        <v>45003</v>
      </c>
      <c r="C1924" s="2" t="s">
        <v>2014</v>
      </c>
      <c r="D1924" t="s">
        <v>2019</v>
      </c>
      <c r="E1924">
        <v>0</v>
      </c>
      <c r="F1924">
        <f>Cleaned[[#This Row],[Debit]] * Cleaned[[#This Row],[FX_rates]]</f>
        <v>0</v>
      </c>
      <c r="G1924">
        <v>2791.71</v>
      </c>
      <c r="H1924">
        <f>Cleaned[[#This Row],[Credit]] *  Cleaned[[#This Row],[FX_rates]]</f>
        <v>170294.31</v>
      </c>
      <c r="I1924" t="s">
        <v>2021</v>
      </c>
      <c r="J1924" t="s">
        <v>2029</v>
      </c>
      <c r="K1924" t="s">
        <v>3953</v>
      </c>
      <c r="L1924" t="s">
        <v>4035</v>
      </c>
      <c r="M1924">
        <f>Cleaned[[#This Row],[Credit]]-Cleaned[[#This Row],[Debit]]</f>
        <v>2791.71</v>
      </c>
      <c r="N1924" t="str">
        <f>_xlfn.XLOOKUP(Cleaned[[#This Row],[AccountName]], Account_Mapping!A:A, Account_Mapping!B:B,"Unmapped")</f>
        <v>Revenue</v>
      </c>
      <c r="O1924" cm="1">
        <f t="array" ref="O1924">_xlfn.XLOOKUP(
  1,
  (FX_Rates[Currency]=Cleaned[[#This Row],[Currency]])*
  (FX_Rates[RateDate]&lt;=Cleaned[[#This Row],[TxnDate]]),
  FX_Rates[Rate_To_INR],
  ,
  -1
)</f>
        <v>61</v>
      </c>
      <c r="P1924" s="2">
        <f>Cleaned[[#This Row],[Net Amount]] *  Cleaned[[#This Row],[FX_rates]]</f>
        <v>170294.31</v>
      </c>
    </row>
    <row r="1925" spans="1:16" x14ac:dyDescent="0.45">
      <c r="A1925" t="s">
        <v>1933</v>
      </c>
      <c r="B1925" s="1">
        <v>45320</v>
      </c>
      <c r="C1925" s="2" t="s">
        <v>2011</v>
      </c>
      <c r="D1925" t="s">
        <v>2016</v>
      </c>
      <c r="E1925">
        <v>726.03</v>
      </c>
      <c r="F1925">
        <f>Cleaned[[#This Row],[Debit]] * Cleaned[[#This Row],[FX_rates]]</f>
        <v>59534.46</v>
      </c>
      <c r="G1925">
        <v>0</v>
      </c>
      <c r="H1925">
        <f>Cleaned[[#This Row],[Credit]] *  Cleaned[[#This Row],[FX_rates]]</f>
        <v>0</v>
      </c>
      <c r="I1925" t="s">
        <v>2021</v>
      </c>
      <c r="J1925" t="s">
        <v>2030</v>
      </c>
      <c r="K1925" t="s">
        <v>3954</v>
      </c>
      <c r="L1925" t="s">
        <v>4034</v>
      </c>
      <c r="M1925">
        <f>Cleaned[[#This Row],[Credit]]-Cleaned[[#This Row],[Debit]]</f>
        <v>-726.03</v>
      </c>
      <c r="N1925" t="str">
        <f>_xlfn.XLOOKUP(Cleaned[[#This Row],[AccountName]], Account_Mapping!A:A, Account_Mapping!B:B,"Unmapped")</f>
        <v>COGS</v>
      </c>
      <c r="O1925" cm="1">
        <f t="array" ref="O1925">_xlfn.XLOOKUP(
  1,
  (FX_Rates[Currency]=Cleaned[[#This Row],[Currency]])*
  (FX_Rates[RateDate]&lt;=Cleaned[[#This Row],[TxnDate]]),
  FX_Rates[Rate_To_INR],
  ,
  -1
)</f>
        <v>82</v>
      </c>
      <c r="P1925" s="2">
        <f>Cleaned[[#This Row],[Net Amount]] *  Cleaned[[#This Row],[FX_rates]]</f>
        <v>-59534.46</v>
      </c>
    </row>
    <row r="1926" spans="1:16" x14ac:dyDescent="0.45">
      <c r="A1926" t="s">
        <v>1934</v>
      </c>
      <c r="B1926" s="1">
        <v>45055</v>
      </c>
      <c r="C1926" s="2" t="s">
        <v>2011</v>
      </c>
      <c r="D1926" t="s">
        <v>2016</v>
      </c>
      <c r="E1926">
        <v>1370.59</v>
      </c>
      <c r="F1926">
        <f>Cleaned[[#This Row],[Debit]] * Cleaned[[#This Row],[FX_rates]]</f>
        <v>76753.039999999994</v>
      </c>
      <c r="G1926">
        <v>0</v>
      </c>
      <c r="H1926">
        <f>Cleaned[[#This Row],[Credit]] *  Cleaned[[#This Row],[FX_rates]]</f>
        <v>0</v>
      </c>
      <c r="I1926" t="s">
        <v>2020</v>
      </c>
      <c r="J1926" t="s">
        <v>2030</v>
      </c>
      <c r="K1926" t="s">
        <v>3955</v>
      </c>
      <c r="L1926" t="s">
        <v>4033</v>
      </c>
      <c r="M1926">
        <f>Cleaned[[#This Row],[Credit]]-Cleaned[[#This Row],[Debit]]</f>
        <v>-1370.59</v>
      </c>
      <c r="N1926" t="str">
        <f>_xlfn.XLOOKUP(Cleaned[[#This Row],[AccountName]], Account_Mapping!A:A, Account_Mapping!B:B,"Unmapped")</f>
        <v>COGS</v>
      </c>
      <c r="O1926" cm="1">
        <f t="array" ref="O1926">_xlfn.XLOOKUP(
  1,
  (FX_Rates[Currency]=Cleaned[[#This Row],[Currency]])*
  (FX_Rates[RateDate]&lt;=Cleaned[[#This Row],[TxnDate]]),
  FX_Rates[Rate_To_INR],
  ,
  -1
)</f>
        <v>56</v>
      </c>
      <c r="P1926" s="2">
        <f>Cleaned[[#This Row],[Net Amount]] *  Cleaned[[#This Row],[FX_rates]]</f>
        <v>-76753.039999999994</v>
      </c>
    </row>
    <row r="1927" spans="1:16" x14ac:dyDescent="0.45">
      <c r="A1927" t="s">
        <v>1935</v>
      </c>
      <c r="B1927" s="1">
        <v>45409</v>
      </c>
      <c r="C1927" s="2" t="s">
        <v>2013</v>
      </c>
      <c r="D1927" t="s">
        <v>2018</v>
      </c>
      <c r="E1927">
        <v>263.16000000000003</v>
      </c>
      <c r="F1927">
        <f>Cleaned[[#This Row],[Debit]] * Cleaned[[#This Row],[FX_rates]]</f>
        <v>16052.760000000002</v>
      </c>
      <c r="G1927">
        <v>0</v>
      </c>
      <c r="H1927">
        <f>Cleaned[[#This Row],[Credit]] *  Cleaned[[#This Row],[FX_rates]]</f>
        <v>0</v>
      </c>
      <c r="I1927" t="s">
        <v>2022</v>
      </c>
      <c r="J1927" t="s">
        <v>2028</v>
      </c>
      <c r="K1927" t="s">
        <v>3956</v>
      </c>
      <c r="L1927" t="s">
        <v>4035</v>
      </c>
      <c r="M1927">
        <f>Cleaned[[#This Row],[Credit]]-Cleaned[[#This Row],[Debit]]</f>
        <v>-263.16000000000003</v>
      </c>
      <c r="N1927" t="str">
        <f>_xlfn.XLOOKUP(Cleaned[[#This Row],[AccountName]], Account_Mapping!A:A, Account_Mapping!B:B,"Unmapped")</f>
        <v>Operating Expense</v>
      </c>
      <c r="O1927" cm="1">
        <f t="array" ref="O1927">_xlfn.XLOOKUP(
  1,
  (FX_Rates[Currency]=Cleaned[[#This Row],[Currency]])*
  (FX_Rates[RateDate]&lt;=Cleaned[[#This Row],[TxnDate]]),
  FX_Rates[Rate_To_INR],
  ,
  -1
)</f>
        <v>61</v>
      </c>
      <c r="P1927" s="2">
        <f>Cleaned[[#This Row],[Net Amount]] *  Cleaned[[#This Row],[FX_rates]]</f>
        <v>-16052.760000000002</v>
      </c>
    </row>
    <row r="1928" spans="1:16" x14ac:dyDescent="0.45">
      <c r="A1928" t="s">
        <v>1936</v>
      </c>
      <c r="B1928" s="1">
        <v>45561</v>
      </c>
      <c r="C1928" s="2" t="s">
        <v>2013</v>
      </c>
      <c r="D1928" t="s">
        <v>2018</v>
      </c>
      <c r="E1928">
        <v>1336.28</v>
      </c>
      <c r="F1928">
        <f>Cleaned[[#This Row],[Debit]] * Cleaned[[#This Row],[FX_rates]]</f>
        <v>74831.679999999993</v>
      </c>
      <c r="G1928">
        <v>0</v>
      </c>
      <c r="H1928">
        <f>Cleaned[[#This Row],[Credit]] *  Cleaned[[#This Row],[FX_rates]]</f>
        <v>0</v>
      </c>
      <c r="I1928" t="s">
        <v>2022</v>
      </c>
      <c r="J1928" t="s">
        <v>2027</v>
      </c>
      <c r="K1928" t="s">
        <v>3957</v>
      </c>
      <c r="L1928" t="s">
        <v>4033</v>
      </c>
      <c r="M1928">
        <f>Cleaned[[#This Row],[Credit]]-Cleaned[[#This Row],[Debit]]</f>
        <v>-1336.28</v>
      </c>
      <c r="N1928" t="str">
        <f>_xlfn.XLOOKUP(Cleaned[[#This Row],[AccountName]], Account_Mapping!A:A, Account_Mapping!B:B,"Unmapped")</f>
        <v>Operating Expense</v>
      </c>
      <c r="O1928" cm="1">
        <f t="array" ref="O1928">_xlfn.XLOOKUP(
  1,
  (FX_Rates[Currency]=Cleaned[[#This Row],[Currency]])*
  (FX_Rates[RateDate]&lt;=Cleaned[[#This Row],[TxnDate]]),
  FX_Rates[Rate_To_INR],
  ,
  -1
)</f>
        <v>56</v>
      </c>
      <c r="P1928" s="2">
        <f>Cleaned[[#This Row],[Net Amount]] *  Cleaned[[#This Row],[FX_rates]]</f>
        <v>-74831.679999999993</v>
      </c>
    </row>
    <row r="1929" spans="1:16" x14ac:dyDescent="0.45">
      <c r="A1929" t="s">
        <v>1937</v>
      </c>
      <c r="B1929" s="1">
        <v>45435</v>
      </c>
      <c r="C1929" s="2" t="s">
        <v>2012</v>
      </c>
      <c r="D1929" t="s">
        <v>2017</v>
      </c>
      <c r="E1929">
        <v>1661.05</v>
      </c>
      <c r="F1929">
        <f>Cleaned[[#This Row],[Debit]] * Cleaned[[#This Row],[FX_rates]]</f>
        <v>146172.4</v>
      </c>
      <c r="G1929">
        <v>0</v>
      </c>
      <c r="H1929">
        <f>Cleaned[[#This Row],[Credit]] *  Cleaned[[#This Row],[FX_rates]]</f>
        <v>0</v>
      </c>
      <c r="I1929" t="s">
        <v>2023</v>
      </c>
      <c r="J1929" t="s">
        <v>2028</v>
      </c>
      <c r="K1929" t="s">
        <v>3958</v>
      </c>
      <c r="L1929" t="s">
        <v>4032</v>
      </c>
      <c r="M1929">
        <f>Cleaned[[#This Row],[Credit]]-Cleaned[[#This Row],[Debit]]</f>
        <v>-1661.05</v>
      </c>
      <c r="N1929" t="str">
        <f>_xlfn.XLOOKUP(Cleaned[[#This Row],[AccountName]], Account_Mapping!A:A, Account_Mapping!B:B,"Unmapped")</f>
        <v>Operating Expense</v>
      </c>
      <c r="O1929" cm="1">
        <f t="array" ref="O1929">_xlfn.XLOOKUP(
  1,
  (FX_Rates[Currency]=Cleaned[[#This Row],[Currency]])*
  (FX_Rates[RateDate]&lt;=Cleaned[[#This Row],[TxnDate]]),
  FX_Rates[Rate_To_INR],
  ,
  -1
)</f>
        <v>88</v>
      </c>
      <c r="P1929" s="2">
        <f>Cleaned[[#This Row],[Net Amount]] *  Cleaned[[#This Row],[FX_rates]]</f>
        <v>-146172.4</v>
      </c>
    </row>
    <row r="1930" spans="1:16" x14ac:dyDescent="0.45">
      <c r="A1930" t="s">
        <v>1938</v>
      </c>
      <c r="B1930" s="1">
        <v>45247</v>
      </c>
      <c r="C1930" s="2" t="s">
        <v>2010</v>
      </c>
      <c r="D1930" t="s">
        <v>2015</v>
      </c>
      <c r="E1930">
        <v>0</v>
      </c>
      <c r="F1930">
        <f>Cleaned[[#This Row],[Debit]] * Cleaned[[#This Row],[FX_rates]]</f>
        <v>0</v>
      </c>
      <c r="G1930">
        <v>2221.86</v>
      </c>
      <c r="H1930">
        <f>Cleaned[[#This Row],[Credit]] *  Cleaned[[#This Row],[FX_rates]]</f>
        <v>228851.58000000002</v>
      </c>
      <c r="I1930" t="s">
        <v>2025</v>
      </c>
      <c r="J1930" t="s">
        <v>2027</v>
      </c>
      <c r="K1930" t="s">
        <v>3959</v>
      </c>
      <c r="L1930" t="s">
        <v>4031</v>
      </c>
      <c r="M1930">
        <f>Cleaned[[#This Row],[Credit]]-Cleaned[[#This Row],[Debit]]</f>
        <v>2221.86</v>
      </c>
      <c r="N1930" t="str">
        <f>_xlfn.XLOOKUP(Cleaned[[#This Row],[AccountName]], Account_Mapping!A:A, Account_Mapping!B:B,"Unmapped")</f>
        <v>Revenue</v>
      </c>
      <c r="O1930" cm="1">
        <f t="array" ref="O1930">_xlfn.XLOOKUP(
  1,
  (FX_Rates[Currency]=Cleaned[[#This Row],[Currency]])*
  (FX_Rates[RateDate]&lt;=Cleaned[[#This Row],[TxnDate]]),
  FX_Rates[Rate_To_INR],
  ,
  -1
)</f>
        <v>103</v>
      </c>
      <c r="P1930" s="2">
        <f>Cleaned[[#This Row],[Net Amount]] *  Cleaned[[#This Row],[FX_rates]]</f>
        <v>228851.58000000002</v>
      </c>
    </row>
    <row r="1931" spans="1:16" x14ac:dyDescent="0.45">
      <c r="A1931" t="s">
        <v>1939</v>
      </c>
      <c r="B1931" s="1">
        <v>45356</v>
      </c>
      <c r="C1931" s="2" t="s">
        <v>2014</v>
      </c>
      <c r="D1931" t="s">
        <v>2019</v>
      </c>
      <c r="E1931">
        <v>0</v>
      </c>
      <c r="F1931">
        <f>Cleaned[[#This Row],[Debit]] * Cleaned[[#This Row],[FX_rates]]</f>
        <v>0</v>
      </c>
      <c r="G1931">
        <v>4064.87</v>
      </c>
      <c r="H1931">
        <f>Cleaned[[#This Row],[Credit]] *  Cleaned[[#This Row],[FX_rates]]</f>
        <v>247957.07</v>
      </c>
      <c r="I1931" t="s">
        <v>2020</v>
      </c>
      <c r="J1931" t="s">
        <v>2027</v>
      </c>
      <c r="K1931" t="s">
        <v>3960</v>
      </c>
      <c r="L1931" t="s">
        <v>4035</v>
      </c>
      <c r="M1931">
        <f>Cleaned[[#This Row],[Credit]]-Cleaned[[#This Row],[Debit]]</f>
        <v>4064.87</v>
      </c>
      <c r="N1931" t="str">
        <f>_xlfn.XLOOKUP(Cleaned[[#This Row],[AccountName]], Account_Mapping!A:A, Account_Mapping!B:B,"Unmapped")</f>
        <v>Revenue</v>
      </c>
      <c r="O1931" cm="1">
        <f t="array" ref="O1931">_xlfn.XLOOKUP(
  1,
  (FX_Rates[Currency]=Cleaned[[#This Row],[Currency]])*
  (FX_Rates[RateDate]&lt;=Cleaned[[#This Row],[TxnDate]]),
  FX_Rates[Rate_To_INR],
  ,
  -1
)</f>
        <v>61</v>
      </c>
      <c r="P1931" s="2">
        <f>Cleaned[[#This Row],[Net Amount]] *  Cleaned[[#This Row],[FX_rates]]</f>
        <v>247957.07</v>
      </c>
    </row>
    <row r="1932" spans="1:16" x14ac:dyDescent="0.45">
      <c r="A1932" t="s">
        <v>1940</v>
      </c>
      <c r="B1932" s="1">
        <v>45592</v>
      </c>
      <c r="C1932" s="2" t="s">
        <v>2011</v>
      </c>
      <c r="D1932" t="s">
        <v>2016</v>
      </c>
      <c r="E1932">
        <v>564.04</v>
      </c>
      <c r="F1932">
        <f>Cleaned[[#This Row],[Debit]] * Cleaned[[#This Row],[FX_rates]]</f>
        <v>46251.28</v>
      </c>
      <c r="G1932">
        <v>0</v>
      </c>
      <c r="H1932">
        <f>Cleaned[[#This Row],[Credit]] *  Cleaned[[#This Row],[FX_rates]]</f>
        <v>0</v>
      </c>
      <c r="I1932" t="s">
        <v>2023</v>
      </c>
      <c r="J1932" t="s">
        <v>2028</v>
      </c>
      <c r="K1932" t="s">
        <v>3961</v>
      </c>
      <c r="L1932" t="s">
        <v>4034</v>
      </c>
      <c r="M1932">
        <f>Cleaned[[#This Row],[Credit]]-Cleaned[[#This Row],[Debit]]</f>
        <v>-564.04</v>
      </c>
      <c r="N1932" t="str">
        <f>_xlfn.XLOOKUP(Cleaned[[#This Row],[AccountName]], Account_Mapping!A:A, Account_Mapping!B:B,"Unmapped")</f>
        <v>COGS</v>
      </c>
      <c r="O1932" cm="1">
        <f t="array" ref="O1932">_xlfn.XLOOKUP(
  1,
  (FX_Rates[Currency]=Cleaned[[#This Row],[Currency]])*
  (FX_Rates[RateDate]&lt;=Cleaned[[#This Row],[TxnDate]]),
  FX_Rates[Rate_To_INR],
  ,
  -1
)</f>
        <v>82</v>
      </c>
      <c r="P1932" s="2">
        <f>Cleaned[[#This Row],[Net Amount]] *  Cleaned[[#This Row],[FX_rates]]</f>
        <v>-46251.28</v>
      </c>
    </row>
    <row r="1933" spans="1:16" x14ac:dyDescent="0.45">
      <c r="A1933" t="s">
        <v>1941</v>
      </c>
      <c r="B1933" s="1">
        <v>45255</v>
      </c>
      <c r="C1933" s="2" t="s">
        <v>2014</v>
      </c>
      <c r="D1933" t="s">
        <v>2019</v>
      </c>
      <c r="E1933">
        <v>0</v>
      </c>
      <c r="F1933">
        <f>Cleaned[[#This Row],[Debit]] * Cleaned[[#This Row],[FX_rates]]</f>
        <v>0</v>
      </c>
      <c r="G1933">
        <v>2394.69</v>
      </c>
      <c r="H1933">
        <f>Cleaned[[#This Row],[Credit]] *  Cleaned[[#This Row],[FX_rates]]</f>
        <v>134102.64000000001</v>
      </c>
      <c r="I1933" t="s">
        <v>2025</v>
      </c>
      <c r="J1933" t="s">
        <v>2027</v>
      </c>
      <c r="K1933" t="s">
        <v>3962</v>
      </c>
      <c r="L1933" t="s">
        <v>4033</v>
      </c>
      <c r="M1933">
        <f>Cleaned[[#This Row],[Credit]]-Cleaned[[#This Row],[Debit]]</f>
        <v>2394.69</v>
      </c>
      <c r="N1933" t="str">
        <f>_xlfn.XLOOKUP(Cleaned[[#This Row],[AccountName]], Account_Mapping!A:A, Account_Mapping!B:B,"Unmapped")</f>
        <v>Revenue</v>
      </c>
      <c r="O1933" cm="1">
        <f t="array" ref="O1933">_xlfn.XLOOKUP(
  1,
  (FX_Rates[Currency]=Cleaned[[#This Row],[Currency]])*
  (FX_Rates[RateDate]&lt;=Cleaned[[#This Row],[TxnDate]]),
  FX_Rates[Rate_To_INR],
  ,
  -1
)</f>
        <v>56</v>
      </c>
      <c r="P1933" s="2">
        <f>Cleaned[[#This Row],[Net Amount]] *  Cleaned[[#This Row],[FX_rates]]</f>
        <v>134102.64000000001</v>
      </c>
    </row>
    <row r="1934" spans="1:16" x14ac:dyDescent="0.45">
      <c r="A1934" t="s">
        <v>1942</v>
      </c>
      <c r="B1934" s="1">
        <v>45583</v>
      </c>
      <c r="C1934" s="2" t="s">
        <v>2014</v>
      </c>
      <c r="D1934" t="s">
        <v>2019</v>
      </c>
      <c r="E1934">
        <v>0</v>
      </c>
      <c r="F1934">
        <f>Cleaned[[#This Row],[Debit]] * Cleaned[[#This Row],[FX_rates]]</f>
        <v>0</v>
      </c>
      <c r="G1934">
        <v>4484.1899999999996</v>
      </c>
      <c r="H1934">
        <f>Cleaned[[#This Row],[Credit]] *  Cleaned[[#This Row],[FX_rates]]</f>
        <v>251114.63999999998</v>
      </c>
      <c r="I1934" t="s">
        <v>2023</v>
      </c>
      <c r="J1934" t="s">
        <v>2026</v>
      </c>
      <c r="K1934" t="s">
        <v>3963</v>
      </c>
      <c r="L1934" t="s">
        <v>4033</v>
      </c>
      <c r="M1934">
        <f>Cleaned[[#This Row],[Credit]]-Cleaned[[#This Row],[Debit]]</f>
        <v>4484.1899999999996</v>
      </c>
      <c r="N1934" t="str">
        <f>_xlfn.XLOOKUP(Cleaned[[#This Row],[AccountName]], Account_Mapping!A:A, Account_Mapping!B:B,"Unmapped")</f>
        <v>Revenue</v>
      </c>
      <c r="O1934" cm="1">
        <f t="array" ref="O1934">_xlfn.XLOOKUP(
  1,
  (FX_Rates[Currency]=Cleaned[[#This Row],[Currency]])*
  (FX_Rates[RateDate]&lt;=Cleaned[[#This Row],[TxnDate]]),
  FX_Rates[Rate_To_INR],
  ,
  -1
)</f>
        <v>56</v>
      </c>
      <c r="P1934" s="2">
        <f>Cleaned[[#This Row],[Net Amount]] *  Cleaned[[#This Row],[FX_rates]]</f>
        <v>251114.63999999998</v>
      </c>
    </row>
    <row r="1935" spans="1:16" x14ac:dyDescent="0.45">
      <c r="A1935" t="s">
        <v>1943</v>
      </c>
      <c r="B1935" s="1">
        <v>45656</v>
      </c>
      <c r="C1935" s="2" t="s">
        <v>2014</v>
      </c>
      <c r="D1935" t="s">
        <v>2019</v>
      </c>
      <c r="E1935">
        <v>0</v>
      </c>
      <c r="F1935">
        <f>Cleaned[[#This Row],[Debit]] * Cleaned[[#This Row],[FX_rates]]</f>
        <v>0</v>
      </c>
      <c r="G1935">
        <v>1838.71</v>
      </c>
      <c r="H1935">
        <f>Cleaned[[#This Row],[Credit]] *  Cleaned[[#This Row],[FX_rates]]</f>
        <v>112161.31</v>
      </c>
      <c r="I1935" t="s">
        <v>2023</v>
      </c>
      <c r="J1935" t="s">
        <v>2028</v>
      </c>
      <c r="K1935" t="s">
        <v>3964</v>
      </c>
      <c r="L1935" t="s">
        <v>4035</v>
      </c>
      <c r="M1935">
        <f>Cleaned[[#This Row],[Credit]]-Cleaned[[#This Row],[Debit]]</f>
        <v>1838.71</v>
      </c>
      <c r="N1935" t="str">
        <f>_xlfn.XLOOKUP(Cleaned[[#This Row],[AccountName]], Account_Mapping!A:A, Account_Mapping!B:B,"Unmapped")</f>
        <v>Revenue</v>
      </c>
      <c r="O1935" cm="1">
        <f t="array" ref="O1935">_xlfn.XLOOKUP(
  1,
  (FX_Rates[Currency]=Cleaned[[#This Row],[Currency]])*
  (FX_Rates[RateDate]&lt;=Cleaned[[#This Row],[TxnDate]]),
  FX_Rates[Rate_To_INR],
  ,
  -1
)</f>
        <v>61</v>
      </c>
      <c r="P1935" s="2">
        <f>Cleaned[[#This Row],[Net Amount]] *  Cleaned[[#This Row],[FX_rates]]</f>
        <v>112161.31</v>
      </c>
    </row>
    <row r="1936" spans="1:16" x14ac:dyDescent="0.45">
      <c r="A1936" t="s">
        <v>1944</v>
      </c>
      <c r="B1936" s="1">
        <v>45767</v>
      </c>
      <c r="C1936" s="2" t="s">
        <v>2013</v>
      </c>
      <c r="D1936" t="s">
        <v>2018</v>
      </c>
      <c r="E1936">
        <v>407.55</v>
      </c>
      <c r="F1936">
        <f>Cleaned[[#This Row],[Debit]] * Cleaned[[#This Row],[FX_rates]]</f>
        <v>41977.65</v>
      </c>
      <c r="G1936">
        <v>0</v>
      </c>
      <c r="H1936">
        <f>Cleaned[[#This Row],[Credit]] *  Cleaned[[#This Row],[FX_rates]]</f>
        <v>0</v>
      </c>
      <c r="I1936" t="s">
        <v>2022</v>
      </c>
      <c r="J1936" t="s">
        <v>2028</v>
      </c>
      <c r="K1936" t="s">
        <v>3965</v>
      </c>
      <c r="L1936" t="s">
        <v>4031</v>
      </c>
      <c r="M1936">
        <f>Cleaned[[#This Row],[Credit]]-Cleaned[[#This Row],[Debit]]</f>
        <v>-407.55</v>
      </c>
      <c r="N1936" t="str">
        <f>_xlfn.XLOOKUP(Cleaned[[#This Row],[AccountName]], Account_Mapping!A:A, Account_Mapping!B:B,"Unmapped")</f>
        <v>Operating Expense</v>
      </c>
      <c r="O1936" cm="1">
        <f t="array" ref="O1936">_xlfn.XLOOKUP(
  1,
  (FX_Rates[Currency]=Cleaned[[#This Row],[Currency]])*
  (FX_Rates[RateDate]&lt;=Cleaned[[#This Row],[TxnDate]]),
  FX_Rates[Rate_To_INR],
  ,
  -1
)</f>
        <v>103</v>
      </c>
      <c r="P1936" s="2">
        <f>Cleaned[[#This Row],[Net Amount]] *  Cleaned[[#This Row],[FX_rates]]</f>
        <v>-41977.65</v>
      </c>
    </row>
    <row r="1937" spans="1:16" x14ac:dyDescent="0.45">
      <c r="A1937" t="s">
        <v>1945</v>
      </c>
      <c r="B1937" s="1">
        <v>45253</v>
      </c>
      <c r="C1937" s="2" t="s">
        <v>2010</v>
      </c>
      <c r="D1937" t="s">
        <v>2015</v>
      </c>
      <c r="E1937">
        <v>0</v>
      </c>
      <c r="F1937">
        <f>Cleaned[[#This Row],[Debit]] * Cleaned[[#This Row],[FX_rates]]</f>
        <v>0</v>
      </c>
      <c r="G1937">
        <v>1239.76</v>
      </c>
      <c r="H1937">
        <f>Cleaned[[#This Row],[Credit]] *  Cleaned[[#This Row],[FX_rates]]</f>
        <v>75625.36</v>
      </c>
      <c r="I1937" t="s">
        <v>2025</v>
      </c>
      <c r="J1937" t="s">
        <v>2028</v>
      </c>
      <c r="K1937" t="s">
        <v>3966</v>
      </c>
      <c r="L1937" t="s">
        <v>4035</v>
      </c>
      <c r="M1937">
        <f>Cleaned[[#This Row],[Credit]]-Cleaned[[#This Row],[Debit]]</f>
        <v>1239.76</v>
      </c>
      <c r="N1937" t="str">
        <f>_xlfn.XLOOKUP(Cleaned[[#This Row],[AccountName]], Account_Mapping!A:A, Account_Mapping!B:B,"Unmapped")</f>
        <v>Revenue</v>
      </c>
      <c r="O1937" cm="1">
        <f t="array" ref="O1937">_xlfn.XLOOKUP(
  1,
  (FX_Rates[Currency]=Cleaned[[#This Row],[Currency]])*
  (FX_Rates[RateDate]&lt;=Cleaned[[#This Row],[TxnDate]]),
  FX_Rates[Rate_To_INR],
  ,
  -1
)</f>
        <v>61</v>
      </c>
      <c r="P1937" s="2">
        <f>Cleaned[[#This Row],[Net Amount]] *  Cleaned[[#This Row],[FX_rates]]</f>
        <v>75625.36</v>
      </c>
    </row>
    <row r="1938" spans="1:16" x14ac:dyDescent="0.45">
      <c r="A1938" t="s">
        <v>1946</v>
      </c>
      <c r="B1938" s="1">
        <v>45119</v>
      </c>
      <c r="C1938" s="2" t="s">
        <v>2013</v>
      </c>
      <c r="D1938" t="s">
        <v>2018</v>
      </c>
      <c r="E1938">
        <v>721.91</v>
      </c>
      <c r="F1938">
        <f>Cleaned[[#This Row],[Debit]] * Cleaned[[#This Row],[FX_rates]]</f>
        <v>63528.079999999994</v>
      </c>
      <c r="G1938">
        <v>0</v>
      </c>
      <c r="H1938">
        <f>Cleaned[[#This Row],[Credit]] *  Cleaned[[#This Row],[FX_rates]]</f>
        <v>0</v>
      </c>
      <c r="I1938" t="s">
        <v>2023</v>
      </c>
      <c r="J1938" t="s">
        <v>2026</v>
      </c>
      <c r="K1938" t="s">
        <v>3967</v>
      </c>
      <c r="L1938" t="s">
        <v>4032</v>
      </c>
      <c r="M1938">
        <f>Cleaned[[#This Row],[Credit]]-Cleaned[[#This Row],[Debit]]</f>
        <v>-721.91</v>
      </c>
      <c r="N1938" t="str">
        <f>_xlfn.XLOOKUP(Cleaned[[#This Row],[AccountName]], Account_Mapping!A:A, Account_Mapping!B:B,"Unmapped")</f>
        <v>Operating Expense</v>
      </c>
      <c r="O1938" cm="1">
        <f t="array" ref="O1938">_xlfn.XLOOKUP(
  1,
  (FX_Rates[Currency]=Cleaned[[#This Row],[Currency]])*
  (FX_Rates[RateDate]&lt;=Cleaned[[#This Row],[TxnDate]]),
  FX_Rates[Rate_To_INR],
  ,
  -1
)</f>
        <v>88</v>
      </c>
      <c r="P1938" s="2">
        <f>Cleaned[[#This Row],[Net Amount]] *  Cleaned[[#This Row],[FX_rates]]</f>
        <v>-63528.079999999994</v>
      </c>
    </row>
    <row r="1939" spans="1:16" x14ac:dyDescent="0.45">
      <c r="A1939" t="s">
        <v>1947</v>
      </c>
      <c r="B1939" s="1">
        <v>45307</v>
      </c>
      <c r="C1939" s="2" t="s">
        <v>2012</v>
      </c>
      <c r="D1939" t="s">
        <v>2017</v>
      </c>
      <c r="E1939">
        <v>1506.81</v>
      </c>
      <c r="F1939">
        <f>Cleaned[[#This Row],[Debit]] * Cleaned[[#This Row],[FX_rates]]</f>
        <v>155201.43</v>
      </c>
      <c r="G1939">
        <v>0</v>
      </c>
      <c r="H1939">
        <f>Cleaned[[#This Row],[Credit]] *  Cleaned[[#This Row],[FX_rates]]</f>
        <v>0</v>
      </c>
      <c r="I1939" t="s">
        <v>2023</v>
      </c>
      <c r="J1939" t="s">
        <v>2029</v>
      </c>
      <c r="K1939" t="s">
        <v>3968</v>
      </c>
      <c r="L1939" t="s">
        <v>4031</v>
      </c>
      <c r="M1939">
        <f>Cleaned[[#This Row],[Credit]]-Cleaned[[#This Row],[Debit]]</f>
        <v>-1506.81</v>
      </c>
      <c r="N1939" t="str">
        <f>_xlfn.XLOOKUP(Cleaned[[#This Row],[AccountName]], Account_Mapping!A:A, Account_Mapping!B:B,"Unmapped")</f>
        <v>Operating Expense</v>
      </c>
      <c r="O1939" cm="1">
        <f t="array" ref="O1939">_xlfn.XLOOKUP(
  1,
  (FX_Rates[Currency]=Cleaned[[#This Row],[Currency]])*
  (FX_Rates[RateDate]&lt;=Cleaned[[#This Row],[TxnDate]]),
  FX_Rates[Rate_To_INR],
  ,
  -1
)</f>
        <v>103</v>
      </c>
      <c r="P1939" s="2">
        <f>Cleaned[[#This Row],[Net Amount]] *  Cleaned[[#This Row],[FX_rates]]</f>
        <v>-155201.43</v>
      </c>
    </row>
    <row r="1940" spans="1:16" x14ac:dyDescent="0.45">
      <c r="A1940" t="s">
        <v>1948</v>
      </c>
      <c r="B1940" s="1">
        <v>45723</v>
      </c>
      <c r="C1940" s="2" t="s">
        <v>2014</v>
      </c>
      <c r="D1940" t="s">
        <v>2019</v>
      </c>
      <c r="E1940">
        <v>0</v>
      </c>
      <c r="F1940">
        <f>Cleaned[[#This Row],[Debit]] * Cleaned[[#This Row],[FX_rates]]</f>
        <v>0</v>
      </c>
      <c r="G1940">
        <v>3376.73</v>
      </c>
      <c r="H1940">
        <f>Cleaned[[#This Row],[Credit]] *  Cleaned[[#This Row],[FX_rates]]</f>
        <v>297152.24</v>
      </c>
      <c r="I1940" t="s">
        <v>2022</v>
      </c>
      <c r="J1940" t="s">
        <v>2028</v>
      </c>
      <c r="K1940" t="s">
        <v>3969</v>
      </c>
      <c r="L1940" t="s">
        <v>4032</v>
      </c>
      <c r="M1940">
        <f>Cleaned[[#This Row],[Credit]]-Cleaned[[#This Row],[Debit]]</f>
        <v>3376.73</v>
      </c>
      <c r="N1940" t="str">
        <f>_xlfn.XLOOKUP(Cleaned[[#This Row],[AccountName]], Account_Mapping!A:A, Account_Mapping!B:B,"Unmapped")</f>
        <v>Revenue</v>
      </c>
      <c r="O1940" cm="1">
        <f t="array" ref="O1940">_xlfn.XLOOKUP(
  1,
  (FX_Rates[Currency]=Cleaned[[#This Row],[Currency]])*
  (FX_Rates[RateDate]&lt;=Cleaned[[#This Row],[TxnDate]]),
  FX_Rates[Rate_To_INR],
  ,
  -1
)</f>
        <v>88</v>
      </c>
      <c r="P1940" s="2">
        <f>Cleaned[[#This Row],[Net Amount]] *  Cleaned[[#This Row],[FX_rates]]</f>
        <v>297152.24</v>
      </c>
    </row>
    <row r="1941" spans="1:16" x14ac:dyDescent="0.45">
      <c r="A1941" t="s">
        <v>1949</v>
      </c>
      <c r="B1941" s="1">
        <v>45265</v>
      </c>
      <c r="C1941" s="2" t="s">
        <v>2012</v>
      </c>
      <c r="D1941" t="s">
        <v>2017</v>
      </c>
      <c r="E1941">
        <v>1023.13</v>
      </c>
      <c r="F1941">
        <f>Cleaned[[#This Row],[Debit]] * Cleaned[[#This Row],[FX_rates]]</f>
        <v>105382.39</v>
      </c>
      <c r="G1941">
        <v>0</v>
      </c>
      <c r="H1941">
        <f>Cleaned[[#This Row],[Credit]] *  Cleaned[[#This Row],[FX_rates]]</f>
        <v>0</v>
      </c>
      <c r="I1941" t="s">
        <v>2023</v>
      </c>
      <c r="J1941" t="s">
        <v>2030</v>
      </c>
      <c r="K1941" t="s">
        <v>3970</v>
      </c>
      <c r="L1941" t="s">
        <v>4031</v>
      </c>
      <c r="M1941">
        <f>Cleaned[[#This Row],[Credit]]-Cleaned[[#This Row],[Debit]]</f>
        <v>-1023.13</v>
      </c>
      <c r="N1941" t="str">
        <f>_xlfn.XLOOKUP(Cleaned[[#This Row],[AccountName]], Account_Mapping!A:A, Account_Mapping!B:B,"Unmapped")</f>
        <v>Operating Expense</v>
      </c>
      <c r="O1941" cm="1">
        <f t="array" ref="O1941">_xlfn.XLOOKUP(
  1,
  (FX_Rates[Currency]=Cleaned[[#This Row],[Currency]])*
  (FX_Rates[RateDate]&lt;=Cleaned[[#This Row],[TxnDate]]),
  FX_Rates[Rate_To_INR],
  ,
  -1
)</f>
        <v>103</v>
      </c>
      <c r="P1941" s="2">
        <f>Cleaned[[#This Row],[Net Amount]] *  Cleaned[[#This Row],[FX_rates]]</f>
        <v>-105382.39</v>
      </c>
    </row>
    <row r="1942" spans="1:16" x14ac:dyDescent="0.45">
      <c r="A1942" t="s">
        <v>1950</v>
      </c>
      <c r="B1942" s="1">
        <v>45834</v>
      </c>
      <c r="C1942" s="2" t="s">
        <v>2012</v>
      </c>
      <c r="D1942" t="s">
        <v>2017</v>
      </c>
      <c r="E1942">
        <v>1885.62</v>
      </c>
      <c r="F1942">
        <f>Cleaned[[#This Row],[Debit]] * Cleaned[[#This Row],[FX_rates]]</f>
        <v>115022.81999999999</v>
      </c>
      <c r="G1942">
        <v>0</v>
      </c>
      <c r="H1942">
        <f>Cleaned[[#This Row],[Credit]] *  Cleaned[[#This Row],[FX_rates]]</f>
        <v>0</v>
      </c>
      <c r="I1942" t="s">
        <v>2024</v>
      </c>
      <c r="J1942" t="s">
        <v>2029</v>
      </c>
      <c r="K1942" t="s">
        <v>3971</v>
      </c>
      <c r="L1942" t="s">
        <v>4035</v>
      </c>
      <c r="M1942">
        <f>Cleaned[[#This Row],[Credit]]-Cleaned[[#This Row],[Debit]]</f>
        <v>-1885.62</v>
      </c>
      <c r="N1942" t="str">
        <f>_xlfn.XLOOKUP(Cleaned[[#This Row],[AccountName]], Account_Mapping!A:A, Account_Mapping!B:B,"Unmapped")</f>
        <v>Operating Expense</v>
      </c>
      <c r="O1942" cm="1">
        <f t="array" ref="O1942">_xlfn.XLOOKUP(
  1,
  (FX_Rates[Currency]=Cleaned[[#This Row],[Currency]])*
  (FX_Rates[RateDate]&lt;=Cleaned[[#This Row],[TxnDate]]),
  FX_Rates[Rate_To_INR],
  ,
  -1
)</f>
        <v>61</v>
      </c>
      <c r="P1942" s="2">
        <f>Cleaned[[#This Row],[Net Amount]] *  Cleaned[[#This Row],[FX_rates]]</f>
        <v>-115022.81999999999</v>
      </c>
    </row>
    <row r="1943" spans="1:16" x14ac:dyDescent="0.45">
      <c r="A1943" t="s">
        <v>1951</v>
      </c>
      <c r="B1943" s="1">
        <v>45421</v>
      </c>
      <c r="C1943" s="2" t="s">
        <v>2014</v>
      </c>
      <c r="D1943" t="s">
        <v>2019</v>
      </c>
      <c r="E1943">
        <v>0</v>
      </c>
      <c r="F1943">
        <f>Cleaned[[#This Row],[Debit]] * Cleaned[[#This Row],[FX_rates]]</f>
        <v>0</v>
      </c>
      <c r="G1943">
        <v>955.35</v>
      </c>
      <c r="H1943">
        <f>Cleaned[[#This Row],[Credit]] *  Cleaned[[#This Row],[FX_rates]]</f>
        <v>58276.35</v>
      </c>
      <c r="I1943" t="s">
        <v>2023</v>
      </c>
      <c r="J1943" t="s">
        <v>2029</v>
      </c>
      <c r="K1943" t="s">
        <v>3972</v>
      </c>
      <c r="L1943" t="s">
        <v>4035</v>
      </c>
      <c r="M1943">
        <f>Cleaned[[#This Row],[Credit]]-Cleaned[[#This Row],[Debit]]</f>
        <v>955.35</v>
      </c>
      <c r="N1943" t="str">
        <f>_xlfn.XLOOKUP(Cleaned[[#This Row],[AccountName]], Account_Mapping!A:A, Account_Mapping!B:B,"Unmapped")</f>
        <v>Revenue</v>
      </c>
      <c r="O1943" cm="1">
        <f t="array" ref="O1943">_xlfn.XLOOKUP(
  1,
  (FX_Rates[Currency]=Cleaned[[#This Row],[Currency]])*
  (FX_Rates[RateDate]&lt;=Cleaned[[#This Row],[TxnDate]]),
  FX_Rates[Rate_To_INR],
  ,
  -1
)</f>
        <v>61</v>
      </c>
      <c r="P1943" s="2">
        <f>Cleaned[[#This Row],[Net Amount]] *  Cleaned[[#This Row],[FX_rates]]</f>
        <v>58276.35</v>
      </c>
    </row>
    <row r="1944" spans="1:16" x14ac:dyDescent="0.45">
      <c r="A1944" t="s">
        <v>1952</v>
      </c>
      <c r="B1944" s="1">
        <v>44927</v>
      </c>
      <c r="C1944" s="2" t="s">
        <v>2013</v>
      </c>
      <c r="D1944" t="s">
        <v>2018</v>
      </c>
      <c r="E1944">
        <v>1735.63</v>
      </c>
      <c r="F1944">
        <f>Cleaned[[#This Row],[Debit]] * Cleaned[[#This Row],[FX_rates]]</f>
        <v>105873.43000000001</v>
      </c>
      <c r="G1944">
        <v>0</v>
      </c>
      <c r="H1944">
        <f>Cleaned[[#This Row],[Credit]] *  Cleaned[[#This Row],[FX_rates]]</f>
        <v>0</v>
      </c>
      <c r="I1944" t="s">
        <v>2020</v>
      </c>
      <c r="J1944" t="s">
        <v>2026</v>
      </c>
      <c r="K1944" t="s">
        <v>3973</v>
      </c>
      <c r="L1944" t="s">
        <v>4035</v>
      </c>
      <c r="M1944">
        <f>Cleaned[[#This Row],[Credit]]-Cleaned[[#This Row],[Debit]]</f>
        <v>-1735.63</v>
      </c>
      <c r="N1944" t="str">
        <f>_xlfn.XLOOKUP(Cleaned[[#This Row],[AccountName]], Account_Mapping!A:A, Account_Mapping!B:B,"Unmapped")</f>
        <v>Operating Expense</v>
      </c>
      <c r="O1944" cm="1">
        <f t="array" ref="O1944">_xlfn.XLOOKUP(
  1,
  (FX_Rates[Currency]=Cleaned[[#This Row],[Currency]])*
  (FX_Rates[RateDate]&lt;=Cleaned[[#This Row],[TxnDate]]),
  FX_Rates[Rate_To_INR],
  ,
  -1
)</f>
        <v>61</v>
      </c>
      <c r="P1944" s="2">
        <f>Cleaned[[#This Row],[Net Amount]] *  Cleaned[[#This Row],[FX_rates]]</f>
        <v>-105873.43000000001</v>
      </c>
    </row>
    <row r="1945" spans="1:16" x14ac:dyDescent="0.45">
      <c r="A1945" t="s">
        <v>1953</v>
      </c>
      <c r="B1945" s="1">
        <v>45131</v>
      </c>
      <c r="C1945" s="2" t="s">
        <v>2011</v>
      </c>
      <c r="D1945" t="s">
        <v>2016</v>
      </c>
      <c r="E1945">
        <v>1311.61</v>
      </c>
      <c r="F1945">
        <f>Cleaned[[#This Row],[Debit]] * Cleaned[[#This Row],[FX_rates]]</f>
        <v>73450.159999999989</v>
      </c>
      <c r="G1945">
        <v>0</v>
      </c>
      <c r="H1945">
        <f>Cleaned[[#This Row],[Credit]] *  Cleaned[[#This Row],[FX_rates]]</f>
        <v>0</v>
      </c>
      <c r="I1945" t="s">
        <v>2025</v>
      </c>
      <c r="J1945" t="s">
        <v>2030</v>
      </c>
      <c r="K1945" t="s">
        <v>3974</v>
      </c>
      <c r="L1945" t="s">
        <v>4033</v>
      </c>
      <c r="M1945">
        <f>Cleaned[[#This Row],[Credit]]-Cleaned[[#This Row],[Debit]]</f>
        <v>-1311.61</v>
      </c>
      <c r="N1945" t="str">
        <f>_xlfn.XLOOKUP(Cleaned[[#This Row],[AccountName]], Account_Mapping!A:A, Account_Mapping!B:B,"Unmapped")</f>
        <v>COGS</v>
      </c>
      <c r="O1945" cm="1">
        <f t="array" ref="O1945">_xlfn.XLOOKUP(
  1,
  (FX_Rates[Currency]=Cleaned[[#This Row],[Currency]])*
  (FX_Rates[RateDate]&lt;=Cleaned[[#This Row],[TxnDate]]),
  FX_Rates[Rate_To_INR],
  ,
  -1
)</f>
        <v>56</v>
      </c>
      <c r="P1945" s="2">
        <f>Cleaned[[#This Row],[Net Amount]] *  Cleaned[[#This Row],[FX_rates]]</f>
        <v>-73450.159999999989</v>
      </c>
    </row>
    <row r="1946" spans="1:16" x14ac:dyDescent="0.45">
      <c r="A1946" t="s">
        <v>1954</v>
      </c>
      <c r="B1946" s="1">
        <v>45256</v>
      </c>
      <c r="C1946" s="2" t="s">
        <v>2014</v>
      </c>
      <c r="D1946" t="s">
        <v>2019</v>
      </c>
      <c r="E1946">
        <v>0</v>
      </c>
      <c r="F1946">
        <f>Cleaned[[#This Row],[Debit]] * Cleaned[[#This Row],[FX_rates]]</f>
        <v>0</v>
      </c>
      <c r="G1946">
        <v>3124.09</v>
      </c>
      <c r="H1946">
        <f>Cleaned[[#This Row],[Credit]] *  Cleaned[[#This Row],[FX_rates]]</f>
        <v>256175.38</v>
      </c>
      <c r="I1946" t="s">
        <v>2025</v>
      </c>
      <c r="J1946" t="s">
        <v>2026</v>
      </c>
      <c r="K1946" t="s">
        <v>3975</v>
      </c>
      <c r="L1946" t="s">
        <v>4034</v>
      </c>
      <c r="M1946">
        <f>Cleaned[[#This Row],[Credit]]-Cleaned[[#This Row],[Debit]]</f>
        <v>3124.09</v>
      </c>
      <c r="N1946" t="str">
        <f>_xlfn.XLOOKUP(Cleaned[[#This Row],[AccountName]], Account_Mapping!A:A, Account_Mapping!B:B,"Unmapped")</f>
        <v>Revenue</v>
      </c>
      <c r="O1946" cm="1">
        <f t="array" ref="O1946">_xlfn.XLOOKUP(
  1,
  (FX_Rates[Currency]=Cleaned[[#This Row],[Currency]])*
  (FX_Rates[RateDate]&lt;=Cleaned[[#This Row],[TxnDate]]),
  FX_Rates[Rate_To_INR],
  ,
  -1
)</f>
        <v>82</v>
      </c>
      <c r="P1946" s="2">
        <f>Cleaned[[#This Row],[Net Amount]] *  Cleaned[[#This Row],[FX_rates]]</f>
        <v>256175.38</v>
      </c>
    </row>
    <row r="1947" spans="1:16" x14ac:dyDescent="0.45">
      <c r="A1947" t="s">
        <v>1955</v>
      </c>
      <c r="B1947" s="1">
        <v>45505</v>
      </c>
      <c r="C1947" s="2" t="s">
        <v>2013</v>
      </c>
      <c r="D1947" t="s">
        <v>2018</v>
      </c>
      <c r="E1947">
        <v>1453.46</v>
      </c>
      <c r="F1947">
        <f>Cleaned[[#This Row],[Debit]] * Cleaned[[#This Row],[FX_rates]]</f>
        <v>119183.72</v>
      </c>
      <c r="G1947">
        <v>0</v>
      </c>
      <c r="H1947">
        <f>Cleaned[[#This Row],[Credit]] *  Cleaned[[#This Row],[FX_rates]]</f>
        <v>0</v>
      </c>
      <c r="I1947" t="s">
        <v>2024</v>
      </c>
      <c r="J1947" t="s">
        <v>2028</v>
      </c>
      <c r="K1947" t="s">
        <v>3976</v>
      </c>
      <c r="L1947" t="s">
        <v>4034</v>
      </c>
      <c r="M1947">
        <f>Cleaned[[#This Row],[Credit]]-Cleaned[[#This Row],[Debit]]</f>
        <v>-1453.46</v>
      </c>
      <c r="N1947" t="str">
        <f>_xlfn.XLOOKUP(Cleaned[[#This Row],[AccountName]], Account_Mapping!A:A, Account_Mapping!B:B,"Unmapped")</f>
        <v>Operating Expense</v>
      </c>
      <c r="O1947" cm="1">
        <f t="array" ref="O1947">_xlfn.XLOOKUP(
  1,
  (FX_Rates[Currency]=Cleaned[[#This Row],[Currency]])*
  (FX_Rates[RateDate]&lt;=Cleaned[[#This Row],[TxnDate]]),
  FX_Rates[Rate_To_INR],
  ,
  -1
)</f>
        <v>82</v>
      </c>
      <c r="P1947" s="2">
        <f>Cleaned[[#This Row],[Net Amount]] *  Cleaned[[#This Row],[FX_rates]]</f>
        <v>-119183.72</v>
      </c>
    </row>
    <row r="1948" spans="1:16" x14ac:dyDescent="0.45">
      <c r="A1948" t="s">
        <v>1956</v>
      </c>
      <c r="B1948" s="1">
        <v>45018</v>
      </c>
      <c r="C1948" s="2" t="s">
        <v>2012</v>
      </c>
      <c r="D1948" t="s">
        <v>2017</v>
      </c>
      <c r="E1948">
        <v>502.87</v>
      </c>
      <c r="F1948">
        <f>Cleaned[[#This Row],[Debit]] * Cleaned[[#This Row],[FX_rates]]</f>
        <v>30675.07</v>
      </c>
      <c r="G1948">
        <v>0</v>
      </c>
      <c r="H1948">
        <f>Cleaned[[#This Row],[Credit]] *  Cleaned[[#This Row],[FX_rates]]</f>
        <v>0</v>
      </c>
      <c r="I1948" t="s">
        <v>2021</v>
      </c>
      <c r="J1948" t="s">
        <v>2026</v>
      </c>
      <c r="K1948" t="s">
        <v>3977</v>
      </c>
      <c r="L1948" t="s">
        <v>4035</v>
      </c>
      <c r="M1948">
        <f>Cleaned[[#This Row],[Credit]]-Cleaned[[#This Row],[Debit]]</f>
        <v>-502.87</v>
      </c>
      <c r="N1948" t="str">
        <f>_xlfn.XLOOKUP(Cleaned[[#This Row],[AccountName]], Account_Mapping!A:A, Account_Mapping!B:B,"Unmapped")</f>
        <v>Operating Expense</v>
      </c>
      <c r="O1948" cm="1">
        <f t="array" ref="O1948">_xlfn.XLOOKUP(
  1,
  (FX_Rates[Currency]=Cleaned[[#This Row],[Currency]])*
  (FX_Rates[RateDate]&lt;=Cleaned[[#This Row],[TxnDate]]),
  FX_Rates[Rate_To_INR],
  ,
  -1
)</f>
        <v>61</v>
      </c>
      <c r="P1948" s="2">
        <f>Cleaned[[#This Row],[Net Amount]] *  Cleaned[[#This Row],[FX_rates]]</f>
        <v>-30675.07</v>
      </c>
    </row>
    <row r="1949" spans="1:16" x14ac:dyDescent="0.45">
      <c r="A1949" t="s">
        <v>1957</v>
      </c>
      <c r="B1949" s="1">
        <v>45161</v>
      </c>
      <c r="C1949" s="2" t="s">
        <v>2012</v>
      </c>
      <c r="D1949" t="s">
        <v>2017</v>
      </c>
      <c r="E1949">
        <v>845.04</v>
      </c>
      <c r="F1949">
        <f>Cleaned[[#This Row],[Debit]] * Cleaned[[#This Row],[FX_rates]]</f>
        <v>74363.51999999999</v>
      </c>
      <c r="G1949">
        <v>0</v>
      </c>
      <c r="H1949">
        <f>Cleaned[[#This Row],[Credit]] *  Cleaned[[#This Row],[FX_rates]]</f>
        <v>0</v>
      </c>
      <c r="I1949" t="s">
        <v>2023</v>
      </c>
      <c r="J1949" t="s">
        <v>2027</v>
      </c>
      <c r="K1949" t="s">
        <v>3978</v>
      </c>
      <c r="L1949" t="s">
        <v>4032</v>
      </c>
      <c r="M1949">
        <f>Cleaned[[#This Row],[Credit]]-Cleaned[[#This Row],[Debit]]</f>
        <v>-845.04</v>
      </c>
      <c r="N1949" t="str">
        <f>_xlfn.XLOOKUP(Cleaned[[#This Row],[AccountName]], Account_Mapping!A:A, Account_Mapping!B:B,"Unmapped")</f>
        <v>Operating Expense</v>
      </c>
      <c r="O1949" cm="1">
        <f t="array" ref="O1949">_xlfn.XLOOKUP(
  1,
  (FX_Rates[Currency]=Cleaned[[#This Row],[Currency]])*
  (FX_Rates[RateDate]&lt;=Cleaned[[#This Row],[TxnDate]]),
  FX_Rates[Rate_To_INR],
  ,
  -1
)</f>
        <v>88</v>
      </c>
      <c r="P1949" s="2">
        <f>Cleaned[[#This Row],[Net Amount]] *  Cleaned[[#This Row],[FX_rates]]</f>
        <v>-74363.51999999999</v>
      </c>
    </row>
    <row r="1950" spans="1:16" x14ac:dyDescent="0.45">
      <c r="A1950" t="s">
        <v>1958</v>
      </c>
      <c r="B1950" s="1">
        <v>45657</v>
      </c>
      <c r="C1950" s="2" t="s">
        <v>2014</v>
      </c>
      <c r="D1950" t="s">
        <v>2019</v>
      </c>
      <c r="E1950">
        <v>0</v>
      </c>
      <c r="F1950">
        <f>Cleaned[[#This Row],[Debit]] * Cleaned[[#This Row],[FX_rates]]</f>
        <v>0</v>
      </c>
      <c r="G1950">
        <v>2650.78</v>
      </c>
      <c r="H1950">
        <f>Cleaned[[#This Row],[Credit]] *  Cleaned[[#This Row],[FX_rates]]</f>
        <v>148443.68000000002</v>
      </c>
      <c r="I1950" t="s">
        <v>2024</v>
      </c>
      <c r="J1950" t="s">
        <v>2028</v>
      </c>
      <c r="K1950" t="s">
        <v>3979</v>
      </c>
      <c r="L1950" t="s">
        <v>4033</v>
      </c>
      <c r="M1950">
        <f>Cleaned[[#This Row],[Credit]]-Cleaned[[#This Row],[Debit]]</f>
        <v>2650.78</v>
      </c>
      <c r="N1950" t="str">
        <f>_xlfn.XLOOKUP(Cleaned[[#This Row],[AccountName]], Account_Mapping!A:A, Account_Mapping!B:B,"Unmapped")</f>
        <v>Revenue</v>
      </c>
      <c r="O1950" cm="1">
        <f t="array" ref="O1950">_xlfn.XLOOKUP(
  1,
  (FX_Rates[Currency]=Cleaned[[#This Row],[Currency]])*
  (FX_Rates[RateDate]&lt;=Cleaned[[#This Row],[TxnDate]]),
  FX_Rates[Rate_To_INR],
  ,
  -1
)</f>
        <v>56</v>
      </c>
      <c r="P1950" s="2">
        <f>Cleaned[[#This Row],[Net Amount]] *  Cleaned[[#This Row],[FX_rates]]</f>
        <v>148443.68000000002</v>
      </c>
    </row>
    <row r="1951" spans="1:16" x14ac:dyDescent="0.45">
      <c r="A1951" t="s">
        <v>1959</v>
      </c>
      <c r="B1951" s="1">
        <v>45663</v>
      </c>
      <c r="C1951" s="2" t="s">
        <v>2010</v>
      </c>
      <c r="D1951" t="s">
        <v>2015</v>
      </c>
      <c r="E1951">
        <v>0</v>
      </c>
      <c r="F1951">
        <f>Cleaned[[#This Row],[Debit]] * Cleaned[[#This Row],[FX_rates]]</f>
        <v>0</v>
      </c>
      <c r="G1951">
        <v>3701</v>
      </c>
      <c r="H1951">
        <f>Cleaned[[#This Row],[Credit]] *  Cleaned[[#This Row],[FX_rates]]</f>
        <v>207256</v>
      </c>
      <c r="I1951" t="s">
        <v>2021</v>
      </c>
      <c r="J1951" t="s">
        <v>2030</v>
      </c>
      <c r="K1951" t="s">
        <v>3980</v>
      </c>
      <c r="L1951" t="s">
        <v>4033</v>
      </c>
      <c r="M1951">
        <f>Cleaned[[#This Row],[Credit]]-Cleaned[[#This Row],[Debit]]</f>
        <v>3701</v>
      </c>
      <c r="N1951" t="str">
        <f>_xlfn.XLOOKUP(Cleaned[[#This Row],[AccountName]], Account_Mapping!A:A, Account_Mapping!B:B,"Unmapped")</f>
        <v>Revenue</v>
      </c>
      <c r="O1951" cm="1">
        <f t="array" ref="O1951">_xlfn.XLOOKUP(
  1,
  (FX_Rates[Currency]=Cleaned[[#This Row],[Currency]])*
  (FX_Rates[RateDate]&lt;=Cleaned[[#This Row],[TxnDate]]),
  FX_Rates[Rate_To_INR],
  ,
  -1
)</f>
        <v>56</v>
      </c>
      <c r="P1951" s="2">
        <f>Cleaned[[#This Row],[Net Amount]] *  Cleaned[[#This Row],[FX_rates]]</f>
        <v>207256</v>
      </c>
    </row>
    <row r="1952" spans="1:16" x14ac:dyDescent="0.45">
      <c r="A1952" t="s">
        <v>1960</v>
      </c>
      <c r="B1952" s="1">
        <v>45525</v>
      </c>
      <c r="C1952" s="2" t="s">
        <v>2012</v>
      </c>
      <c r="D1952" t="s">
        <v>2017</v>
      </c>
      <c r="E1952">
        <v>866.51</v>
      </c>
      <c r="F1952">
        <f>Cleaned[[#This Row],[Debit]] * Cleaned[[#This Row],[FX_rates]]</f>
        <v>52857.11</v>
      </c>
      <c r="G1952">
        <v>0</v>
      </c>
      <c r="H1952">
        <f>Cleaned[[#This Row],[Credit]] *  Cleaned[[#This Row],[FX_rates]]</f>
        <v>0</v>
      </c>
      <c r="I1952" t="s">
        <v>2022</v>
      </c>
      <c r="J1952" t="s">
        <v>2029</v>
      </c>
      <c r="K1952" t="s">
        <v>3981</v>
      </c>
      <c r="L1952" t="s">
        <v>4035</v>
      </c>
      <c r="M1952">
        <f>Cleaned[[#This Row],[Credit]]-Cleaned[[#This Row],[Debit]]</f>
        <v>-866.51</v>
      </c>
      <c r="N1952" t="str">
        <f>_xlfn.XLOOKUP(Cleaned[[#This Row],[AccountName]], Account_Mapping!A:A, Account_Mapping!B:B,"Unmapped")</f>
        <v>Operating Expense</v>
      </c>
      <c r="O1952" cm="1">
        <f t="array" ref="O1952">_xlfn.XLOOKUP(
  1,
  (FX_Rates[Currency]=Cleaned[[#This Row],[Currency]])*
  (FX_Rates[RateDate]&lt;=Cleaned[[#This Row],[TxnDate]]),
  FX_Rates[Rate_To_INR],
  ,
  -1
)</f>
        <v>61</v>
      </c>
      <c r="P1952" s="2">
        <f>Cleaned[[#This Row],[Net Amount]] *  Cleaned[[#This Row],[FX_rates]]</f>
        <v>-52857.11</v>
      </c>
    </row>
    <row r="1953" spans="1:16" x14ac:dyDescent="0.45">
      <c r="A1953" t="s">
        <v>1961</v>
      </c>
      <c r="B1953" s="1">
        <v>45387</v>
      </c>
      <c r="C1953" s="2" t="s">
        <v>2011</v>
      </c>
      <c r="D1953" t="s">
        <v>2016</v>
      </c>
      <c r="E1953">
        <v>1517.29</v>
      </c>
      <c r="F1953">
        <f>Cleaned[[#This Row],[Debit]] * Cleaned[[#This Row],[FX_rates]]</f>
        <v>133521.51999999999</v>
      </c>
      <c r="G1953">
        <v>0</v>
      </c>
      <c r="H1953">
        <f>Cleaned[[#This Row],[Credit]] *  Cleaned[[#This Row],[FX_rates]]</f>
        <v>0</v>
      </c>
      <c r="I1953" t="s">
        <v>2022</v>
      </c>
      <c r="J1953" t="s">
        <v>2030</v>
      </c>
      <c r="K1953" t="s">
        <v>3982</v>
      </c>
      <c r="L1953" t="s">
        <v>4032</v>
      </c>
      <c r="M1953">
        <f>Cleaned[[#This Row],[Credit]]-Cleaned[[#This Row],[Debit]]</f>
        <v>-1517.29</v>
      </c>
      <c r="N1953" t="str">
        <f>_xlfn.XLOOKUP(Cleaned[[#This Row],[AccountName]], Account_Mapping!A:A, Account_Mapping!B:B,"Unmapped")</f>
        <v>COGS</v>
      </c>
      <c r="O1953" cm="1">
        <f t="array" ref="O1953">_xlfn.XLOOKUP(
  1,
  (FX_Rates[Currency]=Cleaned[[#This Row],[Currency]])*
  (FX_Rates[RateDate]&lt;=Cleaned[[#This Row],[TxnDate]]),
  FX_Rates[Rate_To_INR],
  ,
  -1
)</f>
        <v>88</v>
      </c>
      <c r="P1953" s="2">
        <f>Cleaned[[#This Row],[Net Amount]] *  Cleaned[[#This Row],[FX_rates]]</f>
        <v>-133521.51999999999</v>
      </c>
    </row>
    <row r="1954" spans="1:16" x14ac:dyDescent="0.45">
      <c r="A1954" t="s">
        <v>1962</v>
      </c>
      <c r="B1954" s="1">
        <v>45662</v>
      </c>
      <c r="C1954" s="2" t="s">
        <v>2011</v>
      </c>
      <c r="D1954" t="s">
        <v>2016</v>
      </c>
      <c r="E1954">
        <v>58.18</v>
      </c>
      <c r="F1954">
        <f>Cleaned[[#This Row],[Debit]] * Cleaned[[#This Row],[FX_rates]]</f>
        <v>5119.84</v>
      </c>
      <c r="G1954">
        <v>0</v>
      </c>
      <c r="H1954">
        <f>Cleaned[[#This Row],[Credit]] *  Cleaned[[#This Row],[FX_rates]]</f>
        <v>0</v>
      </c>
      <c r="I1954" t="s">
        <v>2020</v>
      </c>
      <c r="J1954" t="s">
        <v>2029</v>
      </c>
      <c r="K1954" t="s">
        <v>3983</v>
      </c>
      <c r="L1954" t="s">
        <v>4032</v>
      </c>
      <c r="M1954">
        <f>Cleaned[[#This Row],[Credit]]-Cleaned[[#This Row],[Debit]]</f>
        <v>-58.18</v>
      </c>
      <c r="N1954" t="str">
        <f>_xlfn.XLOOKUP(Cleaned[[#This Row],[AccountName]], Account_Mapping!A:A, Account_Mapping!B:B,"Unmapped")</f>
        <v>COGS</v>
      </c>
      <c r="O1954" cm="1">
        <f t="array" ref="O1954">_xlfn.XLOOKUP(
  1,
  (FX_Rates[Currency]=Cleaned[[#This Row],[Currency]])*
  (FX_Rates[RateDate]&lt;=Cleaned[[#This Row],[TxnDate]]),
  FX_Rates[Rate_To_INR],
  ,
  -1
)</f>
        <v>88</v>
      </c>
      <c r="P1954" s="2">
        <f>Cleaned[[#This Row],[Net Amount]] *  Cleaned[[#This Row],[FX_rates]]</f>
        <v>-5119.84</v>
      </c>
    </row>
    <row r="1955" spans="1:16" x14ac:dyDescent="0.45">
      <c r="A1955" t="s">
        <v>1963</v>
      </c>
      <c r="B1955" s="1">
        <v>45649</v>
      </c>
      <c r="C1955" s="2" t="s">
        <v>2010</v>
      </c>
      <c r="D1955" t="s">
        <v>2015</v>
      </c>
      <c r="E1955">
        <v>0</v>
      </c>
      <c r="F1955">
        <f>Cleaned[[#This Row],[Debit]] * Cleaned[[#This Row],[FX_rates]]</f>
        <v>0</v>
      </c>
      <c r="G1955">
        <v>944.88</v>
      </c>
      <c r="H1955">
        <f>Cleaned[[#This Row],[Credit]] *  Cleaned[[#This Row],[FX_rates]]</f>
        <v>52913.279999999999</v>
      </c>
      <c r="I1955" t="s">
        <v>2023</v>
      </c>
      <c r="J1955" t="s">
        <v>2027</v>
      </c>
      <c r="K1955" t="s">
        <v>3984</v>
      </c>
      <c r="L1955" t="s">
        <v>4033</v>
      </c>
      <c r="M1955">
        <f>Cleaned[[#This Row],[Credit]]-Cleaned[[#This Row],[Debit]]</f>
        <v>944.88</v>
      </c>
      <c r="N1955" t="str">
        <f>_xlfn.XLOOKUP(Cleaned[[#This Row],[AccountName]], Account_Mapping!A:A, Account_Mapping!B:B,"Unmapped")</f>
        <v>Revenue</v>
      </c>
      <c r="O1955" cm="1">
        <f t="array" ref="O1955">_xlfn.XLOOKUP(
  1,
  (FX_Rates[Currency]=Cleaned[[#This Row],[Currency]])*
  (FX_Rates[RateDate]&lt;=Cleaned[[#This Row],[TxnDate]]),
  FX_Rates[Rate_To_INR],
  ,
  -1
)</f>
        <v>56</v>
      </c>
      <c r="P1955" s="2">
        <f>Cleaned[[#This Row],[Net Amount]] *  Cleaned[[#This Row],[FX_rates]]</f>
        <v>52913.279999999999</v>
      </c>
    </row>
    <row r="1956" spans="1:16" x14ac:dyDescent="0.45">
      <c r="A1956" t="s">
        <v>1964</v>
      </c>
      <c r="B1956" s="1">
        <v>45671</v>
      </c>
      <c r="C1956" s="2" t="s">
        <v>2012</v>
      </c>
      <c r="D1956" t="s">
        <v>2017</v>
      </c>
      <c r="E1956">
        <v>394.98</v>
      </c>
      <c r="F1956">
        <f>Cleaned[[#This Row],[Debit]] * Cleaned[[#This Row],[FX_rates]]</f>
        <v>24093.780000000002</v>
      </c>
      <c r="G1956">
        <v>0</v>
      </c>
      <c r="H1956">
        <f>Cleaned[[#This Row],[Credit]] *  Cleaned[[#This Row],[FX_rates]]</f>
        <v>0</v>
      </c>
      <c r="I1956" t="s">
        <v>2021</v>
      </c>
      <c r="J1956" t="s">
        <v>2027</v>
      </c>
      <c r="K1956" t="s">
        <v>3985</v>
      </c>
      <c r="L1956" t="s">
        <v>4035</v>
      </c>
      <c r="M1956">
        <f>Cleaned[[#This Row],[Credit]]-Cleaned[[#This Row],[Debit]]</f>
        <v>-394.98</v>
      </c>
      <c r="N1956" t="str">
        <f>_xlfn.XLOOKUP(Cleaned[[#This Row],[AccountName]], Account_Mapping!A:A, Account_Mapping!B:B,"Unmapped")</f>
        <v>Operating Expense</v>
      </c>
      <c r="O1956" cm="1">
        <f t="array" ref="O1956">_xlfn.XLOOKUP(
  1,
  (FX_Rates[Currency]=Cleaned[[#This Row],[Currency]])*
  (FX_Rates[RateDate]&lt;=Cleaned[[#This Row],[TxnDate]]),
  FX_Rates[Rate_To_INR],
  ,
  -1
)</f>
        <v>61</v>
      </c>
      <c r="P1956" s="2">
        <f>Cleaned[[#This Row],[Net Amount]] *  Cleaned[[#This Row],[FX_rates]]</f>
        <v>-24093.780000000002</v>
      </c>
    </row>
    <row r="1957" spans="1:16" x14ac:dyDescent="0.45">
      <c r="A1957" t="s">
        <v>1965</v>
      </c>
      <c r="B1957" s="1">
        <v>45082</v>
      </c>
      <c r="C1957" s="2" t="s">
        <v>2011</v>
      </c>
      <c r="D1957" t="s">
        <v>2016</v>
      </c>
      <c r="E1957">
        <v>1322.13</v>
      </c>
      <c r="F1957">
        <f>Cleaned[[#This Row],[Debit]] * Cleaned[[#This Row],[FX_rates]]</f>
        <v>80649.930000000008</v>
      </c>
      <c r="G1957">
        <v>0</v>
      </c>
      <c r="H1957">
        <f>Cleaned[[#This Row],[Credit]] *  Cleaned[[#This Row],[FX_rates]]</f>
        <v>0</v>
      </c>
      <c r="I1957" t="s">
        <v>2022</v>
      </c>
      <c r="J1957" t="s">
        <v>2029</v>
      </c>
      <c r="K1957" t="s">
        <v>3986</v>
      </c>
      <c r="L1957" t="s">
        <v>4035</v>
      </c>
      <c r="M1957">
        <f>Cleaned[[#This Row],[Credit]]-Cleaned[[#This Row],[Debit]]</f>
        <v>-1322.13</v>
      </c>
      <c r="N1957" t="str">
        <f>_xlfn.XLOOKUP(Cleaned[[#This Row],[AccountName]], Account_Mapping!A:A, Account_Mapping!B:B,"Unmapped")</f>
        <v>COGS</v>
      </c>
      <c r="O1957" cm="1">
        <f t="array" ref="O1957">_xlfn.XLOOKUP(
  1,
  (FX_Rates[Currency]=Cleaned[[#This Row],[Currency]])*
  (FX_Rates[RateDate]&lt;=Cleaned[[#This Row],[TxnDate]]),
  FX_Rates[Rate_To_INR],
  ,
  -1
)</f>
        <v>61</v>
      </c>
      <c r="P1957" s="2">
        <f>Cleaned[[#This Row],[Net Amount]] *  Cleaned[[#This Row],[FX_rates]]</f>
        <v>-80649.930000000008</v>
      </c>
    </row>
    <row r="1958" spans="1:16" x14ac:dyDescent="0.45">
      <c r="A1958" t="s">
        <v>1966</v>
      </c>
      <c r="B1958" s="1">
        <v>45447</v>
      </c>
      <c r="C1958" s="2" t="s">
        <v>2013</v>
      </c>
      <c r="D1958" t="s">
        <v>2018</v>
      </c>
      <c r="E1958">
        <v>780.7</v>
      </c>
      <c r="F1958">
        <f>Cleaned[[#This Row],[Debit]] * Cleaned[[#This Row],[FX_rates]]</f>
        <v>64017.4</v>
      </c>
      <c r="G1958">
        <v>0</v>
      </c>
      <c r="H1958">
        <f>Cleaned[[#This Row],[Credit]] *  Cleaned[[#This Row],[FX_rates]]</f>
        <v>0</v>
      </c>
      <c r="I1958" t="s">
        <v>2022</v>
      </c>
      <c r="J1958" t="s">
        <v>2027</v>
      </c>
      <c r="K1958" t="s">
        <v>3987</v>
      </c>
      <c r="L1958" t="s">
        <v>4034</v>
      </c>
      <c r="M1958">
        <f>Cleaned[[#This Row],[Credit]]-Cleaned[[#This Row],[Debit]]</f>
        <v>-780.7</v>
      </c>
      <c r="N1958" t="str">
        <f>_xlfn.XLOOKUP(Cleaned[[#This Row],[AccountName]], Account_Mapping!A:A, Account_Mapping!B:B,"Unmapped")</f>
        <v>Operating Expense</v>
      </c>
      <c r="O1958" cm="1">
        <f t="array" ref="O1958">_xlfn.XLOOKUP(
  1,
  (FX_Rates[Currency]=Cleaned[[#This Row],[Currency]])*
  (FX_Rates[RateDate]&lt;=Cleaned[[#This Row],[TxnDate]]),
  FX_Rates[Rate_To_INR],
  ,
  -1
)</f>
        <v>82</v>
      </c>
      <c r="P1958" s="2">
        <f>Cleaned[[#This Row],[Net Amount]] *  Cleaned[[#This Row],[FX_rates]]</f>
        <v>-64017.4</v>
      </c>
    </row>
    <row r="1959" spans="1:16" x14ac:dyDescent="0.45">
      <c r="A1959" t="s">
        <v>1967</v>
      </c>
      <c r="B1959" s="1">
        <v>45695</v>
      </c>
      <c r="C1959" s="2" t="s">
        <v>2011</v>
      </c>
      <c r="D1959" t="s">
        <v>2016</v>
      </c>
      <c r="E1959">
        <v>1051.1600000000001</v>
      </c>
      <c r="F1959">
        <f>Cleaned[[#This Row],[Debit]] * Cleaned[[#This Row],[FX_rates]]</f>
        <v>108269.48000000001</v>
      </c>
      <c r="G1959">
        <v>0</v>
      </c>
      <c r="H1959">
        <f>Cleaned[[#This Row],[Credit]] *  Cleaned[[#This Row],[FX_rates]]</f>
        <v>0</v>
      </c>
      <c r="I1959" t="s">
        <v>2020</v>
      </c>
      <c r="J1959" t="s">
        <v>2027</v>
      </c>
      <c r="K1959" t="s">
        <v>3988</v>
      </c>
      <c r="L1959" t="s">
        <v>4031</v>
      </c>
      <c r="M1959">
        <f>Cleaned[[#This Row],[Credit]]-Cleaned[[#This Row],[Debit]]</f>
        <v>-1051.1600000000001</v>
      </c>
      <c r="N1959" t="str">
        <f>_xlfn.XLOOKUP(Cleaned[[#This Row],[AccountName]], Account_Mapping!A:A, Account_Mapping!B:B,"Unmapped")</f>
        <v>COGS</v>
      </c>
      <c r="O1959" cm="1">
        <f t="array" ref="O1959">_xlfn.XLOOKUP(
  1,
  (FX_Rates[Currency]=Cleaned[[#This Row],[Currency]])*
  (FX_Rates[RateDate]&lt;=Cleaned[[#This Row],[TxnDate]]),
  FX_Rates[Rate_To_INR],
  ,
  -1
)</f>
        <v>103</v>
      </c>
      <c r="P1959" s="2">
        <f>Cleaned[[#This Row],[Net Amount]] *  Cleaned[[#This Row],[FX_rates]]</f>
        <v>-108269.48000000001</v>
      </c>
    </row>
    <row r="1960" spans="1:16" x14ac:dyDescent="0.45">
      <c r="A1960" t="s">
        <v>1968</v>
      </c>
      <c r="B1960" s="1">
        <v>45243</v>
      </c>
      <c r="C1960" s="2" t="s">
        <v>2014</v>
      </c>
      <c r="D1960" t="s">
        <v>2019</v>
      </c>
      <c r="E1960">
        <v>0</v>
      </c>
      <c r="F1960">
        <f>Cleaned[[#This Row],[Debit]] * Cleaned[[#This Row],[FX_rates]]</f>
        <v>0</v>
      </c>
      <c r="G1960">
        <v>3466.47</v>
      </c>
      <c r="H1960">
        <f>Cleaned[[#This Row],[Credit]] *  Cleaned[[#This Row],[FX_rates]]</f>
        <v>194122.31999999998</v>
      </c>
      <c r="I1960" t="s">
        <v>2024</v>
      </c>
      <c r="J1960" t="s">
        <v>2028</v>
      </c>
      <c r="K1960" t="s">
        <v>3989</v>
      </c>
      <c r="L1960" t="s">
        <v>4033</v>
      </c>
      <c r="M1960">
        <f>Cleaned[[#This Row],[Credit]]-Cleaned[[#This Row],[Debit]]</f>
        <v>3466.47</v>
      </c>
      <c r="N1960" t="str">
        <f>_xlfn.XLOOKUP(Cleaned[[#This Row],[AccountName]], Account_Mapping!A:A, Account_Mapping!B:B,"Unmapped")</f>
        <v>Revenue</v>
      </c>
      <c r="O1960" cm="1">
        <f t="array" ref="O1960">_xlfn.XLOOKUP(
  1,
  (FX_Rates[Currency]=Cleaned[[#This Row],[Currency]])*
  (FX_Rates[RateDate]&lt;=Cleaned[[#This Row],[TxnDate]]),
  FX_Rates[Rate_To_INR],
  ,
  -1
)</f>
        <v>56</v>
      </c>
      <c r="P1960" s="2">
        <f>Cleaned[[#This Row],[Net Amount]] *  Cleaned[[#This Row],[FX_rates]]</f>
        <v>194122.31999999998</v>
      </c>
    </row>
    <row r="1961" spans="1:16" x14ac:dyDescent="0.45">
      <c r="A1961" t="s">
        <v>1969</v>
      </c>
      <c r="B1961" s="1">
        <v>45306</v>
      </c>
      <c r="C1961" s="2" t="s">
        <v>2010</v>
      </c>
      <c r="D1961" t="s">
        <v>2015</v>
      </c>
      <c r="E1961">
        <v>0</v>
      </c>
      <c r="F1961">
        <f>Cleaned[[#This Row],[Debit]] * Cleaned[[#This Row],[FX_rates]]</f>
        <v>0</v>
      </c>
      <c r="G1961">
        <v>2900.85</v>
      </c>
      <c r="H1961">
        <f>Cleaned[[#This Row],[Credit]] *  Cleaned[[#This Row],[FX_rates]]</f>
        <v>176951.85</v>
      </c>
      <c r="I1961" t="s">
        <v>2023</v>
      </c>
      <c r="J1961" t="s">
        <v>2029</v>
      </c>
      <c r="K1961" t="s">
        <v>3990</v>
      </c>
      <c r="L1961" t="s">
        <v>4035</v>
      </c>
      <c r="M1961">
        <f>Cleaned[[#This Row],[Credit]]-Cleaned[[#This Row],[Debit]]</f>
        <v>2900.85</v>
      </c>
      <c r="N1961" t="str">
        <f>_xlfn.XLOOKUP(Cleaned[[#This Row],[AccountName]], Account_Mapping!A:A, Account_Mapping!B:B,"Unmapped")</f>
        <v>Revenue</v>
      </c>
      <c r="O1961" cm="1">
        <f t="array" ref="O1961">_xlfn.XLOOKUP(
  1,
  (FX_Rates[Currency]=Cleaned[[#This Row],[Currency]])*
  (FX_Rates[RateDate]&lt;=Cleaned[[#This Row],[TxnDate]]),
  FX_Rates[Rate_To_INR],
  ,
  -1
)</f>
        <v>61</v>
      </c>
      <c r="P1961" s="2">
        <f>Cleaned[[#This Row],[Net Amount]] *  Cleaned[[#This Row],[FX_rates]]</f>
        <v>176951.85</v>
      </c>
    </row>
    <row r="1962" spans="1:16" x14ac:dyDescent="0.45">
      <c r="A1962" t="s">
        <v>1970</v>
      </c>
      <c r="B1962" s="1">
        <v>45641</v>
      </c>
      <c r="C1962" s="2" t="s">
        <v>2013</v>
      </c>
      <c r="D1962" t="s">
        <v>2018</v>
      </c>
      <c r="E1962">
        <v>852.05</v>
      </c>
      <c r="F1962">
        <f>Cleaned[[#This Row],[Debit]] * Cleaned[[#This Row],[FX_rates]]</f>
        <v>51975.049999999996</v>
      </c>
      <c r="G1962">
        <v>0</v>
      </c>
      <c r="H1962">
        <f>Cleaned[[#This Row],[Credit]] *  Cleaned[[#This Row],[FX_rates]]</f>
        <v>0</v>
      </c>
      <c r="I1962" t="s">
        <v>2022</v>
      </c>
      <c r="J1962" t="s">
        <v>2027</v>
      </c>
      <c r="K1962" t="s">
        <v>3991</v>
      </c>
      <c r="L1962" t="s">
        <v>4035</v>
      </c>
      <c r="M1962">
        <f>Cleaned[[#This Row],[Credit]]-Cleaned[[#This Row],[Debit]]</f>
        <v>-852.05</v>
      </c>
      <c r="N1962" t="str">
        <f>_xlfn.XLOOKUP(Cleaned[[#This Row],[AccountName]], Account_Mapping!A:A, Account_Mapping!B:B,"Unmapped")</f>
        <v>Operating Expense</v>
      </c>
      <c r="O1962" cm="1">
        <f t="array" ref="O1962">_xlfn.XLOOKUP(
  1,
  (FX_Rates[Currency]=Cleaned[[#This Row],[Currency]])*
  (FX_Rates[RateDate]&lt;=Cleaned[[#This Row],[TxnDate]]),
  FX_Rates[Rate_To_INR],
  ,
  -1
)</f>
        <v>61</v>
      </c>
      <c r="P1962" s="2">
        <f>Cleaned[[#This Row],[Net Amount]] *  Cleaned[[#This Row],[FX_rates]]</f>
        <v>-51975.049999999996</v>
      </c>
    </row>
    <row r="1963" spans="1:16" x14ac:dyDescent="0.45">
      <c r="A1963" t="s">
        <v>1971</v>
      </c>
      <c r="B1963" s="1">
        <v>45050</v>
      </c>
      <c r="C1963" s="2" t="s">
        <v>2012</v>
      </c>
      <c r="D1963" t="s">
        <v>2017</v>
      </c>
      <c r="E1963">
        <v>1137.76</v>
      </c>
      <c r="F1963">
        <f>Cleaned[[#This Row],[Debit]] * Cleaned[[#This Row],[FX_rates]]</f>
        <v>63714.559999999998</v>
      </c>
      <c r="G1963">
        <v>0</v>
      </c>
      <c r="H1963">
        <f>Cleaned[[#This Row],[Credit]] *  Cleaned[[#This Row],[FX_rates]]</f>
        <v>0</v>
      </c>
      <c r="I1963" t="s">
        <v>2021</v>
      </c>
      <c r="J1963" t="s">
        <v>2030</v>
      </c>
      <c r="K1963" t="s">
        <v>3992</v>
      </c>
      <c r="L1963" t="s">
        <v>4033</v>
      </c>
      <c r="M1963">
        <f>Cleaned[[#This Row],[Credit]]-Cleaned[[#This Row],[Debit]]</f>
        <v>-1137.76</v>
      </c>
      <c r="N1963" t="str">
        <f>_xlfn.XLOOKUP(Cleaned[[#This Row],[AccountName]], Account_Mapping!A:A, Account_Mapping!B:B,"Unmapped")</f>
        <v>Operating Expense</v>
      </c>
      <c r="O1963" cm="1">
        <f t="array" ref="O1963">_xlfn.XLOOKUP(
  1,
  (FX_Rates[Currency]=Cleaned[[#This Row],[Currency]])*
  (FX_Rates[RateDate]&lt;=Cleaned[[#This Row],[TxnDate]]),
  FX_Rates[Rate_To_INR],
  ,
  -1
)</f>
        <v>56</v>
      </c>
      <c r="P1963" s="2">
        <f>Cleaned[[#This Row],[Net Amount]] *  Cleaned[[#This Row],[FX_rates]]</f>
        <v>-63714.559999999998</v>
      </c>
    </row>
    <row r="1964" spans="1:16" x14ac:dyDescent="0.45">
      <c r="A1964" t="s">
        <v>1972</v>
      </c>
      <c r="B1964" s="1">
        <v>45464</v>
      </c>
      <c r="C1964" s="2" t="s">
        <v>2012</v>
      </c>
      <c r="D1964" t="s">
        <v>2017</v>
      </c>
      <c r="E1964">
        <v>1927.94</v>
      </c>
      <c r="F1964">
        <f>Cleaned[[#This Row],[Debit]] * Cleaned[[#This Row],[FX_rates]]</f>
        <v>117604.34</v>
      </c>
      <c r="G1964">
        <v>0</v>
      </c>
      <c r="H1964">
        <f>Cleaned[[#This Row],[Credit]] *  Cleaned[[#This Row],[FX_rates]]</f>
        <v>0</v>
      </c>
      <c r="I1964" t="s">
        <v>2025</v>
      </c>
      <c r="J1964" t="s">
        <v>2030</v>
      </c>
      <c r="K1964" t="s">
        <v>3993</v>
      </c>
      <c r="L1964" t="s">
        <v>4035</v>
      </c>
      <c r="M1964">
        <f>Cleaned[[#This Row],[Credit]]-Cleaned[[#This Row],[Debit]]</f>
        <v>-1927.94</v>
      </c>
      <c r="N1964" t="str">
        <f>_xlfn.XLOOKUP(Cleaned[[#This Row],[AccountName]], Account_Mapping!A:A, Account_Mapping!B:B,"Unmapped")</f>
        <v>Operating Expense</v>
      </c>
      <c r="O1964" cm="1">
        <f t="array" ref="O1964">_xlfn.XLOOKUP(
  1,
  (FX_Rates[Currency]=Cleaned[[#This Row],[Currency]])*
  (FX_Rates[RateDate]&lt;=Cleaned[[#This Row],[TxnDate]]),
  FX_Rates[Rate_To_INR],
  ,
  -1
)</f>
        <v>61</v>
      </c>
      <c r="P1964" s="2">
        <f>Cleaned[[#This Row],[Net Amount]] *  Cleaned[[#This Row],[FX_rates]]</f>
        <v>-117604.34</v>
      </c>
    </row>
    <row r="1965" spans="1:16" x14ac:dyDescent="0.45">
      <c r="A1965" t="s">
        <v>1973</v>
      </c>
      <c r="B1965" s="1">
        <v>45713</v>
      </c>
      <c r="C1965" s="2" t="s">
        <v>2014</v>
      </c>
      <c r="D1965" t="s">
        <v>2019</v>
      </c>
      <c r="E1965">
        <v>0</v>
      </c>
      <c r="F1965">
        <f>Cleaned[[#This Row],[Debit]] * Cleaned[[#This Row],[FX_rates]]</f>
        <v>0</v>
      </c>
      <c r="G1965">
        <v>2609.17</v>
      </c>
      <c r="H1965">
        <f>Cleaned[[#This Row],[Credit]] *  Cleaned[[#This Row],[FX_rates]]</f>
        <v>268744.51</v>
      </c>
      <c r="I1965" t="s">
        <v>2021</v>
      </c>
      <c r="J1965" t="s">
        <v>2026</v>
      </c>
      <c r="K1965" t="s">
        <v>3994</v>
      </c>
      <c r="L1965" t="s">
        <v>4031</v>
      </c>
      <c r="M1965">
        <f>Cleaned[[#This Row],[Credit]]-Cleaned[[#This Row],[Debit]]</f>
        <v>2609.17</v>
      </c>
      <c r="N1965" t="str">
        <f>_xlfn.XLOOKUP(Cleaned[[#This Row],[AccountName]], Account_Mapping!A:A, Account_Mapping!B:B,"Unmapped")</f>
        <v>Revenue</v>
      </c>
      <c r="O1965" cm="1">
        <f t="array" ref="O1965">_xlfn.XLOOKUP(
  1,
  (FX_Rates[Currency]=Cleaned[[#This Row],[Currency]])*
  (FX_Rates[RateDate]&lt;=Cleaned[[#This Row],[TxnDate]]),
  FX_Rates[Rate_To_INR],
  ,
  -1
)</f>
        <v>103</v>
      </c>
      <c r="P1965" s="2">
        <f>Cleaned[[#This Row],[Net Amount]] *  Cleaned[[#This Row],[FX_rates]]</f>
        <v>268744.51</v>
      </c>
    </row>
    <row r="1966" spans="1:16" x14ac:dyDescent="0.45">
      <c r="A1966" t="s">
        <v>1974</v>
      </c>
      <c r="B1966" s="1">
        <v>45755</v>
      </c>
      <c r="C1966" s="2" t="s">
        <v>2011</v>
      </c>
      <c r="D1966" t="s">
        <v>2016</v>
      </c>
      <c r="E1966">
        <v>1813.3</v>
      </c>
      <c r="F1966">
        <f>Cleaned[[#This Row],[Debit]] * Cleaned[[#This Row],[FX_rates]]</f>
        <v>101544.8</v>
      </c>
      <c r="G1966">
        <v>0</v>
      </c>
      <c r="H1966">
        <f>Cleaned[[#This Row],[Credit]] *  Cleaned[[#This Row],[FX_rates]]</f>
        <v>0</v>
      </c>
      <c r="I1966" t="s">
        <v>2025</v>
      </c>
      <c r="J1966" t="s">
        <v>2028</v>
      </c>
      <c r="K1966" t="s">
        <v>3995</v>
      </c>
      <c r="L1966" t="s">
        <v>4033</v>
      </c>
      <c r="M1966">
        <f>Cleaned[[#This Row],[Credit]]-Cleaned[[#This Row],[Debit]]</f>
        <v>-1813.3</v>
      </c>
      <c r="N1966" t="str">
        <f>_xlfn.XLOOKUP(Cleaned[[#This Row],[AccountName]], Account_Mapping!A:A, Account_Mapping!B:B,"Unmapped")</f>
        <v>COGS</v>
      </c>
      <c r="O1966" cm="1">
        <f t="array" ref="O1966">_xlfn.XLOOKUP(
  1,
  (FX_Rates[Currency]=Cleaned[[#This Row],[Currency]])*
  (FX_Rates[RateDate]&lt;=Cleaned[[#This Row],[TxnDate]]),
  FX_Rates[Rate_To_INR],
  ,
  -1
)</f>
        <v>56</v>
      </c>
      <c r="P1966" s="2">
        <f>Cleaned[[#This Row],[Net Amount]] *  Cleaned[[#This Row],[FX_rates]]</f>
        <v>-101544.8</v>
      </c>
    </row>
    <row r="1967" spans="1:16" x14ac:dyDescent="0.45">
      <c r="A1967" t="s">
        <v>1975</v>
      </c>
      <c r="B1967" s="1">
        <v>45166</v>
      </c>
      <c r="C1967" s="2" t="s">
        <v>2010</v>
      </c>
      <c r="D1967" t="s">
        <v>2015</v>
      </c>
      <c r="E1967">
        <v>0</v>
      </c>
      <c r="F1967">
        <f>Cleaned[[#This Row],[Debit]] * Cleaned[[#This Row],[FX_rates]]</f>
        <v>0</v>
      </c>
      <c r="G1967">
        <v>2658.68</v>
      </c>
      <c r="H1967">
        <f>Cleaned[[#This Row],[Credit]] *  Cleaned[[#This Row],[FX_rates]]</f>
        <v>273844.03999999998</v>
      </c>
      <c r="I1967" t="s">
        <v>2025</v>
      </c>
      <c r="J1967" t="s">
        <v>2028</v>
      </c>
      <c r="K1967" t="s">
        <v>3996</v>
      </c>
      <c r="L1967" t="s">
        <v>4031</v>
      </c>
      <c r="M1967">
        <f>Cleaned[[#This Row],[Credit]]-Cleaned[[#This Row],[Debit]]</f>
        <v>2658.68</v>
      </c>
      <c r="N1967" t="str">
        <f>_xlfn.XLOOKUP(Cleaned[[#This Row],[AccountName]], Account_Mapping!A:A, Account_Mapping!B:B,"Unmapped")</f>
        <v>Revenue</v>
      </c>
      <c r="O1967" cm="1">
        <f t="array" ref="O1967">_xlfn.XLOOKUP(
  1,
  (FX_Rates[Currency]=Cleaned[[#This Row],[Currency]])*
  (FX_Rates[RateDate]&lt;=Cleaned[[#This Row],[TxnDate]]),
  FX_Rates[Rate_To_INR],
  ,
  -1
)</f>
        <v>103</v>
      </c>
      <c r="P1967" s="2">
        <f>Cleaned[[#This Row],[Net Amount]] *  Cleaned[[#This Row],[FX_rates]]</f>
        <v>273844.03999999998</v>
      </c>
    </row>
    <row r="1968" spans="1:16" x14ac:dyDescent="0.45">
      <c r="A1968" t="s">
        <v>1976</v>
      </c>
      <c r="B1968" s="1">
        <v>45195</v>
      </c>
      <c r="C1968" s="2" t="s">
        <v>2014</v>
      </c>
      <c r="D1968" t="s">
        <v>2019</v>
      </c>
      <c r="E1968">
        <v>0</v>
      </c>
      <c r="F1968">
        <f>Cleaned[[#This Row],[Debit]] * Cleaned[[#This Row],[FX_rates]]</f>
        <v>0</v>
      </c>
      <c r="G1968">
        <v>4776.24</v>
      </c>
      <c r="H1968">
        <f>Cleaned[[#This Row],[Credit]] *  Cleaned[[#This Row],[FX_rates]]</f>
        <v>267469.44</v>
      </c>
      <c r="I1968" t="s">
        <v>2021</v>
      </c>
      <c r="J1968" t="s">
        <v>2028</v>
      </c>
      <c r="K1968" t="s">
        <v>3997</v>
      </c>
      <c r="L1968" t="s">
        <v>4033</v>
      </c>
      <c r="M1968">
        <f>Cleaned[[#This Row],[Credit]]-Cleaned[[#This Row],[Debit]]</f>
        <v>4776.24</v>
      </c>
      <c r="N1968" t="str">
        <f>_xlfn.XLOOKUP(Cleaned[[#This Row],[AccountName]], Account_Mapping!A:A, Account_Mapping!B:B,"Unmapped")</f>
        <v>Revenue</v>
      </c>
      <c r="O1968" cm="1">
        <f t="array" ref="O1968">_xlfn.XLOOKUP(
  1,
  (FX_Rates[Currency]=Cleaned[[#This Row],[Currency]])*
  (FX_Rates[RateDate]&lt;=Cleaned[[#This Row],[TxnDate]]),
  FX_Rates[Rate_To_INR],
  ,
  -1
)</f>
        <v>56</v>
      </c>
      <c r="P1968" s="2">
        <f>Cleaned[[#This Row],[Net Amount]] *  Cleaned[[#This Row],[FX_rates]]</f>
        <v>267469.44</v>
      </c>
    </row>
    <row r="1969" spans="1:16" x14ac:dyDescent="0.45">
      <c r="A1969" t="s">
        <v>1977</v>
      </c>
      <c r="B1969" s="1">
        <v>45548</v>
      </c>
      <c r="C1969" s="2" t="s">
        <v>2011</v>
      </c>
      <c r="D1969" t="s">
        <v>2016</v>
      </c>
      <c r="E1969">
        <v>839.33</v>
      </c>
      <c r="F1969">
        <f>Cleaned[[#This Row],[Debit]] * Cleaned[[#This Row],[FX_rates]]</f>
        <v>68825.06</v>
      </c>
      <c r="G1969">
        <v>0</v>
      </c>
      <c r="H1969">
        <f>Cleaned[[#This Row],[Credit]] *  Cleaned[[#This Row],[FX_rates]]</f>
        <v>0</v>
      </c>
      <c r="I1969" t="s">
        <v>2025</v>
      </c>
      <c r="J1969" t="s">
        <v>2030</v>
      </c>
      <c r="K1969" t="s">
        <v>3998</v>
      </c>
      <c r="L1969" t="s">
        <v>4034</v>
      </c>
      <c r="M1969">
        <f>Cleaned[[#This Row],[Credit]]-Cleaned[[#This Row],[Debit]]</f>
        <v>-839.33</v>
      </c>
      <c r="N1969" t="str">
        <f>_xlfn.XLOOKUP(Cleaned[[#This Row],[AccountName]], Account_Mapping!A:A, Account_Mapping!B:B,"Unmapped")</f>
        <v>COGS</v>
      </c>
      <c r="O1969" cm="1">
        <f t="array" ref="O1969">_xlfn.XLOOKUP(
  1,
  (FX_Rates[Currency]=Cleaned[[#This Row],[Currency]])*
  (FX_Rates[RateDate]&lt;=Cleaned[[#This Row],[TxnDate]]),
  FX_Rates[Rate_To_INR],
  ,
  -1
)</f>
        <v>82</v>
      </c>
      <c r="P1969" s="2">
        <f>Cleaned[[#This Row],[Net Amount]] *  Cleaned[[#This Row],[FX_rates]]</f>
        <v>-68825.06</v>
      </c>
    </row>
    <row r="1970" spans="1:16" x14ac:dyDescent="0.45">
      <c r="A1970" t="s">
        <v>1978</v>
      </c>
      <c r="B1970" s="1">
        <v>45218</v>
      </c>
      <c r="C1970" s="2" t="s">
        <v>2012</v>
      </c>
      <c r="D1970" t="s">
        <v>2017</v>
      </c>
      <c r="E1970">
        <v>961.76</v>
      </c>
      <c r="F1970">
        <f>Cleaned[[#This Row],[Debit]] * Cleaned[[#This Row],[FX_rates]]</f>
        <v>53858.559999999998</v>
      </c>
      <c r="G1970">
        <v>0</v>
      </c>
      <c r="H1970">
        <f>Cleaned[[#This Row],[Credit]] *  Cleaned[[#This Row],[FX_rates]]</f>
        <v>0</v>
      </c>
      <c r="I1970" t="s">
        <v>2023</v>
      </c>
      <c r="J1970" t="s">
        <v>2028</v>
      </c>
      <c r="K1970" t="s">
        <v>3999</v>
      </c>
      <c r="L1970" t="s">
        <v>4033</v>
      </c>
      <c r="M1970">
        <f>Cleaned[[#This Row],[Credit]]-Cleaned[[#This Row],[Debit]]</f>
        <v>-961.76</v>
      </c>
      <c r="N1970" t="str">
        <f>_xlfn.XLOOKUP(Cleaned[[#This Row],[AccountName]], Account_Mapping!A:A, Account_Mapping!B:B,"Unmapped")</f>
        <v>Operating Expense</v>
      </c>
      <c r="O1970" cm="1">
        <f t="array" ref="O1970">_xlfn.XLOOKUP(
  1,
  (FX_Rates[Currency]=Cleaned[[#This Row],[Currency]])*
  (FX_Rates[RateDate]&lt;=Cleaned[[#This Row],[TxnDate]]),
  FX_Rates[Rate_To_INR],
  ,
  -1
)</f>
        <v>56</v>
      </c>
      <c r="P1970" s="2">
        <f>Cleaned[[#This Row],[Net Amount]] *  Cleaned[[#This Row],[FX_rates]]</f>
        <v>-53858.559999999998</v>
      </c>
    </row>
    <row r="1971" spans="1:16" x14ac:dyDescent="0.45">
      <c r="A1971" t="s">
        <v>1979</v>
      </c>
      <c r="B1971" s="1">
        <v>45770</v>
      </c>
      <c r="C1971" s="2" t="s">
        <v>2014</v>
      </c>
      <c r="D1971" t="s">
        <v>2019</v>
      </c>
      <c r="E1971">
        <v>0</v>
      </c>
      <c r="F1971">
        <f>Cleaned[[#This Row],[Debit]] * Cleaned[[#This Row],[FX_rates]]</f>
        <v>0</v>
      </c>
      <c r="G1971">
        <v>1071.52</v>
      </c>
      <c r="H1971">
        <f>Cleaned[[#This Row],[Credit]] *  Cleaned[[#This Row],[FX_rates]]</f>
        <v>87864.639999999999</v>
      </c>
      <c r="I1971" t="s">
        <v>2022</v>
      </c>
      <c r="J1971" t="s">
        <v>2028</v>
      </c>
      <c r="K1971" t="s">
        <v>4000</v>
      </c>
      <c r="L1971" t="s">
        <v>4034</v>
      </c>
      <c r="M1971">
        <f>Cleaned[[#This Row],[Credit]]-Cleaned[[#This Row],[Debit]]</f>
        <v>1071.52</v>
      </c>
      <c r="N1971" t="str">
        <f>_xlfn.XLOOKUP(Cleaned[[#This Row],[AccountName]], Account_Mapping!A:A, Account_Mapping!B:B,"Unmapped")</f>
        <v>Revenue</v>
      </c>
      <c r="O1971" cm="1">
        <f t="array" ref="O1971">_xlfn.XLOOKUP(
  1,
  (FX_Rates[Currency]=Cleaned[[#This Row],[Currency]])*
  (FX_Rates[RateDate]&lt;=Cleaned[[#This Row],[TxnDate]]),
  FX_Rates[Rate_To_INR],
  ,
  -1
)</f>
        <v>82</v>
      </c>
      <c r="P1971" s="2">
        <f>Cleaned[[#This Row],[Net Amount]] *  Cleaned[[#This Row],[FX_rates]]</f>
        <v>87864.639999999999</v>
      </c>
    </row>
    <row r="1972" spans="1:16" x14ac:dyDescent="0.45">
      <c r="A1972" t="s">
        <v>1980</v>
      </c>
      <c r="B1972" s="1">
        <v>45586</v>
      </c>
      <c r="C1972" s="2" t="s">
        <v>2011</v>
      </c>
      <c r="D1972" t="s">
        <v>2016</v>
      </c>
      <c r="E1972">
        <v>512.01</v>
      </c>
      <c r="F1972">
        <f>Cleaned[[#This Row],[Debit]] * Cleaned[[#This Row],[FX_rates]]</f>
        <v>31232.61</v>
      </c>
      <c r="G1972">
        <v>0</v>
      </c>
      <c r="H1972">
        <f>Cleaned[[#This Row],[Credit]] *  Cleaned[[#This Row],[FX_rates]]</f>
        <v>0</v>
      </c>
      <c r="I1972" t="s">
        <v>2022</v>
      </c>
      <c r="J1972" t="s">
        <v>2030</v>
      </c>
      <c r="K1972" t="s">
        <v>4001</v>
      </c>
      <c r="L1972" t="s">
        <v>4035</v>
      </c>
      <c r="M1972">
        <f>Cleaned[[#This Row],[Credit]]-Cleaned[[#This Row],[Debit]]</f>
        <v>-512.01</v>
      </c>
      <c r="N1972" t="str">
        <f>_xlfn.XLOOKUP(Cleaned[[#This Row],[AccountName]], Account_Mapping!A:A, Account_Mapping!B:B,"Unmapped")</f>
        <v>COGS</v>
      </c>
      <c r="O1972" cm="1">
        <f t="array" ref="O1972">_xlfn.XLOOKUP(
  1,
  (FX_Rates[Currency]=Cleaned[[#This Row],[Currency]])*
  (FX_Rates[RateDate]&lt;=Cleaned[[#This Row],[TxnDate]]),
  FX_Rates[Rate_To_INR],
  ,
  -1
)</f>
        <v>61</v>
      </c>
      <c r="P1972" s="2">
        <f>Cleaned[[#This Row],[Net Amount]] *  Cleaned[[#This Row],[FX_rates]]</f>
        <v>-31232.61</v>
      </c>
    </row>
    <row r="1973" spans="1:16" x14ac:dyDescent="0.45">
      <c r="A1973" t="s">
        <v>1981</v>
      </c>
      <c r="B1973" s="1">
        <v>45443</v>
      </c>
      <c r="C1973" s="2" t="s">
        <v>2014</v>
      </c>
      <c r="D1973" t="s">
        <v>2019</v>
      </c>
      <c r="E1973">
        <v>0</v>
      </c>
      <c r="F1973">
        <f>Cleaned[[#This Row],[Debit]] * Cleaned[[#This Row],[FX_rates]]</f>
        <v>0</v>
      </c>
      <c r="G1973">
        <v>876.89</v>
      </c>
      <c r="H1973">
        <f>Cleaned[[#This Row],[Credit]] *  Cleaned[[#This Row],[FX_rates]]</f>
        <v>53490.29</v>
      </c>
      <c r="I1973" t="s">
        <v>2022</v>
      </c>
      <c r="J1973" t="s">
        <v>2029</v>
      </c>
      <c r="K1973" t="s">
        <v>4002</v>
      </c>
      <c r="L1973" t="s">
        <v>4035</v>
      </c>
      <c r="M1973">
        <f>Cleaned[[#This Row],[Credit]]-Cleaned[[#This Row],[Debit]]</f>
        <v>876.89</v>
      </c>
      <c r="N1973" t="str">
        <f>_xlfn.XLOOKUP(Cleaned[[#This Row],[AccountName]], Account_Mapping!A:A, Account_Mapping!B:B,"Unmapped")</f>
        <v>Revenue</v>
      </c>
      <c r="O1973" cm="1">
        <f t="array" ref="O1973">_xlfn.XLOOKUP(
  1,
  (FX_Rates[Currency]=Cleaned[[#This Row],[Currency]])*
  (FX_Rates[RateDate]&lt;=Cleaned[[#This Row],[TxnDate]]),
  FX_Rates[Rate_To_INR],
  ,
  -1
)</f>
        <v>61</v>
      </c>
      <c r="P1973" s="2">
        <f>Cleaned[[#This Row],[Net Amount]] *  Cleaned[[#This Row],[FX_rates]]</f>
        <v>53490.29</v>
      </c>
    </row>
    <row r="1974" spans="1:16" x14ac:dyDescent="0.45">
      <c r="A1974" t="s">
        <v>1982</v>
      </c>
      <c r="B1974" s="1">
        <v>45246</v>
      </c>
      <c r="C1974" s="2" t="s">
        <v>2014</v>
      </c>
      <c r="D1974" t="s">
        <v>2019</v>
      </c>
      <c r="E1974">
        <v>0</v>
      </c>
      <c r="F1974">
        <f>Cleaned[[#This Row],[Debit]] * Cleaned[[#This Row],[FX_rates]]</f>
        <v>0</v>
      </c>
      <c r="G1974">
        <v>214.94</v>
      </c>
      <c r="H1974">
        <f>Cleaned[[#This Row],[Credit]] *  Cleaned[[#This Row],[FX_rates]]</f>
        <v>17625.079999999998</v>
      </c>
      <c r="I1974" t="s">
        <v>2025</v>
      </c>
      <c r="J1974" t="s">
        <v>2030</v>
      </c>
      <c r="K1974" t="s">
        <v>4003</v>
      </c>
      <c r="L1974" t="s">
        <v>4034</v>
      </c>
      <c r="M1974">
        <f>Cleaned[[#This Row],[Credit]]-Cleaned[[#This Row],[Debit]]</f>
        <v>214.94</v>
      </c>
      <c r="N1974" t="str">
        <f>_xlfn.XLOOKUP(Cleaned[[#This Row],[AccountName]], Account_Mapping!A:A, Account_Mapping!B:B,"Unmapped")</f>
        <v>Revenue</v>
      </c>
      <c r="O1974" cm="1">
        <f t="array" ref="O1974">_xlfn.XLOOKUP(
  1,
  (FX_Rates[Currency]=Cleaned[[#This Row],[Currency]])*
  (FX_Rates[RateDate]&lt;=Cleaned[[#This Row],[TxnDate]]),
  FX_Rates[Rate_To_INR],
  ,
  -1
)</f>
        <v>82</v>
      </c>
      <c r="P1974" s="2">
        <f>Cleaned[[#This Row],[Net Amount]] *  Cleaned[[#This Row],[FX_rates]]</f>
        <v>17625.079999999998</v>
      </c>
    </row>
    <row r="1975" spans="1:16" x14ac:dyDescent="0.45">
      <c r="A1975" t="s">
        <v>1983</v>
      </c>
      <c r="B1975" s="1">
        <v>45362</v>
      </c>
      <c r="C1975" s="2" t="s">
        <v>2013</v>
      </c>
      <c r="D1975" t="s">
        <v>2018</v>
      </c>
      <c r="E1975">
        <v>318.63</v>
      </c>
      <c r="F1975">
        <f>Cleaned[[#This Row],[Debit]] * Cleaned[[#This Row],[FX_rates]]</f>
        <v>19436.43</v>
      </c>
      <c r="G1975">
        <v>0</v>
      </c>
      <c r="H1975">
        <f>Cleaned[[#This Row],[Credit]] *  Cleaned[[#This Row],[FX_rates]]</f>
        <v>0</v>
      </c>
      <c r="I1975" t="s">
        <v>2025</v>
      </c>
      <c r="J1975" t="s">
        <v>2028</v>
      </c>
      <c r="K1975" t="s">
        <v>4004</v>
      </c>
      <c r="L1975" t="s">
        <v>4035</v>
      </c>
      <c r="M1975">
        <f>Cleaned[[#This Row],[Credit]]-Cleaned[[#This Row],[Debit]]</f>
        <v>-318.63</v>
      </c>
      <c r="N1975" t="str">
        <f>_xlfn.XLOOKUP(Cleaned[[#This Row],[AccountName]], Account_Mapping!A:A, Account_Mapping!B:B,"Unmapped")</f>
        <v>Operating Expense</v>
      </c>
      <c r="O1975" cm="1">
        <f t="array" ref="O1975">_xlfn.XLOOKUP(
  1,
  (FX_Rates[Currency]=Cleaned[[#This Row],[Currency]])*
  (FX_Rates[RateDate]&lt;=Cleaned[[#This Row],[TxnDate]]),
  FX_Rates[Rate_To_INR],
  ,
  -1
)</f>
        <v>61</v>
      </c>
      <c r="P1975" s="2">
        <f>Cleaned[[#This Row],[Net Amount]] *  Cleaned[[#This Row],[FX_rates]]</f>
        <v>-19436.43</v>
      </c>
    </row>
    <row r="1976" spans="1:16" x14ac:dyDescent="0.45">
      <c r="A1976" t="s">
        <v>1984</v>
      </c>
      <c r="B1976" s="1">
        <v>45026</v>
      </c>
      <c r="C1976" s="2" t="s">
        <v>2012</v>
      </c>
      <c r="D1976" t="s">
        <v>2017</v>
      </c>
      <c r="E1976">
        <v>1505.25</v>
      </c>
      <c r="F1976">
        <f>Cleaned[[#This Row],[Debit]] * Cleaned[[#This Row],[FX_rates]]</f>
        <v>123430.5</v>
      </c>
      <c r="G1976">
        <v>0</v>
      </c>
      <c r="H1976">
        <f>Cleaned[[#This Row],[Credit]] *  Cleaned[[#This Row],[FX_rates]]</f>
        <v>0</v>
      </c>
      <c r="I1976" t="s">
        <v>2025</v>
      </c>
      <c r="J1976" t="s">
        <v>2029</v>
      </c>
      <c r="K1976" t="s">
        <v>4005</v>
      </c>
      <c r="L1976" t="s">
        <v>4034</v>
      </c>
      <c r="M1976">
        <f>Cleaned[[#This Row],[Credit]]-Cleaned[[#This Row],[Debit]]</f>
        <v>-1505.25</v>
      </c>
      <c r="N1976" t="str">
        <f>_xlfn.XLOOKUP(Cleaned[[#This Row],[AccountName]], Account_Mapping!A:A, Account_Mapping!B:B,"Unmapped")</f>
        <v>Operating Expense</v>
      </c>
      <c r="O1976" cm="1">
        <f t="array" ref="O1976">_xlfn.XLOOKUP(
  1,
  (FX_Rates[Currency]=Cleaned[[#This Row],[Currency]])*
  (FX_Rates[RateDate]&lt;=Cleaned[[#This Row],[TxnDate]]),
  FX_Rates[Rate_To_INR],
  ,
  -1
)</f>
        <v>82</v>
      </c>
      <c r="P1976" s="2">
        <f>Cleaned[[#This Row],[Net Amount]] *  Cleaned[[#This Row],[FX_rates]]</f>
        <v>-123430.5</v>
      </c>
    </row>
    <row r="1977" spans="1:16" x14ac:dyDescent="0.45">
      <c r="A1977" t="s">
        <v>1985</v>
      </c>
      <c r="B1977" s="1">
        <v>45484</v>
      </c>
      <c r="C1977" s="2" t="s">
        <v>2013</v>
      </c>
      <c r="D1977" t="s">
        <v>2018</v>
      </c>
      <c r="E1977">
        <v>1165.8499999999999</v>
      </c>
      <c r="F1977">
        <f>Cleaned[[#This Row],[Debit]] * Cleaned[[#This Row],[FX_rates]]</f>
        <v>65287.599999999991</v>
      </c>
      <c r="G1977">
        <v>0</v>
      </c>
      <c r="H1977">
        <f>Cleaned[[#This Row],[Credit]] *  Cleaned[[#This Row],[FX_rates]]</f>
        <v>0</v>
      </c>
      <c r="I1977" t="s">
        <v>2021</v>
      </c>
      <c r="J1977" t="s">
        <v>2030</v>
      </c>
      <c r="K1977" t="s">
        <v>4006</v>
      </c>
      <c r="L1977" t="s">
        <v>4033</v>
      </c>
      <c r="M1977">
        <f>Cleaned[[#This Row],[Credit]]-Cleaned[[#This Row],[Debit]]</f>
        <v>-1165.8499999999999</v>
      </c>
      <c r="N1977" t="str">
        <f>_xlfn.XLOOKUP(Cleaned[[#This Row],[AccountName]], Account_Mapping!A:A, Account_Mapping!B:B,"Unmapped")</f>
        <v>Operating Expense</v>
      </c>
      <c r="O1977" cm="1">
        <f t="array" ref="O1977">_xlfn.XLOOKUP(
  1,
  (FX_Rates[Currency]=Cleaned[[#This Row],[Currency]])*
  (FX_Rates[RateDate]&lt;=Cleaned[[#This Row],[TxnDate]]),
  FX_Rates[Rate_To_INR],
  ,
  -1
)</f>
        <v>56</v>
      </c>
      <c r="P1977" s="2">
        <f>Cleaned[[#This Row],[Net Amount]] *  Cleaned[[#This Row],[FX_rates]]</f>
        <v>-65287.599999999991</v>
      </c>
    </row>
    <row r="1978" spans="1:16" x14ac:dyDescent="0.45">
      <c r="A1978" t="s">
        <v>1986</v>
      </c>
      <c r="B1978" s="1">
        <v>45643</v>
      </c>
      <c r="C1978" s="2" t="s">
        <v>2011</v>
      </c>
      <c r="D1978" t="s">
        <v>2016</v>
      </c>
      <c r="E1978">
        <v>424.86</v>
      </c>
      <c r="F1978">
        <f>Cleaned[[#This Row],[Debit]] * Cleaned[[#This Row],[FX_rates]]</f>
        <v>25916.46</v>
      </c>
      <c r="G1978">
        <v>0</v>
      </c>
      <c r="H1978">
        <f>Cleaned[[#This Row],[Credit]] *  Cleaned[[#This Row],[FX_rates]]</f>
        <v>0</v>
      </c>
      <c r="I1978" t="s">
        <v>2024</v>
      </c>
      <c r="J1978" t="s">
        <v>2028</v>
      </c>
      <c r="K1978" t="s">
        <v>4007</v>
      </c>
      <c r="L1978" t="s">
        <v>4035</v>
      </c>
      <c r="M1978">
        <f>Cleaned[[#This Row],[Credit]]-Cleaned[[#This Row],[Debit]]</f>
        <v>-424.86</v>
      </c>
      <c r="N1978" t="str">
        <f>_xlfn.XLOOKUP(Cleaned[[#This Row],[AccountName]], Account_Mapping!A:A, Account_Mapping!B:B,"Unmapped")</f>
        <v>COGS</v>
      </c>
      <c r="O1978" cm="1">
        <f t="array" ref="O1978">_xlfn.XLOOKUP(
  1,
  (FX_Rates[Currency]=Cleaned[[#This Row],[Currency]])*
  (FX_Rates[RateDate]&lt;=Cleaned[[#This Row],[TxnDate]]),
  FX_Rates[Rate_To_INR],
  ,
  -1
)</f>
        <v>61</v>
      </c>
      <c r="P1978" s="2">
        <f>Cleaned[[#This Row],[Net Amount]] *  Cleaned[[#This Row],[FX_rates]]</f>
        <v>-25916.46</v>
      </c>
    </row>
    <row r="1979" spans="1:16" x14ac:dyDescent="0.45">
      <c r="A1979" t="s">
        <v>1987</v>
      </c>
      <c r="B1979" s="1">
        <v>45224</v>
      </c>
      <c r="C1979" s="2" t="s">
        <v>2011</v>
      </c>
      <c r="D1979" t="s">
        <v>2016</v>
      </c>
      <c r="E1979">
        <v>1626.39</v>
      </c>
      <c r="F1979">
        <f>Cleaned[[#This Row],[Debit]] * Cleaned[[#This Row],[FX_rates]]</f>
        <v>143122.32</v>
      </c>
      <c r="G1979">
        <v>0</v>
      </c>
      <c r="H1979">
        <f>Cleaned[[#This Row],[Credit]] *  Cleaned[[#This Row],[FX_rates]]</f>
        <v>0</v>
      </c>
      <c r="I1979" t="s">
        <v>2021</v>
      </c>
      <c r="J1979" t="s">
        <v>2029</v>
      </c>
      <c r="K1979" t="s">
        <v>4008</v>
      </c>
      <c r="L1979" t="s">
        <v>4032</v>
      </c>
      <c r="M1979">
        <f>Cleaned[[#This Row],[Credit]]-Cleaned[[#This Row],[Debit]]</f>
        <v>-1626.39</v>
      </c>
      <c r="N1979" t="str">
        <f>_xlfn.XLOOKUP(Cleaned[[#This Row],[AccountName]], Account_Mapping!A:A, Account_Mapping!B:B,"Unmapped")</f>
        <v>COGS</v>
      </c>
      <c r="O1979" cm="1">
        <f t="array" ref="O1979">_xlfn.XLOOKUP(
  1,
  (FX_Rates[Currency]=Cleaned[[#This Row],[Currency]])*
  (FX_Rates[RateDate]&lt;=Cleaned[[#This Row],[TxnDate]]),
  FX_Rates[Rate_To_INR],
  ,
  -1
)</f>
        <v>88</v>
      </c>
      <c r="P1979" s="2">
        <f>Cleaned[[#This Row],[Net Amount]] *  Cleaned[[#This Row],[FX_rates]]</f>
        <v>-143122.32</v>
      </c>
    </row>
    <row r="1980" spans="1:16" x14ac:dyDescent="0.45">
      <c r="A1980" t="s">
        <v>1988</v>
      </c>
      <c r="B1980" s="1">
        <v>45408</v>
      </c>
      <c r="C1980" s="2" t="s">
        <v>2012</v>
      </c>
      <c r="D1980" t="s">
        <v>2017</v>
      </c>
      <c r="E1980">
        <v>559.39</v>
      </c>
      <c r="F1980">
        <f>Cleaned[[#This Row],[Debit]] * Cleaned[[#This Row],[FX_rates]]</f>
        <v>45869.979999999996</v>
      </c>
      <c r="G1980">
        <v>0</v>
      </c>
      <c r="H1980">
        <f>Cleaned[[#This Row],[Credit]] *  Cleaned[[#This Row],[FX_rates]]</f>
        <v>0</v>
      </c>
      <c r="I1980" t="s">
        <v>2023</v>
      </c>
      <c r="J1980" t="s">
        <v>2030</v>
      </c>
      <c r="K1980" t="s">
        <v>4009</v>
      </c>
      <c r="L1980" t="s">
        <v>4034</v>
      </c>
      <c r="M1980">
        <f>Cleaned[[#This Row],[Credit]]-Cleaned[[#This Row],[Debit]]</f>
        <v>-559.39</v>
      </c>
      <c r="N1980" t="str">
        <f>_xlfn.XLOOKUP(Cleaned[[#This Row],[AccountName]], Account_Mapping!A:A, Account_Mapping!B:B,"Unmapped")</f>
        <v>Operating Expense</v>
      </c>
      <c r="O1980" cm="1">
        <f t="array" ref="O1980">_xlfn.XLOOKUP(
  1,
  (FX_Rates[Currency]=Cleaned[[#This Row],[Currency]])*
  (FX_Rates[RateDate]&lt;=Cleaned[[#This Row],[TxnDate]]),
  FX_Rates[Rate_To_INR],
  ,
  -1
)</f>
        <v>82</v>
      </c>
      <c r="P1980" s="2">
        <f>Cleaned[[#This Row],[Net Amount]] *  Cleaned[[#This Row],[FX_rates]]</f>
        <v>-45869.979999999996</v>
      </c>
    </row>
    <row r="1981" spans="1:16" x14ac:dyDescent="0.45">
      <c r="A1981" t="s">
        <v>1989</v>
      </c>
      <c r="B1981" s="1">
        <v>45421</v>
      </c>
      <c r="C1981" s="2" t="s">
        <v>2011</v>
      </c>
      <c r="D1981" t="s">
        <v>2016</v>
      </c>
      <c r="E1981">
        <v>1234.21</v>
      </c>
      <c r="F1981">
        <f>Cleaned[[#This Row],[Debit]] * Cleaned[[#This Row],[FX_rates]]</f>
        <v>75286.81</v>
      </c>
      <c r="G1981">
        <v>0</v>
      </c>
      <c r="H1981">
        <f>Cleaned[[#This Row],[Credit]] *  Cleaned[[#This Row],[FX_rates]]</f>
        <v>0</v>
      </c>
      <c r="I1981" t="s">
        <v>2024</v>
      </c>
      <c r="J1981" t="s">
        <v>2029</v>
      </c>
      <c r="K1981" t="s">
        <v>4010</v>
      </c>
      <c r="L1981" t="s">
        <v>4035</v>
      </c>
      <c r="M1981">
        <f>Cleaned[[#This Row],[Credit]]-Cleaned[[#This Row],[Debit]]</f>
        <v>-1234.21</v>
      </c>
      <c r="N1981" t="str">
        <f>_xlfn.XLOOKUP(Cleaned[[#This Row],[AccountName]], Account_Mapping!A:A, Account_Mapping!B:B,"Unmapped")</f>
        <v>COGS</v>
      </c>
      <c r="O1981" cm="1">
        <f t="array" ref="O1981">_xlfn.XLOOKUP(
  1,
  (FX_Rates[Currency]=Cleaned[[#This Row],[Currency]])*
  (FX_Rates[RateDate]&lt;=Cleaned[[#This Row],[TxnDate]]),
  FX_Rates[Rate_To_INR],
  ,
  -1
)</f>
        <v>61</v>
      </c>
      <c r="P1981" s="2">
        <f>Cleaned[[#This Row],[Net Amount]] *  Cleaned[[#This Row],[FX_rates]]</f>
        <v>-75286.81</v>
      </c>
    </row>
    <row r="1982" spans="1:16" x14ac:dyDescent="0.45">
      <c r="A1982" t="s">
        <v>1990</v>
      </c>
      <c r="B1982" s="1">
        <v>45338</v>
      </c>
      <c r="C1982" s="2" t="s">
        <v>2012</v>
      </c>
      <c r="D1982" t="s">
        <v>2017</v>
      </c>
      <c r="E1982">
        <v>704.55</v>
      </c>
      <c r="F1982">
        <f>Cleaned[[#This Row],[Debit]] * Cleaned[[#This Row],[FX_rates]]</f>
        <v>62000.399999999994</v>
      </c>
      <c r="G1982">
        <v>0</v>
      </c>
      <c r="H1982">
        <f>Cleaned[[#This Row],[Credit]] *  Cleaned[[#This Row],[FX_rates]]</f>
        <v>0</v>
      </c>
      <c r="I1982" t="s">
        <v>2023</v>
      </c>
      <c r="J1982" t="s">
        <v>2026</v>
      </c>
      <c r="K1982" t="s">
        <v>4011</v>
      </c>
      <c r="L1982" t="s">
        <v>4032</v>
      </c>
      <c r="M1982">
        <f>Cleaned[[#This Row],[Credit]]-Cleaned[[#This Row],[Debit]]</f>
        <v>-704.55</v>
      </c>
      <c r="N1982" t="str">
        <f>_xlfn.XLOOKUP(Cleaned[[#This Row],[AccountName]], Account_Mapping!A:A, Account_Mapping!B:B,"Unmapped")</f>
        <v>Operating Expense</v>
      </c>
      <c r="O1982" cm="1">
        <f t="array" ref="O1982">_xlfn.XLOOKUP(
  1,
  (FX_Rates[Currency]=Cleaned[[#This Row],[Currency]])*
  (FX_Rates[RateDate]&lt;=Cleaned[[#This Row],[TxnDate]]),
  FX_Rates[Rate_To_INR],
  ,
  -1
)</f>
        <v>88</v>
      </c>
      <c r="P1982" s="2">
        <f>Cleaned[[#This Row],[Net Amount]] *  Cleaned[[#This Row],[FX_rates]]</f>
        <v>-62000.399999999994</v>
      </c>
    </row>
    <row r="1983" spans="1:16" x14ac:dyDescent="0.45">
      <c r="A1983" t="s">
        <v>1991</v>
      </c>
      <c r="B1983" s="1">
        <v>44965</v>
      </c>
      <c r="C1983" s="2" t="s">
        <v>2014</v>
      </c>
      <c r="D1983" t="s">
        <v>2019</v>
      </c>
      <c r="E1983">
        <v>0</v>
      </c>
      <c r="F1983">
        <f>Cleaned[[#This Row],[Debit]] * Cleaned[[#This Row],[FX_rates]]</f>
        <v>0</v>
      </c>
      <c r="G1983">
        <v>118.67</v>
      </c>
      <c r="H1983">
        <f>Cleaned[[#This Row],[Credit]] *  Cleaned[[#This Row],[FX_rates]]</f>
        <v>7238.87</v>
      </c>
      <c r="I1983" t="s">
        <v>2020</v>
      </c>
      <c r="J1983" t="s">
        <v>2028</v>
      </c>
      <c r="K1983" t="s">
        <v>4012</v>
      </c>
      <c r="L1983" t="s">
        <v>4035</v>
      </c>
      <c r="M1983">
        <f>Cleaned[[#This Row],[Credit]]-Cleaned[[#This Row],[Debit]]</f>
        <v>118.67</v>
      </c>
      <c r="N1983" t="str">
        <f>_xlfn.XLOOKUP(Cleaned[[#This Row],[AccountName]], Account_Mapping!A:A, Account_Mapping!B:B,"Unmapped")</f>
        <v>Revenue</v>
      </c>
      <c r="O1983" cm="1">
        <f t="array" ref="O1983">_xlfn.XLOOKUP(
  1,
  (FX_Rates[Currency]=Cleaned[[#This Row],[Currency]])*
  (FX_Rates[RateDate]&lt;=Cleaned[[#This Row],[TxnDate]]),
  FX_Rates[Rate_To_INR],
  ,
  -1
)</f>
        <v>61</v>
      </c>
      <c r="P1983" s="2">
        <f>Cleaned[[#This Row],[Net Amount]] *  Cleaned[[#This Row],[FX_rates]]</f>
        <v>7238.87</v>
      </c>
    </row>
    <row r="1984" spans="1:16" x14ac:dyDescent="0.45">
      <c r="A1984" t="s">
        <v>1992</v>
      </c>
      <c r="B1984" s="1">
        <v>45097</v>
      </c>
      <c r="C1984" s="2" t="s">
        <v>2010</v>
      </c>
      <c r="D1984" t="s">
        <v>2015</v>
      </c>
      <c r="E1984">
        <v>0</v>
      </c>
      <c r="F1984">
        <f>Cleaned[[#This Row],[Debit]] * Cleaned[[#This Row],[FX_rates]]</f>
        <v>0</v>
      </c>
      <c r="G1984">
        <v>1819.43</v>
      </c>
      <c r="H1984">
        <f>Cleaned[[#This Row],[Credit]] *  Cleaned[[#This Row],[FX_rates]]</f>
        <v>160109.84</v>
      </c>
      <c r="I1984" t="s">
        <v>2020</v>
      </c>
      <c r="J1984" t="s">
        <v>2026</v>
      </c>
      <c r="K1984" t="s">
        <v>4013</v>
      </c>
      <c r="L1984" t="s">
        <v>4032</v>
      </c>
      <c r="M1984">
        <f>Cleaned[[#This Row],[Credit]]-Cleaned[[#This Row],[Debit]]</f>
        <v>1819.43</v>
      </c>
      <c r="N1984" t="str">
        <f>_xlfn.XLOOKUP(Cleaned[[#This Row],[AccountName]], Account_Mapping!A:A, Account_Mapping!B:B,"Unmapped")</f>
        <v>Revenue</v>
      </c>
      <c r="O1984" cm="1">
        <f t="array" ref="O1984">_xlfn.XLOOKUP(
  1,
  (FX_Rates[Currency]=Cleaned[[#This Row],[Currency]])*
  (FX_Rates[RateDate]&lt;=Cleaned[[#This Row],[TxnDate]]),
  FX_Rates[Rate_To_INR],
  ,
  -1
)</f>
        <v>88</v>
      </c>
      <c r="P1984" s="2">
        <f>Cleaned[[#This Row],[Net Amount]] *  Cleaned[[#This Row],[FX_rates]]</f>
        <v>160109.84</v>
      </c>
    </row>
    <row r="1985" spans="1:16" x14ac:dyDescent="0.45">
      <c r="A1985" t="s">
        <v>1993</v>
      </c>
      <c r="B1985" s="1">
        <v>45180</v>
      </c>
      <c r="C1985" s="2" t="s">
        <v>2013</v>
      </c>
      <c r="D1985" t="s">
        <v>2018</v>
      </c>
      <c r="E1985">
        <v>1104.31</v>
      </c>
      <c r="F1985">
        <f>Cleaned[[#This Row],[Debit]] * Cleaned[[#This Row],[FX_rates]]</f>
        <v>61841.36</v>
      </c>
      <c r="G1985">
        <v>0</v>
      </c>
      <c r="H1985">
        <f>Cleaned[[#This Row],[Credit]] *  Cleaned[[#This Row],[FX_rates]]</f>
        <v>0</v>
      </c>
      <c r="I1985" t="s">
        <v>2023</v>
      </c>
      <c r="J1985" t="s">
        <v>2026</v>
      </c>
      <c r="K1985" t="s">
        <v>4014</v>
      </c>
      <c r="L1985" t="s">
        <v>4033</v>
      </c>
      <c r="M1985">
        <f>Cleaned[[#This Row],[Credit]]-Cleaned[[#This Row],[Debit]]</f>
        <v>-1104.31</v>
      </c>
      <c r="N1985" t="str">
        <f>_xlfn.XLOOKUP(Cleaned[[#This Row],[AccountName]], Account_Mapping!A:A, Account_Mapping!B:B,"Unmapped")</f>
        <v>Operating Expense</v>
      </c>
      <c r="O1985" cm="1">
        <f t="array" ref="O1985">_xlfn.XLOOKUP(
  1,
  (FX_Rates[Currency]=Cleaned[[#This Row],[Currency]])*
  (FX_Rates[RateDate]&lt;=Cleaned[[#This Row],[TxnDate]]),
  FX_Rates[Rate_To_INR],
  ,
  -1
)</f>
        <v>56</v>
      </c>
      <c r="P1985" s="2">
        <f>Cleaned[[#This Row],[Net Amount]] *  Cleaned[[#This Row],[FX_rates]]</f>
        <v>-61841.36</v>
      </c>
    </row>
    <row r="1986" spans="1:16" x14ac:dyDescent="0.45">
      <c r="A1986" t="s">
        <v>1994</v>
      </c>
      <c r="B1986" s="1">
        <v>44946</v>
      </c>
      <c r="C1986" s="2" t="s">
        <v>2011</v>
      </c>
      <c r="D1986" t="s">
        <v>2016</v>
      </c>
      <c r="E1986">
        <v>698.67</v>
      </c>
      <c r="F1986">
        <f>Cleaned[[#This Row],[Debit]] * Cleaned[[#This Row],[FX_rates]]</f>
        <v>39125.519999999997</v>
      </c>
      <c r="G1986">
        <v>0</v>
      </c>
      <c r="H1986">
        <f>Cleaned[[#This Row],[Credit]] *  Cleaned[[#This Row],[FX_rates]]</f>
        <v>0</v>
      </c>
      <c r="I1986" t="s">
        <v>2025</v>
      </c>
      <c r="J1986" t="s">
        <v>2028</v>
      </c>
      <c r="K1986" t="s">
        <v>4015</v>
      </c>
      <c r="L1986" t="s">
        <v>4033</v>
      </c>
      <c r="M1986">
        <f>Cleaned[[#This Row],[Credit]]-Cleaned[[#This Row],[Debit]]</f>
        <v>-698.67</v>
      </c>
      <c r="N1986" t="str">
        <f>_xlfn.XLOOKUP(Cleaned[[#This Row],[AccountName]], Account_Mapping!A:A, Account_Mapping!B:B,"Unmapped")</f>
        <v>COGS</v>
      </c>
      <c r="O1986" cm="1">
        <f t="array" ref="O1986">_xlfn.XLOOKUP(
  1,
  (FX_Rates[Currency]=Cleaned[[#This Row],[Currency]])*
  (FX_Rates[RateDate]&lt;=Cleaned[[#This Row],[TxnDate]]),
  FX_Rates[Rate_To_INR],
  ,
  -1
)</f>
        <v>56</v>
      </c>
      <c r="P1986" s="2">
        <f>Cleaned[[#This Row],[Net Amount]] *  Cleaned[[#This Row],[FX_rates]]</f>
        <v>-39125.519999999997</v>
      </c>
    </row>
    <row r="1987" spans="1:16" x14ac:dyDescent="0.45">
      <c r="A1987" t="s">
        <v>1995</v>
      </c>
      <c r="B1987" s="1">
        <v>45581</v>
      </c>
      <c r="C1987" s="2" t="s">
        <v>2010</v>
      </c>
      <c r="D1987" t="s">
        <v>2015</v>
      </c>
      <c r="E1987">
        <v>0</v>
      </c>
      <c r="F1987">
        <f>Cleaned[[#This Row],[Debit]] * Cleaned[[#This Row],[FX_rates]]</f>
        <v>0</v>
      </c>
      <c r="G1987">
        <v>3256.52</v>
      </c>
      <c r="H1987">
        <f>Cleaned[[#This Row],[Credit]] *  Cleaned[[#This Row],[FX_rates]]</f>
        <v>286573.76</v>
      </c>
      <c r="I1987" t="s">
        <v>2023</v>
      </c>
      <c r="J1987" t="s">
        <v>2029</v>
      </c>
      <c r="K1987" t="s">
        <v>4016</v>
      </c>
      <c r="L1987" t="s">
        <v>4032</v>
      </c>
      <c r="M1987">
        <f>Cleaned[[#This Row],[Credit]]-Cleaned[[#This Row],[Debit]]</f>
        <v>3256.52</v>
      </c>
      <c r="N1987" t="str">
        <f>_xlfn.XLOOKUP(Cleaned[[#This Row],[AccountName]], Account_Mapping!A:A, Account_Mapping!B:B,"Unmapped")</f>
        <v>Revenue</v>
      </c>
      <c r="O1987" cm="1">
        <f t="array" ref="O1987">_xlfn.XLOOKUP(
  1,
  (FX_Rates[Currency]=Cleaned[[#This Row],[Currency]])*
  (FX_Rates[RateDate]&lt;=Cleaned[[#This Row],[TxnDate]]),
  FX_Rates[Rate_To_INR],
  ,
  -1
)</f>
        <v>88</v>
      </c>
      <c r="P1987" s="2">
        <f>Cleaned[[#This Row],[Net Amount]] *  Cleaned[[#This Row],[FX_rates]]</f>
        <v>286573.76</v>
      </c>
    </row>
    <row r="1988" spans="1:16" x14ac:dyDescent="0.45">
      <c r="A1988" t="s">
        <v>1996</v>
      </c>
      <c r="B1988" s="1">
        <v>45230</v>
      </c>
      <c r="C1988" s="2" t="s">
        <v>2012</v>
      </c>
      <c r="D1988" t="s">
        <v>2017</v>
      </c>
      <c r="E1988">
        <v>415.73</v>
      </c>
      <c r="F1988">
        <f>Cleaned[[#This Row],[Debit]] * Cleaned[[#This Row],[FX_rates]]</f>
        <v>34089.86</v>
      </c>
      <c r="G1988">
        <v>0</v>
      </c>
      <c r="H1988">
        <f>Cleaned[[#This Row],[Credit]] *  Cleaned[[#This Row],[FX_rates]]</f>
        <v>0</v>
      </c>
      <c r="I1988" t="s">
        <v>2023</v>
      </c>
      <c r="J1988" t="s">
        <v>2026</v>
      </c>
      <c r="K1988" t="s">
        <v>4017</v>
      </c>
      <c r="L1988" t="s">
        <v>4034</v>
      </c>
      <c r="M1988">
        <f>Cleaned[[#This Row],[Credit]]-Cleaned[[#This Row],[Debit]]</f>
        <v>-415.73</v>
      </c>
      <c r="N1988" t="str">
        <f>_xlfn.XLOOKUP(Cleaned[[#This Row],[AccountName]], Account_Mapping!A:A, Account_Mapping!B:B,"Unmapped")</f>
        <v>Operating Expense</v>
      </c>
      <c r="O1988" cm="1">
        <f t="array" ref="O1988">_xlfn.XLOOKUP(
  1,
  (FX_Rates[Currency]=Cleaned[[#This Row],[Currency]])*
  (FX_Rates[RateDate]&lt;=Cleaned[[#This Row],[TxnDate]]),
  FX_Rates[Rate_To_INR],
  ,
  -1
)</f>
        <v>82</v>
      </c>
      <c r="P1988" s="2">
        <f>Cleaned[[#This Row],[Net Amount]] *  Cleaned[[#This Row],[FX_rates]]</f>
        <v>-34089.86</v>
      </c>
    </row>
    <row r="1989" spans="1:16" x14ac:dyDescent="0.45">
      <c r="A1989" t="s">
        <v>1997</v>
      </c>
      <c r="B1989" s="1">
        <v>45747</v>
      </c>
      <c r="C1989" s="2" t="s">
        <v>2011</v>
      </c>
      <c r="D1989" t="s">
        <v>2016</v>
      </c>
      <c r="E1989">
        <v>798.68</v>
      </c>
      <c r="F1989">
        <f>Cleaned[[#This Row],[Debit]] * Cleaned[[#This Row],[FX_rates]]</f>
        <v>48719.479999999996</v>
      </c>
      <c r="G1989">
        <v>0</v>
      </c>
      <c r="H1989">
        <f>Cleaned[[#This Row],[Credit]] *  Cleaned[[#This Row],[FX_rates]]</f>
        <v>0</v>
      </c>
      <c r="I1989" t="s">
        <v>2023</v>
      </c>
      <c r="J1989" t="s">
        <v>2026</v>
      </c>
      <c r="K1989" t="s">
        <v>4018</v>
      </c>
      <c r="L1989" t="s">
        <v>4035</v>
      </c>
      <c r="M1989">
        <f>Cleaned[[#This Row],[Credit]]-Cleaned[[#This Row],[Debit]]</f>
        <v>-798.68</v>
      </c>
      <c r="N1989" t="str">
        <f>_xlfn.XLOOKUP(Cleaned[[#This Row],[AccountName]], Account_Mapping!A:A, Account_Mapping!B:B,"Unmapped")</f>
        <v>COGS</v>
      </c>
      <c r="O1989" cm="1">
        <f t="array" ref="O1989">_xlfn.XLOOKUP(
  1,
  (FX_Rates[Currency]=Cleaned[[#This Row],[Currency]])*
  (FX_Rates[RateDate]&lt;=Cleaned[[#This Row],[TxnDate]]),
  FX_Rates[Rate_To_INR],
  ,
  -1
)</f>
        <v>61</v>
      </c>
      <c r="P1989" s="2">
        <f>Cleaned[[#This Row],[Net Amount]] *  Cleaned[[#This Row],[FX_rates]]</f>
        <v>-48719.479999999996</v>
      </c>
    </row>
    <row r="1990" spans="1:16" x14ac:dyDescent="0.45">
      <c r="A1990" t="s">
        <v>1998</v>
      </c>
      <c r="B1990" s="1">
        <v>45008</v>
      </c>
      <c r="C1990" s="2" t="s">
        <v>2013</v>
      </c>
      <c r="D1990" t="s">
        <v>2018</v>
      </c>
      <c r="E1990">
        <v>829.83</v>
      </c>
      <c r="F1990">
        <f>Cleaned[[#This Row],[Debit]] * Cleaned[[#This Row],[FX_rates]]</f>
        <v>46470.48</v>
      </c>
      <c r="G1990">
        <v>0</v>
      </c>
      <c r="H1990">
        <f>Cleaned[[#This Row],[Credit]] *  Cleaned[[#This Row],[FX_rates]]</f>
        <v>0</v>
      </c>
      <c r="I1990" t="s">
        <v>2021</v>
      </c>
      <c r="J1990" t="s">
        <v>2027</v>
      </c>
      <c r="K1990" t="s">
        <v>4019</v>
      </c>
      <c r="L1990" t="s">
        <v>4033</v>
      </c>
      <c r="M1990">
        <f>Cleaned[[#This Row],[Credit]]-Cleaned[[#This Row],[Debit]]</f>
        <v>-829.83</v>
      </c>
      <c r="N1990" t="str">
        <f>_xlfn.XLOOKUP(Cleaned[[#This Row],[AccountName]], Account_Mapping!A:A, Account_Mapping!B:B,"Unmapped")</f>
        <v>Operating Expense</v>
      </c>
      <c r="O1990" cm="1">
        <f t="array" ref="O1990">_xlfn.XLOOKUP(
  1,
  (FX_Rates[Currency]=Cleaned[[#This Row],[Currency]])*
  (FX_Rates[RateDate]&lt;=Cleaned[[#This Row],[TxnDate]]),
  FX_Rates[Rate_To_INR],
  ,
  -1
)</f>
        <v>56</v>
      </c>
      <c r="P1990" s="2">
        <f>Cleaned[[#This Row],[Net Amount]] *  Cleaned[[#This Row],[FX_rates]]</f>
        <v>-46470.48</v>
      </c>
    </row>
    <row r="1991" spans="1:16" x14ac:dyDescent="0.45">
      <c r="A1991" t="s">
        <v>1999</v>
      </c>
      <c r="B1991" s="1">
        <v>45591</v>
      </c>
      <c r="C1991" s="2" t="s">
        <v>2013</v>
      </c>
      <c r="D1991" t="s">
        <v>2018</v>
      </c>
      <c r="E1991">
        <v>247.03</v>
      </c>
      <c r="F1991">
        <f>Cleaned[[#This Row],[Debit]] * Cleaned[[#This Row],[FX_rates]]</f>
        <v>20256.46</v>
      </c>
      <c r="G1991">
        <v>0</v>
      </c>
      <c r="H1991">
        <f>Cleaned[[#This Row],[Credit]] *  Cleaned[[#This Row],[FX_rates]]</f>
        <v>0</v>
      </c>
      <c r="I1991" t="s">
        <v>2023</v>
      </c>
      <c r="J1991" t="s">
        <v>2029</v>
      </c>
      <c r="K1991" t="s">
        <v>4020</v>
      </c>
      <c r="L1991" t="s">
        <v>4034</v>
      </c>
      <c r="M1991">
        <f>Cleaned[[#This Row],[Credit]]-Cleaned[[#This Row],[Debit]]</f>
        <v>-247.03</v>
      </c>
      <c r="N1991" t="str">
        <f>_xlfn.XLOOKUP(Cleaned[[#This Row],[AccountName]], Account_Mapping!A:A, Account_Mapping!B:B,"Unmapped")</f>
        <v>Operating Expense</v>
      </c>
      <c r="O1991" cm="1">
        <f t="array" ref="O1991">_xlfn.XLOOKUP(
  1,
  (FX_Rates[Currency]=Cleaned[[#This Row],[Currency]])*
  (FX_Rates[RateDate]&lt;=Cleaned[[#This Row],[TxnDate]]),
  FX_Rates[Rate_To_INR],
  ,
  -1
)</f>
        <v>82</v>
      </c>
      <c r="P1991" s="2">
        <f>Cleaned[[#This Row],[Net Amount]] *  Cleaned[[#This Row],[FX_rates]]</f>
        <v>-20256.46</v>
      </c>
    </row>
    <row r="1992" spans="1:16" x14ac:dyDescent="0.45">
      <c r="A1992" t="s">
        <v>2000</v>
      </c>
      <c r="B1992" s="1">
        <v>45188</v>
      </c>
      <c r="C1992" s="2" t="s">
        <v>2011</v>
      </c>
      <c r="D1992" t="s">
        <v>2016</v>
      </c>
      <c r="E1992">
        <v>688.11</v>
      </c>
      <c r="F1992">
        <f>Cleaned[[#This Row],[Debit]] * Cleaned[[#This Row],[FX_rates]]</f>
        <v>56425.020000000004</v>
      </c>
      <c r="G1992">
        <v>0</v>
      </c>
      <c r="H1992">
        <f>Cleaned[[#This Row],[Credit]] *  Cleaned[[#This Row],[FX_rates]]</f>
        <v>0</v>
      </c>
      <c r="I1992" t="s">
        <v>2021</v>
      </c>
      <c r="J1992" t="s">
        <v>2029</v>
      </c>
      <c r="K1992" t="s">
        <v>4021</v>
      </c>
      <c r="L1992" t="s">
        <v>4034</v>
      </c>
      <c r="M1992">
        <f>Cleaned[[#This Row],[Credit]]-Cleaned[[#This Row],[Debit]]</f>
        <v>-688.11</v>
      </c>
      <c r="N1992" t="str">
        <f>_xlfn.XLOOKUP(Cleaned[[#This Row],[AccountName]], Account_Mapping!A:A, Account_Mapping!B:B,"Unmapped")</f>
        <v>COGS</v>
      </c>
      <c r="O1992" cm="1">
        <f t="array" ref="O1992">_xlfn.XLOOKUP(
  1,
  (FX_Rates[Currency]=Cleaned[[#This Row],[Currency]])*
  (FX_Rates[RateDate]&lt;=Cleaned[[#This Row],[TxnDate]]),
  FX_Rates[Rate_To_INR],
  ,
  -1
)</f>
        <v>82</v>
      </c>
      <c r="P1992" s="2">
        <f>Cleaned[[#This Row],[Net Amount]] *  Cleaned[[#This Row],[FX_rates]]</f>
        <v>-56425.020000000004</v>
      </c>
    </row>
    <row r="1993" spans="1:16" x14ac:dyDescent="0.45">
      <c r="A1993" t="s">
        <v>2001</v>
      </c>
      <c r="B1993" s="1">
        <v>45530</v>
      </c>
      <c r="C1993" s="2" t="s">
        <v>2012</v>
      </c>
      <c r="D1993" t="s">
        <v>2017</v>
      </c>
      <c r="E1993">
        <v>1196.93</v>
      </c>
      <c r="F1993">
        <f>Cleaned[[#This Row],[Debit]] * Cleaned[[#This Row],[FX_rates]]</f>
        <v>98148.260000000009</v>
      </c>
      <c r="G1993">
        <v>0</v>
      </c>
      <c r="H1993">
        <f>Cleaned[[#This Row],[Credit]] *  Cleaned[[#This Row],[FX_rates]]</f>
        <v>0</v>
      </c>
      <c r="I1993" t="s">
        <v>2023</v>
      </c>
      <c r="J1993" t="s">
        <v>2027</v>
      </c>
      <c r="K1993" t="s">
        <v>4022</v>
      </c>
      <c r="L1993" t="s">
        <v>4034</v>
      </c>
      <c r="M1993">
        <f>Cleaned[[#This Row],[Credit]]-Cleaned[[#This Row],[Debit]]</f>
        <v>-1196.93</v>
      </c>
      <c r="N1993" t="str">
        <f>_xlfn.XLOOKUP(Cleaned[[#This Row],[AccountName]], Account_Mapping!A:A, Account_Mapping!B:B,"Unmapped")</f>
        <v>Operating Expense</v>
      </c>
      <c r="O1993" cm="1">
        <f t="array" ref="O1993">_xlfn.XLOOKUP(
  1,
  (FX_Rates[Currency]=Cleaned[[#This Row],[Currency]])*
  (FX_Rates[RateDate]&lt;=Cleaned[[#This Row],[TxnDate]]),
  FX_Rates[Rate_To_INR],
  ,
  -1
)</f>
        <v>82</v>
      </c>
      <c r="P1993" s="2">
        <f>Cleaned[[#This Row],[Net Amount]] *  Cleaned[[#This Row],[FX_rates]]</f>
        <v>-98148.260000000009</v>
      </c>
    </row>
    <row r="1994" spans="1:16" x14ac:dyDescent="0.45">
      <c r="A1994" t="s">
        <v>2002</v>
      </c>
      <c r="B1994" s="1">
        <v>45452</v>
      </c>
      <c r="C1994" s="2" t="s">
        <v>2014</v>
      </c>
      <c r="D1994" t="s">
        <v>2019</v>
      </c>
      <c r="E1994">
        <v>0</v>
      </c>
      <c r="F1994">
        <f>Cleaned[[#This Row],[Debit]] * Cleaned[[#This Row],[FX_rates]]</f>
        <v>0</v>
      </c>
      <c r="G1994">
        <v>2003.64</v>
      </c>
      <c r="H1994">
        <f>Cleaned[[#This Row],[Credit]] *  Cleaned[[#This Row],[FX_rates]]</f>
        <v>122222.04000000001</v>
      </c>
      <c r="I1994" t="s">
        <v>2024</v>
      </c>
      <c r="J1994" t="s">
        <v>2026</v>
      </c>
      <c r="K1994" t="s">
        <v>4023</v>
      </c>
      <c r="L1994" t="s">
        <v>4035</v>
      </c>
      <c r="M1994">
        <f>Cleaned[[#This Row],[Credit]]-Cleaned[[#This Row],[Debit]]</f>
        <v>2003.64</v>
      </c>
      <c r="N1994" t="str">
        <f>_xlfn.XLOOKUP(Cleaned[[#This Row],[AccountName]], Account_Mapping!A:A, Account_Mapping!B:B,"Unmapped")</f>
        <v>Revenue</v>
      </c>
      <c r="O1994" cm="1">
        <f t="array" ref="O1994">_xlfn.XLOOKUP(
  1,
  (FX_Rates[Currency]=Cleaned[[#This Row],[Currency]])*
  (FX_Rates[RateDate]&lt;=Cleaned[[#This Row],[TxnDate]]),
  FX_Rates[Rate_To_INR],
  ,
  -1
)</f>
        <v>61</v>
      </c>
      <c r="P1994" s="2">
        <f>Cleaned[[#This Row],[Net Amount]] *  Cleaned[[#This Row],[FX_rates]]</f>
        <v>122222.04000000001</v>
      </c>
    </row>
    <row r="1995" spans="1:16" x14ac:dyDescent="0.45">
      <c r="A1995" t="s">
        <v>2003</v>
      </c>
      <c r="B1995" s="1">
        <v>45615</v>
      </c>
      <c r="C1995" s="2" t="s">
        <v>2010</v>
      </c>
      <c r="D1995" t="s">
        <v>2015</v>
      </c>
      <c r="E1995">
        <v>0</v>
      </c>
      <c r="F1995">
        <f>Cleaned[[#This Row],[Debit]] * Cleaned[[#This Row],[FX_rates]]</f>
        <v>0</v>
      </c>
      <c r="G1995">
        <v>1233.1300000000001</v>
      </c>
      <c r="H1995">
        <f>Cleaned[[#This Row],[Credit]] *  Cleaned[[#This Row],[FX_rates]]</f>
        <v>127012.39000000001</v>
      </c>
      <c r="I1995" t="s">
        <v>2020</v>
      </c>
      <c r="J1995" t="s">
        <v>2029</v>
      </c>
      <c r="K1995" t="s">
        <v>4024</v>
      </c>
      <c r="L1995" t="s">
        <v>4031</v>
      </c>
      <c r="M1995">
        <f>Cleaned[[#This Row],[Credit]]-Cleaned[[#This Row],[Debit]]</f>
        <v>1233.1300000000001</v>
      </c>
      <c r="N1995" t="str">
        <f>_xlfn.XLOOKUP(Cleaned[[#This Row],[AccountName]], Account_Mapping!A:A, Account_Mapping!B:B,"Unmapped")</f>
        <v>Revenue</v>
      </c>
      <c r="O1995" cm="1">
        <f t="array" ref="O1995">_xlfn.XLOOKUP(
  1,
  (FX_Rates[Currency]=Cleaned[[#This Row],[Currency]])*
  (FX_Rates[RateDate]&lt;=Cleaned[[#This Row],[TxnDate]]),
  FX_Rates[Rate_To_INR],
  ,
  -1
)</f>
        <v>103</v>
      </c>
      <c r="P1995" s="2">
        <f>Cleaned[[#This Row],[Net Amount]] *  Cleaned[[#This Row],[FX_rates]]</f>
        <v>127012.39000000001</v>
      </c>
    </row>
    <row r="1996" spans="1:16" x14ac:dyDescent="0.45">
      <c r="A1996" t="s">
        <v>2004</v>
      </c>
      <c r="B1996" s="1">
        <v>45299</v>
      </c>
      <c r="C1996" s="2" t="s">
        <v>2014</v>
      </c>
      <c r="D1996" t="s">
        <v>2019</v>
      </c>
      <c r="E1996">
        <v>0</v>
      </c>
      <c r="F1996">
        <f>Cleaned[[#This Row],[Debit]] * Cleaned[[#This Row],[FX_rates]]</f>
        <v>0</v>
      </c>
      <c r="G1996">
        <v>767.31</v>
      </c>
      <c r="H1996">
        <f>Cleaned[[#This Row],[Credit]] *  Cleaned[[#This Row],[FX_rates]]</f>
        <v>62919.42</v>
      </c>
      <c r="I1996" t="s">
        <v>2020</v>
      </c>
      <c r="J1996" t="s">
        <v>2030</v>
      </c>
      <c r="K1996" t="s">
        <v>4025</v>
      </c>
      <c r="L1996" t="s">
        <v>4034</v>
      </c>
      <c r="M1996">
        <f>Cleaned[[#This Row],[Credit]]-Cleaned[[#This Row],[Debit]]</f>
        <v>767.31</v>
      </c>
      <c r="N1996" t="str">
        <f>_xlfn.XLOOKUP(Cleaned[[#This Row],[AccountName]], Account_Mapping!A:A, Account_Mapping!B:B,"Unmapped")</f>
        <v>Revenue</v>
      </c>
      <c r="O1996" cm="1">
        <f t="array" ref="O1996">_xlfn.XLOOKUP(
  1,
  (FX_Rates[Currency]=Cleaned[[#This Row],[Currency]])*
  (FX_Rates[RateDate]&lt;=Cleaned[[#This Row],[TxnDate]]),
  FX_Rates[Rate_To_INR],
  ,
  -1
)</f>
        <v>82</v>
      </c>
      <c r="P1996" s="2">
        <f>Cleaned[[#This Row],[Net Amount]] *  Cleaned[[#This Row],[FX_rates]]</f>
        <v>62919.42</v>
      </c>
    </row>
    <row r="1997" spans="1:16" x14ac:dyDescent="0.45">
      <c r="A1997" t="s">
        <v>2005</v>
      </c>
      <c r="B1997" s="1">
        <v>45812</v>
      </c>
      <c r="C1997" s="2" t="s">
        <v>2013</v>
      </c>
      <c r="D1997" t="s">
        <v>2018</v>
      </c>
      <c r="E1997">
        <v>719.33</v>
      </c>
      <c r="F1997">
        <f>Cleaned[[#This Row],[Debit]] * Cleaned[[#This Row],[FX_rates]]</f>
        <v>63301.04</v>
      </c>
      <c r="G1997">
        <v>0</v>
      </c>
      <c r="H1997">
        <f>Cleaned[[#This Row],[Credit]] *  Cleaned[[#This Row],[FX_rates]]</f>
        <v>0</v>
      </c>
      <c r="I1997" t="s">
        <v>2022</v>
      </c>
      <c r="J1997" t="s">
        <v>2027</v>
      </c>
      <c r="K1997" t="s">
        <v>4026</v>
      </c>
      <c r="L1997" t="s">
        <v>4032</v>
      </c>
      <c r="M1997">
        <f>Cleaned[[#This Row],[Credit]]-Cleaned[[#This Row],[Debit]]</f>
        <v>-719.33</v>
      </c>
      <c r="N1997" t="str">
        <f>_xlfn.XLOOKUP(Cleaned[[#This Row],[AccountName]], Account_Mapping!A:A, Account_Mapping!B:B,"Unmapped")</f>
        <v>Operating Expense</v>
      </c>
      <c r="O1997" cm="1">
        <f t="array" ref="O1997">_xlfn.XLOOKUP(
  1,
  (FX_Rates[Currency]=Cleaned[[#This Row],[Currency]])*
  (FX_Rates[RateDate]&lt;=Cleaned[[#This Row],[TxnDate]]),
  FX_Rates[Rate_To_INR],
  ,
  -1
)</f>
        <v>88</v>
      </c>
      <c r="P1997" s="2">
        <f>Cleaned[[#This Row],[Net Amount]] *  Cleaned[[#This Row],[FX_rates]]</f>
        <v>-63301.04</v>
      </c>
    </row>
    <row r="1998" spans="1:16" x14ac:dyDescent="0.45">
      <c r="A1998" t="s">
        <v>2006</v>
      </c>
      <c r="B1998" s="1">
        <v>45147</v>
      </c>
      <c r="C1998" s="2" t="s">
        <v>2010</v>
      </c>
      <c r="D1998" t="s">
        <v>2015</v>
      </c>
      <c r="E1998">
        <v>0</v>
      </c>
      <c r="F1998">
        <f>Cleaned[[#This Row],[Debit]] * Cleaned[[#This Row],[FX_rates]]</f>
        <v>0</v>
      </c>
      <c r="G1998">
        <v>2016.99</v>
      </c>
      <c r="H1998">
        <f>Cleaned[[#This Row],[Credit]] *  Cleaned[[#This Row],[FX_rates]]</f>
        <v>123036.39</v>
      </c>
      <c r="I1998" t="s">
        <v>2021</v>
      </c>
      <c r="J1998" t="s">
        <v>2028</v>
      </c>
      <c r="K1998" t="s">
        <v>4027</v>
      </c>
      <c r="L1998" t="s">
        <v>4035</v>
      </c>
      <c r="M1998">
        <f>Cleaned[[#This Row],[Credit]]-Cleaned[[#This Row],[Debit]]</f>
        <v>2016.99</v>
      </c>
      <c r="N1998" t="str">
        <f>_xlfn.XLOOKUP(Cleaned[[#This Row],[AccountName]], Account_Mapping!A:A, Account_Mapping!B:B,"Unmapped")</f>
        <v>Revenue</v>
      </c>
      <c r="O1998" cm="1">
        <f t="array" ref="O1998">_xlfn.XLOOKUP(
  1,
  (FX_Rates[Currency]=Cleaned[[#This Row],[Currency]])*
  (FX_Rates[RateDate]&lt;=Cleaned[[#This Row],[TxnDate]]),
  FX_Rates[Rate_To_INR],
  ,
  -1
)</f>
        <v>61</v>
      </c>
      <c r="P1998" s="2">
        <f>Cleaned[[#This Row],[Net Amount]] *  Cleaned[[#This Row],[FX_rates]]</f>
        <v>123036.39</v>
      </c>
    </row>
    <row r="1999" spans="1:16" x14ac:dyDescent="0.45">
      <c r="A1999" t="s">
        <v>2007</v>
      </c>
      <c r="B1999" s="1">
        <v>45249</v>
      </c>
      <c r="C1999" s="2" t="s">
        <v>2010</v>
      </c>
      <c r="D1999" t="s">
        <v>2015</v>
      </c>
      <c r="E1999">
        <v>0</v>
      </c>
      <c r="F1999">
        <f>Cleaned[[#This Row],[Debit]] * Cleaned[[#This Row],[FX_rates]]</f>
        <v>0</v>
      </c>
      <c r="G1999">
        <v>4719.37</v>
      </c>
      <c r="H1999">
        <f>Cleaned[[#This Row],[Credit]] *  Cleaned[[#This Row],[FX_rates]]</f>
        <v>287881.57</v>
      </c>
      <c r="I1999" t="s">
        <v>2025</v>
      </c>
      <c r="J1999" t="s">
        <v>2030</v>
      </c>
      <c r="K1999" t="s">
        <v>4028</v>
      </c>
      <c r="L1999" t="s">
        <v>4035</v>
      </c>
      <c r="M1999">
        <f>Cleaned[[#This Row],[Credit]]-Cleaned[[#This Row],[Debit]]</f>
        <v>4719.37</v>
      </c>
      <c r="N1999" t="str">
        <f>_xlfn.XLOOKUP(Cleaned[[#This Row],[AccountName]], Account_Mapping!A:A, Account_Mapping!B:B,"Unmapped")</f>
        <v>Revenue</v>
      </c>
      <c r="O1999" cm="1">
        <f t="array" ref="O1999">_xlfn.XLOOKUP(
  1,
  (FX_Rates[Currency]=Cleaned[[#This Row],[Currency]])*
  (FX_Rates[RateDate]&lt;=Cleaned[[#This Row],[TxnDate]]),
  FX_Rates[Rate_To_INR],
  ,
  -1
)</f>
        <v>61</v>
      </c>
      <c r="P1999" s="2">
        <f>Cleaned[[#This Row],[Net Amount]] *  Cleaned[[#This Row],[FX_rates]]</f>
        <v>287881.57</v>
      </c>
    </row>
    <row r="2000" spans="1:16" x14ac:dyDescent="0.45">
      <c r="A2000" t="s">
        <v>2008</v>
      </c>
      <c r="B2000" s="1">
        <v>45013</v>
      </c>
      <c r="C2000" s="2" t="s">
        <v>2014</v>
      </c>
      <c r="D2000" t="s">
        <v>2019</v>
      </c>
      <c r="E2000">
        <v>0</v>
      </c>
      <c r="F2000">
        <f>Cleaned[[#This Row],[Debit]] * Cleaned[[#This Row],[FX_rates]]</f>
        <v>0</v>
      </c>
      <c r="G2000">
        <v>4523.09</v>
      </c>
      <c r="H2000">
        <f>Cleaned[[#This Row],[Credit]] *  Cleaned[[#This Row],[FX_rates]]</f>
        <v>253293.04</v>
      </c>
      <c r="I2000" t="s">
        <v>2025</v>
      </c>
      <c r="J2000" t="s">
        <v>2026</v>
      </c>
      <c r="K2000" t="s">
        <v>4029</v>
      </c>
      <c r="L2000" t="s">
        <v>4033</v>
      </c>
      <c r="M2000">
        <f>Cleaned[[#This Row],[Credit]]-Cleaned[[#This Row],[Debit]]</f>
        <v>4523.09</v>
      </c>
      <c r="N2000" t="str">
        <f>_xlfn.XLOOKUP(Cleaned[[#This Row],[AccountName]], Account_Mapping!A:A, Account_Mapping!B:B,"Unmapped")</f>
        <v>Revenue</v>
      </c>
      <c r="O2000" cm="1">
        <f t="array" ref="O2000">_xlfn.XLOOKUP(
  1,
  (FX_Rates[Currency]=Cleaned[[#This Row],[Currency]])*
  (FX_Rates[RateDate]&lt;=Cleaned[[#This Row],[TxnDate]]),
  FX_Rates[Rate_To_INR],
  ,
  -1
)</f>
        <v>56</v>
      </c>
      <c r="P2000" s="2">
        <f>Cleaned[[#This Row],[Net Amount]] *  Cleaned[[#This Row],[FX_rates]]</f>
        <v>253293.04</v>
      </c>
    </row>
    <row r="2001" spans="1:16" x14ac:dyDescent="0.45">
      <c r="A2001" t="s">
        <v>2009</v>
      </c>
      <c r="B2001" s="1">
        <v>45555</v>
      </c>
      <c r="C2001" s="2" t="s">
        <v>2010</v>
      </c>
      <c r="D2001" t="s">
        <v>2015</v>
      </c>
      <c r="E2001">
        <v>0</v>
      </c>
      <c r="F2001">
        <f>Cleaned[[#This Row],[Debit]] * Cleaned[[#This Row],[FX_rates]]</f>
        <v>0</v>
      </c>
      <c r="G2001">
        <v>354.88</v>
      </c>
      <c r="H2001">
        <f>Cleaned[[#This Row],[Credit]] *  Cleaned[[#This Row],[FX_rates]]</f>
        <v>29100.16</v>
      </c>
      <c r="I2001" t="s">
        <v>2021</v>
      </c>
      <c r="J2001" t="s">
        <v>2026</v>
      </c>
      <c r="K2001" t="s">
        <v>4030</v>
      </c>
      <c r="L2001" t="s">
        <v>4034</v>
      </c>
      <c r="M2001">
        <f>Cleaned[[#This Row],[Credit]]-Cleaned[[#This Row],[Debit]]</f>
        <v>354.88</v>
      </c>
      <c r="N2001" t="str">
        <f>_xlfn.XLOOKUP(Cleaned[[#This Row],[AccountName]], Account_Mapping!A:A, Account_Mapping!B:B,"Unmapped")</f>
        <v>Revenue</v>
      </c>
      <c r="O2001" cm="1">
        <f t="array" ref="O2001">_xlfn.XLOOKUP(
  1,
  (FX_Rates[Currency]=Cleaned[[#This Row],[Currency]])*
  (FX_Rates[RateDate]&lt;=Cleaned[[#This Row],[TxnDate]]),
  FX_Rates[Rate_To_INR],
  ,
  -1
)</f>
        <v>82</v>
      </c>
      <c r="P2001" s="2">
        <f>Cleaned[[#This Row],[Net Amount]] *  Cleaned[[#This Row],[FX_rates]]</f>
        <v>29100.16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3F82-B1FF-4F03-9A89-C0AA9E8BFA42}">
  <dimension ref="A1:Q58"/>
  <sheetViews>
    <sheetView workbookViewId="0">
      <selection activeCell="E9" sqref="E9"/>
    </sheetView>
  </sheetViews>
  <sheetFormatPr defaultRowHeight="14.25" x14ac:dyDescent="0.45"/>
  <cols>
    <col min="1" max="1" width="15.33203125" bestFit="1" customWidth="1"/>
    <col min="2" max="2" width="13.3984375" bestFit="1" customWidth="1"/>
    <col min="3" max="3" width="13.86328125" bestFit="1" customWidth="1"/>
    <col min="4" max="4" width="14.9296875" bestFit="1" customWidth="1"/>
    <col min="5" max="5" width="13.6640625" bestFit="1" customWidth="1"/>
    <col min="6" max="6" width="5.73046875" bestFit="1" customWidth="1"/>
    <col min="7" max="7" width="13.19921875" bestFit="1" customWidth="1"/>
    <col min="8" max="8" width="14.73046875" bestFit="1" customWidth="1"/>
    <col min="9" max="9" width="16.1328125" bestFit="1" customWidth="1"/>
    <col min="10" max="11" width="11.73046875" bestFit="1" customWidth="1"/>
    <col min="12" max="18" width="5.73046875" bestFit="1" customWidth="1"/>
    <col min="19" max="19" width="4.73046875" bestFit="1" customWidth="1"/>
    <col min="20" max="26" width="5.73046875" bestFit="1" customWidth="1"/>
    <col min="27" max="27" width="4.73046875" bestFit="1" customWidth="1"/>
    <col min="28" max="29" width="5.73046875" bestFit="1" customWidth="1"/>
    <col min="30" max="30" width="4.73046875" bestFit="1" customWidth="1"/>
    <col min="31" max="33" width="6.73046875" bestFit="1" customWidth="1"/>
    <col min="34" max="34" width="3.73046875" bestFit="1" customWidth="1"/>
    <col min="35" max="44" width="6.73046875" bestFit="1" customWidth="1"/>
    <col min="45" max="45" width="5.73046875" bestFit="1" customWidth="1"/>
    <col min="46" max="57" width="6.73046875" bestFit="1" customWidth="1"/>
    <col min="58" max="58" width="5.73046875" bestFit="1" customWidth="1"/>
    <col min="59" max="64" width="6.73046875" bestFit="1" customWidth="1"/>
    <col min="65" max="65" width="5.73046875" bestFit="1" customWidth="1"/>
    <col min="66" max="95" width="6.73046875" bestFit="1" customWidth="1"/>
    <col min="96" max="96" width="5.73046875" bestFit="1" customWidth="1"/>
    <col min="97" max="123" width="6.73046875" bestFit="1" customWidth="1"/>
    <col min="124" max="124" width="5.73046875" bestFit="1" customWidth="1"/>
    <col min="125" max="137" width="6.73046875" bestFit="1" customWidth="1"/>
    <col min="138" max="138" width="5.73046875" bestFit="1" customWidth="1"/>
    <col min="139" max="161" width="6.73046875" bestFit="1" customWidth="1"/>
    <col min="162" max="162" width="5.73046875" bestFit="1" customWidth="1"/>
    <col min="163" max="164" width="6.73046875" bestFit="1" customWidth="1"/>
    <col min="165" max="165" width="5.73046875" bestFit="1" customWidth="1"/>
    <col min="166" max="172" width="6.73046875" bestFit="1" customWidth="1"/>
    <col min="173" max="174" width="5.73046875" bestFit="1" customWidth="1"/>
    <col min="175" max="190" width="6.73046875" bestFit="1" customWidth="1"/>
    <col min="191" max="191" width="5.73046875" bestFit="1" customWidth="1"/>
    <col min="192" max="192" width="6.73046875" bestFit="1" customWidth="1"/>
    <col min="193" max="193" width="5.73046875" bestFit="1" customWidth="1"/>
    <col min="194" max="236" width="6.73046875" bestFit="1" customWidth="1"/>
    <col min="237" max="237" width="5.73046875" bestFit="1" customWidth="1"/>
    <col min="238" max="238" width="6.73046875" bestFit="1" customWidth="1"/>
    <col min="239" max="239" width="5.73046875" bestFit="1" customWidth="1"/>
    <col min="240" max="252" width="6.73046875" bestFit="1" customWidth="1"/>
    <col min="253" max="253" width="3.73046875" bestFit="1" customWidth="1"/>
    <col min="254" max="273" width="6.73046875" bestFit="1" customWidth="1"/>
    <col min="274" max="274" width="5.73046875" bestFit="1" customWidth="1"/>
    <col min="275" max="286" width="6.73046875" bestFit="1" customWidth="1"/>
    <col min="287" max="287" width="3.73046875" bestFit="1" customWidth="1"/>
    <col min="288" max="290" width="6.73046875" bestFit="1" customWidth="1"/>
    <col min="291" max="291" width="5.73046875" bestFit="1" customWidth="1"/>
    <col min="292" max="293" width="6.73046875" bestFit="1" customWidth="1"/>
    <col min="294" max="294" width="5.73046875" bestFit="1" customWidth="1"/>
    <col min="295" max="296" width="6.73046875" bestFit="1" customWidth="1"/>
    <col min="297" max="297" width="5.73046875" bestFit="1" customWidth="1"/>
    <col min="298" max="304" width="6.73046875" bestFit="1" customWidth="1"/>
    <col min="305" max="305" width="3.73046875" bestFit="1" customWidth="1"/>
    <col min="306" max="308" width="6.73046875" bestFit="1" customWidth="1"/>
    <col min="309" max="309" width="5.73046875" bestFit="1" customWidth="1"/>
    <col min="310" max="322" width="6.73046875" bestFit="1" customWidth="1"/>
    <col min="323" max="323" width="5.73046875" bestFit="1" customWidth="1"/>
    <col min="324" max="330" width="6.73046875" bestFit="1" customWidth="1"/>
    <col min="331" max="331" width="3.73046875" bestFit="1" customWidth="1"/>
    <col min="332" max="332" width="5.73046875" bestFit="1" customWidth="1"/>
    <col min="333" max="333" width="3.73046875" bestFit="1" customWidth="1"/>
    <col min="334" max="334" width="6.73046875" bestFit="1" customWidth="1"/>
    <col min="335" max="335" width="5.73046875" bestFit="1" customWidth="1"/>
    <col min="336" max="336" width="6.73046875" bestFit="1" customWidth="1"/>
    <col min="337" max="337" width="5.73046875" bestFit="1" customWidth="1"/>
    <col min="338" max="338" width="6.73046875" bestFit="1" customWidth="1"/>
    <col min="339" max="339" width="5.73046875" bestFit="1" customWidth="1"/>
    <col min="340" max="350" width="6.73046875" bestFit="1" customWidth="1"/>
    <col min="351" max="351" width="5.73046875" bestFit="1" customWidth="1"/>
    <col min="352" max="356" width="6.73046875" bestFit="1" customWidth="1"/>
    <col min="357" max="357" width="5.73046875" bestFit="1" customWidth="1"/>
    <col min="358" max="358" width="6.73046875" bestFit="1" customWidth="1"/>
    <col min="359" max="359" width="5.73046875" bestFit="1" customWidth="1"/>
    <col min="360" max="370" width="6.73046875" bestFit="1" customWidth="1"/>
    <col min="371" max="371" width="5.73046875" bestFit="1" customWidth="1"/>
    <col min="372" max="406" width="6.73046875" bestFit="1" customWidth="1"/>
    <col min="407" max="407" width="5.73046875" bestFit="1" customWidth="1"/>
    <col min="408" max="413" width="6.73046875" bestFit="1" customWidth="1"/>
    <col min="414" max="414" width="5.73046875" bestFit="1" customWidth="1"/>
    <col min="415" max="418" width="6.73046875" bestFit="1" customWidth="1"/>
    <col min="419" max="419" width="5.73046875" bestFit="1" customWidth="1"/>
    <col min="420" max="422" width="6.73046875" bestFit="1" customWidth="1"/>
    <col min="423" max="423" width="5.73046875" bestFit="1" customWidth="1"/>
    <col min="424" max="429" width="6.73046875" bestFit="1" customWidth="1"/>
    <col min="430" max="430" width="5.73046875" bestFit="1" customWidth="1"/>
    <col min="431" max="456" width="6.73046875" bestFit="1" customWidth="1"/>
    <col min="457" max="457" width="5.73046875" bestFit="1" customWidth="1"/>
    <col min="458" max="461" width="6.73046875" bestFit="1" customWidth="1"/>
    <col min="462" max="462" width="5.73046875" bestFit="1" customWidth="1"/>
    <col min="463" max="485" width="6.73046875" bestFit="1" customWidth="1"/>
    <col min="486" max="486" width="5.73046875" bestFit="1" customWidth="1"/>
    <col min="487" max="487" width="6.73046875" bestFit="1" customWidth="1"/>
    <col min="488" max="488" width="5.73046875" bestFit="1" customWidth="1"/>
    <col min="489" max="490" width="6.73046875" bestFit="1" customWidth="1"/>
    <col min="491" max="491" width="5.73046875" bestFit="1" customWidth="1"/>
    <col min="492" max="500" width="6.73046875" bestFit="1" customWidth="1"/>
    <col min="501" max="501" width="5.73046875" bestFit="1" customWidth="1"/>
    <col min="502" max="520" width="6.73046875" bestFit="1" customWidth="1"/>
    <col min="521" max="521" width="5.73046875" bestFit="1" customWidth="1"/>
    <col min="522" max="522" width="6.73046875" bestFit="1" customWidth="1"/>
    <col min="523" max="523" width="5.73046875" bestFit="1" customWidth="1"/>
    <col min="524" max="525" width="6.73046875" bestFit="1" customWidth="1"/>
    <col min="526" max="526" width="5.73046875" bestFit="1" customWidth="1"/>
    <col min="527" max="530" width="6.73046875" bestFit="1" customWidth="1"/>
    <col min="531" max="531" width="5.73046875" bestFit="1" customWidth="1"/>
    <col min="532" max="532" width="6.73046875" bestFit="1" customWidth="1"/>
    <col min="533" max="533" width="5.73046875" bestFit="1" customWidth="1"/>
    <col min="534" max="550" width="6.73046875" bestFit="1" customWidth="1"/>
    <col min="551" max="551" width="5.73046875" bestFit="1" customWidth="1"/>
    <col min="552" max="560" width="6.73046875" bestFit="1" customWidth="1"/>
    <col min="561" max="561" width="3.73046875" bestFit="1" customWidth="1"/>
    <col min="562" max="569" width="6.73046875" bestFit="1" customWidth="1"/>
    <col min="570" max="571" width="5.73046875" bestFit="1" customWidth="1"/>
    <col min="572" max="603" width="6.73046875" bestFit="1" customWidth="1"/>
    <col min="604" max="604" width="5.73046875" bestFit="1" customWidth="1"/>
    <col min="605" max="608" width="6.73046875" bestFit="1" customWidth="1"/>
    <col min="609" max="610" width="7.73046875" bestFit="1" customWidth="1"/>
    <col min="611" max="611" width="6.73046875" bestFit="1" customWidth="1"/>
    <col min="612" max="627" width="7.73046875" bestFit="1" customWidth="1"/>
    <col min="628" max="628" width="6.73046875" bestFit="1" customWidth="1"/>
    <col min="629" max="643" width="7.73046875" bestFit="1" customWidth="1"/>
    <col min="644" max="644" width="6.73046875" bestFit="1" customWidth="1"/>
    <col min="645" max="648" width="7.73046875" bestFit="1" customWidth="1"/>
    <col min="649" max="649" width="6.73046875" bestFit="1" customWidth="1"/>
    <col min="650" max="690" width="7.73046875" bestFit="1" customWidth="1"/>
    <col min="691" max="691" width="6.73046875" bestFit="1" customWidth="1"/>
    <col min="692" max="693" width="7.73046875" bestFit="1" customWidth="1"/>
    <col min="694" max="694" width="6.73046875" bestFit="1" customWidth="1"/>
    <col min="695" max="697" width="7.73046875" bestFit="1" customWidth="1"/>
    <col min="698" max="698" width="6.73046875" bestFit="1" customWidth="1"/>
    <col min="699" max="700" width="7.73046875" bestFit="1" customWidth="1"/>
    <col min="701" max="701" width="6.73046875" bestFit="1" customWidth="1"/>
    <col min="702" max="702" width="7.73046875" bestFit="1" customWidth="1"/>
    <col min="703" max="703" width="6.73046875" bestFit="1" customWidth="1"/>
    <col min="704" max="714" width="7.73046875" bestFit="1" customWidth="1"/>
    <col min="715" max="715" width="6.73046875" bestFit="1" customWidth="1"/>
    <col min="716" max="721" width="7.73046875" bestFit="1" customWidth="1"/>
    <col min="722" max="722" width="6.73046875" bestFit="1" customWidth="1"/>
    <col min="723" max="727" width="7.73046875" bestFit="1" customWidth="1"/>
    <col min="728" max="728" width="6.73046875" bestFit="1" customWidth="1"/>
    <col min="729" max="740" width="7.73046875" bestFit="1" customWidth="1"/>
    <col min="741" max="741" width="6.73046875" bestFit="1" customWidth="1"/>
    <col min="742" max="756" width="7.73046875" bestFit="1" customWidth="1"/>
    <col min="757" max="757" width="4.73046875" bestFit="1" customWidth="1"/>
    <col min="758" max="789" width="7.73046875" bestFit="1" customWidth="1"/>
    <col min="790" max="790" width="6.73046875" bestFit="1" customWidth="1"/>
    <col min="791" max="800" width="7.73046875" bestFit="1" customWidth="1"/>
    <col min="801" max="801" width="6.73046875" bestFit="1" customWidth="1"/>
    <col min="802" max="819" width="7.73046875" bestFit="1" customWidth="1"/>
    <col min="820" max="821" width="6.73046875" bestFit="1" customWidth="1"/>
    <col min="822" max="834" width="7.73046875" bestFit="1" customWidth="1"/>
    <col min="835" max="835" width="6.73046875" bestFit="1" customWidth="1"/>
    <col min="836" max="837" width="7.73046875" bestFit="1" customWidth="1"/>
    <col min="838" max="838" width="6.73046875" bestFit="1" customWidth="1"/>
    <col min="839" max="848" width="7.73046875" bestFit="1" customWidth="1"/>
    <col min="849" max="849" width="6.73046875" bestFit="1" customWidth="1"/>
    <col min="850" max="868" width="7.73046875" bestFit="1" customWidth="1"/>
    <col min="869" max="869" width="6.73046875" bestFit="1" customWidth="1"/>
    <col min="870" max="877" width="7.73046875" bestFit="1" customWidth="1"/>
    <col min="878" max="878" width="4.73046875" bestFit="1" customWidth="1"/>
    <col min="879" max="901" width="7.73046875" bestFit="1" customWidth="1"/>
    <col min="902" max="902" width="6.73046875" bestFit="1" customWidth="1"/>
    <col min="903" max="907" width="7.73046875" bestFit="1" customWidth="1"/>
    <col min="908" max="908" width="6.73046875" bestFit="1" customWidth="1"/>
    <col min="909" max="925" width="7.73046875" bestFit="1" customWidth="1"/>
    <col min="926" max="926" width="6.73046875" bestFit="1" customWidth="1"/>
    <col min="927" max="927" width="7.73046875" bestFit="1" customWidth="1"/>
    <col min="928" max="928" width="6.73046875" bestFit="1" customWidth="1"/>
    <col min="929" max="932" width="7.73046875" bestFit="1" customWidth="1"/>
    <col min="933" max="934" width="6.73046875" bestFit="1" customWidth="1"/>
    <col min="935" max="941" width="7.73046875" bestFit="1" customWidth="1"/>
    <col min="942" max="942" width="6.73046875" bestFit="1" customWidth="1"/>
    <col min="943" max="956" width="7.73046875" bestFit="1" customWidth="1"/>
    <col min="957" max="957" width="6.73046875" bestFit="1" customWidth="1"/>
    <col min="958" max="962" width="7.73046875" bestFit="1" customWidth="1"/>
    <col min="963" max="963" width="6.73046875" bestFit="1" customWidth="1"/>
    <col min="964" max="987" width="7.73046875" bestFit="1" customWidth="1"/>
    <col min="988" max="990" width="6.73046875" bestFit="1" customWidth="1"/>
    <col min="991" max="999" width="7.73046875" bestFit="1" customWidth="1"/>
    <col min="1000" max="1001" width="6.73046875" bestFit="1" customWidth="1"/>
    <col min="1002" max="1013" width="7.73046875" bestFit="1" customWidth="1"/>
    <col min="1014" max="1016" width="6.73046875" bestFit="1" customWidth="1"/>
    <col min="1017" max="1027" width="7.73046875" bestFit="1" customWidth="1"/>
    <col min="1028" max="1028" width="4.73046875" bestFit="1" customWidth="1"/>
    <col min="1029" max="1031" width="7.73046875" bestFit="1" customWidth="1"/>
    <col min="1032" max="1032" width="4.73046875" bestFit="1" customWidth="1"/>
    <col min="1033" max="1047" width="7.73046875" bestFit="1" customWidth="1"/>
    <col min="1048" max="1048" width="6.73046875" bestFit="1" customWidth="1"/>
    <col min="1049" max="1063" width="7.73046875" bestFit="1" customWidth="1"/>
    <col min="1064" max="1064" width="6.73046875" bestFit="1" customWidth="1"/>
    <col min="1065" max="1075" width="7.73046875" bestFit="1" customWidth="1"/>
    <col min="1076" max="1076" width="6.73046875" bestFit="1" customWidth="1"/>
    <col min="1077" max="1077" width="7.73046875" bestFit="1" customWidth="1"/>
    <col min="1078" max="1078" width="6.73046875" bestFit="1" customWidth="1"/>
    <col min="1079" max="1091" width="7.73046875" bestFit="1" customWidth="1"/>
    <col min="1092" max="1092" width="6.73046875" bestFit="1" customWidth="1"/>
    <col min="1093" max="1094" width="7.73046875" bestFit="1" customWidth="1"/>
    <col min="1095" max="1095" width="6.73046875" bestFit="1" customWidth="1"/>
    <col min="1096" max="1096" width="7.73046875" bestFit="1" customWidth="1"/>
    <col min="1097" max="1097" width="6.73046875" bestFit="1" customWidth="1"/>
    <col min="1098" max="1101" width="7.73046875" bestFit="1" customWidth="1"/>
    <col min="1102" max="1102" width="6.73046875" bestFit="1" customWidth="1"/>
    <col min="1103" max="1107" width="7.73046875" bestFit="1" customWidth="1"/>
    <col min="1108" max="1108" width="6.73046875" bestFit="1" customWidth="1"/>
    <col min="1109" max="1132" width="7.73046875" bestFit="1" customWidth="1"/>
    <col min="1133" max="1133" width="6.73046875" bestFit="1" customWidth="1"/>
    <col min="1134" max="1138" width="7.73046875" bestFit="1" customWidth="1"/>
    <col min="1139" max="1139" width="6.73046875" bestFit="1" customWidth="1"/>
    <col min="1140" max="1152" width="7.73046875" bestFit="1" customWidth="1"/>
    <col min="1153" max="1153" width="6.73046875" bestFit="1" customWidth="1"/>
    <col min="1154" max="1168" width="7.73046875" bestFit="1" customWidth="1"/>
    <col min="1169" max="1169" width="6.73046875" bestFit="1" customWidth="1"/>
    <col min="1170" max="1175" width="7.73046875" bestFit="1" customWidth="1"/>
    <col min="1176" max="1176" width="6.73046875" bestFit="1" customWidth="1"/>
    <col min="1177" max="1177" width="7.73046875" bestFit="1" customWidth="1"/>
    <col min="1178" max="1178" width="6.73046875" bestFit="1" customWidth="1"/>
    <col min="1179" max="1180" width="7.73046875" bestFit="1" customWidth="1"/>
    <col min="1181" max="1181" width="6.73046875" bestFit="1" customWidth="1"/>
    <col min="1182" max="1182" width="7.73046875" bestFit="1" customWidth="1"/>
    <col min="1183" max="1183" width="6.73046875" bestFit="1" customWidth="1"/>
    <col min="1184" max="1195" width="7.73046875" bestFit="1" customWidth="1"/>
    <col min="1196" max="1196" width="6.73046875" bestFit="1" customWidth="1"/>
    <col min="1197" max="1197" width="7.73046875" bestFit="1" customWidth="1"/>
    <col min="1198" max="1198" width="10.19921875" bestFit="1" customWidth="1"/>
    <col min="1199" max="1433" width="9.9296875" bestFit="1" customWidth="1"/>
    <col min="1434" max="1434" width="12.3984375" bestFit="1" customWidth="1"/>
    <col min="1435" max="1435" width="10.19921875" bestFit="1" customWidth="1"/>
    <col min="1436" max="1436" width="8.53125" bestFit="1" customWidth="1"/>
    <col min="1437" max="1437" width="10.796875" bestFit="1" customWidth="1"/>
    <col min="1438" max="1438" width="8.53125" bestFit="1" customWidth="1"/>
    <col min="1439" max="1439" width="10.796875" bestFit="1" customWidth="1"/>
    <col min="1440" max="1440" width="8.53125" bestFit="1" customWidth="1"/>
    <col min="1441" max="1441" width="10.796875" bestFit="1" customWidth="1"/>
    <col min="1442" max="1442" width="8.53125" bestFit="1" customWidth="1"/>
    <col min="1443" max="1443" width="10.796875" bestFit="1" customWidth="1"/>
    <col min="1444" max="1444" width="8.53125" bestFit="1" customWidth="1"/>
    <col min="1445" max="1445" width="10.796875" bestFit="1" customWidth="1"/>
    <col min="1446" max="1446" width="8.53125" bestFit="1" customWidth="1"/>
    <col min="1447" max="1447" width="10.796875" bestFit="1" customWidth="1"/>
    <col min="1448" max="1448" width="8.53125" bestFit="1" customWidth="1"/>
    <col min="1449" max="1449" width="10.796875" bestFit="1" customWidth="1"/>
    <col min="1450" max="1450" width="8.53125" bestFit="1" customWidth="1"/>
    <col min="1451" max="1451" width="10.796875" bestFit="1" customWidth="1"/>
    <col min="1452" max="1452" width="8.53125" bestFit="1" customWidth="1"/>
    <col min="1453" max="1453" width="10.796875" bestFit="1" customWidth="1"/>
    <col min="1454" max="1454" width="8.53125" bestFit="1" customWidth="1"/>
    <col min="1455" max="1455" width="10.796875" bestFit="1" customWidth="1"/>
    <col min="1456" max="1456" width="8.53125" bestFit="1" customWidth="1"/>
    <col min="1457" max="1457" width="10.796875" bestFit="1" customWidth="1"/>
    <col min="1458" max="1458" width="8.53125" bestFit="1" customWidth="1"/>
    <col min="1459" max="1459" width="10.796875" bestFit="1" customWidth="1"/>
    <col min="1460" max="1460" width="8.53125" bestFit="1" customWidth="1"/>
    <col min="1461" max="1461" width="10.796875" bestFit="1" customWidth="1"/>
    <col min="1462" max="1462" width="8.53125" bestFit="1" customWidth="1"/>
    <col min="1463" max="1463" width="10.796875" bestFit="1" customWidth="1"/>
    <col min="1464" max="1464" width="8.53125" bestFit="1" customWidth="1"/>
    <col min="1465" max="1465" width="10.796875" bestFit="1" customWidth="1"/>
    <col min="1466" max="1466" width="8.53125" bestFit="1" customWidth="1"/>
    <col min="1467" max="1467" width="10.796875" bestFit="1" customWidth="1"/>
    <col min="1468" max="1468" width="8.53125" bestFit="1" customWidth="1"/>
    <col min="1469" max="1469" width="10.796875" bestFit="1" customWidth="1"/>
    <col min="1470" max="1470" width="8.53125" bestFit="1" customWidth="1"/>
    <col min="1471" max="1471" width="10.796875" bestFit="1" customWidth="1"/>
    <col min="1472" max="1472" width="8.53125" bestFit="1" customWidth="1"/>
    <col min="1473" max="1473" width="10.796875" bestFit="1" customWidth="1"/>
    <col min="1474" max="1474" width="8.53125" bestFit="1" customWidth="1"/>
    <col min="1475" max="1475" width="10.796875" bestFit="1" customWidth="1"/>
    <col min="1476" max="1476" width="8.53125" bestFit="1" customWidth="1"/>
    <col min="1477" max="1477" width="10.796875" bestFit="1" customWidth="1"/>
    <col min="1478" max="1478" width="8.53125" bestFit="1" customWidth="1"/>
    <col min="1479" max="1479" width="10.796875" bestFit="1" customWidth="1"/>
    <col min="1480" max="1480" width="8.53125" bestFit="1" customWidth="1"/>
    <col min="1481" max="1481" width="10.796875" bestFit="1" customWidth="1"/>
    <col min="1482" max="1482" width="8.53125" bestFit="1" customWidth="1"/>
    <col min="1483" max="1483" width="10.796875" bestFit="1" customWidth="1"/>
    <col min="1484" max="1484" width="8.53125" bestFit="1" customWidth="1"/>
    <col min="1485" max="1485" width="10.796875" bestFit="1" customWidth="1"/>
    <col min="1486" max="1486" width="7.53125" bestFit="1" customWidth="1"/>
    <col min="1487" max="1487" width="9.796875" bestFit="1" customWidth="1"/>
    <col min="1488" max="1488" width="8.53125" bestFit="1" customWidth="1"/>
    <col min="1489" max="1489" width="10.796875" bestFit="1" customWidth="1"/>
    <col min="1490" max="1490" width="8.53125" bestFit="1" customWidth="1"/>
    <col min="1491" max="1491" width="10.796875" bestFit="1" customWidth="1"/>
    <col min="1492" max="1492" width="8.53125" bestFit="1" customWidth="1"/>
    <col min="1493" max="1493" width="10.796875" bestFit="1" customWidth="1"/>
    <col min="1494" max="1494" width="8.53125" bestFit="1" customWidth="1"/>
    <col min="1495" max="1495" width="10.796875" bestFit="1" customWidth="1"/>
    <col min="1496" max="1496" width="8.53125" bestFit="1" customWidth="1"/>
    <col min="1497" max="1497" width="10.796875" bestFit="1" customWidth="1"/>
    <col min="1498" max="1498" width="8.53125" bestFit="1" customWidth="1"/>
    <col min="1499" max="1499" width="10.796875" bestFit="1" customWidth="1"/>
    <col min="1500" max="1500" width="8.53125" bestFit="1" customWidth="1"/>
    <col min="1501" max="1501" width="10.796875" bestFit="1" customWidth="1"/>
    <col min="1502" max="1502" width="8.53125" bestFit="1" customWidth="1"/>
    <col min="1503" max="1503" width="10.796875" bestFit="1" customWidth="1"/>
    <col min="1504" max="1504" width="9.53125" bestFit="1" customWidth="1"/>
    <col min="1505" max="1505" width="11.796875" bestFit="1" customWidth="1"/>
    <col min="1506" max="1506" width="9.53125" bestFit="1" customWidth="1"/>
    <col min="1507" max="1507" width="11.796875" bestFit="1" customWidth="1"/>
    <col min="1508" max="1508" width="9.53125" bestFit="1" customWidth="1"/>
    <col min="1509" max="1509" width="11.796875" bestFit="1" customWidth="1"/>
    <col min="1510" max="1510" width="9.53125" bestFit="1" customWidth="1"/>
    <col min="1511" max="1511" width="11.796875" bestFit="1" customWidth="1"/>
    <col min="1512" max="1512" width="9.53125" bestFit="1" customWidth="1"/>
    <col min="1513" max="1513" width="11.796875" bestFit="1" customWidth="1"/>
    <col min="1514" max="1514" width="9.53125" bestFit="1" customWidth="1"/>
    <col min="1515" max="1515" width="11.796875" bestFit="1" customWidth="1"/>
    <col min="1516" max="1516" width="9.53125" bestFit="1" customWidth="1"/>
    <col min="1517" max="1517" width="11.796875" bestFit="1" customWidth="1"/>
    <col min="1518" max="1518" width="9.53125" bestFit="1" customWidth="1"/>
    <col min="1519" max="1519" width="11.796875" bestFit="1" customWidth="1"/>
    <col min="1520" max="1520" width="9.53125" bestFit="1" customWidth="1"/>
    <col min="1521" max="1521" width="11.796875" bestFit="1" customWidth="1"/>
    <col min="1522" max="1522" width="9.53125" bestFit="1" customWidth="1"/>
    <col min="1523" max="1523" width="11.796875" bestFit="1" customWidth="1"/>
    <col min="1524" max="1524" width="9.53125" bestFit="1" customWidth="1"/>
    <col min="1525" max="1525" width="11.796875" bestFit="1" customWidth="1"/>
    <col min="1526" max="1526" width="9.53125" bestFit="1" customWidth="1"/>
    <col min="1527" max="1527" width="11.796875" bestFit="1" customWidth="1"/>
    <col min="1528" max="1528" width="9.53125" bestFit="1" customWidth="1"/>
    <col min="1529" max="1529" width="11.796875" bestFit="1" customWidth="1"/>
    <col min="1530" max="1530" width="9.53125" bestFit="1" customWidth="1"/>
    <col min="1531" max="1531" width="11.796875" bestFit="1" customWidth="1"/>
    <col min="1532" max="1532" width="9.53125" bestFit="1" customWidth="1"/>
    <col min="1533" max="1533" width="11.796875" bestFit="1" customWidth="1"/>
    <col min="1534" max="1534" width="9.53125" bestFit="1" customWidth="1"/>
    <col min="1535" max="1535" width="11.796875" bestFit="1" customWidth="1"/>
    <col min="1536" max="1536" width="9.53125" bestFit="1" customWidth="1"/>
    <col min="1537" max="1537" width="11.796875" bestFit="1" customWidth="1"/>
    <col min="1538" max="1538" width="9.53125" bestFit="1" customWidth="1"/>
    <col min="1539" max="1539" width="11.796875" bestFit="1" customWidth="1"/>
    <col min="1540" max="1540" width="9.53125" bestFit="1" customWidth="1"/>
    <col min="1541" max="1541" width="11.796875" bestFit="1" customWidth="1"/>
    <col min="1542" max="1542" width="9.53125" bestFit="1" customWidth="1"/>
    <col min="1543" max="1543" width="11.796875" bestFit="1" customWidth="1"/>
    <col min="1544" max="1544" width="9.53125" bestFit="1" customWidth="1"/>
    <col min="1545" max="1545" width="11.796875" bestFit="1" customWidth="1"/>
    <col min="1546" max="1546" width="9.53125" bestFit="1" customWidth="1"/>
    <col min="1547" max="1547" width="11.796875" bestFit="1" customWidth="1"/>
    <col min="1548" max="1548" width="9.53125" bestFit="1" customWidth="1"/>
    <col min="1549" max="1549" width="11.796875" bestFit="1" customWidth="1"/>
    <col min="1550" max="1550" width="9.53125" bestFit="1" customWidth="1"/>
    <col min="1551" max="1551" width="11.796875" bestFit="1" customWidth="1"/>
    <col min="1552" max="1552" width="8.53125" bestFit="1" customWidth="1"/>
    <col min="1553" max="1553" width="10.796875" bestFit="1" customWidth="1"/>
    <col min="1554" max="1554" width="9.53125" bestFit="1" customWidth="1"/>
    <col min="1555" max="1555" width="11.796875" bestFit="1" customWidth="1"/>
    <col min="1556" max="1556" width="9.53125" bestFit="1" customWidth="1"/>
    <col min="1557" max="1557" width="11.796875" bestFit="1" customWidth="1"/>
    <col min="1558" max="1558" width="9.53125" bestFit="1" customWidth="1"/>
    <col min="1559" max="1559" width="11.796875" bestFit="1" customWidth="1"/>
    <col min="1560" max="1560" width="9.53125" bestFit="1" customWidth="1"/>
    <col min="1561" max="1561" width="11.796875" bestFit="1" customWidth="1"/>
    <col min="1562" max="1562" width="9.53125" bestFit="1" customWidth="1"/>
    <col min="1563" max="1563" width="11.796875" bestFit="1" customWidth="1"/>
    <col min="1564" max="1564" width="9.53125" bestFit="1" customWidth="1"/>
    <col min="1565" max="1565" width="11.796875" bestFit="1" customWidth="1"/>
    <col min="1566" max="1566" width="9.53125" bestFit="1" customWidth="1"/>
    <col min="1567" max="1567" width="11.796875" bestFit="1" customWidth="1"/>
    <col min="1568" max="1568" width="9.53125" bestFit="1" customWidth="1"/>
    <col min="1569" max="1569" width="11.796875" bestFit="1" customWidth="1"/>
    <col min="1570" max="1570" width="9.53125" bestFit="1" customWidth="1"/>
    <col min="1571" max="1571" width="11.796875" bestFit="1" customWidth="1"/>
    <col min="1572" max="1572" width="9.53125" bestFit="1" customWidth="1"/>
    <col min="1573" max="1573" width="11.796875" bestFit="1" customWidth="1"/>
    <col min="1574" max="1574" width="9.53125" bestFit="1" customWidth="1"/>
    <col min="1575" max="1575" width="11.796875" bestFit="1" customWidth="1"/>
    <col min="1576" max="1576" width="9.53125" bestFit="1" customWidth="1"/>
    <col min="1577" max="1577" width="11.796875" bestFit="1" customWidth="1"/>
    <col min="1578" max="1578" width="9.53125" bestFit="1" customWidth="1"/>
    <col min="1579" max="1579" width="11.796875" bestFit="1" customWidth="1"/>
    <col min="1580" max="1580" width="9.53125" bestFit="1" customWidth="1"/>
    <col min="1581" max="1581" width="11.796875" bestFit="1" customWidth="1"/>
    <col min="1582" max="1582" width="9.53125" bestFit="1" customWidth="1"/>
    <col min="1583" max="1583" width="11.796875" bestFit="1" customWidth="1"/>
    <col min="1584" max="1584" width="9.53125" bestFit="1" customWidth="1"/>
    <col min="1585" max="1585" width="11.796875" bestFit="1" customWidth="1"/>
    <col min="1586" max="1586" width="9.53125" bestFit="1" customWidth="1"/>
    <col min="1587" max="1587" width="11.796875" bestFit="1" customWidth="1"/>
    <col min="1588" max="1588" width="9.53125" bestFit="1" customWidth="1"/>
    <col min="1589" max="1589" width="11.796875" bestFit="1" customWidth="1"/>
    <col min="1590" max="1590" width="9.53125" bestFit="1" customWidth="1"/>
    <col min="1591" max="1591" width="11.796875" bestFit="1" customWidth="1"/>
    <col min="1592" max="1592" width="9.53125" bestFit="1" customWidth="1"/>
    <col min="1593" max="1593" width="11.796875" bestFit="1" customWidth="1"/>
    <col min="1594" max="1594" width="9.53125" bestFit="1" customWidth="1"/>
    <col min="1595" max="1595" width="11.796875" bestFit="1" customWidth="1"/>
    <col min="1596" max="1596" width="8.53125" bestFit="1" customWidth="1"/>
    <col min="1597" max="1597" width="10.796875" bestFit="1" customWidth="1"/>
    <col min="1598" max="1598" width="9.53125" bestFit="1" customWidth="1"/>
    <col min="1599" max="1599" width="11.796875" bestFit="1" customWidth="1"/>
    <col min="1600" max="1600" width="8.53125" bestFit="1" customWidth="1"/>
    <col min="1601" max="1601" width="10.796875" bestFit="1" customWidth="1"/>
    <col min="1602" max="1602" width="9.53125" bestFit="1" customWidth="1"/>
    <col min="1603" max="1603" width="11.796875" bestFit="1" customWidth="1"/>
    <col min="1604" max="1604" width="9.53125" bestFit="1" customWidth="1"/>
    <col min="1605" max="1605" width="11.796875" bestFit="1" customWidth="1"/>
    <col min="1606" max="1606" width="9.53125" bestFit="1" customWidth="1"/>
    <col min="1607" max="1607" width="11.796875" bestFit="1" customWidth="1"/>
    <col min="1608" max="1608" width="9.53125" bestFit="1" customWidth="1"/>
    <col min="1609" max="1609" width="11.796875" bestFit="1" customWidth="1"/>
    <col min="1610" max="1610" width="6.53125" bestFit="1" customWidth="1"/>
    <col min="1611" max="1611" width="9.265625" bestFit="1" customWidth="1"/>
    <col min="1612" max="1612" width="9.53125" bestFit="1" customWidth="1"/>
    <col min="1613" max="1613" width="11.796875" bestFit="1" customWidth="1"/>
    <col min="1614" max="1614" width="9.53125" bestFit="1" customWidth="1"/>
    <col min="1615" max="1615" width="11.796875" bestFit="1" customWidth="1"/>
    <col min="1616" max="1616" width="9.53125" bestFit="1" customWidth="1"/>
    <col min="1617" max="1617" width="11.796875" bestFit="1" customWidth="1"/>
    <col min="1618" max="1618" width="9.53125" bestFit="1" customWidth="1"/>
    <col min="1619" max="1619" width="11.796875" bestFit="1" customWidth="1"/>
    <col min="1620" max="1620" width="9.53125" bestFit="1" customWidth="1"/>
    <col min="1621" max="1621" width="11.796875" bestFit="1" customWidth="1"/>
    <col min="1622" max="1622" width="9.53125" bestFit="1" customWidth="1"/>
    <col min="1623" max="1623" width="11.796875" bestFit="1" customWidth="1"/>
    <col min="1624" max="1624" width="9.53125" bestFit="1" customWidth="1"/>
    <col min="1625" max="1625" width="11.796875" bestFit="1" customWidth="1"/>
    <col min="1626" max="1626" width="9.53125" bestFit="1" customWidth="1"/>
    <col min="1627" max="1627" width="11.796875" bestFit="1" customWidth="1"/>
    <col min="1628" max="1628" width="9.53125" bestFit="1" customWidth="1"/>
    <col min="1629" max="1629" width="11.796875" bestFit="1" customWidth="1"/>
    <col min="1630" max="1630" width="9.53125" bestFit="1" customWidth="1"/>
    <col min="1631" max="1631" width="11.796875" bestFit="1" customWidth="1"/>
    <col min="1632" max="1632" width="9.53125" bestFit="1" customWidth="1"/>
    <col min="1633" max="1633" width="11.796875" bestFit="1" customWidth="1"/>
    <col min="1634" max="1634" width="9.53125" bestFit="1" customWidth="1"/>
    <col min="1635" max="1635" width="11.796875" bestFit="1" customWidth="1"/>
    <col min="1636" max="1636" width="9.53125" bestFit="1" customWidth="1"/>
    <col min="1637" max="1637" width="11.796875" bestFit="1" customWidth="1"/>
    <col min="1638" max="1638" width="9.53125" bestFit="1" customWidth="1"/>
    <col min="1639" max="1639" width="11.796875" bestFit="1" customWidth="1"/>
    <col min="1640" max="1640" width="9.53125" bestFit="1" customWidth="1"/>
    <col min="1641" max="1641" width="11.796875" bestFit="1" customWidth="1"/>
    <col min="1642" max="1642" width="9.53125" bestFit="1" customWidth="1"/>
    <col min="1643" max="1643" width="11.796875" bestFit="1" customWidth="1"/>
    <col min="1644" max="1644" width="8.53125" bestFit="1" customWidth="1"/>
    <col min="1645" max="1645" width="10.796875" bestFit="1" customWidth="1"/>
    <col min="1646" max="1646" width="9.53125" bestFit="1" customWidth="1"/>
    <col min="1647" max="1647" width="11.796875" bestFit="1" customWidth="1"/>
    <col min="1648" max="1648" width="9.53125" bestFit="1" customWidth="1"/>
    <col min="1649" max="1649" width="11.796875" bestFit="1" customWidth="1"/>
    <col min="1650" max="1650" width="8.53125" bestFit="1" customWidth="1"/>
    <col min="1651" max="1651" width="10.796875" bestFit="1" customWidth="1"/>
    <col min="1652" max="1652" width="9.53125" bestFit="1" customWidth="1"/>
    <col min="1653" max="1653" width="11.796875" bestFit="1" customWidth="1"/>
    <col min="1654" max="1654" width="9.53125" bestFit="1" customWidth="1"/>
    <col min="1655" max="1655" width="11.796875" bestFit="1" customWidth="1"/>
    <col min="1656" max="1656" width="9.53125" bestFit="1" customWidth="1"/>
    <col min="1657" max="1657" width="11.796875" bestFit="1" customWidth="1"/>
    <col min="1658" max="1658" width="9.53125" bestFit="1" customWidth="1"/>
    <col min="1659" max="1659" width="11.796875" bestFit="1" customWidth="1"/>
    <col min="1660" max="1660" width="9.53125" bestFit="1" customWidth="1"/>
    <col min="1661" max="1661" width="11.796875" bestFit="1" customWidth="1"/>
    <col min="1662" max="1662" width="9.53125" bestFit="1" customWidth="1"/>
    <col min="1663" max="1663" width="11.796875" bestFit="1" customWidth="1"/>
    <col min="1664" max="1664" width="9.53125" bestFit="1" customWidth="1"/>
    <col min="1665" max="1665" width="11.796875" bestFit="1" customWidth="1"/>
    <col min="1666" max="1666" width="9.53125" bestFit="1" customWidth="1"/>
    <col min="1667" max="1667" width="11.796875" bestFit="1" customWidth="1"/>
    <col min="1668" max="1668" width="9.53125" bestFit="1" customWidth="1"/>
    <col min="1669" max="1669" width="11.796875" bestFit="1" customWidth="1"/>
    <col min="1670" max="1670" width="9.53125" bestFit="1" customWidth="1"/>
    <col min="1671" max="1671" width="11.796875" bestFit="1" customWidth="1"/>
    <col min="1672" max="1672" width="9.53125" bestFit="1" customWidth="1"/>
    <col min="1673" max="1673" width="11.796875" bestFit="1" customWidth="1"/>
    <col min="1674" max="1674" width="9.53125" bestFit="1" customWidth="1"/>
    <col min="1675" max="1675" width="11.796875" bestFit="1" customWidth="1"/>
    <col min="1676" max="1676" width="9.53125" bestFit="1" customWidth="1"/>
    <col min="1677" max="1677" width="11.796875" bestFit="1" customWidth="1"/>
    <col min="1678" max="1678" width="8.53125" bestFit="1" customWidth="1"/>
    <col min="1679" max="1679" width="10.796875" bestFit="1" customWidth="1"/>
    <col min="1680" max="1680" width="9.53125" bestFit="1" customWidth="1"/>
    <col min="1681" max="1681" width="11.796875" bestFit="1" customWidth="1"/>
    <col min="1682" max="1682" width="9.53125" bestFit="1" customWidth="1"/>
    <col min="1683" max="1683" width="11.796875" bestFit="1" customWidth="1"/>
    <col min="1684" max="1684" width="9.53125" bestFit="1" customWidth="1"/>
    <col min="1685" max="1685" width="11.796875" bestFit="1" customWidth="1"/>
    <col min="1686" max="1686" width="9.53125" bestFit="1" customWidth="1"/>
    <col min="1687" max="1687" width="11.796875" bestFit="1" customWidth="1"/>
    <col min="1688" max="1688" width="9.53125" bestFit="1" customWidth="1"/>
    <col min="1689" max="1689" width="11.796875" bestFit="1" customWidth="1"/>
    <col min="1690" max="1690" width="9.53125" bestFit="1" customWidth="1"/>
    <col min="1691" max="1691" width="11.796875" bestFit="1" customWidth="1"/>
    <col min="1692" max="1692" width="9.53125" bestFit="1" customWidth="1"/>
    <col min="1693" max="1693" width="11.796875" bestFit="1" customWidth="1"/>
    <col min="1694" max="1694" width="9.53125" bestFit="1" customWidth="1"/>
    <col min="1695" max="1695" width="11.796875" bestFit="1" customWidth="1"/>
    <col min="1696" max="1696" width="9.53125" bestFit="1" customWidth="1"/>
    <col min="1697" max="1697" width="11.796875" bestFit="1" customWidth="1"/>
    <col min="1698" max="1698" width="9.53125" bestFit="1" customWidth="1"/>
    <col min="1699" max="1699" width="11.796875" bestFit="1" customWidth="1"/>
    <col min="1700" max="1700" width="9.53125" bestFit="1" customWidth="1"/>
    <col min="1701" max="1701" width="11.796875" bestFit="1" customWidth="1"/>
    <col min="1702" max="1702" width="9.53125" bestFit="1" customWidth="1"/>
    <col min="1703" max="1703" width="11.796875" bestFit="1" customWidth="1"/>
    <col min="1704" max="1704" width="9.53125" bestFit="1" customWidth="1"/>
    <col min="1705" max="1705" width="11.796875" bestFit="1" customWidth="1"/>
    <col min="1706" max="1706" width="9.53125" bestFit="1" customWidth="1"/>
    <col min="1707" max="1707" width="11.796875" bestFit="1" customWidth="1"/>
    <col min="1708" max="1708" width="9.53125" bestFit="1" customWidth="1"/>
    <col min="1709" max="1709" width="11.796875" bestFit="1" customWidth="1"/>
    <col min="1710" max="1710" width="9.53125" bestFit="1" customWidth="1"/>
    <col min="1711" max="1711" width="11.796875" bestFit="1" customWidth="1"/>
    <col min="1712" max="1712" width="9.53125" bestFit="1" customWidth="1"/>
    <col min="1713" max="1713" width="11.796875" bestFit="1" customWidth="1"/>
    <col min="1714" max="1714" width="9.53125" bestFit="1" customWidth="1"/>
    <col min="1715" max="1715" width="11.796875" bestFit="1" customWidth="1"/>
    <col min="1716" max="1716" width="9.53125" bestFit="1" customWidth="1"/>
    <col min="1717" max="1717" width="11.796875" bestFit="1" customWidth="1"/>
    <col min="1718" max="1718" width="9.53125" bestFit="1" customWidth="1"/>
    <col min="1719" max="1719" width="11.796875" bestFit="1" customWidth="1"/>
    <col min="1720" max="1720" width="9.53125" bestFit="1" customWidth="1"/>
    <col min="1721" max="1721" width="11.796875" bestFit="1" customWidth="1"/>
    <col min="1722" max="1722" width="9.53125" bestFit="1" customWidth="1"/>
    <col min="1723" max="1723" width="11.796875" bestFit="1" customWidth="1"/>
    <col min="1724" max="1724" width="9.53125" bestFit="1" customWidth="1"/>
    <col min="1725" max="1725" width="11.796875" bestFit="1" customWidth="1"/>
    <col min="1726" max="1726" width="9.53125" bestFit="1" customWidth="1"/>
    <col min="1727" max="1727" width="11.796875" bestFit="1" customWidth="1"/>
    <col min="1728" max="1728" width="9.53125" bestFit="1" customWidth="1"/>
    <col min="1729" max="1729" width="11.796875" bestFit="1" customWidth="1"/>
    <col min="1730" max="1730" width="9.53125" bestFit="1" customWidth="1"/>
    <col min="1731" max="1731" width="11.796875" bestFit="1" customWidth="1"/>
    <col min="1732" max="1732" width="9.53125" bestFit="1" customWidth="1"/>
    <col min="1733" max="1733" width="11.796875" bestFit="1" customWidth="1"/>
    <col min="1734" max="1734" width="9.53125" bestFit="1" customWidth="1"/>
    <col min="1735" max="1735" width="11.796875" bestFit="1" customWidth="1"/>
    <col min="1736" max="1736" width="9.53125" bestFit="1" customWidth="1"/>
    <col min="1737" max="1737" width="11.796875" bestFit="1" customWidth="1"/>
    <col min="1738" max="1738" width="9.53125" bestFit="1" customWidth="1"/>
    <col min="1739" max="1739" width="11.796875" bestFit="1" customWidth="1"/>
    <col min="1740" max="1740" width="9.53125" bestFit="1" customWidth="1"/>
    <col min="1741" max="1741" width="11.796875" bestFit="1" customWidth="1"/>
    <col min="1742" max="1742" width="8.53125" bestFit="1" customWidth="1"/>
    <col min="1743" max="1743" width="10.796875" bestFit="1" customWidth="1"/>
    <col min="1744" max="1744" width="9.53125" bestFit="1" customWidth="1"/>
    <col min="1745" max="1745" width="11.796875" bestFit="1" customWidth="1"/>
    <col min="1746" max="1746" width="9.53125" bestFit="1" customWidth="1"/>
    <col min="1747" max="1747" width="11.796875" bestFit="1" customWidth="1"/>
    <col min="1748" max="1748" width="9.53125" bestFit="1" customWidth="1"/>
    <col min="1749" max="1749" width="11.796875" bestFit="1" customWidth="1"/>
    <col min="1750" max="1750" width="9.53125" bestFit="1" customWidth="1"/>
    <col min="1751" max="1751" width="11.796875" bestFit="1" customWidth="1"/>
    <col min="1752" max="1752" width="9.53125" bestFit="1" customWidth="1"/>
    <col min="1753" max="1753" width="11.796875" bestFit="1" customWidth="1"/>
    <col min="1754" max="1754" width="9.53125" bestFit="1" customWidth="1"/>
    <col min="1755" max="1755" width="11.796875" bestFit="1" customWidth="1"/>
    <col min="1756" max="1756" width="9.53125" bestFit="1" customWidth="1"/>
    <col min="1757" max="1757" width="11.796875" bestFit="1" customWidth="1"/>
    <col min="1758" max="1758" width="9.53125" bestFit="1" customWidth="1"/>
    <col min="1759" max="1759" width="11.796875" bestFit="1" customWidth="1"/>
    <col min="1760" max="1760" width="9.53125" bestFit="1" customWidth="1"/>
    <col min="1761" max="1761" width="11.796875" bestFit="1" customWidth="1"/>
    <col min="1762" max="1762" width="9.53125" bestFit="1" customWidth="1"/>
    <col min="1763" max="1763" width="11.796875" bestFit="1" customWidth="1"/>
    <col min="1764" max="1764" width="9.53125" bestFit="1" customWidth="1"/>
    <col min="1765" max="1765" width="11.796875" bestFit="1" customWidth="1"/>
    <col min="1766" max="1766" width="9.53125" bestFit="1" customWidth="1"/>
    <col min="1767" max="1767" width="11.796875" bestFit="1" customWidth="1"/>
    <col min="1768" max="1768" width="9.53125" bestFit="1" customWidth="1"/>
    <col min="1769" max="1769" width="11.796875" bestFit="1" customWidth="1"/>
    <col min="1770" max="1770" width="8.53125" bestFit="1" customWidth="1"/>
    <col min="1771" max="1771" width="10.796875" bestFit="1" customWidth="1"/>
    <col min="1772" max="1772" width="9.53125" bestFit="1" customWidth="1"/>
    <col min="1773" max="1773" width="11.796875" bestFit="1" customWidth="1"/>
    <col min="1774" max="1774" width="9.53125" bestFit="1" customWidth="1"/>
    <col min="1775" max="1775" width="11.796875" bestFit="1" customWidth="1"/>
    <col min="1776" max="1776" width="9.53125" bestFit="1" customWidth="1"/>
    <col min="1777" max="1777" width="11.796875" bestFit="1" customWidth="1"/>
    <col min="1778" max="1778" width="9.53125" bestFit="1" customWidth="1"/>
    <col min="1779" max="1779" width="11.796875" bestFit="1" customWidth="1"/>
    <col min="1780" max="1780" width="9.53125" bestFit="1" customWidth="1"/>
    <col min="1781" max="1781" width="11.796875" bestFit="1" customWidth="1"/>
    <col min="1782" max="1782" width="9.53125" bestFit="1" customWidth="1"/>
    <col min="1783" max="1783" width="11.796875" bestFit="1" customWidth="1"/>
    <col min="1784" max="1784" width="8.53125" bestFit="1" customWidth="1"/>
    <col min="1785" max="1785" width="10.796875" bestFit="1" customWidth="1"/>
    <col min="1786" max="1786" width="9.53125" bestFit="1" customWidth="1"/>
    <col min="1787" max="1787" width="11.796875" bestFit="1" customWidth="1"/>
    <col min="1788" max="1788" width="9.53125" bestFit="1" customWidth="1"/>
    <col min="1789" max="1789" width="11.796875" bestFit="1" customWidth="1"/>
    <col min="1790" max="1790" width="9.53125" bestFit="1" customWidth="1"/>
    <col min="1791" max="1791" width="11.796875" bestFit="1" customWidth="1"/>
    <col min="1792" max="1792" width="9.53125" bestFit="1" customWidth="1"/>
    <col min="1793" max="1793" width="11.796875" bestFit="1" customWidth="1"/>
    <col min="1794" max="1794" width="9.53125" bestFit="1" customWidth="1"/>
    <col min="1795" max="1795" width="11.796875" bestFit="1" customWidth="1"/>
    <col min="1796" max="1796" width="9.53125" bestFit="1" customWidth="1"/>
    <col min="1797" max="1797" width="11.796875" bestFit="1" customWidth="1"/>
    <col min="1798" max="1798" width="9.53125" bestFit="1" customWidth="1"/>
    <col min="1799" max="1799" width="11.796875" bestFit="1" customWidth="1"/>
    <col min="1800" max="1800" width="9.53125" bestFit="1" customWidth="1"/>
    <col min="1801" max="1801" width="11.796875" bestFit="1" customWidth="1"/>
    <col min="1802" max="1802" width="8.53125" bestFit="1" customWidth="1"/>
    <col min="1803" max="1803" width="10.796875" bestFit="1" customWidth="1"/>
    <col min="1804" max="1804" width="9.53125" bestFit="1" customWidth="1"/>
    <col min="1805" max="1805" width="11.796875" bestFit="1" customWidth="1"/>
    <col min="1806" max="1806" width="9.53125" bestFit="1" customWidth="1"/>
    <col min="1807" max="1807" width="11.796875" bestFit="1" customWidth="1"/>
    <col min="1808" max="1808" width="9.53125" bestFit="1" customWidth="1"/>
    <col min="1809" max="1809" width="11.796875" bestFit="1" customWidth="1"/>
    <col min="1810" max="1810" width="8.53125" bestFit="1" customWidth="1"/>
    <col min="1811" max="1811" width="10.796875" bestFit="1" customWidth="1"/>
    <col min="1812" max="1812" width="9.53125" bestFit="1" customWidth="1"/>
    <col min="1813" max="1813" width="11.796875" bestFit="1" customWidth="1"/>
    <col min="1814" max="1814" width="9.53125" bestFit="1" customWidth="1"/>
    <col min="1815" max="1815" width="11.796875" bestFit="1" customWidth="1"/>
    <col min="1816" max="1816" width="9.53125" bestFit="1" customWidth="1"/>
    <col min="1817" max="1817" width="11.796875" bestFit="1" customWidth="1"/>
    <col min="1818" max="1818" width="9.53125" bestFit="1" customWidth="1"/>
    <col min="1819" max="1819" width="11.796875" bestFit="1" customWidth="1"/>
    <col min="1820" max="1820" width="9.53125" bestFit="1" customWidth="1"/>
    <col min="1821" max="1821" width="11.796875" bestFit="1" customWidth="1"/>
    <col min="1822" max="1822" width="9.53125" bestFit="1" customWidth="1"/>
    <col min="1823" max="1823" width="11.796875" bestFit="1" customWidth="1"/>
    <col min="1824" max="1824" width="9.53125" bestFit="1" customWidth="1"/>
    <col min="1825" max="1825" width="11.796875" bestFit="1" customWidth="1"/>
    <col min="1826" max="1826" width="9.53125" bestFit="1" customWidth="1"/>
    <col min="1827" max="1827" width="11.796875" bestFit="1" customWidth="1"/>
    <col min="1828" max="1828" width="9.53125" bestFit="1" customWidth="1"/>
    <col min="1829" max="1829" width="11.796875" bestFit="1" customWidth="1"/>
    <col min="1830" max="1830" width="9.53125" bestFit="1" customWidth="1"/>
    <col min="1831" max="1831" width="11.796875" bestFit="1" customWidth="1"/>
    <col min="1832" max="1832" width="9.53125" bestFit="1" customWidth="1"/>
    <col min="1833" max="1833" width="11.796875" bestFit="1" customWidth="1"/>
    <col min="1834" max="1834" width="9.53125" bestFit="1" customWidth="1"/>
    <col min="1835" max="1835" width="11.796875" bestFit="1" customWidth="1"/>
    <col min="1836" max="1836" width="9.53125" bestFit="1" customWidth="1"/>
    <col min="1837" max="1837" width="11.796875" bestFit="1" customWidth="1"/>
    <col min="1838" max="1838" width="9.53125" bestFit="1" customWidth="1"/>
    <col min="1839" max="1839" width="11.796875" bestFit="1" customWidth="1"/>
    <col min="1840" max="1840" width="9.53125" bestFit="1" customWidth="1"/>
    <col min="1841" max="1841" width="11.796875" bestFit="1" customWidth="1"/>
    <col min="1842" max="1842" width="9.53125" bestFit="1" customWidth="1"/>
    <col min="1843" max="1843" width="11.796875" bestFit="1" customWidth="1"/>
    <col min="1844" max="1844" width="9.53125" bestFit="1" customWidth="1"/>
    <col min="1845" max="1845" width="11.796875" bestFit="1" customWidth="1"/>
    <col min="1846" max="1846" width="9.53125" bestFit="1" customWidth="1"/>
    <col min="1847" max="1847" width="11.796875" bestFit="1" customWidth="1"/>
    <col min="1848" max="1848" width="9.53125" bestFit="1" customWidth="1"/>
    <col min="1849" max="1849" width="11.796875" bestFit="1" customWidth="1"/>
    <col min="1850" max="1850" width="9.53125" bestFit="1" customWidth="1"/>
    <col min="1851" max="1851" width="11.796875" bestFit="1" customWidth="1"/>
    <col min="1852" max="1852" width="9.53125" bestFit="1" customWidth="1"/>
    <col min="1853" max="1853" width="11.796875" bestFit="1" customWidth="1"/>
    <col min="1854" max="1854" width="9.53125" bestFit="1" customWidth="1"/>
    <col min="1855" max="1855" width="11.796875" bestFit="1" customWidth="1"/>
    <col min="1856" max="1856" width="9.53125" bestFit="1" customWidth="1"/>
    <col min="1857" max="1857" width="11.796875" bestFit="1" customWidth="1"/>
    <col min="1858" max="1858" width="9.53125" bestFit="1" customWidth="1"/>
    <col min="1859" max="1859" width="11.796875" bestFit="1" customWidth="1"/>
    <col min="1860" max="1860" width="9.53125" bestFit="1" customWidth="1"/>
    <col min="1861" max="1861" width="11.796875" bestFit="1" customWidth="1"/>
    <col min="1862" max="1862" width="9.53125" bestFit="1" customWidth="1"/>
    <col min="1863" max="1863" width="11.796875" bestFit="1" customWidth="1"/>
    <col min="1864" max="1864" width="9.53125" bestFit="1" customWidth="1"/>
    <col min="1865" max="1865" width="11.796875" bestFit="1" customWidth="1"/>
    <col min="1866" max="1866" width="9.53125" bestFit="1" customWidth="1"/>
    <col min="1867" max="1867" width="11.796875" bestFit="1" customWidth="1"/>
    <col min="1868" max="1868" width="9.53125" bestFit="1" customWidth="1"/>
    <col min="1869" max="1869" width="11.796875" bestFit="1" customWidth="1"/>
    <col min="1870" max="1870" width="9.53125" bestFit="1" customWidth="1"/>
    <col min="1871" max="1871" width="11.796875" bestFit="1" customWidth="1"/>
    <col min="1872" max="1872" width="9.53125" bestFit="1" customWidth="1"/>
    <col min="1873" max="1873" width="11.796875" bestFit="1" customWidth="1"/>
    <col min="1874" max="1874" width="9.53125" bestFit="1" customWidth="1"/>
    <col min="1875" max="1875" width="11.796875" bestFit="1" customWidth="1"/>
    <col min="1876" max="1876" width="9.53125" bestFit="1" customWidth="1"/>
    <col min="1877" max="1877" width="11.796875" bestFit="1" customWidth="1"/>
    <col min="1878" max="1878" width="9.53125" bestFit="1" customWidth="1"/>
    <col min="1879" max="1879" width="11.796875" bestFit="1" customWidth="1"/>
    <col min="1880" max="1880" width="9.53125" bestFit="1" customWidth="1"/>
    <col min="1881" max="1881" width="11.796875" bestFit="1" customWidth="1"/>
    <col min="1882" max="1882" width="9.53125" bestFit="1" customWidth="1"/>
    <col min="1883" max="1883" width="11.796875" bestFit="1" customWidth="1"/>
    <col min="1884" max="1884" width="9.53125" bestFit="1" customWidth="1"/>
    <col min="1885" max="1885" width="11.796875" bestFit="1" customWidth="1"/>
    <col min="1886" max="1886" width="9.53125" bestFit="1" customWidth="1"/>
    <col min="1887" max="1887" width="11.796875" bestFit="1" customWidth="1"/>
    <col min="1888" max="1888" width="9.53125" bestFit="1" customWidth="1"/>
    <col min="1889" max="1889" width="11.796875" bestFit="1" customWidth="1"/>
    <col min="1890" max="1890" width="8.53125" bestFit="1" customWidth="1"/>
    <col min="1891" max="1891" width="10.796875" bestFit="1" customWidth="1"/>
    <col min="1892" max="1892" width="9.53125" bestFit="1" customWidth="1"/>
    <col min="1893" max="1893" width="11.796875" bestFit="1" customWidth="1"/>
    <col min="1894" max="1894" width="9.53125" bestFit="1" customWidth="1"/>
    <col min="1895" max="1895" width="11.796875" bestFit="1" customWidth="1"/>
    <col min="1896" max="1896" width="9.53125" bestFit="1" customWidth="1"/>
    <col min="1897" max="1897" width="11.796875" bestFit="1" customWidth="1"/>
    <col min="1898" max="1898" width="9.53125" bestFit="1" customWidth="1"/>
    <col min="1899" max="1899" width="11.796875" bestFit="1" customWidth="1"/>
    <col min="1900" max="1900" width="9.53125" bestFit="1" customWidth="1"/>
    <col min="1901" max="1901" width="11.796875" bestFit="1" customWidth="1"/>
    <col min="1902" max="1902" width="9.53125" bestFit="1" customWidth="1"/>
    <col min="1903" max="1903" width="11.796875" bestFit="1" customWidth="1"/>
    <col min="1904" max="1904" width="9.53125" bestFit="1" customWidth="1"/>
    <col min="1905" max="1905" width="11.796875" bestFit="1" customWidth="1"/>
    <col min="1906" max="1906" width="9.53125" bestFit="1" customWidth="1"/>
    <col min="1907" max="1907" width="11.796875" bestFit="1" customWidth="1"/>
    <col min="1908" max="1908" width="9.53125" bestFit="1" customWidth="1"/>
    <col min="1909" max="1909" width="11.796875" bestFit="1" customWidth="1"/>
    <col min="1910" max="1910" width="8.53125" bestFit="1" customWidth="1"/>
    <col min="1911" max="1911" width="10.796875" bestFit="1" customWidth="1"/>
    <col min="1912" max="1912" width="9.53125" bestFit="1" customWidth="1"/>
    <col min="1913" max="1913" width="11.796875" bestFit="1" customWidth="1"/>
    <col min="1914" max="1914" width="9.53125" bestFit="1" customWidth="1"/>
    <col min="1915" max="1915" width="11.796875" bestFit="1" customWidth="1"/>
    <col min="1916" max="1916" width="9.53125" bestFit="1" customWidth="1"/>
    <col min="1917" max="1917" width="11.796875" bestFit="1" customWidth="1"/>
    <col min="1918" max="1918" width="9.53125" bestFit="1" customWidth="1"/>
    <col min="1919" max="1919" width="11.796875" bestFit="1" customWidth="1"/>
    <col min="1920" max="1920" width="9.53125" bestFit="1" customWidth="1"/>
    <col min="1921" max="1921" width="11.796875" bestFit="1" customWidth="1"/>
    <col min="1922" max="1922" width="9.53125" bestFit="1" customWidth="1"/>
    <col min="1923" max="1923" width="11.796875" bestFit="1" customWidth="1"/>
    <col min="1924" max="1924" width="9.53125" bestFit="1" customWidth="1"/>
    <col min="1925" max="1925" width="11.796875" bestFit="1" customWidth="1"/>
    <col min="1926" max="1926" width="9.53125" bestFit="1" customWidth="1"/>
    <col min="1927" max="1927" width="11.796875" bestFit="1" customWidth="1"/>
    <col min="1928" max="1928" width="9.53125" bestFit="1" customWidth="1"/>
    <col min="1929" max="1929" width="11.796875" bestFit="1" customWidth="1"/>
    <col min="1930" max="1930" width="9.53125" bestFit="1" customWidth="1"/>
    <col min="1931" max="1931" width="11.796875" bestFit="1" customWidth="1"/>
    <col min="1932" max="1932" width="9.53125" bestFit="1" customWidth="1"/>
    <col min="1933" max="1933" width="11.796875" bestFit="1" customWidth="1"/>
    <col min="1934" max="1934" width="8.53125" bestFit="1" customWidth="1"/>
    <col min="1935" max="1935" width="10.796875" bestFit="1" customWidth="1"/>
    <col min="1936" max="1936" width="9.53125" bestFit="1" customWidth="1"/>
    <col min="1937" max="1937" width="11.796875" bestFit="1" customWidth="1"/>
    <col min="1938" max="1938" width="9.53125" bestFit="1" customWidth="1"/>
    <col min="1939" max="1939" width="11.796875" bestFit="1" customWidth="1"/>
    <col min="1940" max="1940" width="9.53125" bestFit="1" customWidth="1"/>
    <col min="1941" max="1941" width="11.796875" bestFit="1" customWidth="1"/>
    <col min="1942" max="1942" width="9.53125" bestFit="1" customWidth="1"/>
    <col min="1943" max="1943" width="11.796875" bestFit="1" customWidth="1"/>
    <col min="1944" max="1944" width="9.53125" bestFit="1" customWidth="1"/>
    <col min="1945" max="1945" width="11.796875" bestFit="1" customWidth="1"/>
    <col min="1946" max="1946" width="9.53125" bestFit="1" customWidth="1"/>
    <col min="1947" max="1947" width="11.796875" bestFit="1" customWidth="1"/>
    <col min="1948" max="1948" width="9.53125" bestFit="1" customWidth="1"/>
    <col min="1949" max="1949" width="11.796875" bestFit="1" customWidth="1"/>
    <col min="1950" max="1950" width="9.53125" bestFit="1" customWidth="1"/>
    <col min="1951" max="1951" width="11.796875" bestFit="1" customWidth="1"/>
    <col min="1952" max="1952" width="9.53125" bestFit="1" customWidth="1"/>
    <col min="1953" max="1953" width="11.796875" bestFit="1" customWidth="1"/>
    <col min="1954" max="1954" width="9.53125" bestFit="1" customWidth="1"/>
    <col min="1955" max="1955" width="11.796875" bestFit="1" customWidth="1"/>
    <col min="1956" max="1956" width="9.53125" bestFit="1" customWidth="1"/>
    <col min="1957" max="1957" width="11.796875" bestFit="1" customWidth="1"/>
    <col min="1958" max="1958" width="9.53125" bestFit="1" customWidth="1"/>
    <col min="1959" max="1959" width="11.796875" bestFit="1" customWidth="1"/>
    <col min="1960" max="1960" width="8.53125" bestFit="1" customWidth="1"/>
    <col min="1961" max="1961" width="10.796875" bestFit="1" customWidth="1"/>
    <col min="1962" max="1962" width="9.53125" bestFit="1" customWidth="1"/>
    <col min="1963" max="1963" width="11.796875" bestFit="1" customWidth="1"/>
    <col min="1964" max="1964" width="9.53125" bestFit="1" customWidth="1"/>
    <col min="1965" max="1965" width="11.796875" bestFit="1" customWidth="1"/>
    <col min="1966" max="1966" width="9.53125" bestFit="1" customWidth="1"/>
    <col min="1967" max="1967" width="11.796875" bestFit="1" customWidth="1"/>
    <col min="1968" max="1968" width="9.53125" bestFit="1" customWidth="1"/>
    <col min="1969" max="1969" width="11.796875" bestFit="1" customWidth="1"/>
    <col min="1970" max="1970" width="9.53125" bestFit="1" customWidth="1"/>
    <col min="1971" max="1971" width="11.796875" bestFit="1" customWidth="1"/>
    <col min="1972" max="1972" width="9.53125" bestFit="1" customWidth="1"/>
    <col min="1973" max="1973" width="11.796875" bestFit="1" customWidth="1"/>
    <col min="1974" max="1974" width="9.53125" bestFit="1" customWidth="1"/>
    <col min="1975" max="1975" width="11.796875" bestFit="1" customWidth="1"/>
    <col min="1976" max="1976" width="9.53125" bestFit="1" customWidth="1"/>
    <col min="1977" max="1977" width="11.796875" bestFit="1" customWidth="1"/>
    <col min="1978" max="1978" width="9.53125" bestFit="1" customWidth="1"/>
    <col min="1979" max="1979" width="11.796875" bestFit="1" customWidth="1"/>
    <col min="1980" max="1980" width="9.53125" bestFit="1" customWidth="1"/>
    <col min="1981" max="1981" width="11.796875" bestFit="1" customWidth="1"/>
    <col min="1982" max="1982" width="9.53125" bestFit="1" customWidth="1"/>
    <col min="1983" max="1983" width="11.796875" bestFit="1" customWidth="1"/>
    <col min="1984" max="1984" width="9.53125" bestFit="1" customWidth="1"/>
    <col min="1985" max="1985" width="11.796875" bestFit="1" customWidth="1"/>
    <col min="1986" max="1986" width="9.53125" bestFit="1" customWidth="1"/>
    <col min="1987" max="1987" width="11.796875" bestFit="1" customWidth="1"/>
    <col min="1988" max="1988" width="8.53125" bestFit="1" customWidth="1"/>
    <col min="1989" max="1989" width="10.796875" bestFit="1" customWidth="1"/>
    <col min="1990" max="1990" width="8.53125" bestFit="1" customWidth="1"/>
    <col min="1991" max="1991" width="10.796875" bestFit="1" customWidth="1"/>
    <col min="1992" max="1992" width="9.53125" bestFit="1" customWidth="1"/>
    <col min="1993" max="1993" width="11.796875" bestFit="1" customWidth="1"/>
    <col min="1994" max="1994" width="9.53125" bestFit="1" customWidth="1"/>
    <col min="1995" max="1995" width="11.796875" bestFit="1" customWidth="1"/>
    <col min="1996" max="1996" width="9.53125" bestFit="1" customWidth="1"/>
    <col min="1997" max="1997" width="11.796875" bestFit="1" customWidth="1"/>
    <col min="1998" max="1998" width="8.53125" bestFit="1" customWidth="1"/>
    <col min="1999" max="1999" width="10.796875" bestFit="1" customWidth="1"/>
    <col min="2000" max="2000" width="9.53125" bestFit="1" customWidth="1"/>
    <col min="2001" max="2001" width="11.796875" bestFit="1" customWidth="1"/>
    <col min="2002" max="2002" width="9.53125" bestFit="1" customWidth="1"/>
    <col min="2003" max="2003" width="11.796875" bestFit="1" customWidth="1"/>
    <col min="2004" max="2004" width="9.53125" bestFit="1" customWidth="1"/>
    <col min="2005" max="2005" width="11.796875" bestFit="1" customWidth="1"/>
    <col min="2006" max="2006" width="8.53125" bestFit="1" customWidth="1"/>
    <col min="2007" max="2007" width="10.796875" bestFit="1" customWidth="1"/>
    <col min="2008" max="2008" width="9.53125" bestFit="1" customWidth="1"/>
    <col min="2009" max="2009" width="11.796875" bestFit="1" customWidth="1"/>
    <col min="2010" max="2010" width="9.53125" bestFit="1" customWidth="1"/>
    <col min="2011" max="2011" width="11.796875" bestFit="1" customWidth="1"/>
    <col min="2012" max="2012" width="9.53125" bestFit="1" customWidth="1"/>
    <col min="2013" max="2013" width="11.796875" bestFit="1" customWidth="1"/>
    <col min="2014" max="2014" width="9.53125" bestFit="1" customWidth="1"/>
    <col min="2015" max="2015" width="11.796875" bestFit="1" customWidth="1"/>
    <col min="2016" max="2016" width="8.53125" bestFit="1" customWidth="1"/>
    <col min="2017" max="2017" width="10.796875" bestFit="1" customWidth="1"/>
    <col min="2018" max="2018" width="9.53125" bestFit="1" customWidth="1"/>
    <col min="2019" max="2019" width="11.796875" bestFit="1" customWidth="1"/>
    <col min="2020" max="2020" width="8.53125" bestFit="1" customWidth="1"/>
    <col min="2021" max="2021" width="10.796875" bestFit="1" customWidth="1"/>
    <col min="2022" max="2022" width="9.53125" bestFit="1" customWidth="1"/>
    <col min="2023" max="2023" width="11.796875" bestFit="1" customWidth="1"/>
    <col min="2024" max="2024" width="8.53125" bestFit="1" customWidth="1"/>
    <col min="2025" max="2025" width="10.796875" bestFit="1" customWidth="1"/>
    <col min="2026" max="2026" width="9.53125" bestFit="1" customWidth="1"/>
    <col min="2027" max="2027" width="11.796875" bestFit="1" customWidth="1"/>
    <col min="2028" max="2028" width="9.53125" bestFit="1" customWidth="1"/>
    <col min="2029" max="2029" width="11.796875" bestFit="1" customWidth="1"/>
    <col min="2030" max="2030" width="9.53125" bestFit="1" customWidth="1"/>
    <col min="2031" max="2031" width="11.796875" bestFit="1" customWidth="1"/>
    <col min="2032" max="2032" width="9.53125" bestFit="1" customWidth="1"/>
    <col min="2033" max="2033" width="11.796875" bestFit="1" customWidth="1"/>
    <col min="2034" max="2034" width="9.53125" bestFit="1" customWidth="1"/>
    <col min="2035" max="2035" width="11.796875" bestFit="1" customWidth="1"/>
    <col min="2036" max="2036" width="9.53125" bestFit="1" customWidth="1"/>
    <col min="2037" max="2037" width="11.796875" bestFit="1" customWidth="1"/>
    <col min="2038" max="2038" width="9.53125" bestFit="1" customWidth="1"/>
    <col min="2039" max="2039" width="11.796875" bestFit="1" customWidth="1"/>
    <col min="2040" max="2040" width="9.53125" bestFit="1" customWidth="1"/>
    <col min="2041" max="2041" width="11.796875" bestFit="1" customWidth="1"/>
    <col min="2042" max="2042" width="9.53125" bestFit="1" customWidth="1"/>
    <col min="2043" max="2043" width="11.796875" bestFit="1" customWidth="1"/>
    <col min="2044" max="2044" width="9.53125" bestFit="1" customWidth="1"/>
    <col min="2045" max="2045" width="11.796875" bestFit="1" customWidth="1"/>
    <col min="2046" max="2046" width="9.53125" bestFit="1" customWidth="1"/>
    <col min="2047" max="2047" width="11.796875" bestFit="1" customWidth="1"/>
    <col min="2048" max="2048" width="8.53125" bestFit="1" customWidth="1"/>
    <col min="2049" max="2049" width="10.796875" bestFit="1" customWidth="1"/>
    <col min="2050" max="2050" width="9.53125" bestFit="1" customWidth="1"/>
    <col min="2051" max="2051" width="11.796875" bestFit="1" customWidth="1"/>
    <col min="2052" max="2052" width="9.53125" bestFit="1" customWidth="1"/>
    <col min="2053" max="2053" width="11.796875" bestFit="1" customWidth="1"/>
    <col min="2054" max="2054" width="9.53125" bestFit="1" customWidth="1"/>
    <col min="2055" max="2055" width="11.796875" bestFit="1" customWidth="1"/>
    <col min="2056" max="2056" width="9.53125" bestFit="1" customWidth="1"/>
    <col min="2057" max="2057" width="11.796875" bestFit="1" customWidth="1"/>
    <col min="2058" max="2058" width="9.53125" bestFit="1" customWidth="1"/>
    <col min="2059" max="2059" width="11.796875" bestFit="1" customWidth="1"/>
    <col min="2060" max="2060" width="8.53125" bestFit="1" customWidth="1"/>
    <col min="2061" max="2061" width="10.796875" bestFit="1" customWidth="1"/>
    <col min="2062" max="2062" width="6.53125" bestFit="1" customWidth="1"/>
    <col min="2063" max="2063" width="9.265625" bestFit="1" customWidth="1"/>
    <col min="2064" max="2064" width="9.53125" bestFit="1" customWidth="1"/>
    <col min="2065" max="2065" width="11.796875" bestFit="1" customWidth="1"/>
    <col min="2066" max="2066" width="9.53125" bestFit="1" customWidth="1"/>
    <col min="2067" max="2067" width="11.796875" bestFit="1" customWidth="1"/>
    <col min="2068" max="2068" width="9.53125" bestFit="1" customWidth="1"/>
    <col min="2069" max="2069" width="11.796875" bestFit="1" customWidth="1"/>
    <col min="2070" max="2070" width="9.53125" bestFit="1" customWidth="1"/>
    <col min="2071" max="2071" width="11.796875" bestFit="1" customWidth="1"/>
    <col min="2072" max="2072" width="9.53125" bestFit="1" customWidth="1"/>
    <col min="2073" max="2073" width="11.796875" bestFit="1" customWidth="1"/>
    <col min="2074" max="2074" width="9.53125" bestFit="1" customWidth="1"/>
    <col min="2075" max="2075" width="11.796875" bestFit="1" customWidth="1"/>
    <col min="2076" max="2076" width="9.53125" bestFit="1" customWidth="1"/>
    <col min="2077" max="2077" width="11.796875" bestFit="1" customWidth="1"/>
    <col min="2078" max="2078" width="9.53125" bestFit="1" customWidth="1"/>
    <col min="2079" max="2079" width="11.796875" bestFit="1" customWidth="1"/>
    <col min="2080" max="2080" width="9.53125" bestFit="1" customWidth="1"/>
    <col min="2081" max="2081" width="11.796875" bestFit="1" customWidth="1"/>
    <col min="2082" max="2082" width="8.53125" bestFit="1" customWidth="1"/>
    <col min="2083" max="2083" width="10.796875" bestFit="1" customWidth="1"/>
    <col min="2084" max="2084" width="8.53125" bestFit="1" customWidth="1"/>
    <col min="2085" max="2085" width="10.796875" bestFit="1" customWidth="1"/>
    <col min="2086" max="2086" width="9.53125" bestFit="1" customWidth="1"/>
    <col min="2087" max="2087" width="11.796875" bestFit="1" customWidth="1"/>
    <col min="2088" max="2088" width="9.53125" bestFit="1" customWidth="1"/>
    <col min="2089" max="2089" width="11.796875" bestFit="1" customWidth="1"/>
    <col min="2090" max="2090" width="9.53125" bestFit="1" customWidth="1"/>
    <col min="2091" max="2091" width="11.796875" bestFit="1" customWidth="1"/>
    <col min="2092" max="2092" width="9.53125" bestFit="1" customWidth="1"/>
    <col min="2093" max="2093" width="11.796875" bestFit="1" customWidth="1"/>
    <col min="2094" max="2094" width="9.53125" bestFit="1" customWidth="1"/>
    <col min="2095" max="2095" width="11.796875" bestFit="1" customWidth="1"/>
    <col min="2096" max="2096" width="9.53125" bestFit="1" customWidth="1"/>
    <col min="2097" max="2097" width="11.796875" bestFit="1" customWidth="1"/>
    <col min="2098" max="2098" width="9.53125" bestFit="1" customWidth="1"/>
    <col min="2099" max="2099" width="11.796875" bestFit="1" customWidth="1"/>
    <col min="2100" max="2100" width="9.53125" bestFit="1" customWidth="1"/>
    <col min="2101" max="2101" width="11.796875" bestFit="1" customWidth="1"/>
    <col min="2102" max="2102" width="9.53125" bestFit="1" customWidth="1"/>
    <col min="2103" max="2103" width="11.796875" bestFit="1" customWidth="1"/>
    <col min="2104" max="2104" width="9.53125" bestFit="1" customWidth="1"/>
    <col min="2105" max="2105" width="11.796875" bestFit="1" customWidth="1"/>
    <col min="2106" max="2106" width="9.53125" bestFit="1" customWidth="1"/>
    <col min="2107" max="2107" width="11.796875" bestFit="1" customWidth="1"/>
    <col min="2108" max="2108" width="9.53125" bestFit="1" customWidth="1"/>
    <col min="2109" max="2109" width="11.796875" bestFit="1" customWidth="1"/>
    <col min="2110" max="2110" width="9.53125" bestFit="1" customWidth="1"/>
    <col min="2111" max="2111" width="11.796875" bestFit="1" customWidth="1"/>
    <col min="2112" max="2112" width="9.53125" bestFit="1" customWidth="1"/>
    <col min="2113" max="2113" width="11.796875" bestFit="1" customWidth="1"/>
    <col min="2114" max="2114" width="9.53125" bestFit="1" customWidth="1"/>
    <col min="2115" max="2115" width="11.796875" bestFit="1" customWidth="1"/>
    <col min="2116" max="2116" width="9.53125" bestFit="1" customWidth="1"/>
    <col min="2117" max="2117" width="11.796875" bestFit="1" customWidth="1"/>
    <col min="2118" max="2118" width="9.53125" bestFit="1" customWidth="1"/>
    <col min="2119" max="2119" width="11.796875" bestFit="1" customWidth="1"/>
    <col min="2120" max="2120" width="8.53125" bestFit="1" customWidth="1"/>
    <col min="2121" max="2121" width="10.796875" bestFit="1" customWidth="1"/>
    <col min="2122" max="2122" width="9.53125" bestFit="1" customWidth="1"/>
    <col min="2123" max="2123" width="11.796875" bestFit="1" customWidth="1"/>
    <col min="2124" max="2124" width="9.53125" bestFit="1" customWidth="1"/>
    <col min="2125" max="2125" width="11.796875" bestFit="1" customWidth="1"/>
    <col min="2126" max="2126" width="9.53125" bestFit="1" customWidth="1"/>
    <col min="2127" max="2127" width="11.796875" bestFit="1" customWidth="1"/>
    <col min="2128" max="2128" width="9.53125" bestFit="1" customWidth="1"/>
    <col min="2129" max="2129" width="11.796875" bestFit="1" customWidth="1"/>
    <col min="2130" max="2130" width="9.53125" bestFit="1" customWidth="1"/>
    <col min="2131" max="2131" width="11.796875" bestFit="1" customWidth="1"/>
    <col min="2132" max="2132" width="8.53125" bestFit="1" customWidth="1"/>
    <col min="2133" max="2133" width="10.796875" bestFit="1" customWidth="1"/>
    <col min="2134" max="2134" width="9.53125" bestFit="1" customWidth="1"/>
    <col min="2135" max="2135" width="11.796875" bestFit="1" customWidth="1"/>
    <col min="2136" max="2136" width="9.53125" bestFit="1" customWidth="1"/>
    <col min="2137" max="2137" width="11.796875" bestFit="1" customWidth="1"/>
    <col min="2138" max="2138" width="9.53125" bestFit="1" customWidth="1"/>
    <col min="2139" max="2139" width="11.796875" bestFit="1" customWidth="1"/>
    <col min="2140" max="2140" width="9.53125" bestFit="1" customWidth="1"/>
    <col min="2141" max="2141" width="11.796875" bestFit="1" customWidth="1"/>
    <col min="2142" max="2142" width="9.53125" bestFit="1" customWidth="1"/>
    <col min="2143" max="2143" width="11.796875" bestFit="1" customWidth="1"/>
    <col min="2144" max="2144" width="9.53125" bestFit="1" customWidth="1"/>
    <col min="2145" max="2145" width="11.796875" bestFit="1" customWidth="1"/>
    <col min="2146" max="2146" width="8.53125" bestFit="1" customWidth="1"/>
    <col min="2147" max="2147" width="10.796875" bestFit="1" customWidth="1"/>
    <col min="2148" max="2148" width="8.53125" bestFit="1" customWidth="1"/>
    <col min="2149" max="2149" width="10.796875" bestFit="1" customWidth="1"/>
    <col min="2150" max="2150" width="9.53125" bestFit="1" customWidth="1"/>
    <col min="2151" max="2151" width="11.796875" bestFit="1" customWidth="1"/>
    <col min="2152" max="2152" width="9.53125" bestFit="1" customWidth="1"/>
    <col min="2153" max="2153" width="11.796875" bestFit="1" customWidth="1"/>
    <col min="2154" max="2154" width="9.53125" bestFit="1" customWidth="1"/>
    <col min="2155" max="2155" width="11.796875" bestFit="1" customWidth="1"/>
    <col min="2156" max="2156" width="9.53125" bestFit="1" customWidth="1"/>
    <col min="2157" max="2157" width="11.796875" bestFit="1" customWidth="1"/>
    <col min="2158" max="2158" width="9.53125" bestFit="1" customWidth="1"/>
    <col min="2159" max="2159" width="11.796875" bestFit="1" customWidth="1"/>
    <col min="2160" max="2160" width="9.53125" bestFit="1" customWidth="1"/>
    <col min="2161" max="2161" width="11.796875" bestFit="1" customWidth="1"/>
    <col min="2162" max="2162" width="9.53125" bestFit="1" customWidth="1"/>
    <col min="2163" max="2163" width="11.796875" bestFit="1" customWidth="1"/>
    <col min="2164" max="2164" width="9.53125" bestFit="1" customWidth="1"/>
    <col min="2165" max="2165" width="11.796875" bestFit="1" customWidth="1"/>
    <col min="2166" max="2166" width="9.53125" bestFit="1" customWidth="1"/>
    <col min="2167" max="2167" width="11.796875" bestFit="1" customWidth="1"/>
    <col min="2168" max="2168" width="9.53125" bestFit="1" customWidth="1"/>
    <col min="2169" max="2169" width="11.796875" bestFit="1" customWidth="1"/>
    <col min="2170" max="2170" width="9.53125" bestFit="1" customWidth="1"/>
    <col min="2171" max="2171" width="11.796875" bestFit="1" customWidth="1"/>
    <col min="2172" max="2172" width="9.53125" bestFit="1" customWidth="1"/>
    <col min="2173" max="2173" width="11.796875" bestFit="1" customWidth="1"/>
    <col min="2174" max="2174" width="9.53125" bestFit="1" customWidth="1"/>
    <col min="2175" max="2175" width="11.796875" bestFit="1" customWidth="1"/>
    <col min="2176" max="2176" width="9.53125" bestFit="1" customWidth="1"/>
    <col min="2177" max="2177" width="11.796875" bestFit="1" customWidth="1"/>
    <col min="2178" max="2178" width="9.53125" bestFit="1" customWidth="1"/>
    <col min="2179" max="2179" width="11.796875" bestFit="1" customWidth="1"/>
    <col min="2180" max="2180" width="9.53125" bestFit="1" customWidth="1"/>
    <col min="2181" max="2181" width="11.796875" bestFit="1" customWidth="1"/>
    <col min="2182" max="2182" width="9.53125" bestFit="1" customWidth="1"/>
    <col min="2183" max="2183" width="11.796875" bestFit="1" customWidth="1"/>
    <col min="2184" max="2184" width="9.53125" bestFit="1" customWidth="1"/>
    <col min="2185" max="2185" width="11.796875" bestFit="1" customWidth="1"/>
    <col min="2186" max="2186" width="9.53125" bestFit="1" customWidth="1"/>
    <col min="2187" max="2187" width="11.796875" bestFit="1" customWidth="1"/>
    <col min="2188" max="2188" width="9.53125" bestFit="1" customWidth="1"/>
    <col min="2189" max="2189" width="11.796875" bestFit="1" customWidth="1"/>
    <col min="2190" max="2190" width="9.53125" bestFit="1" customWidth="1"/>
    <col min="2191" max="2191" width="11.796875" bestFit="1" customWidth="1"/>
    <col min="2192" max="2192" width="9.53125" bestFit="1" customWidth="1"/>
    <col min="2193" max="2193" width="11.796875" bestFit="1" customWidth="1"/>
    <col min="2194" max="2194" width="9.53125" bestFit="1" customWidth="1"/>
    <col min="2195" max="2195" width="11.796875" bestFit="1" customWidth="1"/>
    <col min="2196" max="2196" width="9.53125" bestFit="1" customWidth="1"/>
    <col min="2197" max="2197" width="11.796875" bestFit="1" customWidth="1"/>
    <col min="2198" max="2198" width="9.53125" bestFit="1" customWidth="1"/>
    <col min="2199" max="2199" width="11.796875" bestFit="1" customWidth="1"/>
    <col min="2200" max="2200" width="9.53125" bestFit="1" customWidth="1"/>
    <col min="2201" max="2201" width="11.796875" bestFit="1" customWidth="1"/>
    <col min="2202" max="2202" width="9.53125" bestFit="1" customWidth="1"/>
    <col min="2203" max="2203" width="11.796875" bestFit="1" customWidth="1"/>
    <col min="2204" max="2204" width="9.53125" bestFit="1" customWidth="1"/>
    <col min="2205" max="2205" width="11.796875" bestFit="1" customWidth="1"/>
    <col min="2206" max="2206" width="9.53125" bestFit="1" customWidth="1"/>
    <col min="2207" max="2207" width="11.796875" bestFit="1" customWidth="1"/>
    <col min="2208" max="2208" width="9.53125" bestFit="1" customWidth="1"/>
    <col min="2209" max="2209" width="11.796875" bestFit="1" customWidth="1"/>
    <col min="2210" max="2210" width="8.53125" bestFit="1" customWidth="1"/>
    <col min="2211" max="2211" width="10.796875" bestFit="1" customWidth="1"/>
    <col min="2212" max="2212" width="9.53125" bestFit="1" customWidth="1"/>
    <col min="2213" max="2213" width="11.796875" bestFit="1" customWidth="1"/>
    <col min="2214" max="2214" width="9.53125" bestFit="1" customWidth="1"/>
    <col min="2215" max="2215" width="11.796875" bestFit="1" customWidth="1"/>
    <col min="2216" max="2216" width="9.53125" bestFit="1" customWidth="1"/>
    <col min="2217" max="2217" width="11.796875" bestFit="1" customWidth="1"/>
    <col min="2218" max="2218" width="9.53125" bestFit="1" customWidth="1"/>
    <col min="2219" max="2219" width="11.796875" bestFit="1" customWidth="1"/>
    <col min="2220" max="2220" width="9.53125" bestFit="1" customWidth="1"/>
    <col min="2221" max="2221" width="11.796875" bestFit="1" customWidth="1"/>
    <col min="2222" max="2222" width="9.53125" bestFit="1" customWidth="1"/>
    <col min="2223" max="2223" width="11.796875" bestFit="1" customWidth="1"/>
    <col min="2224" max="2224" width="9.53125" bestFit="1" customWidth="1"/>
    <col min="2225" max="2225" width="11.796875" bestFit="1" customWidth="1"/>
    <col min="2226" max="2226" width="9.53125" bestFit="1" customWidth="1"/>
    <col min="2227" max="2227" width="11.796875" bestFit="1" customWidth="1"/>
    <col min="2228" max="2228" width="9.53125" bestFit="1" customWidth="1"/>
    <col min="2229" max="2229" width="11.796875" bestFit="1" customWidth="1"/>
    <col min="2230" max="2230" width="9.53125" bestFit="1" customWidth="1"/>
    <col min="2231" max="2231" width="11.796875" bestFit="1" customWidth="1"/>
    <col min="2232" max="2232" width="9.53125" bestFit="1" customWidth="1"/>
    <col min="2233" max="2233" width="11.796875" bestFit="1" customWidth="1"/>
    <col min="2234" max="2234" width="9.53125" bestFit="1" customWidth="1"/>
    <col min="2235" max="2235" width="11.796875" bestFit="1" customWidth="1"/>
    <col min="2236" max="2236" width="8.53125" bestFit="1" customWidth="1"/>
    <col min="2237" max="2237" width="10.796875" bestFit="1" customWidth="1"/>
    <col min="2238" max="2238" width="9.53125" bestFit="1" customWidth="1"/>
    <col min="2239" max="2239" width="11.796875" bestFit="1" customWidth="1"/>
    <col min="2240" max="2240" width="9.53125" bestFit="1" customWidth="1"/>
    <col min="2241" max="2241" width="11.796875" bestFit="1" customWidth="1"/>
    <col min="2242" max="2242" width="9.53125" bestFit="1" customWidth="1"/>
    <col min="2243" max="2243" width="11.796875" bestFit="1" customWidth="1"/>
    <col min="2244" max="2244" width="9.53125" bestFit="1" customWidth="1"/>
    <col min="2245" max="2245" width="11.796875" bestFit="1" customWidth="1"/>
    <col min="2246" max="2246" width="9.53125" bestFit="1" customWidth="1"/>
    <col min="2247" max="2247" width="11.796875" bestFit="1" customWidth="1"/>
    <col min="2248" max="2248" width="9.53125" bestFit="1" customWidth="1"/>
    <col min="2249" max="2249" width="11.796875" bestFit="1" customWidth="1"/>
    <col min="2250" max="2250" width="8.53125" bestFit="1" customWidth="1"/>
    <col min="2251" max="2251" width="10.796875" bestFit="1" customWidth="1"/>
    <col min="2252" max="2252" width="8.53125" bestFit="1" customWidth="1"/>
    <col min="2253" max="2253" width="10.796875" bestFit="1" customWidth="1"/>
    <col min="2254" max="2254" width="9.53125" bestFit="1" customWidth="1"/>
    <col min="2255" max="2255" width="11.796875" bestFit="1" customWidth="1"/>
    <col min="2256" max="2256" width="9.53125" bestFit="1" customWidth="1"/>
    <col min="2257" max="2257" width="11.796875" bestFit="1" customWidth="1"/>
    <col min="2258" max="2258" width="9.53125" bestFit="1" customWidth="1"/>
    <col min="2259" max="2259" width="11.796875" bestFit="1" customWidth="1"/>
    <col min="2260" max="2260" width="9.53125" bestFit="1" customWidth="1"/>
    <col min="2261" max="2261" width="11.796875" bestFit="1" customWidth="1"/>
    <col min="2262" max="2262" width="9.53125" bestFit="1" customWidth="1"/>
    <col min="2263" max="2263" width="11.796875" bestFit="1" customWidth="1"/>
    <col min="2264" max="2264" width="9.53125" bestFit="1" customWidth="1"/>
    <col min="2265" max="2265" width="11.796875" bestFit="1" customWidth="1"/>
    <col min="2266" max="2266" width="9.53125" bestFit="1" customWidth="1"/>
    <col min="2267" max="2267" width="11.796875" bestFit="1" customWidth="1"/>
    <col min="2268" max="2268" width="9.53125" bestFit="1" customWidth="1"/>
    <col min="2269" max="2269" width="11.796875" bestFit="1" customWidth="1"/>
    <col min="2270" max="2270" width="9.53125" bestFit="1" customWidth="1"/>
    <col min="2271" max="2271" width="11.796875" bestFit="1" customWidth="1"/>
    <col min="2272" max="2272" width="9.53125" bestFit="1" customWidth="1"/>
    <col min="2273" max="2273" width="11.796875" bestFit="1" customWidth="1"/>
    <col min="2274" max="2274" width="9.53125" bestFit="1" customWidth="1"/>
    <col min="2275" max="2275" width="11.796875" bestFit="1" customWidth="1"/>
    <col min="2276" max="2276" width="9.53125" bestFit="1" customWidth="1"/>
    <col min="2277" max="2277" width="11.796875" bestFit="1" customWidth="1"/>
    <col min="2278" max="2278" width="8.53125" bestFit="1" customWidth="1"/>
    <col min="2279" max="2279" width="10.796875" bestFit="1" customWidth="1"/>
    <col min="2280" max="2280" width="8.53125" bestFit="1" customWidth="1"/>
    <col min="2281" max="2281" width="10.796875" bestFit="1" customWidth="1"/>
    <col min="2282" max="2282" width="9.53125" bestFit="1" customWidth="1"/>
    <col min="2283" max="2283" width="11.796875" bestFit="1" customWidth="1"/>
    <col min="2284" max="2284" width="9.53125" bestFit="1" customWidth="1"/>
    <col min="2285" max="2285" width="11.796875" bestFit="1" customWidth="1"/>
    <col min="2286" max="2286" width="8.53125" bestFit="1" customWidth="1"/>
    <col min="2287" max="2287" width="10.796875" bestFit="1" customWidth="1"/>
    <col min="2288" max="2288" width="9.53125" bestFit="1" customWidth="1"/>
    <col min="2289" max="2289" width="11.796875" bestFit="1" customWidth="1"/>
    <col min="2290" max="2290" width="8.53125" bestFit="1" customWidth="1"/>
    <col min="2291" max="2291" width="10.796875" bestFit="1" customWidth="1"/>
    <col min="2292" max="2292" width="9.53125" bestFit="1" customWidth="1"/>
    <col min="2293" max="2293" width="11.796875" bestFit="1" customWidth="1"/>
    <col min="2294" max="2294" width="9.53125" bestFit="1" customWidth="1"/>
    <col min="2295" max="2295" width="11.796875" bestFit="1" customWidth="1"/>
    <col min="2296" max="2296" width="9.53125" bestFit="1" customWidth="1"/>
    <col min="2297" max="2297" width="11.796875" bestFit="1" customWidth="1"/>
    <col min="2298" max="2298" width="8.53125" bestFit="1" customWidth="1"/>
    <col min="2299" max="2299" width="10.796875" bestFit="1" customWidth="1"/>
    <col min="2300" max="2300" width="9.53125" bestFit="1" customWidth="1"/>
    <col min="2301" max="2301" width="11.796875" bestFit="1" customWidth="1"/>
    <col min="2302" max="2302" width="9.53125" bestFit="1" customWidth="1"/>
    <col min="2303" max="2303" width="11.796875" bestFit="1" customWidth="1"/>
    <col min="2304" max="2304" width="9.53125" bestFit="1" customWidth="1"/>
    <col min="2305" max="2305" width="11.796875" bestFit="1" customWidth="1"/>
    <col min="2306" max="2306" width="9.53125" bestFit="1" customWidth="1"/>
    <col min="2307" max="2307" width="11.796875" bestFit="1" customWidth="1"/>
    <col min="2308" max="2308" width="9.53125" bestFit="1" customWidth="1"/>
    <col min="2309" max="2309" width="11.796875" bestFit="1" customWidth="1"/>
    <col min="2310" max="2310" width="8.53125" bestFit="1" customWidth="1"/>
    <col min="2311" max="2311" width="10.796875" bestFit="1" customWidth="1"/>
    <col min="2312" max="2312" width="9.53125" bestFit="1" customWidth="1"/>
    <col min="2313" max="2313" width="11.796875" bestFit="1" customWidth="1"/>
    <col min="2314" max="2314" width="9.53125" bestFit="1" customWidth="1"/>
    <col min="2315" max="2315" width="11.796875" bestFit="1" customWidth="1"/>
    <col min="2316" max="2316" width="9.53125" bestFit="1" customWidth="1"/>
    <col min="2317" max="2317" width="11.796875" bestFit="1" customWidth="1"/>
    <col min="2318" max="2318" width="9.53125" bestFit="1" customWidth="1"/>
    <col min="2319" max="2319" width="11.796875" bestFit="1" customWidth="1"/>
    <col min="2320" max="2320" width="9.53125" bestFit="1" customWidth="1"/>
    <col min="2321" max="2321" width="11.796875" bestFit="1" customWidth="1"/>
    <col min="2322" max="2322" width="9.53125" bestFit="1" customWidth="1"/>
    <col min="2323" max="2323" width="11.796875" bestFit="1" customWidth="1"/>
    <col min="2324" max="2324" width="9.53125" bestFit="1" customWidth="1"/>
    <col min="2325" max="2325" width="11.796875" bestFit="1" customWidth="1"/>
    <col min="2326" max="2326" width="6.53125" bestFit="1" customWidth="1"/>
    <col min="2327" max="2327" width="9.265625" bestFit="1" customWidth="1"/>
    <col min="2328" max="2328" width="9.53125" bestFit="1" customWidth="1"/>
    <col min="2329" max="2329" width="11.796875" bestFit="1" customWidth="1"/>
    <col min="2330" max="2330" width="8.53125" bestFit="1" customWidth="1"/>
    <col min="2331" max="2331" width="10.796875" bestFit="1" customWidth="1"/>
    <col min="2332" max="2332" width="8.53125" bestFit="1" customWidth="1"/>
    <col min="2333" max="2333" width="10.796875" bestFit="1" customWidth="1"/>
    <col min="2334" max="2334" width="9.53125" bestFit="1" customWidth="1"/>
    <col min="2335" max="2335" width="11.796875" bestFit="1" customWidth="1"/>
    <col min="2336" max="2336" width="9.53125" bestFit="1" customWidth="1"/>
    <col min="2337" max="2337" width="11.796875" bestFit="1" customWidth="1"/>
    <col min="2338" max="2338" width="9.53125" bestFit="1" customWidth="1"/>
    <col min="2339" max="2339" width="11.796875" bestFit="1" customWidth="1"/>
    <col min="2340" max="2340" width="9.53125" bestFit="1" customWidth="1"/>
    <col min="2341" max="2341" width="11.796875" bestFit="1" customWidth="1"/>
    <col min="2342" max="2342" width="9.53125" bestFit="1" customWidth="1"/>
    <col min="2343" max="2343" width="11.796875" bestFit="1" customWidth="1"/>
    <col min="2344" max="2344" width="8.53125" bestFit="1" customWidth="1"/>
    <col min="2345" max="2345" width="10.796875" bestFit="1" customWidth="1"/>
    <col min="2346" max="2346" width="9.53125" bestFit="1" customWidth="1"/>
    <col min="2347" max="2347" width="11.796875" bestFit="1" customWidth="1"/>
    <col min="2348" max="2348" width="9.53125" bestFit="1" customWidth="1"/>
    <col min="2349" max="2349" width="11.796875" bestFit="1" customWidth="1"/>
    <col min="2350" max="2350" width="9.53125" bestFit="1" customWidth="1"/>
    <col min="2351" max="2351" width="11.796875" bestFit="1" customWidth="1"/>
    <col min="2352" max="2352" width="9.53125" bestFit="1" customWidth="1"/>
    <col min="2353" max="2353" width="11.796875" bestFit="1" customWidth="1"/>
    <col min="2354" max="2354" width="9.53125" bestFit="1" customWidth="1"/>
    <col min="2355" max="2355" width="11.796875" bestFit="1" customWidth="1"/>
    <col min="2356" max="2356" width="9.53125" bestFit="1" customWidth="1"/>
    <col min="2357" max="2357" width="11.796875" bestFit="1" customWidth="1"/>
    <col min="2358" max="2358" width="9.53125" bestFit="1" customWidth="1"/>
    <col min="2359" max="2359" width="11.796875" bestFit="1" customWidth="1"/>
    <col min="2360" max="2360" width="9.53125" bestFit="1" customWidth="1"/>
    <col min="2361" max="2361" width="11.796875" bestFit="1" customWidth="1"/>
    <col min="2362" max="2362" width="8.53125" bestFit="1" customWidth="1"/>
    <col min="2363" max="2363" width="10.796875" bestFit="1" customWidth="1"/>
    <col min="2364" max="2364" width="9.53125" bestFit="1" customWidth="1"/>
    <col min="2365" max="2365" width="11.796875" bestFit="1" customWidth="1"/>
    <col min="2366" max="2366" width="9.53125" bestFit="1" customWidth="1"/>
    <col min="2367" max="2367" width="11.796875" bestFit="1" customWidth="1"/>
    <col min="2368" max="2368" width="9.53125" bestFit="1" customWidth="1"/>
    <col min="2369" max="2369" width="11.796875" bestFit="1" customWidth="1"/>
    <col min="2370" max="2370" width="9.53125" bestFit="1" customWidth="1"/>
    <col min="2371" max="2371" width="11.796875" bestFit="1" customWidth="1"/>
    <col min="2372" max="2372" width="9.53125" bestFit="1" customWidth="1"/>
    <col min="2373" max="2373" width="11.796875" bestFit="1" customWidth="1"/>
    <col min="2374" max="2374" width="9.53125" bestFit="1" customWidth="1"/>
    <col min="2375" max="2375" width="11.796875" bestFit="1" customWidth="1"/>
    <col min="2376" max="2376" width="9.53125" bestFit="1" customWidth="1"/>
    <col min="2377" max="2377" width="11.796875" bestFit="1" customWidth="1"/>
    <col min="2378" max="2378" width="9.53125" bestFit="1" customWidth="1"/>
    <col min="2379" max="2379" width="11.796875" bestFit="1" customWidth="1"/>
    <col min="2380" max="2380" width="9.53125" bestFit="1" customWidth="1"/>
    <col min="2381" max="2381" width="11.796875" bestFit="1" customWidth="1"/>
    <col min="2382" max="2382" width="9.53125" bestFit="1" customWidth="1"/>
    <col min="2383" max="2383" width="11.796875" bestFit="1" customWidth="1"/>
    <col min="2384" max="2384" width="9.53125" bestFit="1" customWidth="1"/>
    <col min="2385" max="2385" width="11.796875" bestFit="1" customWidth="1"/>
    <col min="2386" max="2386" width="9.53125" bestFit="1" customWidth="1"/>
    <col min="2387" max="2387" width="11.796875" bestFit="1" customWidth="1"/>
    <col min="2388" max="2388" width="8.53125" bestFit="1" customWidth="1"/>
    <col min="2389" max="2389" width="10.796875" bestFit="1" customWidth="1"/>
    <col min="2390" max="2390" width="9.53125" bestFit="1" customWidth="1"/>
    <col min="2391" max="2391" width="11.796875" bestFit="1" customWidth="1"/>
    <col min="2392" max="2392" width="9.53125" bestFit="1" customWidth="1"/>
    <col min="2393" max="2393" width="11.796875" bestFit="1" customWidth="1"/>
    <col min="2394" max="2394" width="6.53125" bestFit="1" customWidth="1"/>
    <col min="2395" max="2395" width="9.265625" bestFit="1" customWidth="1"/>
    <col min="2396" max="2396" width="9.53125" bestFit="1" customWidth="1"/>
    <col min="2397" max="2397" width="11.796875" bestFit="1" customWidth="1"/>
    <col min="2398" max="2398" width="9.53125" bestFit="1" customWidth="1"/>
    <col min="2399" max="2399" width="11.796875" bestFit="1" customWidth="1"/>
    <col min="2400" max="2400" width="9.53125" bestFit="1" customWidth="1"/>
    <col min="2401" max="2401" width="11.796875" bestFit="1" customWidth="1"/>
    <col min="2402" max="2402" width="9.53125" bestFit="1" customWidth="1"/>
    <col min="2403" max="2403" width="11.796875" bestFit="1" customWidth="1"/>
    <col min="2404" max="2404" width="9.53125" bestFit="1" customWidth="1"/>
    <col min="2405" max="2405" width="11.796875" bestFit="1" customWidth="1"/>
    <col min="2406" max="2406" width="9.53125" bestFit="1" customWidth="1"/>
    <col min="2407" max="2407" width="11.796875" bestFit="1" customWidth="1"/>
    <col min="2408" max="2408" width="9.53125" bestFit="1" customWidth="1"/>
    <col min="2409" max="2409" width="11.796875" bestFit="1" customWidth="1"/>
    <col min="2410" max="2410" width="9.53125" bestFit="1" customWidth="1"/>
    <col min="2411" max="2411" width="11.796875" bestFit="1" customWidth="1"/>
    <col min="2412" max="2412" width="9.53125" bestFit="1" customWidth="1"/>
    <col min="2413" max="2413" width="11.796875" bestFit="1" customWidth="1"/>
    <col min="2414" max="2414" width="9.53125" bestFit="1" customWidth="1"/>
    <col min="2415" max="2415" width="11.796875" bestFit="1" customWidth="1"/>
    <col min="2416" max="2416" width="9.53125" bestFit="1" customWidth="1"/>
    <col min="2417" max="2417" width="11.796875" bestFit="1" customWidth="1"/>
    <col min="2418" max="2418" width="9.53125" bestFit="1" customWidth="1"/>
    <col min="2419" max="2419" width="11.796875" bestFit="1" customWidth="1"/>
    <col min="2420" max="2420" width="9.53125" bestFit="1" customWidth="1"/>
    <col min="2421" max="2421" width="11.796875" bestFit="1" customWidth="1"/>
    <col min="2422" max="2422" width="9.53125" bestFit="1" customWidth="1"/>
    <col min="2423" max="2423" width="11.796875" bestFit="1" customWidth="1"/>
    <col min="2424" max="2424" width="9.53125" bestFit="1" customWidth="1"/>
    <col min="2425" max="2425" width="11.796875" bestFit="1" customWidth="1"/>
    <col min="2426" max="2426" width="9.53125" bestFit="1" customWidth="1"/>
    <col min="2427" max="2427" width="11.796875" bestFit="1" customWidth="1"/>
    <col min="2428" max="2428" width="9.53125" bestFit="1" customWidth="1"/>
    <col min="2429" max="2429" width="11.796875" bestFit="1" customWidth="1"/>
    <col min="2430" max="2430" width="9.53125" bestFit="1" customWidth="1"/>
    <col min="2431" max="2431" width="11.796875" bestFit="1" customWidth="1"/>
    <col min="2432" max="2432" width="9.53125" bestFit="1" customWidth="1"/>
    <col min="2433" max="2433" width="11.796875" bestFit="1" customWidth="1"/>
    <col min="2434" max="2434" width="9.53125" bestFit="1" customWidth="1"/>
    <col min="2435" max="2435" width="11.796875" bestFit="1" customWidth="1"/>
    <col min="2436" max="2436" width="9.53125" bestFit="1" customWidth="1"/>
    <col min="2437" max="2437" width="11.796875" bestFit="1" customWidth="1"/>
    <col min="2438" max="2438" width="9.53125" bestFit="1" customWidth="1"/>
    <col min="2439" max="2439" width="11.796875" bestFit="1" customWidth="1"/>
    <col min="2440" max="2440" width="9.53125" bestFit="1" customWidth="1"/>
    <col min="2441" max="2441" width="11.796875" bestFit="1" customWidth="1"/>
    <col min="2442" max="2442" width="9.53125" bestFit="1" customWidth="1"/>
    <col min="2443" max="2443" width="11.796875" bestFit="1" customWidth="1"/>
    <col min="2444" max="2444" width="9.53125" bestFit="1" customWidth="1"/>
    <col min="2445" max="2445" width="11.796875" bestFit="1" customWidth="1"/>
    <col min="2446" max="2446" width="9.53125" bestFit="1" customWidth="1"/>
    <col min="2447" max="2447" width="11.796875" bestFit="1" customWidth="1"/>
    <col min="2448" max="2448" width="9.53125" bestFit="1" customWidth="1"/>
    <col min="2449" max="2449" width="11.796875" bestFit="1" customWidth="1"/>
    <col min="2450" max="2450" width="9.53125" bestFit="1" customWidth="1"/>
    <col min="2451" max="2451" width="11.796875" bestFit="1" customWidth="1"/>
    <col min="2452" max="2452" width="9.53125" bestFit="1" customWidth="1"/>
    <col min="2453" max="2453" width="11.796875" bestFit="1" customWidth="1"/>
    <col min="2454" max="2454" width="9.53125" bestFit="1" customWidth="1"/>
    <col min="2455" max="2455" width="11.796875" bestFit="1" customWidth="1"/>
    <col min="2456" max="2456" width="9.53125" bestFit="1" customWidth="1"/>
    <col min="2457" max="2457" width="11.796875" bestFit="1" customWidth="1"/>
    <col min="2458" max="2458" width="9.53125" bestFit="1" customWidth="1"/>
    <col min="2459" max="2459" width="11.796875" bestFit="1" customWidth="1"/>
    <col min="2460" max="2460" width="9.53125" bestFit="1" customWidth="1"/>
    <col min="2461" max="2461" width="11.796875" bestFit="1" customWidth="1"/>
    <col min="2462" max="2462" width="9.53125" bestFit="1" customWidth="1"/>
    <col min="2463" max="2463" width="11.796875" bestFit="1" customWidth="1"/>
    <col min="2464" max="2464" width="9.53125" bestFit="1" customWidth="1"/>
    <col min="2465" max="2465" width="11.796875" bestFit="1" customWidth="1"/>
    <col min="2466" max="2466" width="9.53125" bestFit="1" customWidth="1"/>
    <col min="2467" max="2467" width="11.796875" bestFit="1" customWidth="1"/>
    <col min="2468" max="2468" width="9.53125" bestFit="1" customWidth="1"/>
    <col min="2469" max="2469" width="11.796875" bestFit="1" customWidth="1"/>
    <col min="2470" max="2470" width="9.53125" bestFit="1" customWidth="1"/>
    <col min="2471" max="2471" width="11.796875" bestFit="1" customWidth="1"/>
    <col min="2472" max="2472" width="9.53125" bestFit="1" customWidth="1"/>
    <col min="2473" max="2473" width="11.796875" bestFit="1" customWidth="1"/>
    <col min="2474" max="2474" width="9.53125" bestFit="1" customWidth="1"/>
    <col min="2475" max="2475" width="11.796875" bestFit="1" customWidth="1"/>
    <col min="2476" max="2476" width="9.53125" bestFit="1" customWidth="1"/>
    <col min="2477" max="2477" width="11.796875" bestFit="1" customWidth="1"/>
    <col min="2478" max="2478" width="9.53125" bestFit="1" customWidth="1"/>
    <col min="2479" max="2479" width="11.796875" bestFit="1" customWidth="1"/>
    <col min="2480" max="2480" width="9.53125" bestFit="1" customWidth="1"/>
    <col min="2481" max="2481" width="11.796875" bestFit="1" customWidth="1"/>
    <col min="2482" max="2482" width="9.53125" bestFit="1" customWidth="1"/>
    <col min="2483" max="2483" width="11.796875" bestFit="1" customWidth="1"/>
    <col min="2484" max="2484" width="8.53125" bestFit="1" customWidth="1"/>
    <col min="2485" max="2485" width="10.796875" bestFit="1" customWidth="1"/>
    <col min="2486" max="2486" width="9.53125" bestFit="1" customWidth="1"/>
    <col min="2487" max="2487" width="11.796875" bestFit="1" customWidth="1"/>
    <col min="2488" max="2488" width="9.53125" bestFit="1" customWidth="1"/>
    <col min="2489" max="2489" width="11.796875" bestFit="1" customWidth="1"/>
    <col min="2490" max="2490" width="9.53125" bestFit="1" customWidth="1"/>
    <col min="2491" max="2491" width="11.796875" bestFit="1" customWidth="1"/>
    <col min="2492" max="2492" width="9.53125" bestFit="1" customWidth="1"/>
    <col min="2493" max="2493" width="11.796875" bestFit="1" customWidth="1"/>
    <col min="2494" max="2494" width="9.53125" bestFit="1" customWidth="1"/>
    <col min="2495" max="2495" width="11.796875" bestFit="1" customWidth="1"/>
    <col min="2496" max="2496" width="9.53125" bestFit="1" customWidth="1"/>
    <col min="2497" max="2497" width="11.796875" bestFit="1" customWidth="1"/>
    <col min="2498" max="2498" width="9.53125" bestFit="1" customWidth="1"/>
    <col min="2499" max="2499" width="11.796875" bestFit="1" customWidth="1"/>
    <col min="2500" max="2500" width="9.53125" bestFit="1" customWidth="1"/>
    <col min="2501" max="2501" width="11.796875" bestFit="1" customWidth="1"/>
    <col min="2502" max="2502" width="9.53125" bestFit="1" customWidth="1"/>
    <col min="2503" max="2503" width="11.796875" bestFit="1" customWidth="1"/>
    <col min="2504" max="2504" width="9.53125" bestFit="1" customWidth="1"/>
    <col min="2505" max="2505" width="11.796875" bestFit="1" customWidth="1"/>
    <col min="2506" max="2506" width="9.53125" bestFit="1" customWidth="1"/>
    <col min="2507" max="2507" width="11.796875" bestFit="1" customWidth="1"/>
    <col min="2508" max="2508" width="9.53125" bestFit="1" customWidth="1"/>
    <col min="2509" max="2509" width="11.796875" bestFit="1" customWidth="1"/>
    <col min="2510" max="2510" width="9.53125" bestFit="1" customWidth="1"/>
    <col min="2511" max="2511" width="11.796875" bestFit="1" customWidth="1"/>
    <col min="2512" max="2512" width="9.53125" bestFit="1" customWidth="1"/>
    <col min="2513" max="2513" width="11.796875" bestFit="1" customWidth="1"/>
    <col min="2514" max="2514" width="9.53125" bestFit="1" customWidth="1"/>
    <col min="2515" max="2515" width="11.796875" bestFit="1" customWidth="1"/>
    <col min="2516" max="2516" width="9.53125" bestFit="1" customWidth="1"/>
    <col min="2517" max="2517" width="11.796875" bestFit="1" customWidth="1"/>
    <col min="2518" max="2518" width="9.53125" bestFit="1" customWidth="1"/>
    <col min="2519" max="2519" width="11.796875" bestFit="1" customWidth="1"/>
    <col min="2520" max="2520" width="9.53125" bestFit="1" customWidth="1"/>
    <col min="2521" max="2521" width="11.796875" bestFit="1" customWidth="1"/>
    <col min="2522" max="2522" width="8.53125" bestFit="1" customWidth="1"/>
    <col min="2523" max="2523" width="10.796875" bestFit="1" customWidth="1"/>
    <col min="2524" max="2524" width="9.53125" bestFit="1" customWidth="1"/>
    <col min="2525" max="2525" width="11.796875" bestFit="1" customWidth="1"/>
    <col min="2526" max="2526" width="8.53125" bestFit="1" customWidth="1"/>
    <col min="2527" max="2527" width="10.796875" bestFit="1" customWidth="1"/>
    <col min="2528" max="2528" width="9.53125" bestFit="1" customWidth="1"/>
    <col min="2529" max="2529" width="11.796875" bestFit="1" customWidth="1"/>
    <col min="2530" max="2530" width="9.53125" bestFit="1" customWidth="1"/>
    <col min="2531" max="2531" width="11.796875" bestFit="1" customWidth="1"/>
    <col min="2532" max="2532" width="9.53125" bestFit="1" customWidth="1"/>
    <col min="2533" max="2533" width="11.796875" bestFit="1" customWidth="1"/>
    <col min="2534" max="2534" width="8.53125" bestFit="1" customWidth="1"/>
    <col min="2535" max="2535" width="10.796875" bestFit="1" customWidth="1"/>
    <col min="2536" max="2536" width="9.53125" bestFit="1" customWidth="1"/>
    <col min="2537" max="2537" width="11.796875" bestFit="1" customWidth="1"/>
    <col min="2538" max="2538" width="9.53125" bestFit="1" customWidth="1"/>
    <col min="2539" max="2539" width="11.796875" bestFit="1" customWidth="1"/>
    <col min="2540" max="2540" width="9.53125" bestFit="1" customWidth="1"/>
    <col min="2541" max="2541" width="11.796875" bestFit="1" customWidth="1"/>
    <col min="2542" max="2542" width="8.53125" bestFit="1" customWidth="1"/>
    <col min="2543" max="2543" width="10.796875" bestFit="1" customWidth="1"/>
    <col min="2544" max="2544" width="9.53125" bestFit="1" customWidth="1"/>
    <col min="2545" max="2545" width="11.796875" bestFit="1" customWidth="1"/>
    <col min="2546" max="2546" width="9.53125" bestFit="1" customWidth="1"/>
    <col min="2547" max="2547" width="11.796875" bestFit="1" customWidth="1"/>
    <col min="2548" max="2548" width="9.53125" bestFit="1" customWidth="1"/>
    <col min="2549" max="2549" width="11.796875" bestFit="1" customWidth="1"/>
    <col min="2550" max="2550" width="9.53125" bestFit="1" customWidth="1"/>
    <col min="2551" max="2551" width="11.796875" bestFit="1" customWidth="1"/>
    <col min="2552" max="2552" width="9.53125" bestFit="1" customWidth="1"/>
    <col min="2553" max="2553" width="11.796875" bestFit="1" customWidth="1"/>
    <col min="2554" max="2554" width="9.53125" bestFit="1" customWidth="1"/>
    <col min="2555" max="2555" width="11.796875" bestFit="1" customWidth="1"/>
    <col min="2556" max="2556" width="9.53125" bestFit="1" customWidth="1"/>
    <col min="2557" max="2557" width="11.796875" bestFit="1" customWidth="1"/>
    <col min="2558" max="2558" width="8.53125" bestFit="1" customWidth="1"/>
    <col min="2559" max="2559" width="10.796875" bestFit="1" customWidth="1"/>
    <col min="2560" max="2560" width="9.53125" bestFit="1" customWidth="1"/>
    <col min="2561" max="2561" width="11.796875" bestFit="1" customWidth="1"/>
    <col min="2562" max="2562" width="9.53125" bestFit="1" customWidth="1"/>
    <col min="2563" max="2563" width="11.796875" bestFit="1" customWidth="1"/>
    <col min="2564" max="2564" width="9.53125" bestFit="1" customWidth="1"/>
    <col min="2565" max="2565" width="11.796875" bestFit="1" customWidth="1"/>
    <col min="2566" max="2566" width="9.53125" bestFit="1" customWidth="1"/>
    <col min="2567" max="2567" width="11.796875" bestFit="1" customWidth="1"/>
    <col min="2568" max="2568" width="9.53125" bestFit="1" customWidth="1"/>
    <col min="2569" max="2569" width="11.796875" bestFit="1" customWidth="1"/>
    <col min="2570" max="2570" width="9.53125" bestFit="1" customWidth="1"/>
    <col min="2571" max="2571" width="11.796875" bestFit="1" customWidth="1"/>
    <col min="2572" max="2572" width="9.53125" bestFit="1" customWidth="1"/>
    <col min="2573" max="2573" width="11.796875" bestFit="1" customWidth="1"/>
    <col min="2574" max="2574" width="9.53125" bestFit="1" customWidth="1"/>
    <col min="2575" max="2575" width="11.796875" bestFit="1" customWidth="1"/>
    <col min="2576" max="2576" width="9.53125" bestFit="1" customWidth="1"/>
    <col min="2577" max="2577" width="11.796875" bestFit="1" customWidth="1"/>
    <col min="2578" max="2578" width="9.53125" bestFit="1" customWidth="1"/>
    <col min="2579" max="2579" width="11.796875" bestFit="1" customWidth="1"/>
    <col min="2580" max="2580" width="9.53125" bestFit="1" customWidth="1"/>
    <col min="2581" max="2581" width="11.796875" bestFit="1" customWidth="1"/>
    <col min="2582" max="2582" width="9.53125" bestFit="1" customWidth="1"/>
    <col min="2583" max="2583" width="11.796875" bestFit="1" customWidth="1"/>
    <col min="2584" max="2584" width="9.53125" bestFit="1" customWidth="1"/>
    <col min="2585" max="2585" width="11.796875" bestFit="1" customWidth="1"/>
    <col min="2586" max="2586" width="9.53125" bestFit="1" customWidth="1"/>
    <col min="2587" max="2587" width="11.796875" bestFit="1" customWidth="1"/>
    <col min="2588" max="2588" width="9.53125" bestFit="1" customWidth="1"/>
    <col min="2589" max="2589" width="11.796875" bestFit="1" customWidth="1"/>
    <col min="2590" max="2590" width="9.53125" bestFit="1" customWidth="1"/>
    <col min="2591" max="2591" width="11.796875" bestFit="1" customWidth="1"/>
    <col min="2592" max="2592" width="9.53125" bestFit="1" customWidth="1"/>
    <col min="2593" max="2593" width="11.796875" bestFit="1" customWidth="1"/>
    <col min="2594" max="2594" width="9.53125" bestFit="1" customWidth="1"/>
    <col min="2595" max="2595" width="11.796875" bestFit="1" customWidth="1"/>
    <col min="2596" max="2596" width="9.53125" bestFit="1" customWidth="1"/>
    <col min="2597" max="2597" width="11.796875" bestFit="1" customWidth="1"/>
    <col min="2598" max="2598" width="9.53125" bestFit="1" customWidth="1"/>
    <col min="2599" max="2599" width="11.796875" bestFit="1" customWidth="1"/>
    <col min="2600" max="2600" width="9.53125" bestFit="1" customWidth="1"/>
    <col min="2601" max="2601" width="11.796875" bestFit="1" customWidth="1"/>
    <col min="2602" max="2602" width="9.53125" bestFit="1" customWidth="1"/>
    <col min="2603" max="2603" width="11.796875" bestFit="1" customWidth="1"/>
    <col min="2604" max="2604" width="8.53125" bestFit="1" customWidth="1"/>
    <col min="2605" max="2605" width="10.796875" bestFit="1" customWidth="1"/>
    <col min="2606" max="2606" width="9.53125" bestFit="1" customWidth="1"/>
    <col min="2607" max="2607" width="11.796875" bestFit="1" customWidth="1"/>
    <col min="2608" max="2608" width="9.53125" bestFit="1" customWidth="1"/>
    <col min="2609" max="2609" width="11.796875" bestFit="1" customWidth="1"/>
    <col min="2610" max="2610" width="9.53125" bestFit="1" customWidth="1"/>
    <col min="2611" max="2611" width="11.796875" bestFit="1" customWidth="1"/>
    <col min="2612" max="2612" width="9.53125" bestFit="1" customWidth="1"/>
    <col min="2613" max="2613" width="11.796875" bestFit="1" customWidth="1"/>
    <col min="2614" max="2614" width="9.53125" bestFit="1" customWidth="1"/>
    <col min="2615" max="2615" width="11.796875" bestFit="1" customWidth="1"/>
    <col min="2616" max="2616" width="9.53125" bestFit="1" customWidth="1"/>
    <col min="2617" max="2617" width="11.796875" bestFit="1" customWidth="1"/>
    <col min="2618" max="2618" width="9.53125" bestFit="1" customWidth="1"/>
    <col min="2619" max="2619" width="11.796875" bestFit="1" customWidth="1"/>
    <col min="2620" max="2620" width="9.53125" bestFit="1" customWidth="1"/>
    <col min="2621" max="2621" width="11.796875" bestFit="1" customWidth="1"/>
    <col min="2622" max="2622" width="9.53125" bestFit="1" customWidth="1"/>
    <col min="2623" max="2623" width="11.796875" bestFit="1" customWidth="1"/>
    <col min="2624" max="2624" width="9.53125" bestFit="1" customWidth="1"/>
    <col min="2625" max="2625" width="11.796875" bestFit="1" customWidth="1"/>
    <col min="2626" max="2626" width="8.53125" bestFit="1" customWidth="1"/>
    <col min="2627" max="2627" width="10.796875" bestFit="1" customWidth="1"/>
    <col min="2628" max="2628" width="9.53125" bestFit="1" customWidth="1"/>
    <col min="2629" max="2629" width="11.796875" bestFit="1" customWidth="1"/>
    <col min="2630" max="2630" width="9.53125" bestFit="1" customWidth="1"/>
    <col min="2631" max="2631" width="11.796875" bestFit="1" customWidth="1"/>
    <col min="2632" max="2632" width="9.53125" bestFit="1" customWidth="1"/>
    <col min="2633" max="2633" width="11.796875" bestFit="1" customWidth="1"/>
    <col min="2634" max="2634" width="9.53125" bestFit="1" customWidth="1"/>
    <col min="2635" max="2635" width="11.796875" bestFit="1" customWidth="1"/>
    <col min="2636" max="2636" width="9.53125" bestFit="1" customWidth="1"/>
    <col min="2637" max="2637" width="11.796875" bestFit="1" customWidth="1"/>
    <col min="2638" max="2638" width="9.53125" bestFit="1" customWidth="1"/>
    <col min="2639" max="2639" width="11.796875" bestFit="1" customWidth="1"/>
    <col min="2640" max="2640" width="9.53125" bestFit="1" customWidth="1"/>
    <col min="2641" max="2641" width="11.796875" bestFit="1" customWidth="1"/>
    <col min="2642" max="2642" width="9.53125" bestFit="1" customWidth="1"/>
    <col min="2643" max="2643" width="11.796875" bestFit="1" customWidth="1"/>
    <col min="2644" max="2644" width="9.53125" bestFit="1" customWidth="1"/>
    <col min="2645" max="2645" width="11.796875" bestFit="1" customWidth="1"/>
    <col min="2646" max="2646" width="9.53125" bestFit="1" customWidth="1"/>
    <col min="2647" max="2647" width="11.796875" bestFit="1" customWidth="1"/>
    <col min="2648" max="2648" width="9.53125" bestFit="1" customWidth="1"/>
    <col min="2649" max="2649" width="11.796875" bestFit="1" customWidth="1"/>
    <col min="2650" max="2650" width="9.53125" bestFit="1" customWidth="1"/>
    <col min="2651" max="2651" width="11.796875" bestFit="1" customWidth="1"/>
    <col min="2652" max="2652" width="9.53125" bestFit="1" customWidth="1"/>
    <col min="2653" max="2653" width="11.796875" bestFit="1" customWidth="1"/>
    <col min="2654" max="2654" width="9.53125" bestFit="1" customWidth="1"/>
    <col min="2655" max="2655" width="11.796875" bestFit="1" customWidth="1"/>
    <col min="2656" max="2656" width="9.53125" bestFit="1" customWidth="1"/>
    <col min="2657" max="2657" width="11.796875" bestFit="1" customWidth="1"/>
    <col min="2658" max="2658" width="9.53125" bestFit="1" customWidth="1"/>
    <col min="2659" max="2659" width="11.796875" bestFit="1" customWidth="1"/>
    <col min="2660" max="2660" width="9.53125" bestFit="1" customWidth="1"/>
    <col min="2661" max="2661" width="11.796875" bestFit="1" customWidth="1"/>
    <col min="2662" max="2662" width="8.53125" bestFit="1" customWidth="1"/>
    <col min="2663" max="2663" width="10.796875" bestFit="1" customWidth="1"/>
    <col min="2664" max="2664" width="9.53125" bestFit="1" customWidth="1"/>
    <col min="2665" max="2665" width="11.796875" bestFit="1" customWidth="1"/>
    <col min="2666" max="2666" width="9.53125" bestFit="1" customWidth="1"/>
    <col min="2667" max="2667" width="11.796875" bestFit="1" customWidth="1"/>
    <col min="2668" max="2668" width="9.53125" bestFit="1" customWidth="1"/>
    <col min="2669" max="2669" width="11.796875" bestFit="1" customWidth="1"/>
    <col min="2670" max="2670" width="9.53125" bestFit="1" customWidth="1"/>
    <col min="2671" max="2671" width="11.796875" bestFit="1" customWidth="1"/>
    <col min="2672" max="2672" width="9.53125" bestFit="1" customWidth="1"/>
    <col min="2673" max="2673" width="11.796875" bestFit="1" customWidth="1"/>
    <col min="2674" max="2674" width="9.53125" bestFit="1" customWidth="1"/>
    <col min="2675" max="2675" width="11.796875" bestFit="1" customWidth="1"/>
    <col min="2676" max="2676" width="9.53125" bestFit="1" customWidth="1"/>
    <col min="2677" max="2677" width="11.796875" bestFit="1" customWidth="1"/>
    <col min="2678" max="2678" width="9.53125" bestFit="1" customWidth="1"/>
    <col min="2679" max="2679" width="11.796875" bestFit="1" customWidth="1"/>
    <col min="2680" max="2680" width="9.53125" bestFit="1" customWidth="1"/>
    <col min="2681" max="2681" width="11.796875" bestFit="1" customWidth="1"/>
    <col min="2682" max="2682" width="9.53125" bestFit="1" customWidth="1"/>
    <col min="2683" max="2683" width="11.796875" bestFit="1" customWidth="1"/>
    <col min="2684" max="2684" width="9.53125" bestFit="1" customWidth="1"/>
    <col min="2685" max="2685" width="11.796875" bestFit="1" customWidth="1"/>
    <col min="2686" max="2686" width="8.53125" bestFit="1" customWidth="1"/>
    <col min="2687" max="2687" width="10.796875" bestFit="1" customWidth="1"/>
    <col min="2688" max="2688" width="9.53125" bestFit="1" customWidth="1"/>
    <col min="2689" max="2689" width="11.796875" bestFit="1" customWidth="1"/>
    <col min="2690" max="2690" width="9.53125" bestFit="1" customWidth="1"/>
    <col min="2691" max="2691" width="11.796875" bestFit="1" customWidth="1"/>
    <col min="2692" max="2692" width="8.53125" bestFit="1" customWidth="1"/>
    <col min="2693" max="2693" width="10.796875" bestFit="1" customWidth="1"/>
    <col min="2694" max="2694" width="9.53125" bestFit="1" customWidth="1"/>
    <col min="2695" max="2695" width="11.796875" bestFit="1" customWidth="1"/>
    <col min="2696" max="2696" width="9.53125" bestFit="1" customWidth="1"/>
    <col min="2697" max="2697" width="11.796875" bestFit="1" customWidth="1"/>
    <col min="2698" max="2698" width="9.53125" bestFit="1" customWidth="1"/>
    <col min="2699" max="2699" width="11.796875" bestFit="1" customWidth="1"/>
    <col min="2700" max="2700" width="9.53125" bestFit="1" customWidth="1"/>
    <col min="2701" max="2701" width="11.796875" bestFit="1" customWidth="1"/>
    <col min="2702" max="2702" width="8.53125" bestFit="1" customWidth="1"/>
    <col min="2703" max="2703" width="10.796875" bestFit="1" customWidth="1"/>
    <col min="2704" max="2704" width="9.53125" bestFit="1" customWidth="1"/>
    <col min="2705" max="2705" width="11.796875" bestFit="1" customWidth="1"/>
    <col min="2706" max="2706" width="9.53125" bestFit="1" customWidth="1"/>
    <col min="2707" max="2707" width="11.796875" bestFit="1" customWidth="1"/>
    <col min="2708" max="2708" width="8.53125" bestFit="1" customWidth="1"/>
    <col min="2709" max="2709" width="10.796875" bestFit="1" customWidth="1"/>
    <col min="2710" max="2710" width="9.53125" bestFit="1" customWidth="1"/>
    <col min="2711" max="2711" width="11.796875" bestFit="1" customWidth="1"/>
    <col min="2712" max="2712" width="9.53125" bestFit="1" customWidth="1"/>
    <col min="2713" max="2713" width="11.796875" bestFit="1" customWidth="1"/>
    <col min="2714" max="2714" width="9.53125" bestFit="1" customWidth="1"/>
    <col min="2715" max="2715" width="11.796875" bestFit="1" customWidth="1"/>
    <col min="2716" max="2716" width="9.53125" bestFit="1" customWidth="1"/>
    <col min="2717" max="2717" width="11.796875" bestFit="1" customWidth="1"/>
    <col min="2718" max="2718" width="9.53125" bestFit="1" customWidth="1"/>
    <col min="2719" max="2719" width="11.796875" bestFit="1" customWidth="1"/>
    <col min="2720" max="2720" width="9.53125" bestFit="1" customWidth="1"/>
    <col min="2721" max="2721" width="11.796875" bestFit="1" customWidth="1"/>
    <col min="2722" max="2722" width="9.53125" bestFit="1" customWidth="1"/>
    <col min="2723" max="2723" width="11.796875" bestFit="1" customWidth="1"/>
    <col min="2724" max="2724" width="6.53125" bestFit="1" customWidth="1"/>
    <col min="2725" max="2725" width="9.265625" bestFit="1" customWidth="1"/>
    <col min="2726" max="2726" width="9.53125" bestFit="1" customWidth="1"/>
    <col min="2727" max="2727" width="11.796875" bestFit="1" customWidth="1"/>
    <col min="2728" max="2728" width="9.53125" bestFit="1" customWidth="1"/>
    <col min="2729" max="2729" width="11.796875" bestFit="1" customWidth="1"/>
    <col min="2730" max="2730" width="9.53125" bestFit="1" customWidth="1"/>
    <col min="2731" max="2731" width="11.796875" bestFit="1" customWidth="1"/>
    <col min="2732" max="2732" width="9.53125" bestFit="1" customWidth="1"/>
    <col min="2733" max="2733" width="11.796875" bestFit="1" customWidth="1"/>
    <col min="2734" max="2734" width="9.53125" bestFit="1" customWidth="1"/>
    <col min="2735" max="2735" width="11.796875" bestFit="1" customWidth="1"/>
    <col min="2736" max="2736" width="9.53125" bestFit="1" customWidth="1"/>
    <col min="2737" max="2737" width="11.796875" bestFit="1" customWidth="1"/>
    <col min="2738" max="2738" width="9.53125" bestFit="1" customWidth="1"/>
    <col min="2739" max="2739" width="11.796875" bestFit="1" customWidth="1"/>
    <col min="2740" max="2740" width="9.53125" bestFit="1" customWidth="1"/>
    <col min="2741" max="2741" width="11.796875" bestFit="1" customWidth="1"/>
    <col min="2742" max="2742" width="9.53125" bestFit="1" customWidth="1"/>
    <col min="2743" max="2743" width="11.796875" bestFit="1" customWidth="1"/>
    <col min="2744" max="2744" width="9.53125" bestFit="1" customWidth="1"/>
    <col min="2745" max="2745" width="11.796875" bestFit="1" customWidth="1"/>
    <col min="2746" max="2746" width="8.53125" bestFit="1" customWidth="1"/>
    <col min="2747" max="2747" width="10.796875" bestFit="1" customWidth="1"/>
    <col min="2748" max="2748" width="9.53125" bestFit="1" customWidth="1"/>
    <col min="2749" max="2749" width="11.796875" bestFit="1" customWidth="1"/>
    <col min="2750" max="2750" width="9.53125" bestFit="1" customWidth="1"/>
    <col min="2751" max="2751" width="11.796875" bestFit="1" customWidth="1"/>
    <col min="2752" max="2752" width="9.53125" bestFit="1" customWidth="1"/>
    <col min="2753" max="2753" width="11.796875" bestFit="1" customWidth="1"/>
    <col min="2754" max="2754" width="9.53125" bestFit="1" customWidth="1"/>
    <col min="2755" max="2755" width="11.796875" bestFit="1" customWidth="1"/>
    <col min="2756" max="2756" width="9.53125" bestFit="1" customWidth="1"/>
    <col min="2757" max="2757" width="11.796875" bestFit="1" customWidth="1"/>
    <col min="2758" max="2758" width="8.53125" bestFit="1" customWidth="1"/>
    <col min="2759" max="2759" width="10.796875" bestFit="1" customWidth="1"/>
    <col min="2760" max="2760" width="9.53125" bestFit="1" customWidth="1"/>
    <col min="2761" max="2761" width="11.796875" bestFit="1" customWidth="1"/>
    <col min="2762" max="2762" width="9.53125" bestFit="1" customWidth="1"/>
    <col min="2763" max="2763" width="11.796875" bestFit="1" customWidth="1"/>
    <col min="2764" max="2764" width="9.53125" bestFit="1" customWidth="1"/>
    <col min="2765" max="2765" width="11.796875" bestFit="1" customWidth="1"/>
    <col min="2766" max="2766" width="9.53125" bestFit="1" customWidth="1"/>
    <col min="2767" max="2767" width="11.796875" bestFit="1" customWidth="1"/>
    <col min="2768" max="2768" width="9.53125" bestFit="1" customWidth="1"/>
    <col min="2769" max="2769" width="11.796875" bestFit="1" customWidth="1"/>
    <col min="2770" max="2770" width="9.53125" bestFit="1" customWidth="1"/>
    <col min="2771" max="2771" width="11.796875" bestFit="1" customWidth="1"/>
    <col min="2772" max="2772" width="9.53125" bestFit="1" customWidth="1"/>
    <col min="2773" max="2773" width="11.796875" bestFit="1" customWidth="1"/>
    <col min="2774" max="2774" width="9.53125" bestFit="1" customWidth="1"/>
    <col min="2775" max="2775" width="11.796875" bestFit="1" customWidth="1"/>
    <col min="2776" max="2776" width="9.53125" bestFit="1" customWidth="1"/>
    <col min="2777" max="2777" width="11.796875" bestFit="1" customWidth="1"/>
    <col min="2778" max="2778" width="8.53125" bestFit="1" customWidth="1"/>
    <col min="2779" max="2779" width="10.796875" bestFit="1" customWidth="1"/>
    <col min="2780" max="2780" width="9.53125" bestFit="1" customWidth="1"/>
    <col min="2781" max="2781" width="11.796875" bestFit="1" customWidth="1"/>
    <col min="2782" max="2782" width="9.53125" bestFit="1" customWidth="1"/>
    <col min="2783" max="2783" width="11.796875" bestFit="1" customWidth="1"/>
    <col min="2784" max="2784" width="9.53125" bestFit="1" customWidth="1"/>
    <col min="2785" max="2785" width="11.796875" bestFit="1" customWidth="1"/>
    <col min="2786" max="2786" width="9.53125" bestFit="1" customWidth="1"/>
    <col min="2787" max="2787" width="11.796875" bestFit="1" customWidth="1"/>
    <col min="2788" max="2788" width="9.53125" bestFit="1" customWidth="1"/>
    <col min="2789" max="2789" width="11.796875" bestFit="1" customWidth="1"/>
    <col min="2790" max="2790" width="9.53125" bestFit="1" customWidth="1"/>
    <col min="2791" max="2791" width="11.796875" bestFit="1" customWidth="1"/>
    <col min="2792" max="2792" width="9.53125" bestFit="1" customWidth="1"/>
    <col min="2793" max="2793" width="11.796875" bestFit="1" customWidth="1"/>
    <col min="2794" max="2794" width="9.53125" bestFit="1" customWidth="1"/>
    <col min="2795" max="2795" width="11.796875" bestFit="1" customWidth="1"/>
    <col min="2796" max="2796" width="9.53125" bestFit="1" customWidth="1"/>
    <col min="2797" max="2797" width="11.796875" bestFit="1" customWidth="1"/>
    <col min="2798" max="2798" width="8.53125" bestFit="1" customWidth="1"/>
    <col min="2799" max="2799" width="10.796875" bestFit="1" customWidth="1"/>
    <col min="2800" max="2800" width="9.53125" bestFit="1" customWidth="1"/>
    <col min="2801" max="2801" width="11.796875" bestFit="1" customWidth="1"/>
    <col min="2802" max="2802" width="10.33203125" bestFit="1" customWidth="1"/>
  </cols>
  <sheetData>
    <row r="1" spans="1:11" x14ac:dyDescent="0.45">
      <c r="A1" s="20" t="s">
        <v>4053</v>
      </c>
      <c r="B1" s="21"/>
      <c r="C1" s="21"/>
      <c r="D1" s="21"/>
      <c r="E1" s="14"/>
      <c r="G1" s="20" t="s">
        <v>4054</v>
      </c>
      <c r="H1" s="21"/>
      <c r="I1" s="21"/>
      <c r="J1" s="21"/>
      <c r="K1" s="22"/>
    </row>
    <row r="2" spans="1:11" ht="14.65" thickBot="1" x14ac:dyDescent="0.5">
      <c r="A2" s="15"/>
      <c r="B2" s="5"/>
      <c r="C2" s="5"/>
      <c r="D2" s="5"/>
      <c r="E2" s="16"/>
      <c r="F2" s="5"/>
      <c r="G2" s="15"/>
      <c r="H2" s="5"/>
      <c r="I2" s="5"/>
      <c r="J2" s="5"/>
      <c r="K2" s="16"/>
    </row>
    <row r="3" spans="1:11" ht="14.65" thickBot="1" x14ac:dyDescent="0.5">
      <c r="A3" s="31" t="s">
        <v>7</v>
      </c>
      <c r="B3" s="32" t="s">
        <v>4038</v>
      </c>
      <c r="C3" s="5"/>
      <c r="D3" s="5"/>
      <c r="E3" s="16"/>
      <c r="F3" s="5"/>
      <c r="G3" s="15"/>
      <c r="H3" s="5"/>
      <c r="I3" s="5"/>
      <c r="J3" s="5"/>
      <c r="K3" s="16"/>
    </row>
    <row r="4" spans="1:11" ht="14.65" thickBot="1" x14ac:dyDescent="0.5">
      <c r="A4" s="31" t="s">
        <v>6</v>
      </c>
      <c r="B4" s="32" t="s">
        <v>4038</v>
      </c>
      <c r="C4" s="5"/>
      <c r="D4" s="5"/>
      <c r="E4" s="16"/>
      <c r="F4" s="5"/>
      <c r="G4" s="31" t="s">
        <v>4046</v>
      </c>
      <c r="H4" s="32" t="s">
        <v>4038</v>
      </c>
      <c r="I4" s="5"/>
      <c r="J4" s="5"/>
      <c r="K4" s="16"/>
    </row>
    <row r="5" spans="1:11" ht="14.65" thickBot="1" x14ac:dyDescent="0.5">
      <c r="A5" s="15"/>
      <c r="B5" s="5"/>
      <c r="C5" s="5"/>
      <c r="D5" s="5"/>
      <c r="E5" s="16"/>
      <c r="F5" s="5"/>
      <c r="G5" s="15"/>
      <c r="H5" s="5"/>
      <c r="I5" s="5"/>
      <c r="J5" s="5"/>
      <c r="K5" s="16"/>
    </row>
    <row r="6" spans="1:11" ht="14.65" thickBot="1" x14ac:dyDescent="0.5">
      <c r="A6" s="38" t="s">
        <v>4036</v>
      </c>
      <c r="B6" s="43" t="s">
        <v>4063</v>
      </c>
      <c r="C6" s="44" t="s">
        <v>4062</v>
      </c>
      <c r="D6" s="32" t="s">
        <v>4061</v>
      </c>
      <c r="E6" s="16"/>
      <c r="G6" s="38" t="s">
        <v>4064</v>
      </c>
      <c r="H6" s="38" t="s">
        <v>4039</v>
      </c>
      <c r="I6" s="43"/>
      <c r="J6" s="44"/>
      <c r="K6" s="32"/>
    </row>
    <row r="7" spans="1:11" ht="14.65" thickBot="1" x14ac:dyDescent="0.5">
      <c r="A7" s="40" t="s">
        <v>2016</v>
      </c>
      <c r="B7" s="36">
        <v>31196679.460000008</v>
      </c>
      <c r="C7" s="9">
        <v>0</v>
      </c>
      <c r="D7" s="24">
        <v>31196679.460000008</v>
      </c>
      <c r="E7" s="16"/>
      <c r="G7" s="38" t="s">
        <v>4036</v>
      </c>
      <c r="H7" s="43" t="s">
        <v>2016</v>
      </c>
      <c r="I7" s="44" t="s">
        <v>4044</v>
      </c>
      <c r="J7" s="32" t="s">
        <v>4042</v>
      </c>
      <c r="K7" s="45" t="s">
        <v>4037</v>
      </c>
    </row>
    <row r="8" spans="1:11" x14ac:dyDescent="0.45">
      <c r="A8" s="40" t="s">
        <v>2019</v>
      </c>
      <c r="B8" s="36">
        <v>0</v>
      </c>
      <c r="C8" s="9">
        <v>80066665.399999991</v>
      </c>
      <c r="D8" s="24">
        <v>-80066665.399999991</v>
      </c>
      <c r="E8" s="16"/>
      <c r="G8" s="39" t="s">
        <v>2024</v>
      </c>
      <c r="H8" s="33">
        <v>-5595161.1899999995</v>
      </c>
      <c r="I8" s="34">
        <v>-9737483.8099999987</v>
      </c>
      <c r="J8" s="34">
        <v>28657552.779999994</v>
      </c>
      <c r="K8" s="35">
        <v>13324907.779999996</v>
      </c>
    </row>
    <row r="9" spans="1:11" x14ac:dyDescent="0.45">
      <c r="A9" s="40" t="s">
        <v>2017</v>
      </c>
      <c r="B9" s="36">
        <v>30776736.930000011</v>
      </c>
      <c r="C9" s="9">
        <v>0</v>
      </c>
      <c r="D9" s="24">
        <v>30776736.930000011</v>
      </c>
      <c r="E9" s="16"/>
      <c r="G9" s="40" t="s">
        <v>2021</v>
      </c>
      <c r="H9" s="36">
        <v>-7373183.4300000006</v>
      </c>
      <c r="I9" s="9">
        <v>-10515813.299999999</v>
      </c>
      <c r="J9" s="9">
        <v>24656038.569999993</v>
      </c>
      <c r="K9" s="24">
        <v>6767041.8399999924</v>
      </c>
    </row>
    <row r="10" spans="1:11" x14ac:dyDescent="0.45">
      <c r="A10" s="40" t="s">
        <v>2015</v>
      </c>
      <c r="B10" s="36">
        <v>0</v>
      </c>
      <c r="C10" s="9">
        <v>75077087.829999954</v>
      </c>
      <c r="D10" s="24">
        <v>-75077087.829999954</v>
      </c>
      <c r="E10" s="16"/>
      <c r="G10" s="40" t="s">
        <v>2022</v>
      </c>
      <c r="H10" s="36">
        <v>-4907953.4499999983</v>
      </c>
      <c r="I10" s="9">
        <v>-10366022.020000003</v>
      </c>
      <c r="J10" s="9">
        <v>25700304.389999997</v>
      </c>
      <c r="K10" s="24">
        <v>10426328.919999994</v>
      </c>
    </row>
    <row r="11" spans="1:11" ht="14.65" thickBot="1" x14ac:dyDescent="0.5">
      <c r="A11" s="41" t="s">
        <v>2018</v>
      </c>
      <c r="B11" s="36">
        <v>31054149.579999968</v>
      </c>
      <c r="C11" s="9">
        <v>0</v>
      </c>
      <c r="D11" s="24">
        <v>31054149.579999968</v>
      </c>
      <c r="E11" s="16"/>
      <c r="G11" s="40" t="s">
        <v>2023</v>
      </c>
      <c r="H11" s="36">
        <v>-5225096.7000000011</v>
      </c>
      <c r="I11" s="9">
        <v>-10095366.800000004</v>
      </c>
      <c r="J11" s="9">
        <v>24971092.059999991</v>
      </c>
      <c r="K11" s="24">
        <v>9650628.5599999856</v>
      </c>
    </row>
    <row r="12" spans="1:11" ht="14.65" thickBot="1" x14ac:dyDescent="0.5">
      <c r="A12" s="41" t="s">
        <v>4037</v>
      </c>
      <c r="B12" s="37">
        <v>93027565.969999984</v>
      </c>
      <c r="C12" s="25">
        <v>155143753.22999996</v>
      </c>
      <c r="D12" s="26">
        <v>-62116187.259999961</v>
      </c>
      <c r="E12" s="16"/>
      <c r="G12" s="40" t="s">
        <v>2025</v>
      </c>
      <c r="H12" s="36">
        <v>-3782242.3200000003</v>
      </c>
      <c r="I12" s="9">
        <v>-9527319.9399999995</v>
      </c>
      <c r="J12" s="9">
        <v>25070818</v>
      </c>
      <c r="K12" s="24">
        <v>11761255.74</v>
      </c>
    </row>
    <row r="13" spans="1:11" ht="14.65" thickBot="1" x14ac:dyDescent="0.5">
      <c r="A13" s="15"/>
      <c r="B13" s="5"/>
      <c r="C13" s="5"/>
      <c r="D13" s="5"/>
      <c r="E13" s="16"/>
      <c r="F13" s="5"/>
      <c r="G13" s="41" t="s">
        <v>2020</v>
      </c>
      <c r="H13" s="36">
        <v>-4313042.37</v>
      </c>
      <c r="I13" s="9">
        <v>-11588880.639999999</v>
      </c>
      <c r="J13" s="9">
        <v>26087947.429999996</v>
      </c>
      <c r="K13" s="24">
        <v>10186024.419999998</v>
      </c>
    </row>
    <row r="14" spans="1:11" ht="14.65" thickBot="1" x14ac:dyDescent="0.5">
      <c r="A14" s="17"/>
      <c r="B14" s="18"/>
      <c r="C14" s="18"/>
      <c r="D14" s="18"/>
      <c r="E14" s="19"/>
      <c r="F14" s="5"/>
      <c r="G14" s="42" t="s">
        <v>4037</v>
      </c>
      <c r="H14" s="37">
        <v>-31196679.460000005</v>
      </c>
      <c r="I14" s="25">
        <v>-61830886.510000005</v>
      </c>
      <c r="J14" s="25">
        <v>155143753.22999996</v>
      </c>
      <c r="K14" s="26">
        <v>62116187.259999976</v>
      </c>
    </row>
    <row r="15" spans="1:11" x14ac:dyDescent="0.45">
      <c r="G15" s="5"/>
      <c r="H15" s="5"/>
      <c r="I15" s="5"/>
      <c r="J15" s="5"/>
    </row>
    <row r="17" spans="1:5" ht="14.65" thickBot="1" x14ac:dyDescent="0.5"/>
    <row r="18" spans="1:5" x14ac:dyDescent="0.45">
      <c r="A18" s="27" t="s">
        <v>4050</v>
      </c>
      <c r="B18" s="28" t="s">
        <v>2016</v>
      </c>
      <c r="C18" s="28" t="s">
        <v>4042</v>
      </c>
      <c r="D18" s="28" t="s">
        <v>4045</v>
      </c>
      <c r="E18" s="29" t="s">
        <v>4051</v>
      </c>
    </row>
    <row r="19" spans="1:5" x14ac:dyDescent="0.45">
      <c r="A19" s="23" t="s">
        <v>2024</v>
      </c>
      <c r="B19" s="9">
        <v>-5595161.1899999995</v>
      </c>
      <c r="C19" s="9">
        <v>28657552.779999994</v>
      </c>
      <c r="D19" s="5">
        <f>B19+C19</f>
        <v>23062391.589999996</v>
      </c>
      <c r="E19" s="30">
        <f>GrossmarginTable[[#This Row],[Gross Profit]]/GrossmarginTable[[#This Row],[Revenue]]</f>
        <v>0.80475788588951525</v>
      </c>
    </row>
    <row r="20" spans="1:5" x14ac:dyDescent="0.45">
      <c r="A20" s="23" t="s">
        <v>2021</v>
      </c>
      <c r="B20" s="9">
        <v>-7373183.4300000006</v>
      </c>
      <c r="C20" s="9">
        <v>24656038.569999993</v>
      </c>
      <c r="D20" s="5">
        <f t="shared" ref="D20:D24" si="0">B20+C20</f>
        <v>17282855.139999993</v>
      </c>
      <c r="E20" s="30">
        <f>GrossmarginTable[[#This Row],[Gross Profit]]/GrossmarginTable[[#This Row],[Revenue]]</f>
        <v>0.70095831051419377</v>
      </c>
    </row>
    <row r="21" spans="1:5" x14ac:dyDescent="0.45">
      <c r="A21" s="23" t="s">
        <v>2022</v>
      </c>
      <c r="B21" s="9">
        <v>-4907953.4499999983</v>
      </c>
      <c r="C21" s="9">
        <v>25700304.389999997</v>
      </c>
      <c r="D21" s="5">
        <f t="shared" si="0"/>
        <v>20792350.939999998</v>
      </c>
      <c r="E21" s="30">
        <f>GrossmarginTable[[#This Row],[Gross Profit]]/GrossmarginTable[[#This Row],[Revenue]]</f>
        <v>0.8090313104653466</v>
      </c>
    </row>
    <row r="22" spans="1:5" x14ac:dyDescent="0.45">
      <c r="A22" s="23" t="s">
        <v>2023</v>
      </c>
      <c r="B22" s="9">
        <v>-5225096.7000000011</v>
      </c>
      <c r="C22" s="9">
        <v>24971092.059999991</v>
      </c>
      <c r="D22" s="5">
        <f t="shared" si="0"/>
        <v>19745995.359999992</v>
      </c>
      <c r="E22" s="30">
        <f>GrossmarginTable[[#This Row],[Gross Profit]]/GrossmarginTable[[#This Row],[Revenue]]</f>
        <v>0.79075417737256937</v>
      </c>
    </row>
    <row r="23" spans="1:5" x14ac:dyDescent="0.45">
      <c r="A23" s="23" t="s">
        <v>2025</v>
      </c>
      <c r="B23" s="9">
        <v>-3782242.3200000003</v>
      </c>
      <c r="C23" s="9">
        <v>25070818</v>
      </c>
      <c r="D23" s="5">
        <f t="shared" si="0"/>
        <v>21288575.68</v>
      </c>
      <c r="E23" s="30">
        <f>GrossmarginTable[[#This Row],[Gross Profit]]/GrossmarginTable[[#This Row],[Revenue]]</f>
        <v>0.84913765797350527</v>
      </c>
    </row>
    <row r="24" spans="1:5" x14ac:dyDescent="0.45">
      <c r="A24" s="23" t="s">
        <v>2020</v>
      </c>
      <c r="B24" s="9">
        <v>-4313042.37</v>
      </c>
      <c r="C24" s="9">
        <v>26087947.429999996</v>
      </c>
      <c r="D24" s="5">
        <f t="shared" si="0"/>
        <v>21774905.059999995</v>
      </c>
      <c r="E24" s="30">
        <f>GrossmarginTable[[#This Row],[Gross Profit]]/GrossmarginTable[[#This Row],[Revenue]]</f>
        <v>0.83467298906620035</v>
      </c>
    </row>
    <row r="25" spans="1:5" x14ac:dyDescent="0.45">
      <c r="A25" s="15"/>
      <c r="B25" s="5"/>
      <c r="C25" s="5"/>
      <c r="D25" s="5"/>
      <c r="E25" s="16"/>
    </row>
    <row r="26" spans="1:5" x14ac:dyDescent="0.45">
      <c r="A26" s="15"/>
      <c r="B26" s="5"/>
      <c r="C26" s="5"/>
      <c r="D26" s="5"/>
      <c r="E26" s="16"/>
    </row>
    <row r="27" spans="1:5" x14ac:dyDescent="0.45">
      <c r="A27" s="15"/>
      <c r="B27" s="5"/>
      <c r="C27" s="5"/>
      <c r="D27" s="5"/>
      <c r="E27" s="16"/>
    </row>
    <row r="28" spans="1:5" x14ac:dyDescent="0.45">
      <c r="A28" s="15"/>
      <c r="B28" s="5"/>
      <c r="C28" s="5"/>
      <c r="D28" s="5"/>
      <c r="E28" s="16"/>
    </row>
    <row r="29" spans="1:5" ht="14.65" thickBot="1" x14ac:dyDescent="0.5">
      <c r="A29" s="17"/>
      <c r="B29" s="18"/>
      <c r="C29" s="18"/>
      <c r="D29" s="18"/>
      <c r="E29" s="19"/>
    </row>
    <row r="49" spans="12:17" x14ac:dyDescent="0.45">
      <c r="L49" s="2"/>
      <c r="M49" s="2"/>
      <c r="N49" s="2"/>
      <c r="O49" s="2"/>
      <c r="P49" s="2"/>
      <c r="Q49" s="2"/>
    </row>
    <row r="50" spans="12:17" x14ac:dyDescent="0.45">
      <c r="L50" s="2"/>
      <c r="M50" s="2"/>
      <c r="N50" s="2"/>
      <c r="O50" s="2"/>
      <c r="P50" s="2"/>
      <c r="Q50" s="2"/>
    </row>
    <row r="51" spans="12:17" x14ac:dyDescent="0.45">
      <c r="L51" s="2"/>
      <c r="M51" s="2"/>
      <c r="N51" s="2"/>
      <c r="O51" s="2"/>
      <c r="P51" s="2"/>
      <c r="Q51" s="2"/>
    </row>
    <row r="52" spans="12:17" x14ac:dyDescent="0.45">
      <c r="L52" s="2"/>
      <c r="M52" s="2"/>
      <c r="N52" s="2"/>
      <c r="O52" s="2"/>
      <c r="P52" s="2"/>
      <c r="Q52" s="2"/>
    </row>
    <row r="53" spans="12:17" x14ac:dyDescent="0.45">
      <c r="L53" s="2"/>
      <c r="M53" s="2"/>
      <c r="N53" s="2"/>
      <c r="O53" s="2"/>
      <c r="P53" s="2"/>
      <c r="Q53" s="2"/>
    </row>
    <row r="54" spans="12:17" x14ac:dyDescent="0.45">
      <c r="L54" s="2"/>
      <c r="M54" s="2"/>
      <c r="N54" s="2"/>
      <c r="O54" s="2"/>
      <c r="P54" s="2"/>
      <c r="Q54" s="2"/>
    </row>
    <row r="55" spans="12:17" x14ac:dyDescent="0.45">
      <c r="L55" s="2"/>
      <c r="M55" s="2"/>
      <c r="N55" s="2"/>
      <c r="O55" s="2"/>
      <c r="P55" s="2"/>
      <c r="Q55" s="2"/>
    </row>
    <row r="56" spans="12:17" x14ac:dyDescent="0.45">
      <c r="L56" s="2"/>
      <c r="M56" s="2"/>
      <c r="N56" s="2"/>
      <c r="O56" s="2"/>
      <c r="P56" s="2"/>
      <c r="Q56" s="2"/>
    </row>
    <row r="57" spans="12:17" x14ac:dyDescent="0.45">
      <c r="L57" s="2"/>
      <c r="M57" s="2"/>
      <c r="N57" s="2"/>
      <c r="O57" s="2"/>
      <c r="P57" s="2"/>
      <c r="Q57" s="2"/>
    </row>
    <row r="58" spans="12:17" x14ac:dyDescent="0.45">
      <c r="L58" s="2"/>
      <c r="M58" s="2"/>
      <c r="N58" s="2"/>
      <c r="O58" s="2"/>
      <c r="P58" s="2"/>
      <c r="Q58" s="2"/>
    </row>
  </sheetData>
  <mergeCells count="2">
    <mergeCell ref="A1:D1"/>
    <mergeCell ref="G1:K1"/>
  </mergeCells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A49B-F04B-4F8A-8252-114BB7FF4E2D}">
  <dimension ref="A1:E9"/>
  <sheetViews>
    <sheetView workbookViewId="0">
      <selection sqref="A1:E9"/>
    </sheetView>
  </sheetViews>
  <sheetFormatPr defaultRowHeight="14.25" x14ac:dyDescent="0.45"/>
  <sheetData>
    <row r="1" spans="1:5" x14ac:dyDescent="0.45">
      <c r="A1" t="s">
        <v>4040</v>
      </c>
      <c r="B1" t="s">
        <v>4039</v>
      </c>
      <c r="C1" t="s">
        <v>4047</v>
      </c>
      <c r="D1" t="s">
        <v>4048</v>
      </c>
      <c r="E1" t="s">
        <v>4049</v>
      </c>
    </row>
    <row r="2" spans="1:5" x14ac:dyDescent="0.45">
      <c r="A2" t="s">
        <v>4036</v>
      </c>
      <c r="B2" t="s">
        <v>2016</v>
      </c>
      <c r="C2" t="s">
        <v>4044</v>
      </c>
      <c r="D2" t="s">
        <v>4042</v>
      </c>
      <c r="E2" t="s">
        <v>4037</v>
      </c>
    </row>
    <row r="3" spans="1:5" x14ac:dyDescent="0.45">
      <c r="A3" t="s">
        <v>2024</v>
      </c>
      <c r="B3">
        <v>-68528.649999999994</v>
      </c>
      <c r="C3">
        <v>-131014.51000000004</v>
      </c>
      <c r="D3">
        <v>361822.40000000026</v>
      </c>
      <c r="E3">
        <v>162279.24000000022</v>
      </c>
    </row>
    <row r="4" spans="1:5" x14ac:dyDescent="0.45">
      <c r="A4" t="s">
        <v>2021</v>
      </c>
      <c r="B4">
        <v>-91809.619999999966</v>
      </c>
      <c r="C4">
        <v>-135260.20000000004</v>
      </c>
      <c r="D4">
        <v>320118.15999999997</v>
      </c>
      <c r="E4">
        <v>93048.339999999967</v>
      </c>
    </row>
    <row r="5" spans="1:5" x14ac:dyDescent="0.45">
      <c r="A5" t="s">
        <v>2022</v>
      </c>
      <c r="B5">
        <v>-63932.480000000003</v>
      </c>
      <c r="C5">
        <v>-137960.94000000003</v>
      </c>
      <c r="D5">
        <v>323974.2099999999</v>
      </c>
      <c r="E5">
        <v>122080.78999999986</v>
      </c>
    </row>
    <row r="6" spans="1:5" x14ac:dyDescent="0.45">
      <c r="A6" t="s">
        <v>2023</v>
      </c>
      <c r="B6">
        <v>-70065.350000000006</v>
      </c>
      <c r="C6">
        <v>-130579.39999999995</v>
      </c>
      <c r="D6">
        <v>318475.76</v>
      </c>
      <c r="E6">
        <v>117831.01000000007</v>
      </c>
    </row>
    <row r="7" spans="1:5" x14ac:dyDescent="0.45">
      <c r="A7" t="s">
        <v>2025</v>
      </c>
      <c r="B7">
        <v>-49254.350000000013</v>
      </c>
      <c r="C7">
        <v>-126876.33000000005</v>
      </c>
      <c r="D7">
        <v>321762.58999999997</v>
      </c>
      <c r="E7">
        <v>145631.90999999992</v>
      </c>
    </row>
    <row r="8" spans="1:5" x14ac:dyDescent="0.45">
      <c r="A8" t="s">
        <v>2020</v>
      </c>
      <c r="B8">
        <v>-54345.880000000012</v>
      </c>
      <c r="C8">
        <v>-150612.76</v>
      </c>
      <c r="D8">
        <v>327128.81000000006</v>
      </c>
      <c r="E8">
        <v>122170.17000000004</v>
      </c>
    </row>
    <row r="9" spans="1:5" x14ac:dyDescent="0.45">
      <c r="A9" t="s">
        <v>4037</v>
      </c>
      <c r="B9">
        <v>-397936.33</v>
      </c>
      <c r="C9">
        <v>-812304.14000000013</v>
      </c>
      <c r="D9">
        <v>1973281.9300000002</v>
      </c>
      <c r="E9">
        <v>763041.46000000008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57D8-3F56-4D8B-8954-870F5B56D2AE}">
  <dimension ref="A1:V2001"/>
  <sheetViews>
    <sheetView topLeftCell="M1" workbookViewId="0">
      <selection activeCell="S2014" sqref="S2014"/>
    </sheetView>
  </sheetViews>
  <sheetFormatPr defaultRowHeight="14.25" x14ac:dyDescent="0.45"/>
  <cols>
    <col min="1" max="1" width="8.73046875" bestFit="1" customWidth="1"/>
    <col min="2" max="2" width="9.9296875" bestFit="1" customWidth="1"/>
    <col min="3" max="3" width="16.33203125" bestFit="1" customWidth="1"/>
    <col min="4" max="4" width="14.3984375" bestFit="1" customWidth="1"/>
    <col min="5" max="5" width="7.73046875" bestFit="1" customWidth="1"/>
    <col min="6" max="6" width="11.1328125" bestFit="1" customWidth="1"/>
    <col min="7" max="7" width="7.796875" bestFit="1" customWidth="1"/>
    <col min="8" max="8" width="11.59765625" bestFit="1" customWidth="1"/>
    <col min="9" max="9" width="9.3984375" bestFit="1" customWidth="1"/>
    <col min="10" max="10" width="11.86328125" bestFit="1" customWidth="1"/>
    <col min="11" max="11" width="12.3984375" bestFit="1" customWidth="1"/>
    <col min="12" max="12" width="10.1328125" bestFit="1" customWidth="1"/>
    <col min="13" max="13" width="13" bestFit="1" customWidth="1"/>
    <col min="14" max="14" width="15.53125" bestFit="1" customWidth="1"/>
    <col min="15" max="15" width="9.86328125" bestFit="1" customWidth="1"/>
    <col min="16" max="16" width="13.1328125" bestFit="1" customWidth="1"/>
    <col min="17" max="17" width="13" bestFit="1" customWidth="1"/>
    <col min="18" max="18" width="14.46484375" bestFit="1" customWidth="1"/>
    <col min="19" max="19" width="18.19921875" bestFit="1" customWidth="1"/>
    <col min="20" max="20" width="17.19921875" bestFit="1" customWidth="1"/>
    <col min="21" max="21" width="10.6640625" bestFit="1" customWidth="1"/>
    <col min="22" max="22" width="15.796875" bestFit="1" customWidth="1"/>
  </cols>
  <sheetData>
    <row r="1" spans="1:22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4059</v>
      </c>
      <c r="G1" s="6" t="s">
        <v>5</v>
      </c>
      <c r="H1" s="6" t="s">
        <v>4060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4052</v>
      </c>
      <c r="N1" s="6" t="s">
        <v>4043</v>
      </c>
      <c r="O1" s="6" t="s">
        <v>4058</v>
      </c>
      <c r="P1" s="6" t="s">
        <v>4057</v>
      </c>
      <c r="Q1" s="6" t="s">
        <v>4065</v>
      </c>
      <c r="R1" s="6" t="s">
        <v>4066</v>
      </c>
      <c r="S1" s="6" t="s">
        <v>4067</v>
      </c>
      <c r="T1" s="6" t="s">
        <v>4068</v>
      </c>
      <c r="U1" s="6" t="s">
        <v>4069</v>
      </c>
      <c r="V1" s="6" t="s">
        <v>4070</v>
      </c>
    </row>
    <row r="2" spans="1:22" x14ac:dyDescent="0.45">
      <c r="A2" s="2" t="s">
        <v>1873</v>
      </c>
      <c r="B2" s="11">
        <v>45347</v>
      </c>
      <c r="C2" s="2" t="s">
        <v>2010</v>
      </c>
      <c r="D2" s="2" t="s">
        <v>2015</v>
      </c>
      <c r="E2">
        <v>0</v>
      </c>
      <c r="F2">
        <v>0</v>
      </c>
      <c r="G2">
        <v>4982.43</v>
      </c>
      <c r="H2">
        <v>513190.29000000004</v>
      </c>
      <c r="I2" s="2" t="s">
        <v>2023</v>
      </c>
      <c r="J2" s="2" t="s">
        <v>2027</v>
      </c>
      <c r="K2" s="2" t="s">
        <v>3894</v>
      </c>
      <c r="L2" s="2" t="s">
        <v>4031</v>
      </c>
      <c r="M2">
        <v>4982.43</v>
      </c>
      <c r="N2" s="2" t="s">
        <v>4042</v>
      </c>
      <c r="O2">
        <v>103</v>
      </c>
      <c r="P2">
        <v>513190.29000000004</v>
      </c>
      <c r="Q2" t="b">
        <v>1</v>
      </c>
      <c r="R2" t="b">
        <v>1</v>
      </c>
      <c r="S2" t="b">
        <v>0</v>
      </c>
      <c r="T2" t="b">
        <v>1</v>
      </c>
      <c r="U2">
        <v>3</v>
      </c>
      <c r="V2" t="s">
        <v>4071</v>
      </c>
    </row>
    <row r="3" spans="1:22" x14ac:dyDescent="0.45">
      <c r="A3" s="2" t="s">
        <v>1778</v>
      </c>
      <c r="B3" s="11">
        <v>44983</v>
      </c>
      <c r="C3" s="2" t="s">
        <v>2010</v>
      </c>
      <c r="D3" s="2" t="s">
        <v>2015</v>
      </c>
      <c r="E3">
        <v>0</v>
      </c>
      <c r="F3">
        <v>0</v>
      </c>
      <c r="G3">
        <v>2682.77</v>
      </c>
      <c r="H3">
        <v>276325.31</v>
      </c>
      <c r="I3" s="2" t="s">
        <v>2021</v>
      </c>
      <c r="J3" s="2" t="s">
        <v>2029</v>
      </c>
      <c r="K3" s="2" t="s">
        <v>3799</v>
      </c>
      <c r="L3" s="2" t="s">
        <v>4031</v>
      </c>
      <c r="M3">
        <v>2682.77</v>
      </c>
      <c r="N3" s="2" t="s">
        <v>4042</v>
      </c>
      <c r="O3">
        <v>103</v>
      </c>
      <c r="P3">
        <v>276325.31</v>
      </c>
      <c r="Q3" t="b">
        <v>1</v>
      </c>
      <c r="R3" t="b">
        <v>1</v>
      </c>
      <c r="S3" t="b">
        <v>0</v>
      </c>
      <c r="T3" t="b">
        <v>1</v>
      </c>
      <c r="U3">
        <v>3</v>
      </c>
      <c r="V3" t="s">
        <v>4071</v>
      </c>
    </row>
    <row r="4" spans="1:22" x14ac:dyDescent="0.45">
      <c r="A4" s="2" t="s">
        <v>1203</v>
      </c>
      <c r="B4" s="11">
        <v>45011</v>
      </c>
      <c r="C4" s="2" t="s">
        <v>2014</v>
      </c>
      <c r="D4" s="2" t="s">
        <v>2019</v>
      </c>
      <c r="E4">
        <v>0</v>
      </c>
      <c r="F4">
        <v>0</v>
      </c>
      <c r="G4">
        <v>4731.97</v>
      </c>
      <c r="H4">
        <v>388021.54000000004</v>
      </c>
      <c r="I4" s="2" t="s">
        <v>2020</v>
      </c>
      <c r="J4" s="2" t="s">
        <v>2027</v>
      </c>
      <c r="K4" s="2" t="s">
        <v>3224</v>
      </c>
      <c r="L4" s="2" t="s">
        <v>4034</v>
      </c>
      <c r="M4">
        <v>4731.97</v>
      </c>
      <c r="N4" s="2" t="s">
        <v>4042</v>
      </c>
      <c r="O4">
        <v>82</v>
      </c>
      <c r="P4">
        <v>388021.54000000004</v>
      </c>
      <c r="Q4" t="b">
        <v>1</v>
      </c>
      <c r="R4" t="b">
        <v>1</v>
      </c>
      <c r="S4" t="b">
        <v>0</v>
      </c>
      <c r="T4" t="b">
        <v>1</v>
      </c>
      <c r="U4">
        <v>3</v>
      </c>
      <c r="V4" t="s">
        <v>4071</v>
      </c>
    </row>
    <row r="5" spans="1:22" x14ac:dyDescent="0.45">
      <c r="A5" s="2" t="s">
        <v>570</v>
      </c>
      <c r="B5" s="11">
        <v>44982</v>
      </c>
      <c r="C5" s="2" t="s">
        <v>2010</v>
      </c>
      <c r="D5" s="2" t="s">
        <v>2015</v>
      </c>
      <c r="E5">
        <v>0</v>
      </c>
      <c r="F5">
        <v>0</v>
      </c>
      <c r="G5">
        <v>3563.43</v>
      </c>
      <c r="H5">
        <v>292201.26</v>
      </c>
      <c r="I5" s="2" t="s">
        <v>2021</v>
      </c>
      <c r="J5" s="2" t="s">
        <v>2030</v>
      </c>
      <c r="K5" s="2" t="s">
        <v>2591</v>
      </c>
      <c r="L5" s="2" t="s">
        <v>4034</v>
      </c>
      <c r="M5">
        <v>3563.43</v>
      </c>
      <c r="N5" s="2" t="s">
        <v>4042</v>
      </c>
      <c r="O5">
        <v>82</v>
      </c>
      <c r="P5">
        <v>292201.26</v>
      </c>
      <c r="Q5" t="b">
        <v>1</v>
      </c>
      <c r="R5" t="b">
        <v>1</v>
      </c>
      <c r="S5" t="b">
        <v>0</v>
      </c>
      <c r="T5" t="b">
        <v>1</v>
      </c>
      <c r="U5">
        <v>3</v>
      </c>
      <c r="V5" t="s">
        <v>4071</v>
      </c>
    </row>
    <row r="6" spans="1:22" x14ac:dyDescent="0.45">
      <c r="A6" s="2" t="s">
        <v>1331</v>
      </c>
      <c r="B6" s="11">
        <v>45382</v>
      </c>
      <c r="C6" s="2" t="s">
        <v>2014</v>
      </c>
      <c r="D6" s="2" t="s">
        <v>2019</v>
      </c>
      <c r="E6">
        <v>0</v>
      </c>
      <c r="F6">
        <v>0</v>
      </c>
      <c r="G6">
        <v>4238.9799999999996</v>
      </c>
      <c r="H6">
        <v>373030.24</v>
      </c>
      <c r="I6" s="2" t="s">
        <v>2025</v>
      </c>
      <c r="J6" s="2" t="s">
        <v>2026</v>
      </c>
      <c r="K6" s="2" t="s">
        <v>3352</v>
      </c>
      <c r="L6" s="2" t="s">
        <v>4032</v>
      </c>
      <c r="M6">
        <v>4238.9799999999996</v>
      </c>
      <c r="N6" s="2" t="s">
        <v>4042</v>
      </c>
      <c r="O6">
        <v>88</v>
      </c>
      <c r="P6">
        <v>373030.24</v>
      </c>
      <c r="Q6" t="b">
        <v>1</v>
      </c>
      <c r="R6" t="b">
        <v>1</v>
      </c>
      <c r="S6" t="b">
        <v>0</v>
      </c>
      <c r="T6" t="b">
        <v>1</v>
      </c>
      <c r="U6">
        <v>3</v>
      </c>
      <c r="V6" t="s">
        <v>4071</v>
      </c>
    </row>
    <row r="7" spans="1:22" x14ac:dyDescent="0.45">
      <c r="A7" s="2" t="s">
        <v>1269</v>
      </c>
      <c r="B7" s="11">
        <v>45745</v>
      </c>
      <c r="C7" s="2" t="s">
        <v>2010</v>
      </c>
      <c r="D7" s="2" t="s">
        <v>2015</v>
      </c>
      <c r="E7">
        <v>0</v>
      </c>
      <c r="F7">
        <v>0</v>
      </c>
      <c r="G7">
        <v>3250.84</v>
      </c>
      <c r="H7">
        <v>334836.52</v>
      </c>
      <c r="I7" s="2" t="s">
        <v>2025</v>
      </c>
      <c r="J7" s="2" t="s">
        <v>2026</v>
      </c>
      <c r="K7" s="2" t="s">
        <v>3290</v>
      </c>
      <c r="L7" s="2" t="s">
        <v>4031</v>
      </c>
      <c r="M7">
        <v>3250.84</v>
      </c>
      <c r="N7" s="2" t="s">
        <v>4042</v>
      </c>
      <c r="O7">
        <v>103</v>
      </c>
      <c r="P7">
        <v>334836.52</v>
      </c>
      <c r="Q7" t="b">
        <v>1</v>
      </c>
      <c r="R7" t="b">
        <v>1</v>
      </c>
      <c r="S7" t="b">
        <v>0</v>
      </c>
      <c r="T7" t="b">
        <v>1</v>
      </c>
      <c r="U7">
        <v>3</v>
      </c>
      <c r="V7" t="s">
        <v>4071</v>
      </c>
    </row>
    <row r="8" spans="1:22" x14ac:dyDescent="0.45">
      <c r="A8" s="2" t="s">
        <v>1426</v>
      </c>
      <c r="B8" s="11">
        <v>45535</v>
      </c>
      <c r="C8" s="2" t="s">
        <v>2014</v>
      </c>
      <c r="D8" s="2" t="s">
        <v>2019</v>
      </c>
      <c r="E8">
        <v>0</v>
      </c>
      <c r="F8">
        <v>0</v>
      </c>
      <c r="G8">
        <v>4604.16</v>
      </c>
      <c r="H8">
        <v>474228.47999999998</v>
      </c>
      <c r="I8" s="2" t="s">
        <v>2024</v>
      </c>
      <c r="J8" s="2" t="s">
        <v>2029</v>
      </c>
      <c r="K8" s="2" t="s">
        <v>3447</v>
      </c>
      <c r="L8" s="2" t="s">
        <v>4031</v>
      </c>
      <c r="M8">
        <v>4604.16</v>
      </c>
      <c r="N8" s="2" t="s">
        <v>4042</v>
      </c>
      <c r="O8">
        <v>103</v>
      </c>
      <c r="P8">
        <v>474228.47999999998</v>
      </c>
      <c r="Q8" t="b">
        <v>1</v>
      </c>
      <c r="R8" t="b">
        <v>1</v>
      </c>
      <c r="S8" t="b">
        <v>0</v>
      </c>
      <c r="T8" t="b">
        <v>1</v>
      </c>
      <c r="U8">
        <v>3</v>
      </c>
      <c r="V8" t="s">
        <v>4071</v>
      </c>
    </row>
    <row r="9" spans="1:22" x14ac:dyDescent="0.45">
      <c r="A9" s="2" t="s">
        <v>941</v>
      </c>
      <c r="B9" s="11">
        <v>45683</v>
      </c>
      <c r="C9" s="2" t="s">
        <v>2014</v>
      </c>
      <c r="D9" s="2" t="s">
        <v>2019</v>
      </c>
      <c r="E9">
        <v>0</v>
      </c>
      <c r="F9">
        <v>0</v>
      </c>
      <c r="G9">
        <v>4702.84</v>
      </c>
      <c r="H9">
        <v>484392.52</v>
      </c>
      <c r="I9" s="2" t="s">
        <v>2024</v>
      </c>
      <c r="J9" s="2" t="s">
        <v>2029</v>
      </c>
      <c r="K9" s="2" t="s">
        <v>2962</v>
      </c>
      <c r="L9" s="2" t="s">
        <v>4031</v>
      </c>
      <c r="M9">
        <v>4702.84</v>
      </c>
      <c r="N9" s="2" t="s">
        <v>4042</v>
      </c>
      <c r="O9">
        <v>103</v>
      </c>
      <c r="P9">
        <v>484392.52</v>
      </c>
      <c r="Q9" t="b">
        <v>1</v>
      </c>
      <c r="R9" t="b">
        <v>1</v>
      </c>
      <c r="S9" t="b">
        <v>0</v>
      </c>
      <c r="T9" t="b">
        <v>1</v>
      </c>
      <c r="U9">
        <v>3</v>
      </c>
      <c r="V9" t="s">
        <v>4071</v>
      </c>
    </row>
    <row r="10" spans="1:22" x14ac:dyDescent="0.45">
      <c r="A10" s="2" t="s">
        <v>906</v>
      </c>
      <c r="B10" s="11">
        <v>45046</v>
      </c>
      <c r="C10" s="2" t="s">
        <v>2014</v>
      </c>
      <c r="D10" s="2" t="s">
        <v>2019</v>
      </c>
      <c r="E10">
        <v>0</v>
      </c>
      <c r="F10">
        <v>0</v>
      </c>
      <c r="G10">
        <v>3598.62</v>
      </c>
      <c r="H10">
        <v>316678.56</v>
      </c>
      <c r="I10" s="2" t="s">
        <v>2024</v>
      </c>
      <c r="J10" s="2" t="s">
        <v>2028</v>
      </c>
      <c r="K10" s="2" t="s">
        <v>2927</v>
      </c>
      <c r="L10" s="2" t="s">
        <v>4032</v>
      </c>
      <c r="M10">
        <v>3598.62</v>
      </c>
      <c r="N10" s="2" t="s">
        <v>4042</v>
      </c>
      <c r="O10">
        <v>88</v>
      </c>
      <c r="P10">
        <v>316678.56</v>
      </c>
      <c r="Q10" t="b">
        <v>1</v>
      </c>
      <c r="R10" t="b">
        <v>1</v>
      </c>
      <c r="S10" t="b">
        <v>0</v>
      </c>
      <c r="T10" t="b">
        <v>1</v>
      </c>
      <c r="U10">
        <v>3</v>
      </c>
      <c r="V10" t="s">
        <v>4071</v>
      </c>
    </row>
    <row r="11" spans="1:22" x14ac:dyDescent="0.45">
      <c r="A11" s="2" t="s">
        <v>1726</v>
      </c>
      <c r="B11" s="11">
        <v>45592</v>
      </c>
      <c r="C11" s="2" t="s">
        <v>2014</v>
      </c>
      <c r="D11" s="2" t="s">
        <v>2019</v>
      </c>
      <c r="E11">
        <v>0</v>
      </c>
      <c r="F11">
        <v>0</v>
      </c>
      <c r="G11">
        <v>4785.2299999999996</v>
      </c>
      <c r="H11">
        <v>492878.68999999994</v>
      </c>
      <c r="I11" s="2" t="s">
        <v>2022</v>
      </c>
      <c r="J11" s="2" t="s">
        <v>2029</v>
      </c>
      <c r="K11" s="2" t="s">
        <v>3747</v>
      </c>
      <c r="L11" s="2" t="s">
        <v>4031</v>
      </c>
      <c r="M11">
        <v>4785.2299999999996</v>
      </c>
      <c r="N11" s="2" t="s">
        <v>4042</v>
      </c>
      <c r="O11">
        <v>103</v>
      </c>
      <c r="P11">
        <v>492878.68999999994</v>
      </c>
      <c r="Q11" t="b">
        <v>1</v>
      </c>
      <c r="R11" t="b">
        <v>1</v>
      </c>
      <c r="S11" t="b">
        <v>0</v>
      </c>
      <c r="T11" t="b">
        <v>1</v>
      </c>
      <c r="U11">
        <v>3</v>
      </c>
      <c r="V11" t="s">
        <v>4071</v>
      </c>
    </row>
    <row r="12" spans="1:22" x14ac:dyDescent="0.45">
      <c r="A12" s="2" t="s">
        <v>1160</v>
      </c>
      <c r="B12" s="11">
        <v>45654</v>
      </c>
      <c r="C12" s="2" t="s">
        <v>2010</v>
      </c>
      <c r="D12" s="2" t="s">
        <v>2015</v>
      </c>
      <c r="E12">
        <v>0</v>
      </c>
      <c r="F12">
        <v>0</v>
      </c>
      <c r="G12">
        <v>3886.29</v>
      </c>
      <c r="H12">
        <v>400287.87</v>
      </c>
      <c r="I12" s="2" t="s">
        <v>2022</v>
      </c>
      <c r="J12" s="2" t="s">
        <v>2027</v>
      </c>
      <c r="K12" s="2" t="s">
        <v>3181</v>
      </c>
      <c r="L12" s="2" t="s">
        <v>4031</v>
      </c>
      <c r="M12">
        <v>3886.29</v>
      </c>
      <c r="N12" s="2" t="s">
        <v>4042</v>
      </c>
      <c r="O12">
        <v>103</v>
      </c>
      <c r="P12">
        <v>400287.87</v>
      </c>
      <c r="Q12" t="b">
        <v>1</v>
      </c>
      <c r="R12" t="b">
        <v>1</v>
      </c>
      <c r="S12" t="b">
        <v>0</v>
      </c>
      <c r="T12" t="b">
        <v>1</v>
      </c>
      <c r="U12">
        <v>3</v>
      </c>
      <c r="V12" t="s">
        <v>4071</v>
      </c>
    </row>
    <row r="13" spans="1:22" hidden="1" x14ac:dyDescent="0.45">
      <c r="A13" s="2" t="s">
        <v>279</v>
      </c>
      <c r="B13" s="11">
        <v>45332</v>
      </c>
      <c r="C13" s="2" t="s">
        <v>2014</v>
      </c>
      <c r="D13" s="2" t="s">
        <v>2019</v>
      </c>
      <c r="E13">
        <v>0</v>
      </c>
      <c r="F13">
        <v>0</v>
      </c>
      <c r="G13">
        <v>3612.83</v>
      </c>
      <c r="H13">
        <v>317929.03999999998</v>
      </c>
      <c r="I13" s="2" t="s">
        <v>2025</v>
      </c>
      <c r="J13" s="2" t="s">
        <v>2030</v>
      </c>
      <c r="K13" s="2" t="s">
        <v>2300</v>
      </c>
      <c r="L13" s="2" t="s">
        <v>4032</v>
      </c>
      <c r="M13">
        <v>3612.83</v>
      </c>
      <c r="N13" s="2" t="s">
        <v>4042</v>
      </c>
      <c r="O13">
        <v>88</v>
      </c>
      <c r="P13">
        <v>317929.03999999998</v>
      </c>
      <c r="Q13" t="b">
        <v>1</v>
      </c>
      <c r="R13" t="b">
        <v>0</v>
      </c>
      <c r="S13" t="b">
        <v>0</v>
      </c>
      <c r="T13" t="b">
        <v>1</v>
      </c>
      <c r="U13">
        <v>2</v>
      </c>
      <c r="V13" t="s">
        <v>4072</v>
      </c>
    </row>
    <row r="14" spans="1:22" hidden="1" x14ac:dyDescent="0.45">
      <c r="A14" s="2" t="s">
        <v>303</v>
      </c>
      <c r="B14" s="11">
        <v>45535</v>
      </c>
      <c r="C14" s="2" t="s">
        <v>2010</v>
      </c>
      <c r="D14" s="2" t="s">
        <v>2015</v>
      </c>
      <c r="E14">
        <v>0</v>
      </c>
      <c r="F14">
        <v>0</v>
      </c>
      <c r="G14">
        <v>239.94</v>
      </c>
      <c r="H14">
        <v>21114.720000000001</v>
      </c>
      <c r="I14" s="2" t="s">
        <v>2024</v>
      </c>
      <c r="J14" s="2" t="s">
        <v>2029</v>
      </c>
      <c r="K14" s="2" t="s">
        <v>2324</v>
      </c>
      <c r="L14" s="2" t="s">
        <v>4032</v>
      </c>
      <c r="M14">
        <v>239.94</v>
      </c>
      <c r="N14" s="2" t="s">
        <v>4042</v>
      </c>
      <c r="O14">
        <v>88</v>
      </c>
      <c r="P14">
        <v>21114.720000000001</v>
      </c>
      <c r="Q14" t="b">
        <v>1</v>
      </c>
      <c r="R14" t="b">
        <v>1</v>
      </c>
      <c r="S14" t="b">
        <v>0</v>
      </c>
      <c r="T14" t="b">
        <v>0</v>
      </c>
      <c r="U14">
        <v>2</v>
      </c>
      <c r="V14" t="s">
        <v>4072</v>
      </c>
    </row>
    <row r="15" spans="1:22" hidden="1" x14ac:dyDescent="0.45">
      <c r="A15" s="2" t="s">
        <v>1292</v>
      </c>
      <c r="B15" s="11">
        <v>45045</v>
      </c>
      <c r="C15" s="2" t="s">
        <v>2014</v>
      </c>
      <c r="D15" s="2" t="s">
        <v>2019</v>
      </c>
      <c r="E15">
        <v>0</v>
      </c>
      <c r="F15">
        <v>0</v>
      </c>
      <c r="G15">
        <v>1360.16</v>
      </c>
      <c r="H15">
        <v>82969.760000000009</v>
      </c>
      <c r="I15" s="2" t="s">
        <v>2025</v>
      </c>
      <c r="J15" s="2" t="s">
        <v>2026</v>
      </c>
      <c r="K15" s="2" t="s">
        <v>3313</v>
      </c>
      <c r="L15" s="2" t="s">
        <v>4035</v>
      </c>
      <c r="M15">
        <v>1360.16</v>
      </c>
      <c r="N15" s="2" t="s">
        <v>4042</v>
      </c>
      <c r="O15">
        <v>61</v>
      </c>
      <c r="P15">
        <v>82969.760000000009</v>
      </c>
      <c r="Q15" t="b">
        <v>1</v>
      </c>
      <c r="R15" t="b">
        <v>1</v>
      </c>
      <c r="S15" t="b">
        <v>0</v>
      </c>
      <c r="T15" t="b">
        <v>0</v>
      </c>
      <c r="U15">
        <v>2</v>
      </c>
      <c r="V15" t="s">
        <v>4072</v>
      </c>
    </row>
    <row r="16" spans="1:22" hidden="1" x14ac:dyDescent="0.45">
      <c r="A16" s="2" t="s">
        <v>729</v>
      </c>
      <c r="B16" s="11">
        <v>45641</v>
      </c>
      <c r="C16" s="2" t="s">
        <v>2014</v>
      </c>
      <c r="D16" s="2" t="s">
        <v>2019</v>
      </c>
      <c r="E16">
        <v>0</v>
      </c>
      <c r="F16">
        <v>0</v>
      </c>
      <c r="G16">
        <v>3448.25</v>
      </c>
      <c r="H16">
        <v>282756.5</v>
      </c>
      <c r="I16" s="2" t="s">
        <v>2024</v>
      </c>
      <c r="J16" s="2" t="s">
        <v>2030</v>
      </c>
      <c r="K16" s="2" t="s">
        <v>2750</v>
      </c>
      <c r="L16" s="2" t="s">
        <v>4034</v>
      </c>
      <c r="M16">
        <v>3448.25</v>
      </c>
      <c r="N16" s="2" t="s">
        <v>4042</v>
      </c>
      <c r="O16">
        <v>82</v>
      </c>
      <c r="P16">
        <v>282756.5</v>
      </c>
      <c r="Q16" t="b">
        <v>1</v>
      </c>
      <c r="R16" t="b">
        <v>0</v>
      </c>
      <c r="S16" t="b">
        <v>0</v>
      </c>
      <c r="T16" t="b">
        <v>1</v>
      </c>
      <c r="U16">
        <v>2</v>
      </c>
      <c r="V16" t="s">
        <v>4072</v>
      </c>
    </row>
    <row r="17" spans="1:22" hidden="1" x14ac:dyDescent="0.45">
      <c r="A17" s="2" t="s">
        <v>1576</v>
      </c>
      <c r="B17" s="11">
        <v>45377</v>
      </c>
      <c r="C17" s="2" t="s">
        <v>2014</v>
      </c>
      <c r="D17" s="2" t="s">
        <v>2019</v>
      </c>
      <c r="E17">
        <v>0</v>
      </c>
      <c r="F17">
        <v>0</v>
      </c>
      <c r="G17">
        <v>3208.4</v>
      </c>
      <c r="H17">
        <v>282339.20000000001</v>
      </c>
      <c r="I17" s="2" t="s">
        <v>2023</v>
      </c>
      <c r="J17" s="2" t="s">
        <v>2026</v>
      </c>
      <c r="K17" s="2" t="s">
        <v>3597</v>
      </c>
      <c r="L17" s="2" t="s">
        <v>4032</v>
      </c>
      <c r="M17">
        <v>3208.4</v>
      </c>
      <c r="N17" s="2" t="s">
        <v>4042</v>
      </c>
      <c r="O17">
        <v>88</v>
      </c>
      <c r="P17">
        <v>282339.20000000001</v>
      </c>
      <c r="Q17" t="b">
        <v>0</v>
      </c>
      <c r="R17" t="b">
        <v>1</v>
      </c>
      <c r="S17" t="b">
        <v>0</v>
      </c>
      <c r="T17" t="b">
        <v>1</v>
      </c>
      <c r="U17">
        <v>2</v>
      </c>
      <c r="V17" t="s">
        <v>4072</v>
      </c>
    </row>
    <row r="18" spans="1:22" hidden="1" x14ac:dyDescent="0.45">
      <c r="A18" s="2" t="s">
        <v>168</v>
      </c>
      <c r="B18" s="11">
        <v>44955</v>
      </c>
      <c r="C18" s="2" t="s">
        <v>2011</v>
      </c>
      <c r="D18" s="2" t="s">
        <v>2016</v>
      </c>
      <c r="E18">
        <v>1483.66</v>
      </c>
      <c r="F18">
        <v>83084.960000000006</v>
      </c>
      <c r="G18">
        <v>0</v>
      </c>
      <c r="H18">
        <v>0</v>
      </c>
      <c r="I18" s="2" t="s">
        <v>2022</v>
      </c>
      <c r="J18" s="2" t="s">
        <v>2029</v>
      </c>
      <c r="K18" s="2" t="s">
        <v>2189</v>
      </c>
      <c r="L18" s="2" t="s">
        <v>4033</v>
      </c>
      <c r="M18">
        <v>-1483.66</v>
      </c>
      <c r="N18" s="2" t="s">
        <v>2016</v>
      </c>
      <c r="O18">
        <v>56</v>
      </c>
      <c r="P18">
        <v>-83084.960000000006</v>
      </c>
      <c r="Q18" t="b">
        <v>1</v>
      </c>
      <c r="R18" t="b">
        <v>1</v>
      </c>
      <c r="S18" t="b">
        <v>0</v>
      </c>
      <c r="T18" t="b">
        <v>0</v>
      </c>
      <c r="U18">
        <v>2</v>
      </c>
      <c r="V18" t="s">
        <v>4072</v>
      </c>
    </row>
    <row r="19" spans="1:22" hidden="1" x14ac:dyDescent="0.45">
      <c r="A19" s="2" t="s">
        <v>1184</v>
      </c>
      <c r="B19" s="11">
        <v>45772</v>
      </c>
      <c r="C19" s="2" t="s">
        <v>2014</v>
      </c>
      <c r="D19" s="2" t="s">
        <v>2019</v>
      </c>
      <c r="E19">
        <v>0</v>
      </c>
      <c r="F19">
        <v>0</v>
      </c>
      <c r="G19">
        <v>2724.33</v>
      </c>
      <c r="H19">
        <v>280605.99</v>
      </c>
      <c r="I19" s="2" t="s">
        <v>2024</v>
      </c>
      <c r="J19" s="2" t="s">
        <v>2026</v>
      </c>
      <c r="K19" s="2" t="s">
        <v>3205</v>
      </c>
      <c r="L19" s="2" t="s">
        <v>4031</v>
      </c>
      <c r="M19">
        <v>2724.33</v>
      </c>
      <c r="N19" s="2" t="s">
        <v>4042</v>
      </c>
      <c r="O19">
        <v>103</v>
      </c>
      <c r="P19">
        <v>280605.99</v>
      </c>
      <c r="Q19" t="b">
        <v>0</v>
      </c>
      <c r="R19" t="b">
        <v>1</v>
      </c>
      <c r="S19" t="b">
        <v>0</v>
      </c>
      <c r="T19" t="b">
        <v>1</v>
      </c>
      <c r="U19">
        <v>2</v>
      </c>
      <c r="V19" t="s">
        <v>4072</v>
      </c>
    </row>
    <row r="20" spans="1:22" hidden="1" x14ac:dyDescent="0.45">
      <c r="A20" s="2" t="s">
        <v>1677</v>
      </c>
      <c r="B20" s="11">
        <v>45354</v>
      </c>
      <c r="C20" s="2" t="s">
        <v>2010</v>
      </c>
      <c r="D20" s="2" t="s">
        <v>2015</v>
      </c>
      <c r="E20">
        <v>0</v>
      </c>
      <c r="F20">
        <v>0</v>
      </c>
      <c r="G20">
        <v>4061.44</v>
      </c>
      <c r="H20">
        <v>333038.08000000002</v>
      </c>
      <c r="I20" s="2" t="s">
        <v>2022</v>
      </c>
      <c r="J20" s="2" t="s">
        <v>2030</v>
      </c>
      <c r="K20" s="2" t="s">
        <v>3698</v>
      </c>
      <c r="L20" s="2" t="s">
        <v>4034</v>
      </c>
      <c r="M20">
        <v>4061.44</v>
      </c>
      <c r="N20" s="2" t="s">
        <v>4042</v>
      </c>
      <c r="O20">
        <v>82</v>
      </c>
      <c r="P20">
        <v>333038.08000000002</v>
      </c>
      <c r="Q20" t="b">
        <v>1</v>
      </c>
      <c r="R20" t="b">
        <v>0</v>
      </c>
      <c r="S20" t="b">
        <v>0</v>
      </c>
      <c r="T20" t="b">
        <v>1</v>
      </c>
      <c r="U20">
        <v>2</v>
      </c>
      <c r="V20" t="s">
        <v>4072</v>
      </c>
    </row>
    <row r="21" spans="1:22" hidden="1" x14ac:dyDescent="0.45">
      <c r="A21" s="2" t="s">
        <v>1510</v>
      </c>
      <c r="B21" s="11">
        <v>45221</v>
      </c>
      <c r="C21" s="2" t="s">
        <v>2010</v>
      </c>
      <c r="D21" s="2" t="s">
        <v>2015</v>
      </c>
      <c r="E21">
        <v>0</v>
      </c>
      <c r="F21">
        <v>0</v>
      </c>
      <c r="G21">
        <v>2711.83</v>
      </c>
      <c r="H21">
        <v>279318.49</v>
      </c>
      <c r="I21" s="2" t="s">
        <v>2024</v>
      </c>
      <c r="J21" s="2" t="s">
        <v>2029</v>
      </c>
      <c r="K21" s="2" t="s">
        <v>3531</v>
      </c>
      <c r="L21" s="2" t="s">
        <v>4031</v>
      </c>
      <c r="M21">
        <v>2711.83</v>
      </c>
      <c r="N21" s="2" t="s">
        <v>4042</v>
      </c>
      <c r="O21">
        <v>103</v>
      </c>
      <c r="P21">
        <v>279318.49</v>
      </c>
      <c r="Q21" t="b">
        <v>1</v>
      </c>
      <c r="R21" t="b">
        <v>0</v>
      </c>
      <c r="S21" t="b">
        <v>0</v>
      </c>
      <c r="T21" t="b">
        <v>1</v>
      </c>
      <c r="U21">
        <v>2</v>
      </c>
      <c r="V21" t="s">
        <v>4072</v>
      </c>
    </row>
    <row r="22" spans="1:22" hidden="1" x14ac:dyDescent="0.45">
      <c r="A22" s="2" t="s">
        <v>1029</v>
      </c>
      <c r="B22" s="11">
        <v>45226</v>
      </c>
      <c r="C22" s="2" t="s">
        <v>2010</v>
      </c>
      <c r="D22" s="2" t="s">
        <v>2015</v>
      </c>
      <c r="E22">
        <v>0</v>
      </c>
      <c r="F22">
        <v>0</v>
      </c>
      <c r="G22">
        <v>4557.5600000000004</v>
      </c>
      <c r="H22">
        <v>278011.16000000003</v>
      </c>
      <c r="I22" s="2" t="s">
        <v>2023</v>
      </c>
      <c r="J22" s="2" t="s">
        <v>2029</v>
      </c>
      <c r="K22" s="2" t="s">
        <v>3050</v>
      </c>
      <c r="L22" s="2" t="s">
        <v>4035</v>
      </c>
      <c r="M22">
        <v>4557.5600000000004</v>
      </c>
      <c r="N22" s="2" t="s">
        <v>4042</v>
      </c>
      <c r="O22">
        <v>61</v>
      </c>
      <c r="P22">
        <v>278011.16000000003</v>
      </c>
      <c r="Q22" t="b">
        <v>0</v>
      </c>
      <c r="R22" t="b">
        <v>1</v>
      </c>
      <c r="S22" t="b">
        <v>0</v>
      </c>
      <c r="T22" t="b">
        <v>1</v>
      </c>
      <c r="U22">
        <v>2</v>
      </c>
      <c r="V22" t="s">
        <v>4072</v>
      </c>
    </row>
    <row r="23" spans="1:22" hidden="1" x14ac:dyDescent="0.45">
      <c r="A23" s="2" t="s">
        <v>1522</v>
      </c>
      <c r="B23" s="11">
        <v>45715</v>
      </c>
      <c r="C23" s="2" t="s">
        <v>2010</v>
      </c>
      <c r="D23" s="2" t="s">
        <v>2015</v>
      </c>
      <c r="E23">
        <v>0</v>
      </c>
      <c r="F23">
        <v>0</v>
      </c>
      <c r="G23">
        <v>4946.1000000000004</v>
      </c>
      <c r="H23">
        <v>276981.60000000003</v>
      </c>
      <c r="I23" s="2" t="s">
        <v>2021</v>
      </c>
      <c r="J23" s="2" t="s">
        <v>2026</v>
      </c>
      <c r="K23" s="2" t="s">
        <v>3543</v>
      </c>
      <c r="L23" s="2" t="s">
        <v>4033</v>
      </c>
      <c r="M23">
        <v>4946.1000000000004</v>
      </c>
      <c r="N23" s="2" t="s">
        <v>4042</v>
      </c>
      <c r="O23">
        <v>56</v>
      </c>
      <c r="P23">
        <v>276981.60000000003</v>
      </c>
      <c r="Q23" t="b">
        <v>0</v>
      </c>
      <c r="R23" t="b">
        <v>1</v>
      </c>
      <c r="S23" t="b">
        <v>0</v>
      </c>
      <c r="T23" t="b">
        <v>1</v>
      </c>
      <c r="U23">
        <v>2</v>
      </c>
      <c r="V23" t="s">
        <v>4072</v>
      </c>
    </row>
    <row r="24" spans="1:22" hidden="1" x14ac:dyDescent="0.45">
      <c r="A24" s="2" t="s">
        <v>574</v>
      </c>
      <c r="B24" s="11">
        <v>45165</v>
      </c>
      <c r="C24" s="2" t="s">
        <v>2013</v>
      </c>
      <c r="D24" s="2" t="s">
        <v>2018</v>
      </c>
      <c r="E24">
        <v>372.65</v>
      </c>
      <c r="F24">
        <v>20868.399999999998</v>
      </c>
      <c r="G24">
        <v>0</v>
      </c>
      <c r="H24">
        <v>0</v>
      </c>
      <c r="I24" s="2" t="s">
        <v>2021</v>
      </c>
      <c r="J24" s="2" t="s">
        <v>2030</v>
      </c>
      <c r="K24" s="2" t="s">
        <v>2595</v>
      </c>
      <c r="L24" s="2" t="s">
        <v>4033</v>
      </c>
      <c r="M24">
        <v>-372.65</v>
      </c>
      <c r="N24" s="2" t="s">
        <v>4044</v>
      </c>
      <c r="O24">
        <v>56</v>
      </c>
      <c r="P24">
        <v>-20868.399999999998</v>
      </c>
      <c r="Q24" t="b">
        <v>1</v>
      </c>
      <c r="R24" t="b">
        <v>1</v>
      </c>
      <c r="S24" t="b">
        <v>0</v>
      </c>
      <c r="T24" t="b">
        <v>0</v>
      </c>
      <c r="U24">
        <v>2</v>
      </c>
      <c r="V24" t="s">
        <v>4072</v>
      </c>
    </row>
    <row r="25" spans="1:22" hidden="1" x14ac:dyDescent="0.45">
      <c r="A25" s="2" t="s">
        <v>902</v>
      </c>
      <c r="B25" s="11">
        <v>45288</v>
      </c>
      <c r="C25" s="2" t="s">
        <v>2010</v>
      </c>
      <c r="D25" s="2" t="s">
        <v>2015</v>
      </c>
      <c r="E25">
        <v>0</v>
      </c>
      <c r="F25">
        <v>0</v>
      </c>
      <c r="G25">
        <v>4082.31</v>
      </c>
      <c r="H25">
        <v>334749.42</v>
      </c>
      <c r="I25" s="2" t="s">
        <v>2022</v>
      </c>
      <c r="J25" s="2" t="s">
        <v>2029</v>
      </c>
      <c r="K25" s="2" t="s">
        <v>2923</v>
      </c>
      <c r="L25" s="2" t="s">
        <v>4034</v>
      </c>
      <c r="M25">
        <v>4082.31</v>
      </c>
      <c r="N25" s="2" t="s">
        <v>4042</v>
      </c>
      <c r="O25">
        <v>82</v>
      </c>
      <c r="P25">
        <v>334749.42</v>
      </c>
      <c r="Q25" t="b">
        <v>0</v>
      </c>
      <c r="R25" t="b">
        <v>1</v>
      </c>
      <c r="S25" t="b">
        <v>0</v>
      </c>
      <c r="T25" t="b">
        <v>1</v>
      </c>
      <c r="U25">
        <v>2</v>
      </c>
      <c r="V25" t="s">
        <v>4072</v>
      </c>
    </row>
    <row r="26" spans="1:22" hidden="1" x14ac:dyDescent="0.45">
      <c r="A26" s="2" t="s">
        <v>94</v>
      </c>
      <c r="B26" s="11">
        <v>45291</v>
      </c>
      <c r="C26" s="2" t="s">
        <v>2013</v>
      </c>
      <c r="D26" s="2" t="s">
        <v>2018</v>
      </c>
      <c r="E26">
        <v>1163.98</v>
      </c>
      <c r="F26">
        <v>119889.94</v>
      </c>
      <c r="G26">
        <v>0</v>
      </c>
      <c r="H26">
        <v>0</v>
      </c>
      <c r="I26" s="2" t="s">
        <v>2020</v>
      </c>
      <c r="J26" s="2" t="s">
        <v>2030</v>
      </c>
      <c r="K26" s="2" t="s">
        <v>2115</v>
      </c>
      <c r="L26" s="2" t="s">
        <v>4031</v>
      </c>
      <c r="M26">
        <v>-1163.98</v>
      </c>
      <c r="N26" s="2" t="s">
        <v>4044</v>
      </c>
      <c r="O26">
        <v>103</v>
      </c>
      <c r="P26">
        <v>-119889.94</v>
      </c>
      <c r="Q26" t="b">
        <v>1</v>
      </c>
      <c r="R26" t="b">
        <v>1</v>
      </c>
      <c r="S26" t="b">
        <v>0</v>
      </c>
      <c r="T26" t="b">
        <v>0</v>
      </c>
      <c r="U26">
        <v>2</v>
      </c>
      <c r="V26" t="s">
        <v>4072</v>
      </c>
    </row>
    <row r="27" spans="1:22" hidden="1" x14ac:dyDescent="0.45">
      <c r="A27" s="2" t="s">
        <v>849</v>
      </c>
      <c r="B27" s="11">
        <v>45836</v>
      </c>
      <c r="C27" s="2" t="s">
        <v>2013</v>
      </c>
      <c r="D27" s="2" t="s">
        <v>2018</v>
      </c>
      <c r="E27">
        <v>1965.5</v>
      </c>
      <c r="F27">
        <v>161171</v>
      </c>
      <c r="G27">
        <v>0</v>
      </c>
      <c r="H27">
        <v>0</v>
      </c>
      <c r="I27" s="2" t="s">
        <v>2023</v>
      </c>
      <c r="J27" s="2" t="s">
        <v>2028</v>
      </c>
      <c r="K27" s="2" t="s">
        <v>2870</v>
      </c>
      <c r="L27" s="2" t="s">
        <v>4034</v>
      </c>
      <c r="M27">
        <v>-1965.5</v>
      </c>
      <c r="N27" s="2" t="s">
        <v>4044</v>
      </c>
      <c r="O27">
        <v>82</v>
      </c>
      <c r="P27">
        <v>-161171</v>
      </c>
      <c r="Q27" t="b">
        <v>1</v>
      </c>
      <c r="R27" t="b">
        <v>1</v>
      </c>
      <c r="S27" t="b">
        <v>0</v>
      </c>
      <c r="T27" t="b">
        <v>0</v>
      </c>
      <c r="U27">
        <v>2</v>
      </c>
      <c r="V27" t="s">
        <v>4072</v>
      </c>
    </row>
    <row r="28" spans="1:22" hidden="1" x14ac:dyDescent="0.45">
      <c r="A28" s="2" t="s">
        <v>430</v>
      </c>
      <c r="B28" s="11">
        <v>45745</v>
      </c>
      <c r="C28" s="2" t="s">
        <v>2013</v>
      </c>
      <c r="D28" s="2" t="s">
        <v>2018</v>
      </c>
      <c r="E28">
        <v>50.64</v>
      </c>
      <c r="F28">
        <v>4456.32</v>
      </c>
      <c r="G28">
        <v>0</v>
      </c>
      <c r="H28">
        <v>0</v>
      </c>
      <c r="I28" s="2" t="s">
        <v>2020</v>
      </c>
      <c r="J28" s="2" t="s">
        <v>2028</v>
      </c>
      <c r="K28" s="2" t="s">
        <v>2451</v>
      </c>
      <c r="L28" s="2" t="s">
        <v>4032</v>
      </c>
      <c r="M28">
        <v>-50.64</v>
      </c>
      <c r="N28" s="2" t="s">
        <v>4044</v>
      </c>
      <c r="O28">
        <v>88</v>
      </c>
      <c r="P28">
        <v>-4456.32</v>
      </c>
      <c r="Q28" t="b">
        <v>1</v>
      </c>
      <c r="R28" t="b">
        <v>1</v>
      </c>
      <c r="S28" t="b">
        <v>0</v>
      </c>
      <c r="T28" t="b">
        <v>0</v>
      </c>
      <c r="U28">
        <v>2</v>
      </c>
      <c r="V28" t="s">
        <v>4072</v>
      </c>
    </row>
    <row r="29" spans="1:22" hidden="1" x14ac:dyDescent="0.45">
      <c r="A29" s="2" t="s">
        <v>1004</v>
      </c>
      <c r="B29" s="11">
        <v>45655</v>
      </c>
      <c r="C29" s="2" t="s">
        <v>2012</v>
      </c>
      <c r="D29" s="2" t="s">
        <v>2017</v>
      </c>
      <c r="E29">
        <v>818.52</v>
      </c>
      <c r="F29">
        <v>84307.56</v>
      </c>
      <c r="G29">
        <v>0</v>
      </c>
      <c r="H29">
        <v>0</v>
      </c>
      <c r="I29" s="2" t="s">
        <v>2020</v>
      </c>
      <c r="J29" s="2" t="s">
        <v>2026</v>
      </c>
      <c r="K29" s="2" t="s">
        <v>3025</v>
      </c>
      <c r="L29" s="2" t="s">
        <v>4031</v>
      </c>
      <c r="M29">
        <v>-818.52</v>
      </c>
      <c r="N29" s="2" t="s">
        <v>4044</v>
      </c>
      <c r="O29">
        <v>103</v>
      </c>
      <c r="P29">
        <v>-84307.56</v>
      </c>
      <c r="Q29" t="b">
        <v>1</v>
      </c>
      <c r="R29" t="b">
        <v>1</v>
      </c>
      <c r="S29" t="b">
        <v>0</v>
      </c>
      <c r="T29" t="b">
        <v>0</v>
      </c>
      <c r="U29">
        <v>2</v>
      </c>
      <c r="V29" t="s">
        <v>4072</v>
      </c>
    </row>
    <row r="30" spans="1:22" hidden="1" x14ac:dyDescent="0.45">
      <c r="A30" s="2" t="s">
        <v>462</v>
      </c>
      <c r="B30" s="11">
        <v>45256</v>
      </c>
      <c r="C30" s="2" t="s">
        <v>2012</v>
      </c>
      <c r="D30" s="2" t="s">
        <v>2017</v>
      </c>
      <c r="E30">
        <v>819.5</v>
      </c>
      <c r="F30">
        <v>84408.5</v>
      </c>
      <c r="G30">
        <v>0</v>
      </c>
      <c r="H30">
        <v>0</v>
      </c>
      <c r="I30" s="2" t="s">
        <v>2022</v>
      </c>
      <c r="J30" s="2" t="s">
        <v>2028</v>
      </c>
      <c r="K30" s="2" t="s">
        <v>2483</v>
      </c>
      <c r="L30" s="2" t="s">
        <v>4031</v>
      </c>
      <c r="M30">
        <v>-819.5</v>
      </c>
      <c r="N30" s="2" t="s">
        <v>4044</v>
      </c>
      <c r="O30">
        <v>103</v>
      </c>
      <c r="P30">
        <v>-84408.5</v>
      </c>
      <c r="Q30" t="b">
        <v>1</v>
      </c>
      <c r="R30" t="b">
        <v>1</v>
      </c>
      <c r="S30" t="b">
        <v>0</v>
      </c>
      <c r="T30" t="b">
        <v>0</v>
      </c>
      <c r="U30">
        <v>2</v>
      </c>
      <c r="V30" t="s">
        <v>4072</v>
      </c>
    </row>
    <row r="31" spans="1:22" hidden="1" x14ac:dyDescent="0.45">
      <c r="A31" s="2" t="s">
        <v>1999</v>
      </c>
      <c r="B31" s="11">
        <v>45591</v>
      </c>
      <c r="C31" s="2" t="s">
        <v>2013</v>
      </c>
      <c r="D31" s="2" t="s">
        <v>2018</v>
      </c>
      <c r="E31">
        <v>247.03</v>
      </c>
      <c r="F31">
        <v>20256.46</v>
      </c>
      <c r="G31">
        <v>0</v>
      </c>
      <c r="H31">
        <v>0</v>
      </c>
      <c r="I31" s="2" t="s">
        <v>2023</v>
      </c>
      <c r="J31" s="2" t="s">
        <v>2029</v>
      </c>
      <c r="K31" s="2" t="s">
        <v>4020</v>
      </c>
      <c r="L31" s="2" t="s">
        <v>4034</v>
      </c>
      <c r="M31">
        <v>-247.03</v>
      </c>
      <c r="N31" s="2" t="s">
        <v>4044</v>
      </c>
      <c r="O31">
        <v>82</v>
      </c>
      <c r="P31">
        <v>-20256.46</v>
      </c>
      <c r="Q31" t="b">
        <v>1</v>
      </c>
      <c r="R31" t="b">
        <v>1</v>
      </c>
      <c r="S31" t="b">
        <v>0</v>
      </c>
      <c r="T31" t="b">
        <v>0</v>
      </c>
      <c r="U31">
        <v>2</v>
      </c>
      <c r="V31" t="s">
        <v>4072</v>
      </c>
    </row>
    <row r="32" spans="1:22" hidden="1" x14ac:dyDescent="0.45">
      <c r="A32" s="2" t="s">
        <v>61</v>
      </c>
      <c r="B32" s="11">
        <v>45591</v>
      </c>
      <c r="C32" s="2" t="s">
        <v>2010</v>
      </c>
      <c r="D32" s="2" t="s">
        <v>2015</v>
      </c>
      <c r="E32">
        <v>0</v>
      </c>
      <c r="F32">
        <v>0</v>
      </c>
      <c r="G32">
        <v>4456.24</v>
      </c>
      <c r="H32">
        <v>271830.64</v>
      </c>
      <c r="I32" s="2" t="s">
        <v>2021</v>
      </c>
      <c r="J32" s="2" t="s">
        <v>2028</v>
      </c>
      <c r="K32" s="2" t="s">
        <v>2082</v>
      </c>
      <c r="L32" s="2" t="s">
        <v>4035</v>
      </c>
      <c r="M32">
        <v>4456.24</v>
      </c>
      <c r="N32" s="2" t="s">
        <v>4042</v>
      </c>
      <c r="O32">
        <v>61</v>
      </c>
      <c r="P32">
        <v>271830.64</v>
      </c>
      <c r="Q32" t="b">
        <v>1</v>
      </c>
      <c r="R32" t="b">
        <v>1</v>
      </c>
      <c r="S32" t="b">
        <v>0</v>
      </c>
      <c r="T32" t="b">
        <v>0</v>
      </c>
      <c r="U32">
        <v>2</v>
      </c>
      <c r="V32" t="s">
        <v>4072</v>
      </c>
    </row>
    <row r="33" spans="1:22" hidden="1" x14ac:dyDescent="0.45">
      <c r="A33" s="2" t="s">
        <v>1201</v>
      </c>
      <c r="B33" s="11">
        <v>45683</v>
      </c>
      <c r="C33" s="2" t="s">
        <v>2012</v>
      </c>
      <c r="D33" s="2" t="s">
        <v>2017</v>
      </c>
      <c r="E33">
        <v>1158.3800000000001</v>
      </c>
      <c r="F33">
        <v>119313.14000000001</v>
      </c>
      <c r="G33">
        <v>0</v>
      </c>
      <c r="H33">
        <v>0</v>
      </c>
      <c r="I33" s="2" t="s">
        <v>2020</v>
      </c>
      <c r="J33" s="2" t="s">
        <v>2026</v>
      </c>
      <c r="K33" s="2" t="s">
        <v>3222</v>
      </c>
      <c r="L33" s="2" t="s">
        <v>4031</v>
      </c>
      <c r="M33">
        <v>-1158.3800000000001</v>
      </c>
      <c r="N33" s="2" t="s">
        <v>4044</v>
      </c>
      <c r="O33">
        <v>103</v>
      </c>
      <c r="P33">
        <v>-119313.14000000001</v>
      </c>
      <c r="Q33" t="b">
        <v>1</v>
      </c>
      <c r="R33" t="b">
        <v>1</v>
      </c>
      <c r="S33" t="b">
        <v>0</v>
      </c>
      <c r="T33" t="b">
        <v>0</v>
      </c>
      <c r="U33">
        <v>2</v>
      </c>
      <c r="V33" t="s">
        <v>4072</v>
      </c>
    </row>
    <row r="34" spans="1:22" hidden="1" x14ac:dyDescent="0.45">
      <c r="A34" s="2" t="s">
        <v>86</v>
      </c>
      <c r="B34" s="11">
        <v>45437</v>
      </c>
      <c r="C34" s="2" t="s">
        <v>2010</v>
      </c>
      <c r="D34" s="2" t="s">
        <v>2015</v>
      </c>
      <c r="E34">
        <v>0</v>
      </c>
      <c r="F34">
        <v>0</v>
      </c>
      <c r="G34">
        <v>2609.56</v>
      </c>
      <c r="H34">
        <v>268784.68</v>
      </c>
      <c r="I34" s="2" t="s">
        <v>2020</v>
      </c>
      <c r="J34" s="2" t="s">
        <v>2028</v>
      </c>
      <c r="K34" s="2" t="s">
        <v>2107</v>
      </c>
      <c r="L34" s="2" t="s">
        <v>4031</v>
      </c>
      <c r="M34">
        <v>2609.56</v>
      </c>
      <c r="N34" s="2" t="s">
        <v>4042</v>
      </c>
      <c r="O34">
        <v>103</v>
      </c>
      <c r="P34">
        <v>268784.68</v>
      </c>
      <c r="Q34" t="b">
        <v>1</v>
      </c>
      <c r="R34" t="b">
        <v>1</v>
      </c>
      <c r="S34" t="b">
        <v>0</v>
      </c>
      <c r="T34" t="b">
        <v>0</v>
      </c>
      <c r="U34">
        <v>2</v>
      </c>
      <c r="V34" t="s">
        <v>4072</v>
      </c>
    </row>
    <row r="35" spans="1:22" hidden="1" x14ac:dyDescent="0.45">
      <c r="A35" s="2" t="s">
        <v>2007</v>
      </c>
      <c r="B35" s="11">
        <v>45249</v>
      </c>
      <c r="C35" s="2" t="s">
        <v>2010</v>
      </c>
      <c r="D35" s="2" t="s">
        <v>2015</v>
      </c>
      <c r="E35">
        <v>0</v>
      </c>
      <c r="F35">
        <v>0</v>
      </c>
      <c r="G35">
        <v>4719.37</v>
      </c>
      <c r="H35">
        <v>287881.57</v>
      </c>
      <c r="I35" s="2" t="s">
        <v>2025</v>
      </c>
      <c r="J35" s="2" t="s">
        <v>2030</v>
      </c>
      <c r="K35" s="2" t="s">
        <v>4028</v>
      </c>
      <c r="L35" s="2" t="s">
        <v>4035</v>
      </c>
      <c r="M35">
        <v>4719.37</v>
      </c>
      <c r="N35" s="2" t="s">
        <v>4042</v>
      </c>
      <c r="O35">
        <v>61</v>
      </c>
      <c r="P35">
        <v>287881.57</v>
      </c>
      <c r="Q35" t="b">
        <v>1</v>
      </c>
      <c r="R35" t="b">
        <v>0</v>
      </c>
      <c r="S35" t="b">
        <v>0</v>
      </c>
      <c r="T35" t="b">
        <v>1</v>
      </c>
      <c r="U35">
        <v>2</v>
      </c>
      <c r="V35" t="s">
        <v>4072</v>
      </c>
    </row>
    <row r="36" spans="1:22" hidden="1" x14ac:dyDescent="0.45">
      <c r="A36" s="2" t="s">
        <v>1595</v>
      </c>
      <c r="B36" s="11">
        <v>45465</v>
      </c>
      <c r="C36" s="2" t="s">
        <v>2014</v>
      </c>
      <c r="D36" s="2" t="s">
        <v>2019</v>
      </c>
      <c r="E36">
        <v>0</v>
      </c>
      <c r="F36">
        <v>0</v>
      </c>
      <c r="G36">
        <v>3874.96</v>
      </c>
      <c r="H36">
        <v>317746.72000000003</v>
      </c>
      <c r="I36" s="2" t="s">
        <v>2024</v>
      </c>
      <c r="J36" s="2" t="s">
        <v>2027</v>
      </c>
      <c r="K36" s="2" t="s">
        <v>3616</v>
      </c>
      <c r="L36" s="2" t="s">
        <v>4034</v>
      </c>
      <c r="M36">
        <v>3874.96</v>
      </c>
      <c r="N36" s="2" t="s">
        <v>4042</v>
      </c>
      <c r="O36">
        <v>82</v>
      </c>
      <c r="P36">
        <v>317746.72000000003</v>
      </c>
      <c r="Q36" t="b">
        <v>1</v>
      </c>
      <c r="R36" t="b">
        <v>0</v>
      </c>
      <c r="S36" t="b">
        <v>0</v>
      </c>
      <c r="T36" t="b">
        <v>1</v>
      </c>
      <c r="U36">
        <v>2</v>
      </c>
      <c r="V36" t="s">
        <v>4072</v>
      </c>
    </row>
    <row r="37" spans="1:22" hidden="1" x14ac:dyDescent="0.45">
      <c r="A37" s="2" t="s">
        <v>95</v>
      </c>
      <c r="B37" s="11">
        <v>45221</v>
      </c>
      <c r="C37" s="2" t="s">
        <v>2010</v>
      </c>
      <c r="D37" s="2" t="s">
        <v>2015</v>
      </c>
      <c r="E37">
        <v>0</v>
      </c>
      <c r="F37">
        <v>0</v>
      </c>
      <c r="G37">
        <v>3532.66</v>
      </c>
      <c r="H37">
        <v>289678.12</v>
      </c>
      <c r="I37" s="2" t="s">
        <v>2022</v>
      </c>
      <c r="J37" s="2" t="s">
        <v>2027</v>
      </c>
      <c r="K37" s="2" t="s">
        <v>2116</v>
      </c>
      <c r="L37" s="2" t="s">
        <v>4034</v>
      </c>
      <c r="M37">
        <v>3532.66</v>
      </c>
      <c r="N37" s="2" t="s">
        <v>4042</v>
      </c>
      <c r="O37">
        <v>82</v>
      </c>
      <c r="P37">
        <v>289678.12</v>
      </c>
      <c r="Q37" t="b">
        <v>1</v>
      </c>
      <c r="R37" t="b">
        <v>0</v>
      </c>
      <c r="S37" t="b">
        <v>0</v>
      </c>
      <c r="T37" t="b">
        <v>1</v>
      </c>
      <c r="U37">
        <v>2</v>
      </c>
      <c r="V37" t="s">
        <v>4072</v>
      </c>
    </row>
    <row r="38" spans="1:22" hidden="1" x14ac:dyDescent="0.45">
      <c r="A38" s="2" t="s">
        <v>144</v>
      </c>
      <c r="B38" s="11">
        <v>45535</v>
      </c>
      <c r="C38" s="2" t="s">
        <v>2013</v>
      </c>
      <c r="D38" s="2" t="s">
        <v>2018</v>
      </c>
      <c r="E38">
        <v>355.53</v>
      </c>
      <c r="F38">
        <v>31286.639999999999</v>
      </c>
      <c r="G38">
        <v>0</v>
      </c>
      <c r="H38">
        <v>0</v>
      </c>
      <c r="I38" s="2" t="s">
        <v>2023</v>
      </c>
      <c r="J38" s="2" t="s">
        <v>2028</v>
      </c>
      <c r="K38" s="2" t="s">
        <v>2165</v>
      </c>
      <c r="L38" s="2" t="s">
        <v>4032</v>
      </c>
      <c r="M38">
        <v>-355.53</v>
      </c>
      <c r="N38" s="2" t="s">
        <v>4044</v>
      </c>
      <c r="O38">
        <v>88</v>
      </c>
      <c r="P38">
        <v>-31286.639999999999</v>
      </c>
      <c r="Q38" t="b">
        <v>1</v>
      </c>
      <c r="R38" t="b">
        <v>1</v>
      </c>
      <c r="S38" t="b">
        <v>0</v>
      </c>
      <c r="T38" t="b">
        <v>0</v>
      </c>
      <c r="U38">
        <v>2</v>
      </c>
      <c r="V38" t="s">
        <v>4072</v>
      </c>
    </row>
    <row r="39" spans="1:22" hidden="1" x14ac:dyDescent="0.45">
      <c r="A39" s="2" t="s">
        <v>1670</v>
      </c>
      <c r="B39" s="11">
        <v>45745</v>
      </c>
      <c r="C39" s="2" t="s">
        <v>2010</v>
      </c>
      <c r="D39" s="2" t="s">
        <v>2015</v>
      </c>
      <c r="E39">
        <v>0</v>
      </c>
      <c r="F39">
        <v>0</v>
      </c>
      <c r="G39">
        <v>2057.71</v>
      </c>
      <c r="H39">
        <v>125520.31</v>
      </c>
      <c r="I39" s="2" t="s">
        <v>2023</v>
      </c>
      <c r="J39" s="2" t="s">
        <v>2028</v>
      </c>
      <c r="K39" s="2" t="s">
        <v>3691</v>
      </c>
      <c r="L39" s="2" t="s">
        <v>4035</v>
      </c>
      <c r="M39">
        <v>2057.71</v>
      </c>
      <c r="N39" s="2" t="s">
        <v>4042</v>
      </c>
      <c r="O39">
        <v>61</v>
      </c>
      <c r="P39">
        <v>125520.31</v>
      </c>
      <c r="Q39" t="b">
        <v>1</v>
      </c>
      <c r="R39" t="b">
        <v>1</v>
      </c>
      <c r="S39" t="b">
        <v>0</v>
      </c>
      <c r="T39" t="b">
        <v>0</v>
      </c>
      <c r="U39">
        <v>2</v>
      </c>
      <c r="V39" t="s">
        <v>4072</v>
      </c>
    </row>
    <row r="40" spans="1:22" hidden="1" x14ac:dyDescent="0.45">
      <c r="A40" s="2" t="s">
        <v>1625</v>
      </c>
      <c r="B40" s="11">
        <v>45077</v>
      </c>
      <c r="C40" s="2" t="s">
        <v>2010</v>
      </c>
      <c r="D40" s="2" t="s">
        <v>2015</v>
      </c>
      <c r="E40">
        <v>0</v>
      </c>
      <c r="F40">
        <v>0</v>
      </c>
      <c r="G40">
        <v>3145.99</v>
      </c>
      <c r="H40">
        <v>324036.96999999997</v>
      </c>
      <c r="I40" s="2" t="s">
        <v>2022</v>
      </c>
      <c r="J40" s="2" t="s">
        <v>2028</v>
      </c>
      <c r="K40" s="2" t="s">
        <v>3646</v>
      </c>
      <c r="L40" s="2" t="s">
        <v>4031</v>
      </c>
      <c r="M40">
        <v>3145.99</v>
      </c>
      <c r="N40" s="2" t="s">
        <v>4042</v>
      </c>
      <c r="O40">
        <v>103</v>
      </c>
      <c r="P40">
        <v>324036.96999999997</v>
      </c>
      <c r="Q40" t="b">
        <v>0</v>
      </c>
      <c r="R40" t="b">
        <v>1</v>
      </c>
      <c r="S40" t="b">
        <v>0</v>
      </c>
      <c r="T40" t="b">
        <v>1</v>
      </c>
      <c r="U40">
        <v>2</v>
      </c>
      <c r="V40" t="s">
        <v>4072</v>
      </c>
    </row>
    <row r="41" spans="1:22" hidden="1" x14ac:dyDescent="0.45">
      <c r="A41" s="2" t="s">
        <v>1632</v>
      </c>
      <c r="B41" s="11">
        <v>45151</v>
      </c>
      <c r="C41" s="2" t="s">
        <v>2010</v>
      </c>
      <c r="D41" s="2" t="s">
        <v>2015</v>
      </c>
      <c r="E41">
        <v>0</v>
      </c>
      <c r="F41">
        <v>0</v>
      </c>
      <c r="G41">
        <v>3715.39</v>
      </c>
      <c r="H41">
        <v>326954.32</v>
      </c>
      <c r="I41" s="2" t="s">
        <v>2024</v>
      </c>
      <c r="J41" s="2" t="s">
        <v>2026</v>
      </c>
      <c r="K41" s="2" t="s">
        <v>3653</v>
      </c>
      <c r="L41" s="2" t="s">
        <v>4032</v>
      </c>
      <c r="M41">
        <v>3715.39</v>
      </c>
      <c r="N41" s="2" t="s">
        <v>4042</v>
      </c>
      <c r="O41">
        <v>88</v>
      </c>
      <c r="P41">
        <v>326954.32</v>
      </c>
      <c r="Q41" t="b">
        <v>1</v>
      </c>
      <c r="R41" t="b">
        <v>0</v>
      </c>
      <c r="S41" t="b">
        <v>0</v>
      </c>
      <c r="T41" t="b">
        <v>1</v>
      </c>
      <c r="U41">
        <v>2</v>
      </c>
      <c r="V41" t="s">
        <v>4072</v>
      </c>
    </row>
    <row r="42" spans="1:22" hidden="1" x14ac:dyDescent="0.45">
      <c r="A42" s="2" t="s">
        <v>210</v>
      </c>
      <c r="B42" s="11">
        <v>45347</v>
      </c>
      <c r="C42" s="2" t="s">
        <v>2012</v>
      </c>
      <c r="D42" s="2" t="s">
        <v>2017</v>
      </c>
      <c r="E42">
        <v>763.01</v>
      </c>
      <c r="F42">
        <v>78590.03</v>
      </c>
      <c r="G42">
        <v>0</v>
      </c>
      <c r="H42">
        <v>0</v>
      </c>
      <c r="I42" s="2" t="s">
        <v>2021</v>
      </c>
      <c r="J42" s="2" t="s">
        <v>2030</v>
      </c>
      <c r="K42" s="2" t="s">
        <v>2231</v>
      </c>
      <c r="L42" s="2" t="s">
        <v>4031</v>
      </c>
      <c r="M42">
        <v>-763.01</v>
      </c>
      <c r="N42" s="2" t="s">
        <v>4044</v>
      </c>
      <c r="O42">
        <v>103</v>
      </c>
      <c r="P42">
        <v>-78590.03</v>
      </c>
      <c r="Q42" t="b">
        <v>1</v>
      </c>
      <c r="R42" t="b">
        <v>1</v>
      </c>
      <c r="S42" t="b">
        <v>0</v>
      </c>
      <c r="T42" t="b">
        <v>0</v>
      </c>
      <c r="U42">
        <v>2</v>
      </c>
      <c r="V42" t="s">
        <v>4072</v>
      </c>
    </row>
    <row r="43" spans="1:22" hidden="1" x14ac:dyDescent="0.45">
      <c r="A43" s="2" t="s">
        <v>1656</v>
      </c>
      <c r="B43" s="11">
        <v>45075</v>
      </c>
      <c r="C43" s="2" t="s">
        <v>2014</v>
      </c>
      <c r="D43" s="2" t="s">
        <v>2019</v>
      </c>
      <c r="E43">
        <v>0</v>
      </c>
      <c r="F43">
        <v>0</v>
      </c>
      <c r="G43">
        <v>3037.2</v>
      </c>
      <c r="H43">
        <v>312831.59999999998</v>
      </c>
      <c r="I43" s="2" t="s">
        <v>2024</v>
      </c>
      <c r="J43" s="2" t="s">
        <v>2029</v>
      </c>
      <c r="K43" s="2" t="s">
        <v>3677</v>
      </c>
      <c r="L43" s="2" t="s">
        <v>4031</v>
      </c>
      <c r="M43">
        <v>3037.2</v>
      </c>
      <c r="N43" s="2" t="s">
        <v>4042</v>
      </c>
      <c r="O43">
        <v>103</v>
      </c>
      <c r="P43">
        <v>312831.59999999998</v>
      </c>
      <c r="Q43" t="b">
        <v>0</v>
      </c>
      <c r="R43" t="b">
        <v>1</v>
      </c>
      <c r="S43" t="b">
        <v>0</v>
      </c>
      <c r="T43" t="b">
        <v>1</v>
      </c>
      <c r="U43">
        <v>2</v>
      </c>
      <c r="V43" t="s">
        <v>4072</v>
      </c>
    </row>
    <row r="44" spans="1:22" hidden="1" x14ac:dyDescent="0.45">
      <c r="A44" s="2" t="s">
        <v>1579</v>
      </c>
      <c r="B44" s="11">
        <v>45623</v>
      </c>
      <c r="C44" s="2" t="s">
        <v>2014</v>
      </c>
      <c r="D44" s="2" t="s">
        <v>2019</v>
      </c>
      <c r="E44">
        <v>0</v>
      </c>
      <c r="F44">
        <v>0</v>
      </c>
      <c r="G44">
        <v>3033.61</v>
      </c>
      <c r="H44">
        <v>312461.83</v>
      </c>
      <c r="I44" s="2" t="s">
        <v>2021</v>
      </c>
      <c r="J44" s="2" t="s">
        <v>2030</v>
      </c>
      <c r="K44" s="2" t="s">
        <v>3600</v>
      </c>
      <c r="L44" s="2" t="s">
        <v>4031</v>
      </c>
      <c r="M44">
        <v>3033.61</v>
      </c>
      <c r="N44" s="2" t="s">
        <v>4042</v>
      </c>
      <c r="O44">
        <v>103</v>
      </c>
      <c r="P44">
        <v>312461.83</v>
      </c>
      <c r="Q44" t="b">
        <v>0</v>
      </c>
      <c r="R44" t="b">
        <v>1</v>
      </c>
      <c r="S44" t="b">
        <v>0</v>
      </c>
      <c r="T44" t="b">
        <v>1</v>
      </c>
      <c r="U44">
        <v>2</v>
      </c>
      <c r="V44" t="s">
        <v>4072</v>
      </c>
    </row>
    <row r="45" spans="1:22" hidden="1" x14ac:dyDescent="0.45">
      <c r="A45" s="2" t="s">
        <v>203</v>
      </c>
      <c r="B45" s="11">
        <v>45522</v>
      </c>
      <c r="C45" s="2" t="s">
        <v>2014</v>
      </c>
      <c r="D45" s="2" t="s">
        <v>2019</v>
      </c>
      <c r="E45">
        <v>0</v>
      </c>
      <c r="F45">
        <v>0</v>
      </c>
      <c r="G45">
        <v>3549.99</v>
      </c>
      <c r="H45">
        <v>312399.12</v>
      </c>
      <c r="I45" s="2" t="s">
        <v>2020</v>
      </c>
      <c r="J45" s="2" t="s">
        <v>2030</v>
      </c>
      <c r="K45" s="2" t="s">
        <v>2224</v>
      </c>
      <c r="L45" s="2" t="s">
        <v>4032</v>
      </c>
      <c r="M45">
        <v>3549.99</v>
      </c>
      <c r="N45" s="2" t="s">
        <v>4042</v>
      </c>
      <c r="O45">
        <v>88</v>
      </c>
      <c r="P45">
        <v>312399.12</v>
      </c>
      <c r="Q45" t="b">
        <v>1</v>
      </c>
      <c r="R45" t="b">
        <v>0</v>
      </c>
      <c r="S45" t="b">
        <v>0</v>
      </c>
      <c r="T45" t="b">
        <v>1</v>
      </c>
      <c r="U45">
        <v>2</v>
      </c>
      <c r="V45" t="s">
        <v>4072</v>
      </c>
    </row>
    <row r="46" spans="1:22" hidden="1" x14ac:dyDescent="0.45">
      <c r="A46" s="2" t="s">
        <v>1687</v>
      </c>
      <c r="B46" s="11">
        <v>45803</v>
      </c>
      <c r="C46" s="2" t="s">
        <v>2014</v>
      </c>
      <c r="D46" s="2" t="s">
        <v>2019</v>
      </c>
      <c r="E46">
        <v>0</v>
      </c>
      <c r="F46">
        <v>0</v>
      </c>
      <c r="G46">
        <v>3799.96</v>
      </c>
      <c r="H46">
        <v>311596.72000000003</v>
      </c>
      <c r="I46" s="2" t="s">
        <v>2024</v>
      </c>
      <c r="J46" s="2" t="s">
        <v>2027</v>
      </c>
      <c r="K46" s="2" t="s">
        <v>3708</v>
      </c>
      <c r="L46" s="2" t="s">
        <v>4034</v>
      </c>
      <c r="M46">
        <v>3799.96</v>
      </c>
      <c r="N46" s="2" t="s">
        <v>4042</v>
      </c>
      <c r="O46">
        <v>82</v>
      </c>
      <c r="P46">
        <v>311596.72000000003</v>
      </c>
      <c r="Q46" t="b">
        <v>0</v>
      </c>
      <c r="R46" t="b">
        <v>1</v>
      </c>
      <c r="S46" t="b">
        <v>0</v>
      </c>
      <c r="T46" t="b">
        <v>1</v>
      </c>
      <c r="U46">
        <v>2</v>
      </c>
      <c r="V46" t="s">
        <v>4072</v>
      </c>
    </row>
    <row r="47" spans="1:22" hidden="1" x14ac:dyDescent="0.45">
      <c r="A47" s="2" t="s">
        <v>573</v>
      </c>
      <c r="B47" s="11">
        <v>45396</v>
      </c>
      <c r="C47" s="2" t="s">
        <v>2010</v>
      </c>
      <c r="D47" s="2" t="s">
        <v>2015</v>
      </c>
      <c r="E47">
        <v>0</v>
      </c>
      <c r="F47">
        <v>0</v>
      </c>
      <c r="G47">
        <v>3762.76</v>
      </c>
      <c r="H47">
        <v>308546.32</v>
      </c>
      <c r="I47" s="2" t="s">
        <v>2025</v>
      </c>
      <c r="J47" s="2" t="s">
        <v>2030</v>
      </c>
      <c r="K47" s="2" t="s">
        <v>2594</v>
      </c>
      <c r="L47" s="2" t="s">
        <v>4034</v>
      </c>
      <c r="M47">
        <v>3762.76</v>
      </c>
      <c r="N47" s="2" t="s">
        <v>4042</v>
      </c>
      <c r="O47">
        <v>82</v>
      </c>
      <c r="P47">
        <v>308546.32</v>
      </c>
      <c r="Q47" t="b">
        <v>1</v>
      </c>
      <c r="R47" t="b">
        <v>0</v>
      </c>
      <c r="S47" t="b">
        <v>0</v>
      </c>
      <c r="T47" t="b">
        <v>1</v>
      </c>
      <c r="U47">
        <v>2</v>
      </c>
      <c r="V47" t="s">
        <v>4072</v>
      </c>
    </row>
    <row r="48" spans="1:22" hidden="1" x14ac:dyDescent="0.45">
      <c r="A48" s="2" t="s">
        <v>414</v>
      </c>
      <c r="B48" s="11">
        <v>45684</v>
      </c>
      <c r="C48" s="2" t="s">
        <v>2010</v>
      </c>
      <c r="D48" s="2" t="s">
        <v>2015</v>
      </c>
      <c r="E48">
        <v>0</v>
      </c>
      <c r="F48">
        <v>0</v>
      </c>
      <c r="G48">
        <v>2979.48</v>
      </c>
      <c r="H48">
        <v>306886.44</v>
      </c>
      <c r="I48" s="2" t="s">
        <v>2025</v>
      </c>
      <c r="J48" s="2" t="s">
        <v>2026</v>
      </c>
      <c r="K48" s="2" t="s">
        <v>2435</v>
      </c>
      <c r="L48" s="2" t="s">
        <v>4031</v>
      </c>
      <c r="M48">
        <v>2979.48</v>
      </c>
      <c r="N48" s="2" t="s">
        <v>4042</v>
      </c>
      <c r="O48">
        <v>103</v>
      </c>
      <c r="P48">
        <v>306886.44</v>
      </c>
      <c r="Q48" t="b">
        <v>0</v>
      </c>
      <c r="R48" t="b">
        <v>1</v>
      </c>
      <c r="S48" t="b">
        <v>0</v>
      </c>
      <c r="T48" t="b">
        <v>1</v>
      </c>
      <c r="U48">
        <v>2</v>
      </c>
      <c r="V48" t="s">
        <v>4072</v>
      </c>
    </row>
    <row r="49" spans="1:22" hidden="1" x14ac:dyDescent="0.45">
      <c r="A49" s="2" t="s">
        <v>73</v>
      </c>
      <c r="B49" s="11">
        <v>45529</v>
      </c>
      <c r="C49" s="2" t="s">
        <v>2012</v>
      </c>
      <c r="D49" s="2" t="s">
        <v>2017</v>
      </c>
      <c r="E49">
        <v>1423.44</v>
      </c>
      <c r="F49">
        <v>125262.72</v>
      </c>
      <c r="G49">
        <v>0</v>
      </c>
      <c r="H49">
        <v>0</v>
      </c>
      <c r="I49" s="2" t="s">
        <v>2023</v>
      </c>
      <c r="J49" s="2" t="s">
        <v>2027</v>
      </c>
      <c r="K49" s="2" t="s">
        <v>2094</v>
      </c>
      <c r="L49" s="2" t="s">
        <v>4032</v>
      </c>
      <c r="M49">
        <v>-1423.44</v>
      </c>
      <c r="N49" s="2" t="s">
        <v>4044</v>
      </c>
      <c r="O49">
        <v>88</v>
      </c>
      <c r="P49">
        <v>-125262.72</v>
      </c>
      <c r="Q49" t="b">
        <v>1</v>
      </c>
      <c r="R49" t="b">
        <v>1</v>
      </c>
      <c r="S49" t="b">
        <v>0</v>
      </c>
      <c r="T49" t="b">
        <v>0</v>
      </c>
      <c r="U49">
        <v>2</v>
      </c>
      <c r="V49" t="s">
        <v>4072</v>
      </c>
    </row>
    <row r="50" spans="1:22" hidden="1" x14ac:dyDescent="0.45">
      <c r="A50" s="2" t="s">
        <v>1822</v>
      </c>
      <c r="B50" s="11">
        <v>45802</v>
      </c>
      <c r="C50" s="2" t="s">
        <v>2010</v>
      </c>
      <c r="D50" s="2" t="s">
        <v>2015</v>
      </c>
      <c r="E50">
        <v>0</v>
      </c>
      <c r="F50">
        <v>0</v>
      </c>
      <c r="G50">
        <v>523.59</v>
      </c>
      <c r="H50">
        <v>31938.99</v>
      </c>
      <c r="I50" s="2" t="s">
        <v>2021</v>
      </c>
      <c r="J50" s="2" t="s">
        <v>2029</v>
      </c>
      <c r="K50" s="2" t="s">
        <v>3843</v>
      </c>
      <c r="L50" s="2" t="s">
        <v>4035</v>
      </c>
      <c r="M50">
        <v>523.59</v>
      </c>
      <c r="N50" s="2" t="s">
        <v>4042</v>
      </c>
      <c r="O50">
        <v>61</v>
      </c>
      <c r="P50">
        <v>31938.99</v>
      </c>
      <c r="Q50" t="b">
        <v>1</v>
      </c>
      <c r="R50" t="b">
        <v>1</v>
      </c>
      <c r="S50" t="b">
        <v>0</v>
      </c>
      <c r="T50" t="b">
        <v>0</v>
      </c>
      <c r="U50">
        <v>2</v>
      </c>
      <c r="V50" t="s">
        <v>4072</v>
      </c>
    </row>
    <row r="51" spans="1:22" hidden="1" x14ac:dyDescent="0.45">
      <c r="A51" s="2" t="s">
        <v>1532</v>
      </c>
      <c r="B51" s="11">
        <v>45738</v>
      </c>
      <c r="C51" s="2" t="s">
        <v>2010</v>
      </c>
      <c r="D51" s="2" t="s">
        <v>2015</v>
      </c>
      <c r="E51">
        <v>0</v>
      </c>
      <c r="F51">
        <v>0</v>
      </c>
      <c r="G51">
        <v>3468.9</v>
      </c>
      <c r="H51">
        <v>305263.2</v>
      </c>
      <c r="I51" s="2" t="s">
        <v>2021</v>
      </c>
      <c r="J51" s="2" t="s">
        <v>2026</v>
      </c>
      <c r="K51" s="2" t="s">
        <v>3553</v>
      </c>
      <c r="L51" s="2" t="s">
        <v>4032</v>
      </c>
      <c r="M51">
        <v>3468.9</v>
      </c>
      <c r="N51" s="2" t="s">
        <v>4042</v>
      </c>
      <c r="O51">
        <v>88</v>
      </c>
      <c r="P51">
        <v>305263.2</v>
      </c>
      <c r="Q51" t="b">
        <v>1</v>
      </c>
      <c r="R51" t="b">
        <v>0</v>
      </c>
      <c r="S51" t="b">
        <v>0</v>
      </c>
      <c r="T51" t="b">
        <v>1</v>
      </c>
      <c r="U51">
        <v>2</v>
      </c>
      <c r="V51" t="s">
        <v>4072</v>
      </c>
    </row>
    <row r="52" spans="1:22" hidden="1" x14ac:dyDescent="0.45">
      <c r="A52" s="2" t="s">
        <v>1649</v>
      </c>
      <c r="B52" s="11">
        <v>45654</v>
      </c>
      <c r="C52" s="2" t="s">
        <v>2011</v>
      </c>
      <c r="D52" s="2" t="s">
        <v>2016</v>
      </c>
      <c r="E52">
        <v>641.08000000000004</v>
      </c>
      <c r="F52">
        <v>56415.040000000001</v>
      </c>
      <c r="G52">
        <v>0</v>
      </c>
      <c r="H52">
        <v>0</v>
      </c>
      <c r="I52" s="2" t="s">
        <v>2020</v>
      </c>
      <c r="J52" s="2" t="s">
        <v>2029</v>
      </c>
      <c r="K52" s="2" t="s">
        <v>3670</v>
      </c>
      <c r="L52" s="2" t="s">
        <v>4032</v>
      </c>
      <c r="M52">
        <v>-641.08000000000004</v>
      </c>
      <c r="N52" s="2" t="s">
        <v>2016</v>
      </c>
      <c r="O52">
        <v>88</v>
      </c>
      <c r="P52">
        <v>-56415.040000000001</v>
      </c>
      <c r="Q52" t="b">
        <v>1</v>
      </c>
      <c r="R52" t="b">
        <v>1</v>
      </c>
      <c r="S52" t="b">
        <v>0</v>
      </c>
      <c r="T52" t="b">
        <v>0</v>
      </c>
      <c r="U52">
        <v>2</v>
      </c>
      <c r="V52" t="s">
        <v>4072</v>
      </c>
    </row>
    <row r="53" spans="1:22" hidden="1" x14ac:dyDescent="0.45">
      <c r="A53" s="2" t="s">
        <v>741</v>
      </c>
      <c r="B53" s="11">
        <v>45543</v>
      </c>
      <c r="C53" s="2" t="s">
        <v>2010</v>
      </c>
      <c r="D53" s="2" t="s">
        <v>2015</v>
      </c>
      <c r="E53">
        <v>0</v>
      </c>
      <c r="F53">
        <v>0</v>
      </c>
      <c r="G53">
        <v>4977.82</v>
      </c>
      <c r="H53">
        <v>303647.01999999996</v>
      </c>
      <c r="I53" s="2" t="s">
        <v>2022</v>
      </c>
      <c r="J53" s="2" t="s">
        <v>2028</v>
      </c>
      <c r="K53" s="2" t="s">
        <v>2762</v>
      </c>
      <c r="L53" s="2" t="s">
        <v>4035</v>
      </c>
      <c r="M53">
        <v>4977.82</v>
      </c>
      <c r="N53" s="2" t="s">
        <v>4042</v>
      </c>
      <c r="O53">
        <v>61</v>
      </c>
      <c r="P53">
        <v>303647.01999999996</v>
      </c>
      <c r="Q53" t="b">
        <v>1</v>
      </c>
      <c r="R53" t="b">
        <v>0</v>
      </c>
      <c r="S53" t="b">
        <v>0</v>
      </c>
      <c r="T53" t="b">
        <v>1</v>
      </c>
      <c r="U53">
        <v>2</v>
      </c>
      <c r="V53" t="s">
        <v>4072</v>
      </c>
    </row>
    <row r="54" spans="1:22" hidden="1" x14ac:dyDescent="0.45">
      <c r="A54" s="2" t="s">
        <v>396</v>
      </c>
      <c r="B54" s="11">
        <v>45528</v>
      </c>
      <c r="C54" s="2" t="s">
        <v>2010</v>
      </c>
      <c r="D54" s="2" t="s">
        <v>2015</v>
      </c>
      <c r="E54">
        <v>0</v>
      </c>
      <c r="F54">
        <v>0</v>
      </c>
      <c r="G54">
        <v>2946.46</v>
      </c>
      <c r="H54">
        <v>303485.38</v>
      </c>
      <c r="I54" s="2" t="s">
        <v>2020</v>
      </c>
      <c r="J54" s="2" t="s">
        <v>2028</v>
      </c>
      <c r="K54" s="2" t="s">
        <v>2417</v>
      </c>
      <c r="L54" s="2" t="s">
        <v>4031</v>
      </c>
      <c r="M54">
        <v>2946.46</v>
      </c>
      <c r="N54" s="2" t="s">
        <v>4042</v>
      </c>
      <c r="O54">
        <v>103</v>
      </c>
      <c r="P54">
        <v>303485.38</v>
      </c>
      <c r="Q54" t="b">
        <v>1</v>
      </c>
      <c r="R54" t="b">
        <v>0</v>
      </c>
      <c r="S54" t="b">
        <v>0</v>
      </c>
      <c r="T54" t="b">
        <v>1</v>
      </c>
      <c r="U54">
        <v>2</v>
      </c>
      <c r="V54" t="s">
        <v>4072</v>
      </c>
    </row>
    <row r="55" spans="1:22" hidden="1" x14ac:dyDescent="0.45">
      <c r="A55" s="2" t="s">
        <v>1006</v>
      </c>
      <c r="B55" s="11">
        <v>45377</v>
      </c>
      <c r="C55" s="2" t="s">
        <v>2014</v>
      </c>
      <c r="D55" s="2" t="s">
        <v>2019</v>
      </c>
      <c r="E55">
        <v>0</v>
      </c>
      <c r="F55">
        <v>0</v>
      </c>
      <c r="G55">
        <v>3683.5</v>
      </c>
      <c r="H55">
        <v>302047</v>
      </c>
      <c r="I55" s="2" t="s">
        <v>2024</v>
      </c>
      <c r="J55" s="2" t="s">
        <v>2030</v>
      </c>
      <c r="K55" s="2" t="s">
        <v>3027</v>
      </c>
      <c r="L55" s="2" t="s">
        <v>4034</v>
      </c>
      <c r="M55">
        <v>3683.5</v>
      </c>
      <c r="N55" s="2" t="s">
        <v>4042</v>
      </c>
      <c r="O55">
        <v>82</v>
      </c>
      <c r="P55">
        <v>302047</v>
      </c>
      <c r="Q55" t="b">
        <v>0</v>
      </c>
      <c r="R55" t="b">
        <v>1</v>
      </c>
      <c r="S55" t="b">
        <v>0</v>
      </c>
      <c r="T55" t="b">
        <v>1</v>
      </c>
      <c r="U55">
        <v>2</v>
      </c>
      <c r="V55" t="s">
        <v>4072</v>
      </c>
    </row>
    <row r="56" spans="1:22" hidden="1" x14ac:dyDescent="0.45">
      <c r="A56" s="2" t="s">
        <v>256</v>
      </c>
      <c r="B56" s="11">
        <v>45234</v>
      </c>
      <c r="C56" s="2" t="s">
        <v>2014</v>
      </c>
      <c r="D56" s="2" t="s">
        <v>2019</v>
      </c>
      <c r="E56">
        <v>0</v>
      </c>
      <c r="F56">
        <v>0</v>
      </c>
      <c r="G56">
        <v>4005.6</v>
      </c>
      <c r="H56">
        <v>328459.2</v>
      </c>
      <c r="I56" s="2" t="s">
        <v>2020</v>
      </c>
      <c r="J56" s="2" t="s">
        <v>2029</v>
      </c>
      <c r="K56" s="2" t="s">
        <v>2277</v>
      </c>
      <c r="L56" s="2" t="s">
        <v>4034</v>
      </c>
      <c r="M56">
        <v>4005.6</v>
      </c>
      <c r="N56" s="2" t="s">
        <v>4042</v>
      </c>
      <c r="O56">
        <v>82</v>
      </c>
      <c r="P56">
        <v>328459.2</v>
      </c>
      <c r="Q56" t="b">
        <v>1</v>
      </c>
      <c r="R56" t="b">
        <v>0</v>
      </c>
      <c r="S56" t="b">
        <v>0</v>
      </c>
      <c r="T56" t="b">
        <v>1</v>
      </c>
      <c r="U56">
        <v>2</v>
      </c>
      <c r="V56" t="s">
        <v>4072</v>
      </c>
    </row>
    <row r="57" spans="1:22" hidden="1" x14ac:dyDescent="0.45">
      <c r="A57" s="2" t="s">
        <v>697</v>
      </c>
      <c r="B57" s="11">
        <v>45613</v>
      </c>
      <c r="C57" s="2" t="s">
        <v>2010</v>
      </c>
      <c r="D57" s="2" t="s">
        <v>2015</v>
      </c>
      <c r="E57">
        <v>0</v>
      </c>
      <c r="F57">
        <v>0</v>
      </c>
      <c r="G57">
        <v>3744.19</v>
      </c>
      <c r="H57">
        <v>329488.72000000003</v>
      </c>
      <c r="I57" s="2" t="s">
        <v>2024</v>
      </c>
      <c r="J57" s="2" t="s">
        <v>2030</v>
      </c>
      <c r="K57" s="2" t="s">
        <v>2718</v>
      </c>
      <c r="L57" s="2" t="s">
        <v>4032</v>
      </c>
      <c r="M57">
        <v>3744.19</v>
      </c>
      <c r="N57" s="2" t="s">
        <v>4042</v>
      </c>
      <c r="O57">
        <v>88</v>
      </c>
      <c r="P57">
        <v>329488.72000000003</v>
      </c>
      <c r="Q57" t="b">
        <v>1</v>
      </c>
      <c r="R57" t="b">
        <v>0</v>
      </c>
      <c r="S57" t="b">
        <v>0</v>
      </c>
      <c r="T57" t="b">
        <v>1</v>
      </c>
      <c r="U57">
        <v>2</v>
      </c>
      <c r="V57" t="s">
        <v>4072</v>
      </c>
    </row>
    <row r="58" spans="1:22" hidden="1" x14ac:dyDescent="0.45">
      <c r="A58" s="2" t="s">
        <v>1152</v>
      </c>
      <c r="B58" s="11">
        <v>45290</v>
      </c>
      <c r="C58" s="2" t="s">
        <v>2011</v>
      </c>
      <c r="D58" s="2" t="s">
        <v>2016</v>
      </c>
      <c r="E58">
        <v>535.66999999999996</v>
      </c>
      <c r="F58">
        <v>32675.87</v>
      </c>
      <c r="G58">
        <v>0</v>
      </c>
      <c r="H58">
        <v>0</v>
      </c>
      <c r="I58" s="2" t="s">
        <v>2020</v>
      </c>
      <c r="J58" s="2" t="s">
        <v>2026</v>
      </c>
      <c r="K58" s="2" t="s">
        <v>3173</v>
      </c>
      <c r="L58" s="2" t="s">
        <v>4035</v>
      </c>
      <c r="M58">
        <v>-535.66999999999996</v>
      </c>
      <c r="N58" s="2" t="s">
        <v>2016</v>
      </c>
      <c r="O58">
        <v>61</v>
      </c>
      <c r="P58">
        <v>-32675.87</v>
      </c>
      <c r="Q58" t="b">
        <v>1</v>
      </c>
      <c r="R58" t="b">
        <v>1</v>
      </c>
      <c r="S58" t="b">
        <v>0</v>
      </c>
      <c r="T58" t="b">
        <v>0</v>
      </c>
      <c r="U58">
        <v>2</v>
      </c>
      <c r="V58" t="s">
        <v>4072</v>
      </c>
    </row>
    <row r="59" spans="1:22" hidden="1" x14ac:dyDescent="0.45">
      <c r="A59" s="2" t="s">
        <v>1574</v>
      </c>
      <c r="B59" s="11">
        <v>45332</v>
      </c>
      <c r="C59" s="2" t="s">
        <v>2010</v>
      </c>
      <c r="D59" s="2" t="s">
        <v>2015</v>
      </c>
      <c r="E59">
        <v>0</v>
      </c>
      <c r="F59">
        <v>0</v>
      </c>
      <c r="G59">
        <v>3348.1</v>
      </c>
      <c r="H59">
        <v>294632.8</v>
      </c>
      <c r="I59" s="2" t="s">
        <v>2023</v>
      </c>
      <c r="J59" s="2" t="s">
        <v>2026</v>
      </c>
      <c r="K59" s="2" t="s">
        <v>3595</v>
      </c>
      <c r="L59" s="2" t="s">
        <v>4032</v>
      </c>
      <c r="M59">
        <v>3348.1</v>
      </c>
      <c r="N59" s="2" t="s">
        <v>4042</v>
      </c>
      <c r="O59">
        <v>88</v>
      </c>
      <c r="P59">
        <v>294632.8</v>
      </c>
      <c r="Q59" t="b">
        <v>1</v>
      </c>
      <c r="R59" t="b">
        <v>0</v>
      </c>
      <c r="S59" t="b">
        <v>0</v>
      </c>
      <c r="T59" t="b">
        <v>1</v>
      </c>
      <c r="U59">
        <v>2</v>
      </c>
      <c r="V59" t="s">
        <v>4072</v>
      </c>
    </row>
    <row r="60" spans="1:22" hidden="1" x14ac:dyDescent="0.45">
      <c r="A60" s="2" t="s">
        <v>1496</v>
      </c>
      <c r="B60" s="11">
        <v>45412</v>
      </c>
      <c r="C60" s="2" t="s">
        <v>2014</v>
      </c>
      <c r="D60" s="2" t="s">
        <v>2019</v>
      </c>
      <c r="E60">
        <v>0</v>
      </c>
      <c r="F60">
        <v>0</v>
      </c>
      <c r="G60">
        <v>3543.57</v>
      </c>
      <c r="H60">
        <v>290572.74</v>
      </c>
      <c r="I60" s="2" t="s">
        <v>2025</v>
      </c>
      <c r="J60" s="2" t="s">
        <v>2030</v>
      </c>
      <c r="K60" s="2" t="s">
        <v>3517</v>
      </c>
      <c r="L60" s="2" t="s">
        <v>4034</v>
      </c>
      <c r="M60">
        <v>3543.57</v>
      </c>
      <c r="N60" s="2" t="s">
        <v>4042</v>
      </c>
      <c r="O60">
        <v>82</v>
      </c>
      <c r="P60">
        <v>290572.74</v>
      </c>
      <c r="Q60" t="b">
        <v>0</v>
      </c>
      <c r="R60" t="b">
        <v>1</v>
      </c>
      <c r="S60" t="b">
        <v>0</v>
      </c>
      <c r="T60" t="b">
        <v>1</v>
      </c>
      <c r="U60">
        <v>2</v>
      </c>
      <c r="V60" t="s">
        <v>4072</v>
      </c>
    </row>
    <row r="61" spans="1:22" hidden="1" x14ac:dyDescent="0.45">
      <c r="A61" s="2" t="s">
        <v>1866</v>
      </c>
      <c r="B61" s="11">
        <v>45613</v>
      </c>
      <c r="C61" s="2" t="s">
        <v>2014</v>
      </c>
      <c r="D61" s="2" t="s">
        <v>2019</v>
      </c>
      <c r="E61">
        <v>0</v>
      </c>
      <c r="F61">
        <v>0</v>
      </c>
      <c r="G61">
        <v>4897.2299999999996</v>
      </c>
      <c r="H61">
        <v>298731.02999999997</v>
      </c>
      <c r="I61" s="2" t="s">
        <v>2023</v>
      </c>
      <c r="J61" s="2" t="s">
        <v>2028</v>
      </c>
      <c r="K61" s="2" t="s">
        <v>3887</v>
      </c>
      <c r="L61" s="2" t="s">
        <v>4035</v>
      </c>
      <c r="M61">
        <v>4897.2299999999996</v>
      </c>
      <c r="N61" s="2" t="s">
        <v>4042</v>
      </c>
      <c r="O61">
        <v>61</v>
      </c>
      <c r="P61">
        <v>298731.02999999997</v>
      </c>
      <c r="Q61" t="b">
        <v>1</v>
      </c>
      <c r="R61" t="b">
        <v>0</v>
      </c>
      <c r="S61" t="b">
        <v>0</v>
      </c>
      <c r="T61" t="b">
        <v>1</v>
      </c>
      <c r="U61">
        <v>2</v>
      </c>
      <c r="V61" t="s">
        <v>4072</v>
      </c>
    </row>
    <row r="62" spans="1:22" hidden="1" x14ac:dyDescent="0.45">
      <c r="A62" s="2" t="s">
        <v>1112</v>
      </c>
      <c r="B62" s="11">
        <v>45319</v>
      </c>
      <c r="C62" s="2" t="s">
        <v>2011</v>
      </c>
      <c r="D62" s="2" t="s">
        <v>2016</v>
      </c>
      <c r="E62">
        <v>242.28</v>
      </c>
      <c r="F62">
        <v>19866.96</v>
      </c>
      <c r="G62">
        <v>0</v>
      </c>
      <c r="H62">
        <v>0</v>
      </c>
      <c r="I62" s="2" t="s">
        <v>2024</v>
      </c>
      <c r="J62" s="2" t="s">
        <v>2028</v>
      </c>
      <c r="K62" s="2" t="s">
        <v>3133</v>
      </c>
      <c r="L62" s="2" t="s">
        <v>4034</v>
      </c>
      <c r="M62">
        <v>-242.28</v>
      </c>
      <c r="N62" s="2" t="s">
        <v>2016</v>
      </c>
      <c r="O62">
        <v>82</v>
      </c>
      <c r="P62">
        <v>-19866.96</v>
      </c>
      <c r="Q62" t="b">
        <v>1</v>
      </c>
      <c r="R62" t="b">
        <v>1</v>
      </c>
      <c r="S62" t="b">
        <v>0</v>
      </c>
      <c r="T62" t="b">
        <v>0</v>
      </c>
      <c r="U62">
        <v>2</v>
      </c>
      <c r="V62" t="s">
        <v>4072</v>
      </c>
    </row>
    <row r="63" spans="1:22" hidden="1" x14ac:dyDescent="0.45">
      <c r="A63" s="2" t="s">
        <v>1565</v>
      </c>
      <c r="B63" s="11">
        <v>45438</v>
      </c>
      <c r="C63" s="2" t="s">
        <v>2014</v>
      </c>
      <c r="D63" s="2" t="s">
        <v>2019</v>
      </c>
      <c r="E63">
        <v>0</v>
      </c>
      <c r="F63">
        <v>0</v>
      </c>
      <c r="G63">
        <v>2946.82</v>
      </c>
      <c r="H63">
        <v>165021.92000000001</v>
      </c>
      <c r="I63" s="2" t="s">
        <v>2024</v>
      </c>
      <c r="J63" s="2" t="s">
        <v>2028</v>
      </c>
      <c r="K63" s="2" t="s">
        <v>3586</v>
      </c>
      <c r="L63" s="2" t="s">
        <v>4033</v>
      </c>
      <c r="M63">
        <v>2946.82</v>
      </c>
      <c r="N63" s="2" t="s">
        <v>4042</v>
      </c>
      <c r="O63">
        <v>56</v>
      </c>
      <c r="P63">
        <v>165021.92000000001</v>
      </c>
      <c r="Q63" t="b">
        <v>1</v>
      </c>
      <c r="R63" t="b">
        <v>1</v>
      </c>
      <c r="S63" t="b">
        <v>0</v>
      </c>
      <c r="T63" t="b">
        <v>0</v>
      </c>
      <c r="U63">
        <v>2</v>
      </c>
      <c r="V63" t="s">
        <v>4072</v>
      </c>
    </row>
    <row r="64" spans="1:22" hidden="1" x14ac:dyDescent="0.45">
      <c r="A64" s="2" t="s">
        <v>943</v>
      </c>
      <c r="B64" s="11">
        <v>45164</v>
      </c>
      <c r="C64" s="2" t="s">
        <v>2014</v>
      </c>
      <c r="D64" s="2" t="s">
        <v>2019</v>
      </c>
      <c r="E64">
        <v>0</v>
      </c>
      <c r="F64">
        <v>0</v>
      </c>
      <c r="G64">
        <v>1564.55</v>
      </c>
      <c r="H64">
        <v>95437.55</v>
      </c>
      <c r="I64" s="2" t="s">
        <v>2022</v>
      </c>
      <c r="J64" s="2" t="s">
        <v>2030</v>
      </c>
      <c r="K64" s="2" t="s">
        <v>2964</v>
      </c>
      <c r="L64" s="2" t="s">
        <v>4035</v>
      </c>
      <c r="M64">
        <v>1564.55</v>
      </c>
      <c r="N64" s="2" t="s">
        <v>4042</v>
      </c>
      <c r="O64">
        <v>61</v>
      </c>
      <c r="P64">
        <v>95437.55</v>
      </c>
      <c r="Q64" t="b">
        <v>1</v>
      </c>
      <c r="R64" t="b">
        <v>1</v>
      </c>
      <c r="S64" t="b">
        <v>0</v>
      </c>
      <c r="T64" t="b">
        <v>0</v>
      </c>
      <c r="U64">
        <v>2</v>
      </c>
      <c r="V64" t="s">
        <v>4072</v>
      </c>
    </row>
    <row r="65" spans="1:22" hidden="1" x14ac:dyDescent="0.45">
      <c r="A65" s="2" t="s">
        <v>1935</v>
      </c>
      <c r="B65" s="11">
        <v>45409</v>
      </c>
      <c r="C65" s="2" t="s">
        <v>2013</v>
      </c>
      <c r="D65" s="2" t="s">
        <v>2018</v>
      </c>
      <c r="E65">
        <v>263.16000000000003</v>
      </c>
      <c r="F65">
        <v>16052.760000000002</v>
      </c>
      <c r="G65">
        <v>0</v>
      </c>
      <c r="H65">
        <v>0</v>
      </c>
      <c r="I65" s="2" t="s">
        <v>2022</v>
      </c>
      <c r="J65" s="2" t="s">
        <v>2028</v>
      </c>
      <c r="K65" s="2" t="s">
        <v>3956</v>
      </c>
      <c r="L65" s="2" t="s">
        <v>4035</v>
      </c>
      <c r="M65">
        <v>-263.16000000000003</v>
      </c>
      <c r="N65" s="2" t="s">
        <v>4044</v>
      </c>
      <c r="O65">
        <v>61</v>
      </c>
      <c r="P65">
        <v>-16052.760000000002</v>
      </c>
      <c r="Q65" t="b">
        <v>1</v>
      </c>
      <c r="R65" t="b">
        <v>1</v>
      </c>
      <c r="S65" t="b">
        <v>0</v>
      </c>
      <c r="T65" t="b">
        <v>0</v>
      </c>
      <c r="U65">
        <v>2</v>
      </c>
      <c r="V65" t="s">
        <v>4072</v>
      </c>
    </row>
    <row r="66" spans="1:22" hidden="1" x14ac:dyDescent="0.45">
      <c r="A66" s="2" t="s">
        <v>121</v>
      </c>
      <c r="B66" s="11">
        <v>45102</v>
      </c>
      <c r="C66" s="2" t="s">
        <v>2010</v>
      </c>
      <c r="D66" s="2" t="s">
        <v>2015</v>
      </c>
      <c r="E66">
        <v>0</v>
      </c>
      <c r="F66">
        <v>0</v>
      </c>
      <c r="G66">
        <v>3630.78</v>
      </c>
      <c r="H66">
        <v>221477.58000000002</v>
      </c>
      <c r="I66" s="2" t="s">
        <v>2024</v>
      </c>
      <c r="J66" s="2" t="s">
        <v>2027</v>
      </c>
      <c r="K66" s="2" t="s">
        <v>2142</v>
      </c>
      <c r="L66" s="2" t="s">
        <v>4035</v>
      </c>
      <c r="M66">
        <v>3630.78</v>
      </c>
      <c r="N66" s="2" t="s">
        <v>4042</v>
      </c>
      <c r="O66">
        <v>61</v>
      </c>
      <c r="P66">
        <v>221477.58000000002</v>
      </c>
      <c r="Q66" t="b">
        <v>1</v>
      </c>
      <c r="R66" t="b">
        <v>1</v>
      </c>
      <c r="S66" t="b">
        <v>0</v>
      </c>
      <c r="T66" t="b">
        <v>0</v>
      </c>
      <c r="U66">
        <v>2</v>
      </c>
      <c r="V66" t="s">
        <v>4072</v>
      </c>
    </row>
    <row r="67" spans="1:22" hidden="1" x14ac:dyDescent="0.45">
      <c r="A67" s="2" t="s">
        <v>437</v>
      </c>
      <c r="B67" s="11">
        <v>45227</v>
      </c>
      <c r="C67" s="2" t="s">
        <v>2011</v>
      </c>
      <c r="D67" s="2" t="s">
        <v>2016</v>
      </c>
      <c r="E67">
        <v>171.38</v>
      </c>
      <c r="F67">
        <v>10454.18</v>
      </c>
      <c r="G67">
        <v>0</v>
      </c>
      <c r="H67">
        <v>0</v>
      </c>
      <c r="I67" s="2" t="s">
        <v>2023</v>
      </c>
      <c r="J67" s="2" t="s">
        <v>2028</v>
      </c>
      <c r="K67" s="2" t="s">
        <v>2458</v>
      </c>
      <c r="L67" s="2" t="s">
        <v>4035</v>
      </c>
      <c r="M67">
        <v>-171.38</v>
      </c>
      <c r="N67" s="2" t="s">
        <v>2016</v>
      </c>
      <c r="O67">
        <v>61</v>
      </c>
      <c r="P67">
        <v>-10454.18</v>
      </c>
      <c r="Q67" t="b">
        <v>1</v>
      </c>
      <c r="R67" t="b">
        <v>1</v>
      </c>
      <c r="S67" t="b">
        <v>0</v>
      </c>
      <c r="T67" t="b">
        <v>0</v>
      </c>
      <c r="U67">
        <v>2</v>
      </c>
      <c r="V67" t="s">
        <v>4072</v>
      </c>
    </row>
    <row r="68" spans="1:22" hidden="1" x14ac:dyDescent="0.45">
      <c r="A68" s="2" t="s">
        <v>1573</v>
      </c>
      <c r="B68" s="11">
        <v>45592</v>
      </c>
      <c r="C68" s="2" t="s">
        <v>2010</v>
      </c>
      <c r="D68" s="2" t="s">
        <v>2015</v>
      </c>
      <c r="E68">
        <v>0</v>
      </c>
      <c r="F68">
        <v>0</v>
      </c>
      <c r="G68">
        <v>3625.02</v>
      </c>
      <c r="H68">
        <v>221126.22</v>
      </c>
      <c r="I68" s="2" t="s">
        <v>2024</v>
      </c>
      <c r="J68" s="2" t="s">
        <v>2030</v>
      </c>
      <c r="K68" s="2" t="s">
        <v>3594</v>
      </c>
      <c r="L68" s="2" t="s">
        <v>4035</v>
      </c>
      <c r="M68">
        <v>3625.02</v>
      </c>
      <c r="N68" s="2" t="s">
        <v>4042</v>
      </c>
      <c r="O68">
        <v>61</v>
      </c>
      <c r="P68">
        <v>221126.22</v>
      </c>
      <c r="Q68" t="b">
        <v>1</v>
      </c>
      <c r="R68" t="b">
        <v>1</v>
      </c>
      <c r="S68" t="b">
        <v>0</v>
      </c>
      <c r="T68" t="b">
        <v>0</v>
      </c>
      <c r="U68">
        <v>2</v>
      </c>
      <c r="V68" t="s">
        <v>4072</v>
      </c>
    </row>
    <row r="69" spans="1:22" hidden="1" x14ac:dyDescent="0.45">
      <c r="A69" s="2" t="s">
        <v>1601</v>
      </c>
      <c r="B69" s="11">
        <v>45073</v>
      </c>
      <c r="C69" s="2" t="s">
        <v>2010</v>
      </c>
      <c r="D69" s="2" t="s">
        <v>2015</v>
      </c>
      <c r="E69">
        <v>0</v>
      </c>
      <c r="F69">
        <v>0</v>
      </c>
      <c r="G69">
        <v>174.81</v>
      </c>
      <c r="H69">
        <v>10663.41</v>
      </c>
      <c r="I69" s="2" t="s">
        <v>2020</v>
      </c>
      <c r="J69" s="2" t="s">
        <v>2030</v>
      </c>
      <c r="K69" s="2" t="s">
        <v>3622</v>
      </c>
      <c r="L69" s="2" t="s">
        <v>4035</v>
      </c>
      <c r="M69">
        <v>174.81</v>
      </c>
      <c r="N69" s="2" t="s">
        <v>4042</v>
      </c>
      <c r="O69">
        <v>61</v>
      </c>
      <c r="P69">
        <v>10663.41</v>
      </c>
      <c r="Q69" t="b">
        <v>1</v>
      </c>
      <c r="R69" t="b">
        <v>1</v>
      </c>
      <c r="S69" t="b">
        <v>0</v>
      </c>
      <c r="T69" t="b">
        <v>0</v>
      </c>
      <c r="U69">
        <v>2</v>
      </c>
      <c r="V69" t="s">
        <v>4072</v>
      </c>
    </row>
    <row r="70" spans="1:22" hidden="1" x14ac:dyDescent="0.45">
      <c r="A70" s="2" t="s">
        <v>1907</v>
      </c>
      <c r="B70" s="11">
        <v>45291</v>
      </c>
      <c r="C70" s="2" t="s">
        <v>2012</v>
      </c>
      <c r="D70" s="2" t="s">
        <v>2017</v>
      </c>
      <c r="E70">
        <v>938.88</v>
      </c>
      <c r="F70">
        <v>96704.639999999999</v>
      </c>
      <c r="G70">
        <v>0</v>
      </c>
      <c r="H70">
        <v>0</v>
      </c>
      <c r="I70" s="2" t="s">
        <v>2021</v>
      </c>
      <c r="J70" s="2" t="s">
        <v>2030</v>
      </c>
      <c r="K70" s="2" t="s">
        <v>3928</v>
      </c>
      <c r="L70" s="2" t="s">
        <v>4031</v>
      </c>
      <c r="M70">
        <v>-938.88</v>
      </c>
      <c r="N70" s="2" t="s">
        <v>4044</v>
      </c>
      <c r="O70">
        <v>103</v>
      </c>
      <c r="P70">
        <v>-96704.639999999999</v>
      </c>
      <c r="Q70" t="b">
        <v>1</v>
      </c>
      <c r="R70" t="b">
        <v>1</v>
      </c>
      <c r="S70" t="b">
        <v>0</v>
      </c>
      <c r="T70" t="b">
        <v>0</v>
      </c>
      <c r="U70">
        <v>2</v>
      </c>
      <c r="V70" t="s">
        <v>4072</v>
      </c>
    </row>
    <row r="71" spans="1:22" hidden="1" x14ac:dyDescent="0.45">
      <c r="A71" s="2" t="s">
        <v>1675</v>
      </c>
      <c r="B71" s="11">
        <v>44982</v>
      </c>
      <c r="C71" s="2" t="s">
        <v>2014</v>
      </c>
      <c r="D71" s="2" t="s">
        <v>2019</v>
      </c>
      <c r="E71">
        <v>0</v>
      </c>
      <c r="F71">
        <v>0</v>
      </c>
      <c r="G71">
        <v>1766.14</v>
      </c>
      <c r="H71">
        <v>107734.54000000001</v>
      </c>
      <c r="I71" s="2" t="s">
        <v>2024</v>
      </c>
      <c r="J71" s="2" t="s">
        <v>2027</v>
      </c>
      <c r="K71" s="2" t="s">
        <v>3696</v>
      </c>
      <c r="L71" s="2" t="s">
        <v>4035</v>
      </c>
      <c r="M71">
        <v>1766.14</v>
      </c>
      <c r="N71" s="2" t="s">
        <v>4042</v>
      </c>
      <c r="O71">
        <v>61</v>
      </c>
      <c r="P71">
        <v>107734.54000000001</v>
      </c>
      <c r="Q71" t="b">
        <v>1</v>
      </c>
      <c r="R71" t="b">
        <v>1</v>
      </c>
      <c r="S71" t="b">
        <v>0</v>
      </c>
      <c r="T71" t="b">
        <v>0</v>
      </c>
      <c r="U71">
        <v>2</v>
      </c>
      <c r="V71" t="s">
        <v>4072</v>
      </c>
    </row>
    <row r="72" spans="1:22" hidden="1" x14ac:dyDescent="0.45">
      <c r="A72" s="2" t="s">
        <v>1102</v>
      </c>
      <c r="B72" s="11">
        <v>45228</v>
      </c>
      <c r="C72" s="2" t="s">
        <v>2010</v>
      </c>
      <c r="D72" s="2" t="s">
        <v>2015</v>
      </c>
      <c r="E72">
        <v>0</v>
      </c>
      <c r="F72">
        <v>0</v>
      </c>
      <c r="G72">
        <v>1038.25</v>
      </c>
      <c r="H72">
        <v>106939.75</v>
      </c>
      <c r="I72" s="2" t="s">
        <v>2023</v>
      </c>
      <c r="J72" s="2" t="s">
        <v>2028</v>
      </c>
      <c r="K72" s="2" t="s">
        <v>3123</v>
      </c>
      <c r="L72" s="2" t="s">
        <v>4031</v>
      </c>
      <c r="M72">
        <v>1038.25</v>
      </c>
      <c r="N72" s="2" t="s">
        <v>4042</v>
      </c>
      <c r="O72">
        <v>103</v>
      </c>
      <c r="P72">
        <v>106939.75</v>
      </c>
      <c r="Q72" t="b">
        <v>1</v>
      </c>
      <c r="R72" t="b">
        <v>1</v>
      </c>
      <c r="S72" t="b">
        <v>0</v>
      </c>
      <c r="T72" t="b">
        <v>0</v>
      </c>
      <c r="U72">
        <v>2</v>
      </c>
      <c r="V72" t="s">
        <v>4072</v>
      </c>
    </row>
    <row r="73" spans="1:22" hidden="1" x14ac:dyDescent="0.45">
      <c r="A73" s="2" t="s">
        <v>251</v>
      </c>
      <c r="B73" s="11">
        <v>45011</v>
      </c>
      <c r="C73" s="2" t="s">
        <v>2012</v>
      </c>
      <c r="D73" s="2" t="s">
        <v>2017</v>
      </c>
      <c r="E73">
        <v>1121.29</v>
      </c>
      <c r="F73">
        <v>98673.51999999999</v>
      </c>
      <c r="G73">
        <v>0</v>
      </c>
      <c r="H73">
        <v>0</v>
      </c>
      <c r="I73" s="2" t="s">
        <v>2022</v>
      </c>
      <c r="J73" s="2" t="s">
        <v>2030</v>
      </c>
      <c r="K73" s="2" t="s">
        <v>2272</v>
      </c>
      <c r="L73" s="2" t="s">
        <v>4032</v>
      </c>
      <c r="M73">
        <v>-1121.29</v>
      </c>
      <c r="N73" s="2" t="s">
        <v>4044</v>
      </c>
      <c r="O73">
        <v>88</v>
      </c>
      <c r="P73">
        <v>-98673.51999999999</v>
      </c>
      <c r="Q73" t="b">
        <v>1</v>
      </c>
      <c r="R73" t="b">
        <v>1</v>
      </c>
      <c r="S73" t="b">
        <v>0</v>
      </c>
      <c r="T73" t="b">
        <v>0</v>
      </c>
      <c r="U73">
        <v>2</v>
      </c>
      <c r="V73" t="s">
        <v>4072</v>
      </c>
    </row>
    <row r="74" spans="1:22" hidden="1" x14ac:dyDescent="0.45">
      <c r="A74" s="2" t="s">
        <v>1779</v>
      </c>
      <c r="B74" s="11">
        <v>45808</v>
      </c>
      <c r="C74" s="2" t="s">
        <v>2014</v>
      </c>
      <c r="D74" s="2" t="s">
        <v>2019</v>
      </c>
      <c r="E74">
        <v>0</v>
      </c>
      <c r="F74">
        <v>0</v>
      </c>
      <c r="G74">
        <v>250.7</v>
      </c>
      <c r="H74">
        <v>15292.699999999999</v>
      </c>
      <c r="I74" s="2" t="s">
        <v>2024</v>
      </c>
      <c r="J74" s="2" t="s">
        <v>2029</v>
      </c>
      <c r="K74" s="2" t="s">
        <v>3800</v>
      </c>
      <c r="L74" s="2" t="s">
        <v>4035</v>
      </c>
      <c r="M74">
        <v>250.7</v>
      </c>
      <c r="N74" s="2" t="s">
        <v>4042</v>
      </c>
      <c r="O74">
        <v>61</v>
      </c>
      <c r="P74">
        <v>15292.699999999999</v>
      </c>
      <c r="Q74" t="b">
        <v>1</v>
      </c>
      <c r="R74" t="b">
        <v>1</v>
      </c>
      <c r="S74" t="b">
        <v>0</v>
      </c>
      <c r="T74" t="b">
        <v>0</v>
      </c>
      <c r="U74">
        <v>2</v>
      </c>
      <c r="V74" t="s">
        <v>4072</v>
      </c>
    </row>
    <row r="75" spans="1:22" hidden="1" x14ac:dyDescent="0.45">
      <c r="A75" s="2" t="s">
        <v>1940</v>
      </c>
      <c r="B75" s="11">
        <v>45592</v>
      </c>
      <c r="C75" s="2" t="s">
        <v>2011</v>
      </c>
      <c r="D75" s="2" t="s">
        <v>2016</v>
      </c>
      <c r="E75">
        <v>564.04</v>
      </c>
      <c r="F75">
        <v>46251.28</v>
      </c>
      <c r="G75">
        <v>0</v>
      </c>
      <c r="H75">
        <v>0</v>
      </c>
      <c r="I75" s="2" t="s">
        <v>2023</v>
      </c>
      <c r="J75" s="2" t="s">
        <v>2028</v>
      </c>
      <c r="K75" s="2" t="s">
        <v>3961</v>
      </c>
      <c r="L75" s="2" t="s">
        <v>4034</v>
      </c>
      <c r="M75">
        <v>-564.04</v>
      </c>
      <c r="N75" s="2" t="s">
        <v>2016</v>
      </c>
      <c r="O75">
        <v>82</v>
      </c>
      <c r="P75">
        <v>-46251.28</v>
      </c>
      <c r="Q75" t="b">
        <v>1</v>
      </c>
      <c r="R75" t="b">
        <v>1</v>
      </c>
      <c r="S75" t="b">
        <v>0</v>
      </c>
      <c r="T75" t="b">
        <v>0</v>
      </c>
      <c r="U75">
        <v>2</v>
      </c>
      <c r="V75" t="s">
        <v>4072</v>
      </c>
    </row>
    <row r="76" spans="1:22" hidden="1" x14ac:dyDescent="0.45">
      <c r="A76" s="2" t="s">
        <v>22</v>
      </c>
      <c r="B76" s="11">
        <v>45437</v>
      </c>
      <c r="C76" s="2" t="s">
        <v>2010</v>
      </c>
      <c r="D76" s="2" t="s">
        <v>2015</v>
      </c>
      <c r="E76">
        <v>0</v>
      </c>
      <c r="F76">
        <v>0</v>
      </c>
      <c r="G76">
        <v>3490.39</v>
      </c>
      <c r="H76">
        <v>212913.78999999998</v>
      </c>
      <c r="I76" s="2" t="s">
        <v>2023</v>
      </c>
      <c r="J76" s="2" t="s">
        <v>2026</v>
      </c>
      <c r="K76" s="2" t="s">
        <v>2043</v>
      </c>
      <c r="L76" s="2" t="s">
        <v>4035</v>
      </c>
      <c r="M76">
        <v>3490.39</v>
      </c>
      <c r="N76" s="2" t="s">
        <v>4042</v>
      </c>
      <c r="O76">
        <v>61</v>
      </c>
      <c r="P76">
        <v>212913.78999999998</v>
      </c>
      <c r="Q76" t="b">
        <v>1</v>
      </c>
      <c r="R76" t="b">
        <v>1</v>
      </c>
      <c r="S76" t="b">
        <v>0</v>
      </c>
      <c r="T76" t="b">
        <v>0</v>
      </c>
      <c r="U76">
        <v>2</v>
      </c>
      <c r="V76" t="s">
        <v>4072</v>
      </c>
    </row>
    <row r="77" spans="1:22" hidden="1" x14ac:dyDescent="0.45">
      <c r="A77" s="2" t="s">
        <v>624</v>
      </c>
      <c r="B77" s="11">
        <v>45291</v>
      </c>
      <c r="C77" s="2" t="s">
        <v>2010</v>
      </c>
      <c r="D77" s="2" t="s">
        <v>2015</v>
      </c>
      <c r="E77">
        <v>0</v>
      </c>
      <c r="F77">
        <v>0</v>
      </c>
      <c r="G77">
        <v>1848.61</v>
      </c>
      <c r="H77">
        <v>190406.83</v>
      </c>
      <c r="I77" s="2" t="s">
        <v>2021</v>
      </c>
      <c r="J77" s="2" t="s">
        <v>2027</v>
      </c>
      <c r="K77" s="2" t="s">
        <v>2645</v>
      </c>
      <c r="L77" s="2" t="s">
        <v>4031</v>
      </c>
      <c r="M77">
        <v>1848.61</v>
      </c>
      <c r="N77" s="2" t="s">
        <v>4042</v>
      </c>
      <c r="O77">
        <v>103</v>
      </c>
      <c r="P77">
        <v>190406.83</v>
      </c>
      <c r="Q77" t="b">
        <v>1</v>
      </c>
      <c r="R77" t="b">
        <v>1</v>
      </c>
      <c r="S77" t="b">
        <v>0</v>
      </c>
      <c r="T77" t="b">
        <v>0</v>
      </c>
      <c r="U77">
        <v>2</v>
      </c>
      <c r="V77" t="s">
        <v>4072</v>
      </c>
    </row>
    <row r="78" spans="1:22" hidden="1" x14ac:dyDescent="0.45">
      <c r="A78" s="2" t="s">
        <v>478</v>
      </c>
      <c r="B78" s="11">
        <v>45319</v>
      </c>
      <c r="C78" s="2" t="s">
        <v>2012</v>
      </c>
      <c r="D78" s="2" t="s">
        <v>2017</v>
      </c>
      <c r="E78">
        <v>525.5</v>
      </c>
      <c r="F78">
        <v>46244</v>
      </c>
      <c r="G78">
        <v>0</v>
      </c>
      <c r="H78">
        <v>0</v>
      </c>
      <c r="I78" s="2" t="s">
        <v>2025</v>
      </c>
      <c r="J78" s="2" t="s">
        <v>2029</v>
      </c>
      <c r="K78" s="2" t="s">
        <v>2499</v>
      </c>
      <c r="L78" s="2" t="s">
        <v>4032</v>
      </c>
      <c r="M78">
        <v>-525.5</v>
      </c>
      <c r="N78" s="2" t="s">
        <v>4044</v>
      </c>
      <c r="O78">
        <v>88</v>
      </c>
      <c r="P78">
        <v>-46244</v>
      </c>
      <c r="Q78" t="b">
        <v>1</v>
      </c>
      <c r="R78" t="b">
        <v>1</v>
      </c>
      <c r="S78" t="b">
        <v>0</v>
      </c>
      <c r="T78" t="b">
        <v>0</v>
      </c>
      <c r="U78">
        <v>2</v>
      </c>
      <c r="V78" t="s">
        <v>4072</v>
      </c>
    </row>
    <row r="79" spans="1:22" hidden="1" x14ac:dyDescent="0.45">
      <c r="A79" s="2" t="s">
        <v>1661</v>
      </c>
      <c r="B79" s="11">
        <v>45682</v>
      </c>
      <c r="C79" s="2" t="s">
        <v>2010</v>
      </c>
      <c r="D79" s="2" t="s">
        <v>2015</v>
      </c>
      <c r="E79">
        <v>0</v>
      </c>
      <c r="F79">
        <v>0</v>
      </c>
      <c r="G79">
        <v>1294.23</v>
      </c>
      <c r="H79">
        <v>106126.86</v>
      </c>
      <c r="I79" s="2" t="s">
        <v>2025</v>
      </c>
      <c r="J79" s="2" t="s">
        <v>2027</v>
      </c>
      <c r="K79" s="2" t="s">
        <v>3682</v>
      </c>
      <c r="L79" s="2" t="s">
        <v>4034</v>
      </c>
      <c r="M79">
        <v>1294.23</v>
      </c>
      <c r="N79" s="2" t="s">
        <v>4042</v>
      </c>
      <c r="O79">
        <v>82</v>
      </c>
      <c r="P79">
        <v>106126.86</v>
      </c>
      <c r="Q79" t="b">
        <v>1</v>
      </c>
      <c r="R79" t="b">
        <v>1</v>
      </c>
      <c r="S79" t="b">
        <v>0</v>
      </c>
      <c r="T79" t="b">
        <v>0</v>
      </c>
      <c r="U79">
        <v>2</v>
      </c>
      <c r="V79" t="s">
        <v>4072</v>
      </c>
    </row>
    <row r="80" spans="1:22" hidden="1" x14ac:dyDescent="0.45">
      <c r="A80" s="2" t="s">
        <v>1255</v>
      </c>
      <c r="B80" s="11">
        <v>45802</v>
      </c>
      <c r="C80" s="2" t="s">
        <v>2014</v>
      </c>
      <c r="D80" s="2" t="s">
        <v>2019</v>
      </c>
      <c r="E80">
        <v>0</v>
      </c>
      <c r="F80">
        <v>0</v>
      </c>
      <c r="G80">
        <v>212.06</v>
      </c>
      <c r="H80">
        <v>11875.36</v>
      </c>
      <c r="I80" s="2" t="s">
        <v>2020</v>
      </c>
      <c r="J80" s="2" t="s">
        <v>2026</v>
      </c>
      <c r="K80" s="2" t="s">
        <v>3276</v>
      </c>
      <c r="L80" s="2" t="s">
        <v>4033</v>
      </c>
      <c r="M80">
        <v>212.06</v>
      </c>
      <c r="N80" s="2" t="s">
        <v>4042</v>
      </c>
      <c r="O80">
        <v>56</v>
      </c>
      <c r="P80">
        <v>11875.36</v>
      </c>
      <c r="Q80" t="b">
        <v>1</v>
      </c>
      <c r="R80" t="b">
        <v>1</v>
      </c>
      <c r="S80" t="b">
        <v>0</v>
      </c>
      <c r="T80" t="b">
        <v>0</v>
      </c>
      <c r="U80">
        <v>2</v>
      </c>
      <c r="V80" t="s">
        <v>4072</v>
      </c>
    </row>
    <row r="81" spans="1:22" hidden="1" x14ac:dyDescent="0.45">
      <c r="A81" s="2" t="s">
        <v>699</v>
      </c>
      <c r="B81" s="11">
        <v>44982</v>
      </c>
      <c r="C81" s="2" t="s">
        <v>2013</v>
      </c>
      <c r="D81" s="2" t="s">
        <v>2018</v>
      </c>
      <c r="E81">
        <v>215.69</v>
      </c>
      <c r="F81">
        <v>12078.64</v>
      </c>
      <c r="G81">
        <v>0</v>
      </c>
      <c r="H81">
        <v>0</v>
      </c>
      <c r="I81" s="2" t="s">
        <v>2022</v>
      </c>
      <c r="J81" s="2" t="s">
        <v>2027</v>
      </c>
      <c r="K81" s="2" t="s">
        <v>2720</v>
      </c>
      <c r="L81" s="2" t="s">
        <v>4033</v>
      </c>
      <c r="M81">
        <v>-215.69</v>
      </c>
      <c r="N81" s="2" t="s">
        <v>4044</v>
      </c>
      <c r="O81">
        <v>56</v>
      </c>
      <c r="P81">
        <v>-12078.64</v>
      </c>
      <c r="Q81" t="b">
        <v>1</v>
      </c>
      <c r="R81" t="b">
        <v>1</v>
      </c>
      <c r="S81" t="b">
        <v>0</v>
      </c>
      <c r="T81" t="b">
        <v>0</v>
      </c>
      <c r="U81">
        <v>2</v>
      </c>
      <c r="V81" t="s">
        <v>4072</v>
      </c>
    </row>
    <row r="82" spans="1:22" hidden="1" x14ac:dyDescent="0.45">
      <c r="A82" s="2" t="s">
        <v>451</v>
      </c>
      <c r="B82" s="11">
        <v>45654</v>
      </c>
      <c r="C82" s="2" t="s">
        <v>2014</v>
      </c>
      <c r="D82" s="2" t="s">
        <v>2019</v>
      </c>
      <c r="E82">
        <v>0</v>
      </c>
      <c r="F82">
        <v>0</v>
      </c>
      <c r="G82">
        <v>2510.66</v>
      </c>
      <c r="H82">
        <v>205874.12</v>
      </c>
      <c r="I82" s="2" t="s">
        <v>2022</v>
      </c>
      <c r="J82" s="2" t="s">
        <v>2030</v>
      </c>
      <c r="K82" s="2" t="s">
        <v>2472</v>
      </c>
      <c r="L82" s="2" t="s">
        <v>4034</v>
      </c>
      <c r="M82">
        <v>2510.66</v>
      </c>
      <c r="N82" s="2" t="s">
        <v>4042</v>
      </c>
      <c r="O82">
        <v>82</v>
      </c>
      <c r="P82">
        <v>205874.12</v>
      </c>
      <c r="Q82" t="b">
        <v>1</v>
      </c>
      <c r="R82" t="b">
        <v>1</v>
      </c>
      <c r="S82" t="b">
        <v>0</v>
      </c>
      <c r="T82" t="b">
        <v>0</v>
      </c>
      <c r="U82">
        <v>2</v>
      </c>
      <c r="V82" t="s">
        <v>4072</v>
      </c>
    </row>
    <row r="83" spans="1:22" hidden="1" x14ac:dyDescent="0.45">
      <c r="A83" s="2" t="s">
        <v>211</v>
      </c>
      <c r="B83" s="11">
        <v>44954</v>
      </c>
      <c r="C83" s="2" t="s">
        <v>2014</v>
      </c>
      <c r="D83" s="2" t="s">
        <v>2019</v>
      </c>
      <c r="E83">
        <v>0</v>
      </c>
      <c r="F83">
        <v>0</v>
      </c>
      <c r="G83">
        <v>2497.61</v>
      </c>
      <c r="H83">
        <v>204804.02000000002</v>
      </c>
      <c r="I83" s="2" t="s">
        <v>2022</v>
      </c>
      <c r="J83" s="2" t="s">
        <v>2028</v>
      </c>
      <c r="K83" s="2" t="s">
        <v>2232</v>
      </c>
      <c r="L83" s="2" t="s">
        <v>4034</v>
      </c>
      <c r="M83">
        <v>2497.61</v>
      </c>
      <c r="N83" s="2" t="s">
        <v>4042</v>
      </c>
      <c r="O83">
        <v>82</v>
      </c>
      <c r="P83">
        <v>204804.02000000002</v>
      </c>
      <c r="Q83" t="b">
        <v>1</v>
      </c>
      <c r="R83" t="b">
        <v>1</v>
      </c>
      <c r="S83" t="b">
        <v>0</v>
      </c>
      <c r="T83" t="b">
        <v>0</v>
      </c>
      <c r="U83">
        <v>2</v>
      </c>
      <c r="V83" t="s">
        <v>4072</v>
      </c>
    </row>
    <row r="84" spans="1:22" hidden="1" x14ac:dyDescent="0.45">
      <c r="A84" s="2" t="s">
        <v>44</v>
      </c>
      <c r="B84" s="11">
        <v>45501</v>
      </c>
      <c r="C84" s="2" t="s">
        <v>2013</v>
      </c>
      <c r="D84" s="2" t="s">
        <v>2018</v>
      </c>
      <c r="E84">
        <v>806.72</v>
      </c>
      <c r="F84">
        <v>45176.32</v>
      </c>
      <c r="G84">
        <v>0</v>
      </c>
      <c r="H84">
        <v>0</v>
      </c>
      <c r="I84" s="2" t="s">
        <v>2020</v>
      </c>
      <c r="J84" s="2" t="s">
        <v>2030</v>
      </c>
      <c r="K84" s="2" t="s">
        <v>2065</v>
      </c>
      <c r="L84" s="2" t="s">
        <v>4033</v>
      </c>
      <c r="M84">
        <v>-806.72</v>
      </c>
      <c r="N84" s="2" t="s">
        <v>4044</v>
      </c>
      <c r="O84">
        <v>56</v>
      </c>
      <c r="P84">
        <v>-45176.32</v>
      </c>
      <c r="Q84" t="b">
        <v>1</v>
      </c>
      <c r="R84" t="b">
        <v>1</v>
      </c>
      <c r="S84" t="b">
        <v>0</v>
      </c>
      <c r="T84" t="b">
        <v>0</v>
      </c>
      <c r="U84">
        <v>2</v>
      </c>
      <c r="V84" t="s">
        <v>4072</v>
      </c>
    </row>
    <row r="85" spans="1:22" hidden="1" x14ac:dyDescent="0.45">
      <c r="A85" s="2" t="s">
        <v>1623</v>
      </c>
      <c r="B85" s="11">
        <v>45410</v>
      </c>
      <c r="C85" s="2" t="s">
        <v>2011</v>
      </c>
      <c r="D85" s="2" t="s">
        <v>2016</v>
      </c>
      <c r="E85">
        <v>1720</v>
      </c>
      <c r="F85">
        <v>104920</v>
      </c>
      <c r="G85">
        <v>0</v>
      </c>
      <c r="H85">
        <v>0</v>
      </c>
      <c r="I85" s="2" t="s">
        <v>2022</v>
      </c>
      <c r="J85" s="2" t="s">
        <v>2030</v>
      </c>
      <c r="K85" s="2" t="s">
        <v>3644</v>
      </c>
      <c r="L85" s="2" t="s">
        <v>4035</v>
      </c>
      <c r="M85">
        <v>-1720</v>
      </c>
      <c r="N85" s="2" t="s">
        <v>2016</v>
      </c>
      <c r="O85">
        <v>61</v>
      </c>
      <c r="P85">
        <v>-104920</v>
      </c>
      <c r="Q85" t="b">
        <v>1</v>
      </c>
      <c r="R85" t="b">
        <v>1</v>
      </c>
      <c r="S85" t="b">
        <v>0</v>
      </c>
      <c r="T85" t="b">
        <v>0</v>
      </c>
      <c r="U85">
        <v>2</v>
      </c>
      <c r="V85" t="s">
        <v>4072</v>
      </c>
    </row>
    <row r="86" spans="1:22" hidden="1" x14ac:dyDescent="0.45">
      <c r="A86" s="2" t="s">
        <v>936</v>
      </c>
      <c r="B86" s="11">
        <v>45535</v>
      </c>
      <c r="C86" s="2" t="s">
        <v>2011</v>
      </c>
      <c r="D86" s="2" t="s">
        <v>2016</v>
      </c>
      <c r="E86">
        <v>1719.48</v>
      </c>
      <c r="F86">
        <v>104888.28</v>
      </c>
      <c r="G86">
        <v>0</v>
      </c>
      <c r="H86">
        <v>0</v>
      </c>
      <c r="I86" s="2" t="s">
        <v>2021</v>
      </c>
      <c r="J86" s="2" t="s">
        <v>2029</v>
      </c>
      <c r="K86" s="2" t="s">
        <v>2957</v>
      </c>
      <c r="L86" s="2" t="s">
        <v>4035</v>
      </c>
      <c r="M86">
        <v>-1719.48</v>
      </c>
      <c r="N86" s="2" t="s">
        <v>2016</v>
      </c>
      <c r="O86">
        <v>61</v>
      </c>
      <c r="P86">
        <v>-104888.28</v>
      </c>
      <c r="Q86" t="b">
        <v>1</v>
      </c>
      <c r="R86" t="b">
        <v>1</v>
      </c>
      <c r="S86" t="b">
        <v>0</v>
      </c>
      <c r="T86" t="b">
        <v>0</v>
      </c>
      <c r="U86">
        <v>2</v>
      </c>
      <c r="V86" t="s">
        <v>4072</v>
      </c>
    </row>
    <row r="87" spans="1:22" hidden="1" x14ac:dyDescent="0.45">
      <c r="A87" s="2" t="s">
        <v>969</v>
      </c>
      <c r="B87" s="11">
        <v>45136</v>
      </c>
      <c r="C87" s="2" t="s">
        <v>2012</v>
      </c>
      <c r="D87" s="2" t="s">
        <v>2017</v>
      </c>
      <c r="E87">
        <v>1714.13</v>
      </c>
      <c r="F87">
        <v>104561.93000000001</v>
      </c>
      <c r="G87">
        <v>0</v>
      </c>
      <c r="H87">
        <v>0</v>
      </c>
      <c r="I87" s="2" t="s">
        <v>2020</v>
      </c>
      <c r="J87" s="2" t="s">
        <v>2026</v>
      </c>
      <c r="K87" s="2" t="s">
        <v>2990</v>
      </c>
      <c r="L87" s="2" t="s">
        <v>4035</v>
      </c>
      <c r="M87">
        <v>-1714.13</v>
      </c>
      <c r="N87" s="2" t="s">
        <v>4044</v>
      </c>
      <c r="O87">
        <v>61</v>
      </c>
      <c r="P87">
        <v>-104561.93000000001</v>
      </c>
      <c r="Q87" t="b">
        <v>1</v>
      </c>
      <c r="R87" t="b">
        <v>1</v>
      </c>
      <c r="S87" t="b">
        <v>0</v>
      </c>
      <c r="T87" t="b">
        <v>0</v>
      </c>
      <c r="U87">
        <v>2</v>
      </c>
      <c r="V87" t="s">
        <v>4072</v>
      </c>
    </row>
    <row r="88" spans="1:22" hidden="1" x14ac:dyDescent="0.45">
      <c r="A88" s="2" t="s">
        <v>1832</v>
      </c>
      <c r="B88" s="11">
        <v>45410</v>
      </c>
      <c r="C88" s="2" t="s">
        <v>2013</v>
      </c>
      <c r="D88" s="2" t="s">
        <v>2018</v>
      </c>
      <c r="E88">
        <v>728.68</v>
      </c>
      <c r="F88">
        <v>44449.479999999996</v>
      </c>
      <c r="G88">
        <v>0</v>
      </c>
      <c r="H88">
        <v>0</v>
      </c>
      <c r="I88" s="2" t="s">
        <v>2021</v>
      </c>
      <c r="J88" s="2" t="s">
        <v>2027</v>
      </c>
      <c r="K88" s="2" t="s">
        <v>3853</v>
      </c>
      <c r="L88" s="2" t="s">
        <v>4035</v>
      </c>
      <c r="M88">
        <v>-728.68</v>
      </c>
      <c r="N88" s="2" t="s">
        <v>4044</v>
      </c>
      <c r="O88">
        <v>61</v>
      </c>
      <c r="P88">
        <v>-44449.479999999996</v>
      </c>
      <c r="Q88" t="b">
        <v>1</v>
      </c>
      <c r="R88" t="b">
        <v>1</v>
      </c>
      <c r="S88" t="b">
        <v>0</v>
      </c>
      <c r="T88" t="b">
        <v>0</v>
      </c>
      <c r="U88">
        <v>2</v>
      </c>
      <c r="V88" t="s">
        <v>4072</v>
      </c>
    </row>
    <row r="89" spans="1:22" hidden="1" x14ac:dyDescent="0.45">
      <c r="A89" s="2" t="s">
        <v>1216</v>
      </c>
      <c r="B89" s="11">
        <v>45410</v>
      </c>
      <c r="C89" s="2" t="s">
        <v>2013</v>
      </c>
      <c r="D89" s="2" t="s">
        <v>2018</v>
      </c>
      <c r="E89">
        <v>500.85</v>
      </c>
      <c r="F89">
        <v>41069.700000000004</v>
      </c>
      <c r="G89">
        <v>0</v>
      </c>
      <c r="H89">
        <v>0</v>
      </c>
      <c r="I89" s="2" t="s">
        <v>2023</v>
      </c>
      <c r="J89" s="2" t="s">
        <v>2028</v>
      </c>
      <c r="K89" s="2" t="s">
        <v>3237</v>
      </c>
      <c r="L89" s="2" t="s">
        <v>4034</v>
      </c>
      <c r="M89">
        <v>-500.85</v>
      </c>
      <c r="N89" s="2" t="s">
        <v>4044</v>
      </c>
      <c r="O89">
        <v>82</v>
      </c>
      <c r="P89">
        <v>-41069.700000000004</v>
      </c>
      <c r="Q89" t="b">
        <v>1</v>
      </c>
      <c r="R89" t="b">
        <v>1</v>
      </c>
      <c r="S89" t="b">
        <v>0</v>
      </c>
      <c r="T89" t="b">
        <v>0</v>
      </c>
      <c r="U89">
        <v>2</v>
      </c>
      <c r="V89" t="s">
        <v>4072</v>
      </c>
    </row>
    <row r="90" spans="1:22" hidden="1" x14ac:dyDescent="0.45">
      <c r="A90" s="2" t="s">
        <v>407</v>
      </c>
      <c r="B90" s="11">
        <v>44983</v>
      </c>
      <c r="C90" s="2" t="s">
        <v>2013</v>
      </c>
      <c r="D90" s="2" t="s">
        <v>2018</v>
      </c>
      <c r="E90">
        <v>1944.25</v>
      </c>
      <c r="F90">
        <v>118599.25</v>
      </c>
      <c r="G90">
        <v>0</v>
      </c>
      <c r="H90">
        <v>0</v>
      </c>
      <c r="I90" s="2" t="s">
        <v>2021</v>
      </c>
      <c r="J90" s="2" t="s">
        <v>2030</v>
      </c>
      <c r="K90" s="2" t="s">
        <v>2428</v>
      </c>
      <c r="L90" s="2" t="s">
        <v>4035</v>
      </c>
      <c r="M90">
        <v>-1944.25</v>
      </c>
      <c r="N90" s="2" t="s">
        <v>4044</v>
      </c>
      <c r="O90">
        <v>61</v>
      </c>
      <c r="P90">
        <v>-118599.25</v>
      </c>
      <c r="Q90" t="b">
        <v>1</v>
      </c>
      <c r="R90" t="b">
        <v>1</v>
      </c>
      <c r="S90" t="b">
        <v>0</v>
      </c>
      <c r="T90" t="b">
        <v>0</v>
      </c>
      <c r="U90">
        <v>2</v>
      </c>
      <c r="V90" t="s">
        <v>4072</v>
      </c>
    </row>
    <row r="91" spans="1:22" hidden="1" x14ac:dyDescent="0.45">
      <c r="A91" s="2" t="s">
        <v>400</v>
      </c>
      <c r="B91" s="11">
        <v>45164</v>
      </c>
      <c r="C91" s="2" t="s">
        <v>2014</v>
      </c>
      <c r="D91" s="2" t="s">
        <v>2019</v>
      </c>
      <c r="E91">
        <v>0</v>
      </c>
      <c r="F91">
        <v>0</v>
      </c>
      <c r="G91">
        <v>2348.4</v>
      </c>
      <c r="H91">
        <v>143252.4</v>
      </c>
      <c r="I91" s="2" t="s">
        <v>2025</v>
      </c>
      <c r="J91" s="2" t="s">
        <v>2030</v>
      </c>
      <c r="K91" s="2" t="s">
        <v>2421</v>
      </c>
      <c r="L91" s="2" t="s">
        <v>4035</v>
      </c>
      <c r="M91">
        <v>2348.4</v>
      </c>
      <c r="N91" s="2" t="s">
        <v>4042</v>
      </c>
      <c r="O91">
        <v>61</v>
      </c>
      <c r="P91">
        <v>143252.4</v>
      </c>
      <c r="Q91" t="b">
        <v>1</v>
      </c>
      <c r="R91" t="b">
        <v>1</v>
      </c>
      <c r="S91" t="b">
        <v>0</v>
      </c>
      <c r="T91" t="b">
        <v>0</v>
      </c>
      <c r="U91">
        <v>2</v>
      </c>
      <c r="V91" t="s">
        <v>4072</v>
      </c>
    </row>
    <row r="92" spans="1:22" hidden="1" x14ac:dyDescent="0.45">
      <c r="A92" s="2" t="s">
        <v>683</v>
      </c>
      <c r="B92" s="11">
        <v>45381</v>
      </c>
      <c r="C92" s="2" t="s">
        <v>2012</v>
      </c>
      <c r="D92" s="2" t="s">
        <v>2017</v>
      </c>
      <c r="E92">
        <v>296.98</v>
      </c>
      <c r="F92">
        <v>16630.88</v>
      </c>
      <c r="G92">
        <v>0</v>
      </c>
      <c r="H92">
        <v>0</v>
      </c>
      <c r="I92" s="2" t="s">
        <v>2025</v>
      </c>
      <c r="J92" s="2" t="s">
        <v>2030</v>
      </c>
      <c r="K92" s="2" t="s">
        <v>2704</v>
      </c>
      <c r="L92" s="2" t="s">
        <v>4033</v>
      </c>
      <c r="M92">
        <v>-296.98</v>
      </c>
      <c r="N92" s="2" t="s">
        <v>4044</v>
      </c>
      <c r="O92">
        <v>56</v>
      </c>
      <c r="P92">
        <v>-16630.88</v>
      </c>
      <c r="Q92" t="b">
        <v>1</v>
      </c>
      <c r="R92" t="b">
        <v>1</v>
      </c>
      <c r="S92" t="b">
        <v>0</v>
      </c>
      <c r="T92" t="b">
        <v>0</v>
      </c>
      <c r="U92">
        <v>2</v>
      </c>
      <c r="V92" t="s">
        <v>4072</v>
      </c>
    </row>
    <row r="93" spans="1:22" hidden="1" x14ac:dyDescent="0.45">
      <c r="A93" s="2" t="s">
        <v>886</v>
      </c>
      <c r="B93" s="11">
        <v>45626</v>
      </c>
      <c r="C93" s="2" t="s">
        <v>2014</v>
      </c>
      <c r="D93" s="2" t="s">
        <v>2019</v>
      </c>
      <c r="E93">
        <v>0</v>
      </c>
      <c r="F93">
        <v>0</v>
      </c>
      <c r="G93">
        <v>4346.96</v>
      </c>
      <c r="H93">
        <v>265164.56</v>
      </c>
      <c r="I93" s="2" t="s">
        <v>2024</v>
      </c>
      <c r="J93" s="2" t="s">
        <v>2028</v>
      </c>
      <c r="K93" s="2" t="s">
        <v>2907</v>
      </c>
      <c r="L93" s="2" t="s">
        <v>4035</v>
      </c>
      <c r="M93">
        <v>4346.96</v>
      </c>
      <c r="N93" s="2" t="s">
        <v>4042</v>
      </c>
      <c r="O93">
        <v>61</v>
      </c>
      <c r="P93">
        <v>265164.56</v>
      </c>
      <c r="Q93" t="b">
        <v>1</v>
      </c>
      <c r="R93" t="b">
        <v>1</v>
      </c>
      <c r="S93" t="b">
        <v>0</v>
      </c>
      <c r="T93" t="b">
        <v>0</v>
      </c>
      <c r="U93">
        <v>2</v>
      </c>
      <c r="V93" t="s">
        <v>4072</v>
      </c>
    </row>
    <row r="94" spans="1:22" hidden="1" x14ac:dyDescent="0.45">
      <c r="A94" s="2" t="s">
        <v>1103</v>
      </c>
      <c r="B94" s="11">
        <v>44982</v>
      </c>
      <c r="C94" s="2" t="s">
        <v>2013</v>
      </c>
      <c r="D94" s="2" t="s">
        <v>2018</v>
      </c>
      <c r="E94">
        <v>54.75</v>
      </c>
      <c r="F94">
        <v>5639.25</v>
      </c>
      <c r="G94">
        <v>0</v>
      </c>
      <c r="H94">
        <v>0</v>
      </c>
      <c r="I94" s="2" t="s">
        <v>2021</v>
      </c>
      <c r="J94" s="2" t="s">
        <v>2027</v>
      </c>
      <c r="K94" s="2" t="s">
        <v>3124</v>
      </c>
      <c r="L94" s="2" t="s">
        <v>4031</v>
      </c>
      <c r="M94">
        <v>-54.75</v>
      </c>
      <c r="N94" s="2" t="s">
        <v>4044</v>
      </c>
      <c r="O94">
        <v>103</v>
      </c>
      <c r="P94">
        <v>-5639.25</v>
      </c>
      <c r="Q94" t="b">
        <v>1</v>
      </c>
      <c r="R94" t="b">
        <v>1</v>
      </c>
      <c r="S94" t="b">
        <v>0</v>
      </c>
      <c r="T94" t="b">
        <v>0</v>
      </c>
      <c r="U94">
        <v>2</v>
      </c>
      <c r="V94" t="s">
        <v>4072</v>
      </c>
    </row>
    <row r="95" spans="1:22" hidden="1" x14ac:dyDescent="0.45">
      <c r="A95" s="2" t="s">
        <v>435</v>
      </c>
      <c r="B95" s="11">
        <v>45319</v>
      </c>
      <c r="C95" s="2" t="s">
        <v>2012</v>
      </c>
      <c r="D95" s="2" t="s">
        <v>2017</v>
      </c>
      <c r="E95">
        <v>519.61</v>
      </c>
      <c r="F95">
        <v>53519.83</v>
      </c>
      <c r="G95">
        <v>0</v>
      </c>
      <c r="H95">
        <v>0</v>
      </c>
      <c r="I95" s="2" t="s">
        <v>2023</v>
      </c>
      <c r="J95" s="2" t="s">
        <v>2027</v>
      </c>
      <c r="K95" s="2" t="s">
        <v>2456</v>
      </c>
      <c r="L95" s="2" t="s">
        <v>4031</v>
      </c>
      <c r="M95">
        <v>-519.61</v>
      </c>
      <c r="N95" s="2" t="s">
        <v>4044</v>
      </c>
      <c r="O95">
        <v>103</v>
      </c>
      <c r="P95">
        <v>-53519.83</v>
      </c>
      <c r="Q95" t="b">
        <v>1</v>
      </c>
      <c r="R95" t="b">
        <v>1</v>
      </c>
      <c r="S95" t="b">
        <v>0</v>
      </c>
      <c r="T95" t="b">
        <v>0</v>
      </c>
      <c r="U95">
        <v>2</v>
      </c>
      <c r="V95" t="s">
        <v>4072</v>
      </c>
    </row>
    <row r="96" spans="1:22" hidden="1" x14ac:dyDescent="0.45">
      <c r="A96" s="2" t="s">
        <v>1040</v>
      </c>
      <c r="B96" s="11">
        <v>45255</v>
      </c>
      <c r="C96" s="2" t="s">
        <v>2014</v>
      </c>
      <c r="D96" s="2" t="s">
        <v>2019</v>
      </c>
      <c r="E96">
        <v>0</v>
      </c>
      <c r="F96">
        <v>0</v>
      </c>
      <c r="G96">
        <v>3221.92</v>
      </c>
      <c r="H96">
        <v>264197.44</v>
      </c>
      <c r="I96" s="2" t="s">
        <v>2020</v>
      </c>
      <c r="J96" s="2" t="s">
        <v>2028</v>
      </c>
      <c r="K96" s="2" t="s">
        <v>3061</v>
      </c>
      <c r="L96" s="2" t="s">
        <v>4034</v>
      </c>
      <c r="M96">
        <v>3221.92</v>
      </c>
      <c r="N96" s="2" t="s">
        <v>4042</v>
      </c>
      <c r="O96">
        <v>82</v>
      </c>
      <c r="P96">
        <v>264197.44</v>
      </c>
      <c r="Q96" t="b">
        <v>1</v>
      </c>
      <c r="R96" t="b">
        <v>1</v>
      </c>
      <c r="S96" t="b">
        <v>0</v>
      </c>
      <c r="T96" t="b">
        <v>0</v>
      </c>
      <c r="U96">
        <v>2</v>
      </c>
      <c r="V96" t="s">
        <v>4072</v>
      </c>
    </row>
    <row r="97" spans="1:22" hidden="1" x14ac:dyDescent="0.45">
      <c r="A97" s="2" t="s">
        <v>1564</v>
      </c>
      <c r="B97" s="11">
        <v>45682</v>
      </c>
      <c r="C97" s="2" t="s">
        <v>2014</v>
      </c>
      <c r="D97" s="2" t="s">
        <v>2019</v>
      </c>
      <c r="E97">
        <v>0</v>
      </c>
      <c r="F97">
        <v>0</v>
      </c>
      <c r="G97">
        <v>4712.88</v>
      </c>
      <c r="H97">
        <v>263921.28000000003</v>
      </c>
      <c r="I97" s="2" t="s">
        <v>2025</v>
      </c>
      <c r="J97" s="2" t="s">
        <v>2029</v>
      </c>
      <c r="K97" s="2" t="s">
        <v>3585</v>
      </c>
      <c r="L97" s="2" t="s">
        <v>4033</v>
      </c>
      <c r="M97">
        <v>4712.88</v>
      </c>
      <c r="N97" s="2" t="s">
        <v>4042</v>
      </c>
      <c r="O97">
        <v>56</v>
      </c>
      <c r="P97">
        <v>263921.28000000003</v>
      </c>
      <c r="Q97" t="b">
        <v>1</v>
      </c>
      <c r="R97" t="b">
        <v>1</v>
      </c>
      <c r="S97" t="b">
        <v>0</v>
      </c>
      <c r="T97" t="b">
        <v>0</v>
      </c>
      <c r="U97">
        <v>2</v>
      </c>
      <c r="V97" t="s">
        <v>4072</v>
      </c>
    </row>
    <row r="98" spans="1:22" hidden="1" x14ac:dyDescent="0.45">
      <c r="A98" s="2" t="s">
        <v>1190</v>
      </c>
      <c r="B98" s="11">
        <v>45381</v>
      </c>
      <c r="C98" s="2" t="s">
        <v>2014</v>
      </c>
      <c r="D98" s="2" t="s">
        <v>2019</v>
      </c>
      <c r="E98">
        <v>0</v>
      </c>
      <c r="F98">
        <v>0</v>
      </c>
      <c r="G98">
        <v>581.76</v>
      </c>
      <c r="H98">
        <v>35487.360000000001</v>
      </c>
      <c r="I98" s="2" t="s">
        <v>2022</v>
      </c>
      <c r="J98" s="2" t="s">
        <v>2028</v>
      </c>
      <c r="K98" s="2" t="s">
        <v>3211</v>
      </c>
      <c r="L98" s="2" t="s">
        <v>4035</v>
      </c>
      <c r="M98">
        <v>581.76</v>
      </c>
      <c r="N98" s="2" t="s">
        <v>4042</v>
      </c>
      <c r="O98">
        <v>61</v>
      </c>
      <c r="P98">
        <v>35487.360000000001</v>
      </c>
      <c r="Q98" t="b">
        <v>1</v>
      </c>
      <c r="R98" t="b">
        <v>1</v>
      </c>
      <c r="S98" t="b">
        <v>0</v>
      </c>
      <c r="T98" t="b">
        <v>0</v>
      </c>
      <c r="U98">
        <v>2</v>
      </c>
      <c r="V98" t="s">
        <v>4072</v>
      </c>
    </row>
    <row r="99" spans="1:22" hidden="1" x14ac:dyDescent="0.45">
      <c r="A99" s="2" t="s">
        <v>180</v>
      </c>
      <c r="B99" s="11">
        <v>45564</v>
      </c>
      <c r="C99" s="2" t="s">
        <v>2013</v>
      </c>
      <c r="D99" s="2" t="s">
        <v>2018</v>
      </c>
      <c r="E99">
        <v>605.78</v>
      </c>
      <c r="F99">
        <v>53308.639999999999</v>
      </c>
      <c r="G99">
        <v>0</v>
      </c>
      <c r="H99">
        <v>0</v>
      </c>
      <c r="I99" s="2" t="s">
        <v>2023</v>
      </c>
      <c r="J99" s="2" t="s">
        <v>2029</v>
      </c>
      <c r="K99" s="2" t="s">
        <v>2201</v>
      </c>
      <c r="L99" s="2" t="s">
        <v>4032</v>
      </c>
      <c r="M99">
        <v>-605.78</v>
      </c>
      <c r="N99" s="2" t="s">
        <v>4044</v>
      </c>
      <c r="O99">
        <v>88</v>
      </c>
      <c r="P99">
        <v>-53308.639999999999</v>
      </c>
      <c r="Q99" t="b">
        <v>1</v>
      </c>
      <c r="R99" t="b">
        <v>1</v>
      </c>
      <c r="S99" t="b">
        <v>0</v>
      </c>
      <c r="T99" t="b">
        <v>0</v>
      </c>
      <c r="U99">
        <v>2</v>
      </c>
      <c r="V99" t="s">
        <v>4072</v>
      </c>
    </row>
    <row r="100" spans="1:22" hidden="1" x14ac:dyDescent="0.45">
      <c r="A100" s="2" t="s">
        <v>879</v>
      </c>
      <c r="B100" s="11">
        <v>45137</v>
      </c>
      <c r="C100" s="2" t="s">
        <v>2014</v>
      </c>
      <c r="D100" s="2" t="s">
        <v>2019</v>
      </c>
      <c r="E100">
        <v>0</v>
      </c>
      <c r="F100">
        <v>0</v>
      </c>
      <c r="G100">
        <v>3194.96</v>
      </c>
      <c r="H100">
        <v>261986.72</v>
      </c>
      <c r="I100" s="2" t="s">
        <v>2024</v>
      </c>
      <c r="J100" s="2" t="s">
        <v>2026</v>
      </c>
      <c r="K100" s="2" t="s">
        <v>2900</v>
      </c>
      <c r="L100" s="2" t="s">
        <v>4034</v>
      </c>
      <c r="M100">
        <v>3194.96</v>
      </c>
      <c r="N100" s="2" t="s">
        <v>4042</v>
      </c>
      <c r="O100">
        <v>82</v>
      </c>
      <c r="P100">
        <v>261986.72</v>
      </c>
      <c r="Q100" t="b">
        <v>1</v>
      </c>
      <c r="R100" t="b">
        <v>1</v>
      </c>
      <c r="S100" t="b">
        <v>0</v>
      </c>
      <c r="T100" t="b">
        <v>0</v>
      </c>
      <c r="U100">
        <v>2</v>
      </c>
      <c r="V100" t="s">
        <v>4072</v>
      </c>
    </row>
    <row r="101" spans="1:22" hidden="1" x14ac:dyDescent="0.45">
      <c r="A101" s="2" t="s">
        <v>1954</v>
      </c>
      <c r="B101" s="11">
        <v>45256</v>
      </c>
      <c r="C101" s="2" t="s">
        <v>2014</v>
      </c>
      <c r="D101" s="2" t="s">
        <v>2019</v>
      </c>
      <c r="E101">
        <v>0</v>
      </c>
      <c r="F101">
        <v>0</v>
      </c>
      <c r="G101">
        <v>3124.09</v>
      </c>
      <c r="H101">
        <v>256175.38</v>
      </c>
      <c r="I101" s="2" t="s">
        <v>2025</v>
      </c>
      <c r="J101" s="2" t="s">
        <v>2026</v>
      </c>
      <c r="K101" s="2" t="s">
        <v>3975</v>
      </c>
      <c r="L101" s="2" t="s">
        <v>4034</v>
      </c>
      <c r="M101">
        <v>3124.09</v>
      </c>
      <c r="N101" s="2" t="s">
        <v>4042</v>
      </c>
      <c r="O101">
        <v>82</v>
      </c>
      <c r="P101">
        <v>256175.38</v>
      </c>
      <c r="Q101" t="b">
        <v>1</v>
      </c>
      <c r="R101" t="b">
        <v>1</v>
      </c>
      <c r="S101" t="b">
        <v>0</v>
      </c>
      <c r="T101" t="b">
        <v>0</v>
      </c>
      <c r="U101">
        <v>2</v>
      </c>
      <c r="V101" t="s">
        <v>4072</v>
      </c>
    </row>
    <row r="102" spans="1:22" hidden="1" x14ac:dyDescent="0.45">
      <c r="A102" s="2" t="s">
        <v>1550</v>
      </c>
      <c r="B102" s="11">
        <v>45626</v>
      </c>
      <c r="C102" s="2" t="s">
        <v>2011</v>
      </c>
      <c r="D102" s="2" t="s">
        <v>2016</v>
      </c>
      <c r="E102">
        <v>350.21</v>
      </c>
      <c r="F102">
        <v>36071.629999999997</v>
      </c>
      <c r="G102">
        <v>0</v>
      </c>
      <c r="H102">
        <v>0</v>
      </c>
      <c r="I102" s="2" t="s">
        <v>2024</v>
      </c>
      <c r="J102" s="2" t="s">
        <v>2028</v>
      </c>
      <c r="K102" s="2" t="s">
        <v>3571</v>
      </c>
      <c r="L102" s="2" t="s">
        <v>4031</v>
      </c>
      <c r="M102">
        <v>-350.21</v>
      </c>
      <c r="N102" s="2" t="s">
        <v>2016</v>
      </c>
      <c r="O102">
        <v>103</v>
      </c>
      <c r="P102">
        <v>-36071.629999999997</v>
      </c>
      <c r="Q102" t="b">
        <v>1</v>
      </c>
      <c r="R102" t="b">
        <v>1</v>
      </c>
      <c r="S102" t="b">
        <v>0</v>
      </c>
      <c r="T102" t="b">
        <v>0</v>
      </c>
      <c r="U102">
        <v>2</v>
      </c>
      <c r="V102" t="s">
        <v>4072</v>
      </c>
    </row>
    <row r="103" spans="1:22" hidden="1" x14ac:dyDescent="0.45">
      <c r="A103" s="2" t="s">
        <v>1419</v>
      </c>
      <c r="B103" s="11">
        <v>45199</v>
      </c>
      <c r="C103" s="2" t="s">
        <v>2011</v>
      </c>
      <c r="D103" s="2" t="s">
        <v>2016</v>
      </c>
      <c r="E103">
        <v>90.95</v>
      </c>
      <c r="F103">
        <v>7457.9000000000005</v>
      </c>
      <c r="G103">
        <v>0</v>
      </c>
      <c r="H103">
        <v>0</v>
      </c>
      <c r="I103" s="2" t="s">
        <v>2023</v>
      </c>
      <c r="J103" s="2" t="s">
        <v>2029</v>
      </c>
      <c r="K103" s="2" t="s">
        <v>3440</v>
      </c>
      <c r="L103" s="2" t="s">
        <v>4034</v>
      </c>
      <c r="M103">
        <v>-90.95</v>
      </c>
      <c r="N103" s="2" t="s">
        <v>2016</v>
      </c>
      <c r="O103">
        <v>82</v>
      </c>
      <c r="P103">
        <v>-7457.9000000000005</v>
      </c>
      <c r="Q103" t="b">
        <v>1</v>
      </c>
      <c r="R103" t="b">
        <v>1</v>
      </c>
      <c r="S103" t="b">
        <v>0</v>
      </c>
      <c r="T103" t="b">
        <v>0</v>
      </c>
      <c r="U103">
        <v>2</v>
      </c>
      <c r="V103" t="s">
        <v>4072</v>
      </c>
    </row>
    <row r="104" spans="1:22" hidden="1" x14ac:dyDescent="0.45">
      <c r="A104" s="2" t="s">
        <v>1327</v>
      </c>
      <c r="B104" s="11">
        <v>45836</v>
      </c>
      <c r="C104" s="2" t="s">
        <v>2014</v>
      </c>
      <c r="D104" s="2" t="s">
        <v>2019</v>
      </c>
      <c r="E104">
        <v>0</v>
      </c>
      <c r="F104">
        <v>0</v>
      </c>
      <c r="G104">
        <v>2077.61</v>
      </c>
      <c r="H104">
        <v>170364.02000000002</v>
      </c>
      <c r="I104" s="2" t="s">
        <v>2020</v>
      </c>
      <c r="J104" s="2" t="s">
        <v>2027</v>
      </c>
      <c r="K104" s="2" t="s">
        <v>3348</v>
      </c>
      <c r="L104" s="2" t="s">
        <v>4034</v>
      </c>
      <c r="M104">
        <v>2077.61</v>
      </c>
      <c r="N104" s="2" t="s">
        <v>4042</v>
      </c>
      <c r="O104">
        <v>82</v>
      </c>
      <c r="P104">
        <v>170364.02000000002</v>
      </c>
      <c r="Q104" t="b">
        <v>1</v>
      </c>
      <c r="R104" t="b">
        <v>1</v>
      </c>
      <c r="S104" t="b">
        <v>0</v>
      </c>
      <c r="T104" t="b">
        <v>0</v>
      </c>
      <c r="U104">
        <v>2</v>
      </c>
      <c r="V104" t="s">
        <v>4072</v>
      </c>
    </row>
    <row r="105" spans="1:22" hidden="1" x14ac:dyDescent="0.45">
      <c r="A105" s="2" t="s">
        <v>1350</v>
      </c>
      <c r="B105" s="11">
        <v>45591</v>
      </c>
      <c r="C105" s="2" t="s">
        <v>2011</v>
      </c>
      <c r="D105" s="2" t="s">
        <v>2016</v>
      </c>
      <c r="E105">
        <v>1949.81</v>
      </c>
      <c r="F105">
        <v>171583.28</v>
      </c>
      <c r="G105">
        <v>0</v>
      </c>
      <c r="H105">
        <v>0</v>
      </c>
      <c r="I105" s="2" t="s">
        <v>2021</v>
      </c>
      <c r="J105" s="2" t="s">
        <v>2029</v>
      </c>
      <c r="K105" s="2" t="s">
        <v>3371</v>
      </c>
      <c r="L105" s="2" t="s">
        <v>4032</v>
      </c>
      <c r="M105">
        <v>-1949.81</v>
      </c>
      <c r="N105" s="2" t="s">
        <v>2016</v>
      </c>
      <c r="O105">
        <v>88</v>
      </c>
      <c r="P105">
        <v>-171583.28</v>
      </c>
      <c r="Q105" t="b">
        <v>1</v>
      </c>
      <c r="R105" t="b">
        <v>1</v>
      </c>
      <c r="S105" t="b">
        <v>0</v>
      </c>
      <c r="T105" t="b">
        <v>0</v>
      </c>
      <c r="U105">
        <v>2</v>
      </c>
      <c r="V105" t="s">
        <v>4072</v>
      </c>
    </row>
    <row r="106" spans="1:22" hidden="1" x14ac:dyDescent="0.45">
      <c r="A106" s="2" t="s">
        <v>686</v>
      </c>
      <c r="B106" s="11">
        <v>45165</v>
      </c>
      <c r="C106" s="2" t="s">
        <v>2010</v>
      </c>
      <c r="D106" s="2" t="s">
        <v>2015</v>
      </c>
      <c r="E106">
        <v>0</v>
      </c>
      <c r="F106">
        <v>0</v>
      </c>
      <c r="G106">
        <v>1952.91</v>
      </c>
      <c r="H106">
        <v>171856.08000000002</v>
      </c>
      <c r="I106" s="2" t="s">
        <v>2024</v>
      </c>
      <c r="J106" s="2" t="s">
        <v>2026</v>
      </c>
      <c r="K106" s="2" t="s">
        <v>2707</v>
      </c>
      <c r="L106" s="2" t="s">
        <v>4032</v>
      </c>
      <c r="M106">
        <v>1952.91</v>
      </c>
      <c r="N106" s="2" t="s">
        <v>4042</v>
      </c>
      <c r="O106">
        <v>88</v>
      </c>
      <c r="P106">
        <v>171856.08000000002</v>
      </c>
      <c r="Q106" t="b">
        <v>1</v>
      </c>
      <c r="R106" t="b">
        <v>1</v>
      </c>
      <c r="S106" t="b">
        <v>0</v>
      </c>
      <c r="T106" t="b">
        <v>0</v>
      </c>
      <c r="U106">
        <v>2</v>
      </c>
      <c r="V106" t="s">
        <v>4072</v>
      </c>
    </row>
    <row r="107" spans="1:22" hidden="1" x14ac:dyDescent="0.45">
      <c r="A107" s="2" t="s">
        <v>1014</v>
      </c>
      <c r="B107" s="11">
        <v>45410</v>
      </c>
      <c r="C107" s="2" t="s">
        <v>2011</v>
      </c>
      <c r="D107" s="2" t="s">
        <v>2016</v>
      </c>
      <c r="E107">
        <v>1956.42</v>
      </c>
      <c r="F107">
        <v>172164.96000000002</v>
      </c>
      <c r="G107">
        <v>0</v>
      </c>
      <c r="H107">
        <v>0</v>
      </c>
      <c r="I107" s="2" t="s">
        <v>2020</v>
      </c>
      <c r="J107" s="2" t="s">
        <v>2030</v>
      </c>
      <c r="K107" s="2" t="s">
        <v>3035</v>
      </c>
      <c r="L107" s="2" t="s">
        <v>4032</v>
      </c>
      <c r="M107">
        <v>-1956.42</v>
      </c>
      <c r="N107" s="2" t="s">
        <v>2016</v>
      </c>
      <c r="O107">
        <v>88</v>
      </c>
      <c r="P107">
        <v>-172164.96000000002</v>
      </c>
      <c r="Q107" t="b">
        <v>1</v>
      </c>
      <c r="R107" t="b">
        <v>1</v>
      </c>
      <c r="S107" t="b">
        <v>0</v>
      </c>
      <c r="T107" t="b">
        <v>0</v>
      </c>
      <c r="U107">
        <v>2</v>
      </c>
      <c r="V107" t="s">
        <v>4072</v>
      </c>
    </row>
    <row r="108" spans="1:22" hidden="1" x14ac:dyDescent="0.45">
      <c r="A108" s="2" t="s">
        <v>1618</v>
      </c>
      <c r="B108" s="11">
        <v>45808</v>
      </c>
      <c r="C108" s="2" t="s">
        <v>2014</v>
      </c>
      <c r="D108" s="2" t="s">
        <v>2019</v>
      </c>
      <c r="E108">
        <v>0</v>
      </c>
      <c r="F108">
        <v>0</v>
      </c>
      <c r="G108">
        <v>4316.42</v>
      </c>
      <c r="H108">
        <v>241719.52000000002</v>
      </c>
      <c r="I108" s="2" t="s">
        <v>2021</v>
      </c>
      <c r="J108" s="2" t="s">
        <v>2030</v>
      </c>
      <c r="K108" s="2" t="s">
        <v>3639</v>
      </c>
      <c r="L108" s="2" t="s">
        <v>4033</v>
      </c>
      <c r="M108">
        <v>4316.42</v>
      </c>
      <c r="N108" s="2" t="s">
        <v>4042</v>
      </c>
      <c r="O108">
        <v>56</v>
      </c>
      <c r="P108">
        <v>241719.52000000002</v>
      </c>
      <c r="Q108" t="b">
        <v>1</v>
      </c>
      <c r="R108" t="b">
        <v>1</v>
      </c>
      <c r="S108" t="b">
        <v>0</v>
      </c>
      <c r="T108" t="b">
        <v>0</v>
      </c>
      <c r="U108">
        <v>2</v>
      </c>
      <c r="V108" t="s">
        <v>4072</v>
      </c>
    </row>
    <row r="109" spans="1:22" hidden="1" x14ac:dyDescent="0.45">
      <c r="A109" s="2" t="s">
        <v>1637</v>
      </c>
      <c r="B109" s="11">
        <v>45010</v>
      </c>
      <c r="C109" s="2" t="s">
        <v>2014</v>
      </c>
      <c r="D109" s="2" t="s">
        <v>2019</v>
      </c>
      <c r="E109">
        <v>0</v>
      </c>
      <c r="F109">
        <v>0</v>
      </c>
      <c r="G109">
        <v>4296.88</v>
      </c>
      <c r="H109">
        <v>240625.28</v>
      </c>
      <c r="I109" s="2" t="s">
        <v>2024</v>
      </c>
      <c r="J109" s="2" t="s">
        <v>2026</v>
      </c>
      <c r="K109" s="2" t="s">
        <v>3658</v>
      </c>
      <c r="L109" s="2" t="s">
        <v>4033</v>
      </c>
      <c r="M109">
        <v>4296.88</v>
      </c>
      <c r="N109" s="2" t="s">
        <v>4042</v>
      </c>
      <c r="O109">
        <v>56</v>
      </c>
      <c r="P109">
        <v>240625.28</v>
      </c>
      <c r="Q109" t="b">
        <v>1</v>
      </c>
      <c r="R109" t="b">
        <v>1</v>
      </c>
      <c r="S109" t="b">
        <v>0</v>
      </c>
      <c r="T109" t="b">
        <v>0</v>
      </c>
      <c r="U109">
        <v>2</v>
      </c>
      <c r="V109" t="s">
        <v>4072</v>
      </c>
    </row>
    <row r="110" spans="1:22" hidden="1" x14ac:dyDescent="0.45">
      <c r="A110" s="2" t="s">
        <v>786</v>
      </c>
      <c r="B110" s="11">
        <v>45472</v>
      </c>
      <c r="C110" s="2" t="s">
        <v>2014</v>
      </c>
      <c r="D110" s="2" t="s">
        <v>2019</v>
      </c>
      <c r="E110">
        <v>0</v>
      </c>
      <c r="F110">
        <v>0</v>
      </c>
      <c r="G110">
        <v>2300.21</v>
      </c>
      <c r="H110">
        <v>236921.63</v>
      </c>
      <c r="I110" s="2" t="s">
        <v>2024</v>
      </c>
      <c r="J110" s="2" t="s">
        <v>2027</v>
      </c>
      <c r="K110" s="2" t="s">
        <v>2807</v>
      </c>
      <c r="L110" s="2" t="s">
        <v>4031</v>
      </c>
      <c r="M110">
        <v>2300.21</v>
      </c>
      <c r="N110" s="2" t="s">
        <v>4042</v>
      </c>
      <c r="O110">
        <v>103</v>
      </c>
      <c r="P110">
        <v>236921.63</v>
      </c>
      <c r="Q110" t="b">
        <v>1</v>
      </c>
      <c r="R110" t="b">
        <v>1</v>
      </c>
      <c r="S110" t="b">
        <v>0</v>
      </c>
      <c r="T110" t="b">
        <v>0</v>
      </c>
      <c r="U110">
        <v>2</v>
      </c>
      <c r="V110" t="s">
        <v>4072</v>
      </c>
    </row>
    <row r="111" spans="1:22" hidden="1" x14ac:dyDescent="0.45">
      <c r="A111" s="2" t="s">
        <v>13</v>
      </c>
      <c r="B111" s="11">
        <v>45199</v>
      </c>
      <c r="C111" s="2" t="s">
        <v>2012</v>
      </c>
      <c r="D111" s="2" t="s">
        <v>2017</v>
      </c>
      <c r="E111">
        <v>1610.64</v>
      </c>
      <c r="F111">
        <v>90195.840000000011</v>
      </c>
      <c r="G111">
        <v>0</v>
      </c>
      <c r="H111">
        <v>0</v>
      </c>
      <c r="I111" s="2" t="s">
        <v>2020</v>
      </c>
      <c r="J111" s="2" t="s">
        <v>2028</v>
      </c>
      <c r="K111" s="2" t="s">
        <v>2034</v>
      </c>
      <c r="L111" s="2" t="s">
        <v>4033</v>
      </c>
      <c r="M111">
        <v>-1610.64</v>
      </c>
      <c r="N111" s="2" t="s">
        <v>4044</v>
      </c>
      <c r="O111">
        <v>56</v>
      </c>
      <c r="P111">
        <v>-90195.840000000011</v>
      </c>
      <c r="Q111" t="b">
        <v>1</v>
      </c>
      <c r="R111" t="b">
        <v>1</v>
      </c>
      <c r="S111" t="b">
        <v>0</v>
      </c>
      <c r="T111" t="b">
        <v>0</v>
      </c>
      <c r="U111">
        <v>2</v>
      </c>
      <c r="V111" t="s">
        <v>4072</v>
      </c>
    </row>
    <row r="112" spans="1:22" hidden="1" x14ac:dyDescent="0.45">
      <c r="A112" s="2" t="s">
        <v>1698</v>
      </c>
      <c r="B112" s="11">
        <v>45409</v>
      </c>
      <c r="C112" s="2" t="s">
        <v>2011</v>
      </c>
      <c r="D112" s="2" t="s">
        <v>2016</v>
      </c>
      <c r="E112">
        <v>575</v>
      </c>
      <c r="F112">
        <v>50600</v>
      </c>
      <c r="G112">
        <v>0</v>
      </c>
      <c r="H112">
        <v>0</v>
      </c>
      <c r="I112" s="2" t="s">
        <v>2024</v>
      </c>
      <c r="J112" s="2" t="s">
        <v>2026</v>
      </c>
      <c r="K112" s="2" t="s">
        <v>3719</v>
      </c>
      <c r="L112" s="2" t="s">
        <v>4032</v>
      </c>
      <c r="M112">
        <v>-575</v>
      </c>
      <c r="N112" s="2" t="s">
        <v>2016</v>
      </c>
      <c r="O112">
        <v>88</v>
      </c>
      <c r="P112">
        <v>-50600</v>
      </c>
      <c r="Q112" t="b">
        <v>1</v>
      </c>
      <c r="R112" t="b">
        <v>1</v>
      </c>
      <c r="S112" t="b">
        <v>0</v>
      </c>
      <c r="T112" t="b">
        <v>0</v>
      </c>
      <c r="U112">
        <v>2</v>
      </c>
      <c r="V112" t="s">
        <v>4072</v>
      </c>
    </row>
    <row r="113" spans="1:22" hidden="1" x14ac:dyDescent="0.45">
      <c r="A113" s="2" t="s">
        <v>124</v>
      </c>
      <c r="B113" s="11">
        <v>45227</v>
      </c>
      <c r="C113" s="2" t="s">
        <v>2013</v>
      </c>
      <c r="D113" s="2" t="s">
        <v>2018</v>
      </c>
      <c r="E113">
        <v>464.27</v>
      </c>
      <c r="F113">
        <v>38070.14</v>
      </c>
      <c r="G113">
        <v>0</v>
      </c>
      <c r="H113">
        <v>0</v>
      </c>
      <c r="I113" s="2" t="s">
        <v>2024</v>
      </c>
      <c r="J113" s="2" t="s">
        <v>2026</v>
      </c>
      <c r="K113" s="2" t="s">
        <v>2145</v>
      </c>
      <c r="L113" s="2" t="s">
        <v>4034</v>
      </c>
      <c r="M113">
        <v>-464.27</v>
      </c>
      <c r="N113" s="2" t="s">
        <v>4044</v>
      </c>
      <c r="O113">
        <v>82</v>
      </c>
      <c r="P113">
        <v>-38070.14</v>
      </c>
      <c r="Q113" t="b">
        <v>1</v>
      </c>
      <c r="R113" t="b">
        <v>1</v>
      </c>
      <c r="S113" t="b">
        <v>0</v>
      </c>
      <c r="T113" t="b">
        <v>0</v>
      </c>
      <c r="U113">
        <v>2</v>
      </c>
      <c r="V113" t="s">
        <v>4072</v>
      </c>
    </row>
    <row r="114" spans="1:22" hidden="1" x14ac:dyDescent="0.45">
      <c r="A114" s="2" t="s">
        <v>1024</v>
      </c>
      <c r="B114" s="11">
        <v>45255</v>
      </c>
      <c r="C114" s="2" t="s">
        <v>2011</v>
      </c>
      <c r="D114" s="2" t="s">
        <v>2016</v>
      </c>
      <c r="E114">
        <v>683.66</v>
      </c>
      <c r="F114">
        <v>38284.959999999999</v>
      </c>
      <c r="G114">
        <v>0</v>
      </c>
      <c r="H114">
        <v>0</v>
      </c>
      <c r="I114" s="2" t="s">
        <v>2021</v>
      </c>
      <c r="J114" s="2" t="s">
        <v>2029</v>
      </c>
      <c r="K114" s="2" t="s">
        <v>3045</v>
      </c>
      <c r="L114" s="2" t="s">
        <v>4033</v>
      </c>
      <c r="M114">
        <v>-683.66</v>
      </c>
      <c r="N114" s="2" t="s">
        <v>2016</v>
      </c>
      <c r="O114">
        <v>56</v>
      </c>
      <c r="P114">
        <v>-38284.959999999999</v>
      </c>
      <c r="Q114" t="b">
        <v>1</v>
      </c>
      <c r="R114" t="b">
        <v>1</v>
      </c>
      <c r="S114" t="b">
        <v>0</v>
      </c>
      <c r="T114" t="b">
        <v>0</v>
      </c>
      <c r="U114">
        <v>2</v>
      </c>
      <c r="V114" t="s">
        <v>4072</v>
      </c>
    </row>
    <row r="115" spans="1:22" hidden="1" x14ac:dyDescent="0.45">
      <c r="A115" s="2" t="s">
        <v>667</v>
      </c>
      <c r="B115" s="11">
        <v>45438</v>
      </c>
      <c r="C115" s="2" t="s">
        <v>2010</v>
      </c>
      <c r="D115" s="2" t="s">
        <v>2015</v>
      </c>
      <c r="E115">
        <v>0</v>
      </c>
      <c r="F115">
        <v>0</v>
      </c>
      <c r="G115">
        <v>1528.95</v>
      </c>
      <c r="H115">
        <v>93265.95</v>
      </c>
      <c r="I115" s="2" t="s">
        <v>2023</v>
      </c>
      <c r="J115" s="2" t="s">
        <v>2030</v>
      </c>
      <c r="K115" s="2" t="s">
        <v>2688</v>
      </c>
      <c r="L115" s="2" t="s">
        <v>4035</v>
      </c>
      <c r="M115">
        <v>1528.95</v>
      </c>
      <c r="N115" s="2" t="s">
        <v>4042</v>
      </c>
      <c r="O115">
        <v>61</v>
      </c>
      <c r="P115">
        <v>93265.95</v>
      </c>
      <c r="Q115" t="b">
        <v>1</v>
      </c>
      <c r="R115" t="b">
        <v>1</v>
      </c>
      <c r="S115" t="b">
        <v>0</v>
      </c>
      <c r="T115" t="b">
        <v>0</v>
      </c>
      <c r="U115">
        <v>2</v>
      </c>
      <c r="V115" t="s">
        <v>4072</v>
      </c>
    </row>
    <row r="116" spans="1:22" hidden="1" x14ac:dyDescent="0.45">
      <c r="A116" s="2" t="s">
        <v>920</v>
      </c>
      <c r="B116" s="11">
        <v>44954</v>
      </c>
      <c r="C116" s="2" t="s">
        <v>2014</v>
      </c>
      <c r="D116" s="2" t="s">
        <v>2019</v>
      </c>
      <c r="E116">
        <v>0</v>
      </c>
      <c r="F116">
        <v>0</v>
      </c>
      <c r="G116">
        <v>3738.97</v>
      </c>
      <c r="H116">
        <v>228077.16999999998</v>
      </c>
      <c r="I116" s="2" t="s">
        <v>2025</v>
      </c>
      <c r="J116" s="2" t="s">
        <v>2029</v>
      </c>
      <c r="K116" s="2" t="s">
        <v>2941</v>
      </c>
      <c r="L116" s="2" t="s">
        <v>4035</v>
      </c>
      <c r="M116">
        <v>3738.97</v>
      </c>
      <c r="N116" s="2" t="s">
        <v>4042</v>
      </c>
      <c r="O116">
        <v>61</v>
      </c>
      <c r="P116">
        <v>228077.16999999998</v>
      </c>
      <c r="Q116" t="b">
        <v>1</v>
      </c>
      <c r="R116" t="b">
        <v>1</v>
      </c>
      <c r="S116" t="b">
        <v>0</v>
      </c>
      <c r="T116" t="b">
        <v>0</v>
      </c>
      <c r="U116">
        <v>2</v>
      </c>
      <c r="V116" t="s">
        <v>4072</v>
      </c>
    </row>
    <row r="117" spans="1:22" hidden="1" x14ac:dyDescent="0.45">
      <c r="A117" s="2" t="s">
        <v>213</v>
      </c>
      <c r="B117" s="11">
        <v>45591</v>
      </c>
      <c r="C117" s="2" t="s">
        <v>2012</v>
      </c>
      <c r="D117" s="2" t="s">
        <v>2017</v>
      </c>
      <c r="E117">
        <v>492.26</v>
      </c>
      <c r="F117">
        <v>40365.32</v>
      </c>
      <c r="G117">
        <v>0</v>
      </c>
      <c r="H117">
        <v>0</v>
      </c>
      <c r="I117" s="2" t="s">
        <v>2020</v>
      </c>
      <c r="J117" s="2" t="s">
        <v>2028</v>
      </c>
      <c r="K117" s="2" t="s">
        <v>2234</v>
      </c>
      <c r="L117" s="2" t="s">
        <v>4034</v>
      </c>
      <c r="M117">
        <v>-492.26</v>
      </c>
      <c r="N117" s="2" t="s">
        <v>4044</v>
      </c>
      <c r="O117">
        <v>82</v>
      </c>
      <c r="P117">
        <v>-40365.32</v>
      </c>
      <c r="Q117" t="b">
        <v>1</v>
      </c>
      <c r="R117" t="b">
        <v>1</v>
      </c>
      <c r="S117" t="b">
        <v>0</v>
      </c>
      <c r="T117" t="b">
        <v>0</v>
      </c>
      <c r="U117">
        <v>2</v>
      </c>
      <c r="V117" t="s">
        <v>4072</v>
      </c>
    </row>
    <row r="118" spans="1:22" hidden="1" x14ac:dyDescent="0.45">
      <c r="A118" s="2" t="s">
        <v>1435</v>
      </c>
      <c r="B118" s="11">
        <v>45255</v>
      </c>
      <c r="C118" s="2" t="s">
        <v>2010</v>
      </c>
      <c r="D118" s="2" t="s">
        <v>2015</v>
      </c>
      <c r="E118">
        <v>0</v>
      </c>
      <c r="F118">
        <v>0</v>
      </c>
      <c r="G118">
        <v>1556.95</v>
      </c>
      <c r="H118">
        <v>94973.95</v>
      </c>
      <c r="I118" s="2" t="s">
        <v>2023</v>
      </c>
      <c r="J118" s="2" t="s">
        <v>2030</v>
      </c>
      <c r="K118" s="2" t="s">
        <v>3456</v>
      </c>
      <c r="L118" s="2" t="s">
        <v>4035</v>
      </c>
      <c r="M118">
        <v>1556.95</v>
      </c>
      <c r="N118" s="2" t="s">
        <v>4042</v>
      </c>
      <c r="O118">
        <v>61</v>
      </c>
      <c r="P118">
        <v>94973.95</v>
      </c>
      <c r="Q118" t="b">
        <v>1</v>
      </c>
      <c r="R118" t="b">
        <v>1</v>
      </c>
      <c r="S118" t="b">
        <v>0</v>
      </c>
      <c r="T118" t="b">
        <v>0</v>
      </c>
      <c r="U118">
        <v>2</v>
      </c>
      <c r="V118" t="s">
        <v>4072</v>
      </c>
    </row>
    <row r="119" spans="1:22" hidden="1" x14ac:dyDescent="0.45">
      <c r="A119" s="2" t="s">
        <v>1514</v>
      </c>
      <c r="B119" s="11">
        <v>45437</v>
      </c>
      <c r="C119" s="2" t="s">
        <v>2013</v>
      </c>
      <c r="D119" s="2" t="s">
        <v>2018</v>
      </c>
      <c r="E119">
        <v>1268.1099999999999</v>
      </c>
      <c r="F119">
        <v>77354.709999999992</v>
      </c>
      <c r="G119">
        <v>0</v>
      </c>
      <c r="H119">
        <v>0</v>
      </c>
      <c r="I119" s="2" t="s">
        <v>2021</v>
      </c>
      <c r="J119" s="2" t="s">
        <v>2030</v>
      </c>
      <c r="K119" s="2" t="s">
        <v>3535</v>
      </c>
      <c r="L119" s="2" t="s">
        <v>4035</v>
      </c>
      <c r="M119">
        <v>-1268.1099999999999</v>
      </c>
      <c r="N119" s="2" t="s">
        <v>4044</v>
      </c>
      <c r="O119">
        <v>61</v>
      </c>
      <c r="P119">
        <v>-77354.709999999992</v>
      </c>
      <c r="Q119" t="b">
        <v>1</v>
      </c>
      <c r="R119" t="b">
        <v>1</v>
      </c>
      <c r="S119" t="b">
        <v>0</v>
      </c>
      <c r="T119" t="b">
        <v>0</v>
      </c>
      <c r="U119">
        <v>2</v>
      </c>
      <c r="V119" t="s">
        <v>4072</v>
      </c>
    </row>
    <row r="120" spans="1:22" hidden="1" x14ac:dyDescent="0.45">
      <c r="A120" s="2" t="s">
        <v>1615</v>
      </c>
      <c r="B120" s="11">
        <v>45438</v>
      </c>
      <c r="C120" s="2" t="s">
        <v>2011</v>
      </c>
      <c r="D120" s="2" t="s">
        <v>2016</v>
      </c>
      <c r="E120">
        <v>1009.87</v>
      </c>
      <c r="F120">
        <v>82809.34</v>
      </c>
      <c r="G120">
        <v>0</v>
      </c>
      <c r="H120">
        <v>0</v>
      </c>
      <c r="I120" s="2" t="s">
        <v>2024</v>
      </c>
      <c r="J120" s="2" t="s">
        <v>2027</v>
      </c>
      <c r="K120" s="2" t="s">
        <v>3636</v>
      </c>
      <c r="L120" s="2" t="s">
        <v>4034</v>
      </c>
      <c r="M120">
        <v>-1009.87</v>
      </c>
      <c r="N120" s="2" t="s">
        <v>2016</v>
      </c>
      <c r="O120">
        <v>82</v>
      </c>
      <c r="P120">
        <v>-82809.34</v>
      </c>
      <c r="Q120" t="b">
        <v>1</v>
      </c>
      <c r="R120" t="b">
        <v>1</v>
      </c>
      <c r="S120" t="b">
        <v>0</v>
      </c>
      <c r="T120" t="b">
        <v>0</v>
      </c>
      <c r="U120">
        <v>2</v>
      </c>
      <c r="V120" t="s">
        <v>4072</v>
      </c>
    </row>
    <row r="121" spans="1:22" hidden="1" x14ac:dyDescent="0.45">
      <c r="A121" s="2" t="s">
        <v>466</v>
      </c>
      <c r="B121" s="11">
        <v>45626</v>
      </c>
      <c r="C121" s="2" t="s">
        <v>2012</v>
      </c>
      <c r="D121" s="2" t="s">
        <v>2017</v>
      </c>
      <c r="E121">
        <v>493.78</v>
      </c>
      <c r="F121">
        <v>43452.639999999999</v>
      </c>
      <c r="G121">
        <v>0</v>
      </c>
      <c r="H121">
        <v>0</v>
      </c>
      <c r="I121" s="2" t="s">
        <v>2023</v>
      </c>
      <c r="J121" s="2" t="s">
        <v>2027</v>
      </c>
      <c r="K121" s="2" t="s">
        <v>2487</v>
      </c>
      <c r="L121" s="2" t="s">
        <v>4032</v>
      </c>
      <c r="M121">
        <v>-493.78</v>
      </c>
      <c r="N121" s="2" t="s">
        <v>4044</v>
      </c>
      <c r="O121">
        <v>88</v>
      </c>
      <c r="P121">
        <v>-43452.639999999999</v>
      </c>
      <c r="Q121" t="b">
        <v>1</v>
      </c>
      <c r="R121" t="b">
        <v>1</v>
      </c>
      <c r="S121" t="b">
        <v>0</v>
      </c>
      <c r="T121" t="b">
        <v>0</v>
      </c>
      <c r="U121">
        <v>2</v>
      </c>
      <c r="V121" t="s">
        <v>4072</v>
      </c>
    </row>
    <row r="122" spans="1:22" hidden="1" x14ac:dyDescent="0.45">
      <c r="A122" s="2" t="s">
        <v>904</v>
      </c>
      <c r="B122" s="11">
        <v>45648</v>
      </c>
      <c r="C122" s="2" t="s">
        <v>2010</v>
      </c>
      <c r="D122" s="2" t="s">
        <v>2015</v>
      </c>
      <c r="E122">
        <v>0</v>
      </c>
      <c r="F122">
        <v>0</v>
      </c>
      <c r="G122">
        <v>4496.12</v>
      </c>
      <c r="H122">
        <v>395658.56</v>
      </c>
      <c r="I122" s="2" t="s">
        <v>2021</v>
      </c>
      <c r="J122" s="2" t="s">
        <v>2027</v>
      </c>
      <c r="K122" s="2" t="s">
        <v>2925</v>
      </c>
      <c r="L122" s="2" t="s">
        <v>4032</v>
      </c>
      <c r="M122">
        <v>4496.12</v>
      </c>
      <c r="N122" s="2" t="s">
        <v>4042</v>
      </c>
      <c r="O122">
        <v>88</v>
      </c>
      <c r="P122">
        <v>395658.56</v>
      </c>
      <c r="Q122" t="b">
        <v>1</v>
      </c>
      <c r="R122" t="b">
        <v>0</v>
      </c>
      <c r="S122" t="b">
        <v>0</v>
      </c>
      <c r="T122" t="b">
        <v>1</v>
      </c>
      <c r="U122">
        <v>2</v>
      </c>
      <c r="V122" t="s">
        <v>4072</v>
      </c>
    </row>
    <row r="123" spans="1:22" hidden="1" x14ac:dyDescent="0.45">
      <c r="A123" s="2" t="s">
        <v>35</v>
      </c>
      <c r="B123" s="11">
        <v>45802</v>
      </c>
      <c r="C123" s="2" t="s">
        <v>2010</v>
      </c>
      <c r="D123" s="2" t="s">
        <v>2015</v>
      </c>
      <c r="E123">
        <v>0</v>
      </c>
      <c r="F123">
        <v>0</v>
      </c>
      <c r="G123">
        <v>1650.08</v>
      </c>
      <c r="H123">
        <v>135306.56</v>
      </c>
      <c r="I123" s="2" t="s">
        <v>2022</v>
      </c>
      <c r="J123" s="2" t="s">
        <v>2029</v>
      </c>
      <c r="K123" s="2" t="s">
        <v>2056</v>
      </c>
      <c r="L123" s="2" t="s">
        <v>4034</v>
      </c>
      <c r="M123">
        <v>1650.08</v>
      </c>
      <c r="N123" s="2" t="s">
        <v>4042</v>
      </c>
      <c r="O123">
        <v>82</v>
      </c>
      <c r="P123">
        <v>135306.56</v>
      </c>
      <c r="Q123" t="b">
        <v>1</v>
      </c>
      <c r="R123" t="b">
        <v>1</v>
      </c>
      <c r="S123" t="b">
        <v>0</v>
      </c>
      <c r="T123" t="b">
        <v>0</v>
      </c>
      <c r="U123">
        <v>2</v>
      </c>
      <c r="V123" t="s">
        <v>4072</v>
      </c>
    </row>
    <row r="124" spans="1:22" hidden="1" x14ac:dyDescent="0.45">
      <c r="A124" s="2" t="s">
        <v>1592</v>
      </c>
      <c r="B124" s="11">
        <v>45438</v>
      </c>
      <c r="C124" s="2" t="s">
        <v>2010</v>
      </c>
      <c r="D124" s="2" t="s">
        <v>2015</v>
      </c>
      <c r="E124">
        <v>0</v>
      </c>
      <c r="F124">
        <v>0</v>
      </c>
      <c r="G124">
        <v>1128.51</v>
      </c>
      <c r="H124">
        <v>63196.56</v>
      </c>
      <c r="I124" s="2" t="s">
        <v>2025</v>
      </c>
      <c r="J124" s="2" t="s">
        <v>2030</v>
      </c>
      <c r="K124" s="2" t="s">
        <v>3613</v>
      </c>
      <c r="L124" s="2" t="s">
        <v>4033</v>
      </c>
      <c r="M124">
        <v>1128.51</v>
      </c>
      <c r="N124" s="2" t="s">
        <v>4042</v>
      </c>
      <c r="O124">
        <v>56</v>
      </c>
      <c r="P124">
        <v>63196.56</v>
      </c>
      <c r="Q124" t="b">
        <v>1</v>
      </c>
      <c r="R124" t="b">
        <v>1</v>
      </c>
      <c r="S124" t="b">
        <v>0</v>
      </c>
      <c r="T124" t="b">
        <v>0</v>
      </c>
      <c r="U124">
        <v>2</v>
      </c>
      <c r="V124" t="s">
        <v>4072</v>
      </c>
    </row>
    <row r="125" spans="1:22" hidden="1" x14ac:dyDescent="0.45">
      <c r="A125" s="2" t="s">
        <v>1941</v>
      </c>
      <c r="B125" s="11">
        <v>45255</v>
      </c>
      <c r="C125" s="2" t="s">
        <v>2014</v>
      </c>
      <c r="D125" s="2" t="s">
        <v>2019</v>
      </c>
      <c r="E125">
        <v>0</v>
      </c>
      <c r="F125">
        <v>0</v>
      </c>
      <c r="G125">
        <v>2394.69</v>
      </c>
      <c r="H125">
        <v>134102.64000000001</v>
      </c>
      <c r="I125" s="2" t="s">
        <v>2025</v>
      </c>
      <c r="J125" s="2" t="s">
        <v>2027</v>
      </c>
      <c r="K125" s="2" t="s">
        <v>3962</v>
      </c>
      <c r="L125" s="2" t="s">
        <v>4033</v>
      </c>
      <c r="M125">
        <v>2394.69</v>
      </c>
      <c r="N125" s="2" t="s">
        <v>4042</v>
      </c>
      <c r="O125">
        <v>56</v>
      </c>
      <c r="P125">
        <v>134102.64000000001</v>
      </c>
      <c r="Q125" t="b">
        <v>1</v>
      </c>
      <c r="R125" t="b">
        <v>1</v>
      </c>
      <c r="S125" t="b">
        <v>0</v>
      </c>
      <c r="T125" t="b">
        <v>0</v>
      </c>
      <c r="U125">
        <v>2</v>
      </c>
      <c r="V125" t="s">
        <v>4072</v>
      </c>
    </row>
    <row r="126" spans="1:22" hidden="1" x14ac:dyDescent="0.45">
      <c r="A126" s="2" t="s">
        <v>1867</v>
      </c>
      <c r="B126" s="11">
        <v>45417</v>
      </c>
      <c r="C126" s="2" t="s">
        <v>2014</v>
      </c>
      <c r="D126" s="2" t="s">
        <v>2019</v>
      </c>
      <c r="E126">
        <v>0</v>
      </c>
      <c r="F126">
        <v>0</v>
      </c>
      <c r="G126">
        <v>4365.5600000000004</v>
      </c>
      <c r="H126">
        <v>449652.68000000005</v>
      </c>
      <c r="I126" s="2" t="s">
        <v>2025</v>
      </c>
      <c r="J126" s="2" t="s">
        <v>2027</v>
      </c>
      <c r="K126" s="2" t="s">
        <v>3888</v>
      </c>
      <c r="L126" s="2" t="s">
        <v>4031</v>
      </c>
      <c r="M126">
        <v>4365.5600000000004</v>
      </c>
      <c r="N126" s="2" t="s">
        <v>4042</v>
      </c>
      <c r="O126">
        <v>103</v>
      </c>
      <c r="P126">
        <v>449652.68000000005</v>
      </c>
      <c r="Q126" t="b">
        <v>1</v>
      </c>
      <c r="R126" t="b">
        <v>0</v>
      </c>
      <c r="S126" t="b">
        <v>0</v>
      </c>
      <c r="T126" t="b">
        <v>1</v>
      </c>
      <c r="U126">
        <v>2</v>
      </c>
      <c r="V126" t="s">
        <v>4072</v>
      </c>
    </row>
    <row r="127" spans="1:22" hidden="1" x14ac:dyDescent="0.45">
      <c r="A127" s="2" t="s">
        <v>1277</v>
      </c>
      <c r="B127" s="11">
        <v>45725</v>
      </c>
      <c r="C127" s="2" t="s">
        <v>2014</v>
      </c>
      <c r="D127" s="2" t="s">
        <v>2019</v>
      </c>
      <c r="E127">
        <v>0</v>
      </c>
      <c r="F127">
        <v>0</v>
      </c>
      <c r="G127">
        <v>4456.47</v>
      </c>
      <c r="H127">
        <v>392169.36000000004</v>
      </c>
      <c r="I127" s="2" t="s">
        <v>2020</v>
      </c>
      <c r="J127" s="2" t="s">
        <v>2028</v>
      </c>
      <c r="K127" s="2" t="s">
        <v>3298</v>
      </c>
      <c r="L127" s="2" t="s">
        <v>4032</v>
      </c>
      <c r="M127">
        <v>4456.47</v>
      </c>
      <c r="N127" s="2" t="s">
        <v>4042</v>
      </c>
      <c r="O127">
        <v>88</v>
      </c>
      <c r="P127">
        <v>392169.36000000004</v>
      </c>
      <c r="Q127" t="b">
        <v>1</v>
      </c>
      <c r="R127" t="b">
        <v>0</v>
      </c>
      <c r="S127" t="b">
        <v>0</v>
      </c>
      <c r="T127" t="b">
        <v>1</v>
      </c>
      <c r="U127">
        <v>2</v>
      </c>
      <c r="V127" t="s">
        <v>4072</v>
      </c>
    </row>
    <row r="128" spans="1:22" hidden="1" x14ac:dyDescent="0.45">
      <c r="A128" s="2" t="s">
        <v>848</v>
      </c>
      <c r="B128" s="11">
        <v>45198</v>
      </c>
      <c r="C128" s="2" t="s">
        <v>2014</v>
      </c>
      <c r="D128" s="2" t="s">
        <v>2019</v>
      </c>
      <c r="E128">
        <v>0</v>
      </c>
      <c r="F128">
        <v>0</v>
      </c>
      <c r="G128">
        <v>4772.83</v>
      </c>
      <c r="H128">
        <v>391372.06</v>
      </c>
      <c r="I128" s="2" t="s">
        <v>2023</v>
      </c>
      <c r="J128" s="2" t="s">
        <v>2028</v>
      </c>
      <c r="K128" s="2" t="s">
        <v>2869</v>
      </c>
      <c r="L128" s="2" t="s">
        <v>4034</v>
      </c>
      <c r="M128">
        <v>4772.83</v>
      </c>
      <c r="N128" s="2" t="s">
        <v>4042</v>
      </c>
      <c r="O128">
        <v>82</v>
      </c>
      <c r="P128">
        <v>391372.06</v>
      </c>
      <c r="Q128" t="b">
        <v>0</v>
      </c>
      <c r="R128" t="b">
        <v>1</v>
      </c>
      <c r="S128" t="b">
        <v>0</v>
      </c>
      <c r="T128" t="b">
        <v>1</v>
      </c>
      <c r="U128">
        <v>2</v>
      </c>
      <c r="V128" t="s">
        <v>4072</v>
      </c>
    </row>
    <row r="129" spans="1:22" hidden="1" x14ac:dyDescent="0.45">
      <c r="A129" s="2" t="s">
        <v>1028</v>
      </c>
      <c r="B129" s="11">
        <v>45669</v>
      </c>
      <c r="C129" s="2" t="s">
        <v>2014</v>
      </c>
      <c r="D129" s="2" t="s">
        <v>2019</v>
      </c>
      <c r="E129">
        <v>0</v>
      </c>
      <c r="F129">
        <v>0</v>
      </c>
      <c r="G129">
        <v>4727.49</v>
      </c>
      <c r="H129">
        <v>387654.18</v>
      </c>
      <c r="I129" s="2" t="s">
        <v>2024</v>
      </c>
      <c r="J129" s="2" t="s">
        <v>2027</v>
      </c>
      <c r="K129" s="2" t="s">
        <v>3049</v>
      </c>
      <c r="L129" s="2" t="s">
        <v>4034</v>
      </c>
      <c r="M129">
        <v>4727.49</v>
      </c>
      <c r="N129" s="2" t="s">
        <v>4042</v>
      </c>
      <c r="O129">
        <v>82</v>
      </c>
      <c r="P129">
        <v>387654.18</v>
      </c>
      <c r="Q129" t="b">
        <v>1</v>
      </c>
      <c r="R129" t="b">
        <v>0</v>
      </c>
      <c r="S129" t="b">
        <v>0</v>
      </c>
      <c r="T129" t="b">
        <v>1</v>
      </c>
      <c r="U129">
        <v>2</v>
      </c>
      <c r="V129" t="s">
        <v>4072</v>
      </c>
    </row>
    <row r="130" spans="1:22" hidden="1" x14ac:dyDescent="0.45">
      <c r="A130" s="2" t="s">
        <v>569</v>
      </c>
      <c r="B130" s="11">
        <v>45710</v>
      </c>
      <c r="C130" s="2" t="s">
        <v>2010</v>
      </c>
      <c r="D130" s="2" t="s">
        <v>2015</v>
      </c>
      <c r="E130">
        <v>0</v>
      </c>
      <c r="F130">
        <v>0</v>
      </c>
      <c r="G130">
        <v>3741.45</v>
      </c>
      <c r="H130">
        <v>385369.35</v>
      </c>
      <c r="I130" s="2" t="s">
        <v>2023</v>
      </c>
      <c r="J130" s="2" t="s">
        <v>2029</v>
      </c>
      <c r="K130" s="2" t="s">
        <v>2590</v>
      </c>
      <c r="L130" s="2" t="s">
        <v>4031</v>
      </c>
      <c r="M130">
        <v>3741.45</v>
      </c>
      <c r="N130" s="2" t="s">
        <v>4042</v>
      </c>
      <c r="O130">
        <v>103</v>
      </c>
      <c r="P130">
        <v>385369.35</v>
      </c>
      <c r="Q130" t="b">
        <v>1</v>
      </c>
      <c r="R130" t="b">
        <v>0</v>
      </c>
      <c r="S130" t="b">
        <v>0</v>
      </c>
      <c r="T130" t="b">
        <v>1</v>
      </c>
      <c r="U130">
        <v>2</v>
      </c>
      <c r="V130" t="s">
        <v>4072</v>
      </c>
    </row>
    <row r="131" spans="1:22" hidden="1" x14ac:dyDescent="0.45">
      <c r="A131" s="2" t="s">
        <v>657</v>
      </c>
      <c r="B131" s="11">
        <v>45227</v>
      </c>
      <c r="C131" s="2" t="s">
        <v>2012</v>
      </c>
      <c r="D131" s="2" t="s">
        <v>2017</v>
      </c>
      <c r="E131">
        <v>1209.72</v>
      </c>
      <c r="F131">
        <v>67744.320000000007</v>
      </c>
      <c r="G131">
        <v>0</v>
      </c>
      <c r="H131">
        <v>0</v>
      </c>
      <c r="I131" s="2" t="s">
        <v>2022</v>
      </c>
      <c r="J131" s="2" t="s">
        <v>2028</v>
      </c>
      <c r="K131" s="2" t="s">
        <v>2678</v>
      </c>
      <c r="L131" s="2" t="s">
        <v>4033</v>
      </c>
      <c r="M131">
        <v>-1209.72</v>
      </c>
      <c r="N131" s="2" t="s">
        <v>4044</v>
      </c>
      <c r="O131">
        <v>56</v>
      </c>
      <c r="P131">
        <v>-67744.320000000007</v>
      </c>
      <c r="Q131" t="b">
        <v>1</v>
      </c>
      <c r="R131" t="b">
        <v>1</v>
      </c>
      <c r="S131" t="b">
        <v>0</v>
      </c>
      <c r="T131" t="b">
        <v>0</v>
      </c>
      <c r="U131">
        <v>2</v>
      </c>
      <c r="V131" t="s">
        <v>4072</v>
      </c>
    </row>
    <row r="132" spans="1:22" hidden="1" x14ac:dyDescent="0.45">
      <c r="A132" s="2" t="s">
        <v>1765</v>
      </c>
      <c r="B132" s="11">
        <v>45788</v>
      </c>
      <c r="C132" s="2" t="s">
        <v>2014</v>
      </c>
      <c r="D132" s="2" t="s">
        <v>2019</v>
      </c>
      <c r="E132">
        <v>0</v>
      </c>
      <c r="F132">
        <v>0</v>
      </c>
      <c r="G132">
        <v>4477.99</v>
      </c>
      <c r="H132">
        <v>461232.97</v>
      </c>
      <c r="I132" s="2" t="s">
        <v>2025</v>
      </c>
      <c r="J132" s="2" t="s">
        <v>2027</v>
      </c>
      <c r="K132" s="2" t="s">
        <v>3786</v>
      </c>
      <c r="L132" s="2" t="s">
        <v>4031</v>
      </c>
      <c r="M132">
        <v>4477.99</v>
      </c>
      <c r="N132" s="2" t="s">
        <v>4042</v>
      </c>
      <c r="O132">
        <v>103</v>
      </c>
      <c r="P132">
        <v>461232.97</v>
      </c>
      <c r="Q132" t="b">
        <v>1</v>
      </c>
      <c r="R132" t="b">
        <v>0</v>
      </c>
      <c r="S132" t="b">
        <v>0</v>
      </c>
      <c r="T132" t="b">
        <v>1</v>
      </c>
      <c r="U132">
        <v>2</v>
      </c>
      <c r="V132" t="s">
        <v>4072</v>
      </c>
    </row>
    <row r="133" spans="1:22" hidden="1" x14ac:dyDescent="0.45">
      <c r="A133" s="2" t="s">
        <v>1586</v>
      </c>
      <c r="B133" s="11">
        <v>45738</v>
      </c>
      <c r="C133" s="2" t="s">
        <v>2014</v>
      </c>
      <c r="D133" s="2" t="s">
        <v>2019</v>
      </c>
      <c r="E133">
        <v>0</v>
      </c>
      <c r="F133">
        <v>0</v>
      </c>
      <c r="G133">
        <v>4622.21</v>
      </c>
      <c r="H133">
        <v>379021.22000000003</v>
      </c>
      <c r="I133" s="2" t="s">
        <v>2022</v>
      </c>
      <c r="J133" s="2" t="s">
        <v>2028</v>
      </c>
      <c r="K133" s="2" t="s">
        <v>3607</v>
      </c>
      <c r="L133" s="2" t="s">
        <v>4034</v>
      </c>
      <c r="M133">
        <v>4622.21</v>
      </c>
      <c r="N133" s="2" t="s">
        <v>4042</v>
      </c>
      <c r="O133">
        <v>82</v>
      </c>
      <c r="P133">
        <v>379021.22000000003</v>
      </c>
      <c r="Q133" t="b">
        <v>1</v>
      </c>
      <c r="R133" t="b">
        <v>0</v>
      </c>
      <c r="S133" t="b">
        <v>0</v>
      </c>
      <c r="T133" t="b">
        <v>1</v>
      </c>
      <c r="U133">
        <v>2</v>
      </c>
      <c r="V133" t="s">
        <v>4072</v>
      </c>
    </row>
    <row r="134" spans="1:22" hidden="1" x14ac:dyDescent="0.45">
      <c r="A134" s="2" t="s">
        <v>1362</v>
      </c>
      <c r="B134" s="11">
        <v>45619</v>
      </c>
      <c r="C134" s="2" t="s">
        <v>2010</v>
      </c>
      <c r="D134" s="2" t="s">
        <v>2015</v>
      </c>
      <c r="E134">
        <v>0</v>
      </c>
      <c r="F134">
        <v>0</v>
      </c>
      <c r="G134">
        <v>4613.7</v>
      </c>
      <c r="H134">
        <v>378323.39999999997</v>
      </c>
      <c r="I134" s="2" t="s">
        <v>2020</v>
      </c>
      <c r="J134" s="2" t="s">
        <v>2027</v>
      </c>
      <c r="K134" s="2" t="s">
        <v>3383</v>
      </c>
      <c r="L134" s="2" t="s">
        <v>4034</v>
      </c>
      <c r="M134">
        <v>4613.7</v>
      </c>
      <c r="N134" s="2" t="s">
        <v>4042</v>
      </c>
      <c r="O134">
        <v>82</v>
      </c>
      <c r="P134">
        <v>378323.39999999997</v>
      </c>
      <c r="Q134" t="b">
        <v>1</v>
      </c>
      <c r="R134" t="b">
        <v>0</v>
      </c>
      <c r="S134" t="b">
        <v>0</v>
      </c>
      <c r="T134" t="b">
        <v>1</v>
      </c>
      <c r="U134">
        <v>2</v>
      </c>
      <c r="V134" t="s">
        <v>4072</v>
      </c>
    </row>
    <row r="135" spans="1:22" hidden="1" x14ac:dyDescent="0.45">
      <c r="A135" s="2" t="s">
        <v>40</v>
      </c>
      <c r="B135" s="11">
        <v>45298</v>
      </c>
      <c r="C135" s="2" t="s">
        <v>2014</v>
      </c>
      <c r="D135" s="2" t="s">
        <v>2019</v>
      </c>
      <c r="E135">
        <v>0</v>
      </c>
      <c r="F135">
        <v>0</v>
      </c>
      <c r="G135">
        <v>4495.8900000000003</v>
      </c>
      <c r="H135">
        <v>463076.67000000004</v>
      </c>
      <c r="I135" s="2" t="s">
        <v>2020</v>
      </c>
      <c r="J135" s="2" t="s">
        <v>2028</v>
      </c>
      <c r="K135" s="2" t="s">
        <v>2061</v>
      </c>
      <c r="L135" s="2" t="s">
        <v>4031</v>
      </c>
      <c r="M135">
        <v>4495.8900000000003</v>
      </c>
      <c r="N135" s="2" t="s">
        <v>4042</v>
      </c>
      <c r="O135">
        <v>103</v>
      </c>
      <c r="P135">
        <v>463076.67000000004</v>
      </c>
      <c r="Q135" t="b">
        <v>1</v>
      </c>
      <c r="R135" t="b">
        <v>0</v>
      </c>
      <c r="S135" t="b">
        <v>0</v>
      </c>
      <c r="T135" t="b">
        <v>1</v>
      </c>
      <c r="U135">
        <v>2</v>
      </c>
      <c r="V135" t="s">
        <v>4072</v>
      </c>
    </row>
    <row r="136" spans="1:22" hidden="1" x14ac:dyDescent="0.45">
      <c r="A136" s="2" t="s">
        <v>154</v>
      </c>
      <c r="B136" s="11">
        <v>45046</v>
      </c>
      <c r="C136" s="2" t="s">
        <v>2011</v>
      </c>
      <c r="D136" s="2" t="s">
        <v>2016</v>
      </c>
      <c r="E136">
        <v>715.32</v>
      </c>
      <c r="F136">
        <v>73677.960000000006</v>
      </c>
      <c r="G136">
        <v>0</v>
      </c>
      <c r="H136">
        <v>0</v>
      </c>
      <c r="I136" s="2" t="s">
        <v>2023</v>
      </c>
      <c r="J136" s="2" t="s">
        <v>2027</v>
      </c>
      <c r="K136" s="2" t="s">
        <v>2175</v>
      </c>
      <c r="L136" s="2" t="s">
        <v>4031</v>
      </c>
      <c r="M136">
        <v>-715.32</v>
      </c>
      <c r="N136" s="2" t="s">
        <v>2016</v>
      </c>
      <c r="O136">
        <v>103</v>
      </c>
      <c r="P136">
        <v>-73677.960000000006</v>
      </c>
      <c r="Q136" t="b">
        <v>1</v>
      </c>
      <c r="R136" t="b">
        <v>1</v>
      </c>
      <c r="S136" t="b">
        <v>0</v>
      </c>
      <c r="T136" t="b">
        <v>0</v>
      </c>
      <c r="U136">
        <v>2</v>
      </c>
      <c r="V136" t="s">
        <v>4072</v>
      </c>
    </row>
    <row r="137" spans="1:22" hidden="1" x14ac:dyDescent="0.45">
      <c r="A137" s="2" t="s">
        <v>663</v>
      </c>
      <c r="B137" s="11">
        <v>44927</v>
      </c>
      <c r="C137" s="2" t="s">
        <v>2010</v>
      </c>
      <c r="D137" s="2" t="s">
        <v>2015</v>
      </c>
      <c r="E137">
        <v>0</v>
      </c>
      <c r="F137">
        <v>0</v>
      </c>
      <c r="G137">
        <v>4570.1099999999997</v>
      </c>
      <c r="H137">
        <v>374749.01999999996</v>
      </c>
      <c r="I137" s="2" t="s">
        <v>2024</v>
      </c>
      <c r="J137" s="2" t="s">
        <v>2030</v>
      </c>
      <c r="K137" s="2" t="s">
        <v>2684</v>
      </c>
      <c r="L137" s="2" t="s">
        <v>4034</v>
      </c>
      <c r="M137">
        <v>4570.1099999999997</v>
      </c>
      <c r="N137" s="2" t="s">
        <v>4042</v>
      </c>
      <c r="O137">
        <v>82</v>
      </c>
      <c r="P137">
        <v>374749.01999999996</v>
      </c>
      <c r="Q137" t="b">
        <v>1</v>
      </c>
      <c r="R137" t="b">
        <v>0</v>
      </c>
      <c r="S137" t="b">
        <v>0</v>
      </c>
      <c r="T137" t="b">
        <v>1</v>
      </c>
      <c r="U137">
        <v>2</v>
      </c>
      <c r="V137" t="s">
        <v>4072</v>
      </c>
    </row>
    <row r="138" spans="1:22" hidden="1" x14ac:dyDescent="0.45">
      <c r="A138" s="2" t="s">
        <v>911</v>
      </c>
      <c r="B138" s="11">
        <v>44997</v>
      </c>
      <c r="C138" s="2" t="s">
        <v>2010</v>
      </c>
      <c r="D138" s="2" t="s">
        <v>2015</v>
      </c>
      <c r="E138">
        <v>0</v>
      </c>
      <c r="F138">
        <v>0</v>
      </c>
      <c r="G138">
        <v>4549.33</v>
      </c>
      <c r="H138">
        <v>468580.99</v>
      </c>
      <c r="I138" s="2" t="s">
        <v>2025</v>
      </c>
      <c r="J138" s="2" t="s">
        <v>2026</v>
      </c>
      <c r="K138" s="2" t="s">
        <v>2932</v>
      </c>
      <c r="L138" s="2" t="s">
        <v>4031</v>
      </c>
      <c r="M138">
        <v>4549.33</v>
      </c>
      <c r="N138" s="2" t="s">
        <v>4042</v>
      </c>
      <c r="O138">
        <v>103</v>
      </c>
      <c r="P138">
        <v>468580.99</v>
      </c>
      <c r="Q138" t="b">
        <v>1</v>
      </c>
      <c r="R138" t="b">
        <v>0</v>
      </c>
      <c r="S138" t="b">
        <v>0</v>
      </c>
      <c r="T138" t="b">
        <v>1</v>
      </c>
      <c r="U138">
        <v>2</v>
      </c>
      <c r="V138" t="s">
        <v>4072</v>
      </c>
    </row>
    <row r="139" spans="1:22" hidden="1" x14ac:dyDescent="0.45">
      <c r="A139" s="2" t="s">
        <v>204</v>
      </c>
      <c r="B139" s="11">
        <v>44955</v>
      </c>
      <c r="C139" s="2" t="s">
        <v>2010</v>
      </c>
      <c r="D139" s="2" t="s">
        <v>2015</v>
      </c>
      <c r="E139">
        <v>0</v>
      </c>
      <c r="F139">
        <v>0</v>
      </c>
      <c r="G139">
        <v>2371.4</v>
      </c>
      <c r="H139">
        <v>144655.4</v>
      </c>
      <c r="I139" s="2" t="s">
        <v>2023</v>
      </c>
      <c r="J139" s="2" t="s">
        <v>2029</v>
      </c>
      <c r="K139" s="2" t="s">
        <v>2225</v>
      </c>
      <c r="L139" s="2" t="s">
        <v>4035</v>
      </c>
      <c r="M139">
        <v>2371.4</v>
      </c>
      <c r="N139" s="2" t="s">
        <v>4042</v>
      </c>
      <c r="O139">
        <v>61</v>
      </c>
      <c r="P139">
        <v>144655.4</v>
      </c>
      <c r="Q139" t="b">
        <v>1</v>
      </c>
      <c r="R139" t="b">
        <v>1</v>
      </c>
      <c r="S139" t="b">
        <v>0</v>
      </c>
      <c r="T139" t="b">
        <v>0</v>
      </c>
      <c r="U139">
        <v>2</v>
      </c>
      <c r="V139" t="s">
        <v>4072</v>
      </c>
    </row>
    <row r="140" spans="1:22" hidden="1" x14ac:dyDescent="0.45">
      <c r="A140" s="2" t="s">
        <v>1370</v>
      </c>
      <c r="B140" s="11">
        <v>45837</v>
      </c>
      <c r="C140" s="2" t="s">
        <v>2013</v>
      </c>
      <c r="D140" s="2" t="s">
        <v>2018</v>
      </c>
      <c r="E140">
        <v>364.93</v>
      </c>
      <c r="F140">
        <v>29924.260000000002</v>
      </c>
      <c r="G140">
        <v>0</v>
      </c>
      <c r="H140">
        <v>0</v>
      </c>
      <c r="I140" s="2" t="s">
        <v>2025</v>
      </c>
      <c r="J140" s="2" t="s">
        <v>2029</v>
      </c>
      <c r="K140" s="2" t="s">
        <v>3391</v>
      </c>
      <c r="L140" s="2" t="s">
        <v>4034</v>
      </c>
      <c r="M140">
        <v>-364.93</v>
      </c>
      <c r="N140" s="2" t="s">
        <v>4044</v>
      </c>
      <c r="O140">
        <v>82</v>
      </c>
      <c r="P140">
        <v>-29924.260000000002</v>
      </c>
      <c r="Q140" t="b">
        <v>1</v>
      </c>
      <c r="R140" t="b">
        <v>1</v>
      </c>
      <c r="S140" t="b">
        <v>0</v>
      </c>
      <c r="T140" t="b">
        <v>0</v>
      </c>
      <c r="U140">
        <v>2</v>
      </c>
      <c r="V140" t="s">
        <v>4072</v>
      </c>
    </row>
    <row r="141" spans="1:22" hidden="1" x14ac:dyDescent="0.45">
      <c r="A141" s="2" t="s">
        <v>1721</v>
      </c>
      <c r="B141" s="11">
        <v>45297</v>
      </c>
      <c r="C141" s="2" t="s">
        <v>2014</v>
      </c>
      <c r="D141" s="2" t="s">
        <v>2019</v>
      </c>
      <c r="E141">
        <v>0</v>
      </c>
      <c r="F141">
        <v>0</v>
      </c>
      <c r="G141">
        <v>3858.51</v>
      </c>
      <c r="H141">
        <v>397426.53</v>
      </c>
      <c r="I141" s="2" t="s">
        <v>2022</v>
      </c>
      <c r="J141" s="2" t="s">
        <v>2028</v>
      </c>
      <c r="K141" s="2" t="s">
        <v>3742</v>
      </c>
      <c r="L141" s="2" t="s">
        <v>4031</v>
      </c>
      <c r="M141">
        <v>3858.51</v>
      </c>
      <c r="N141" s="2" t="s">
        <v>4042</v>
      </c>
      <c r="O141">
        <v>103</v>
      </c>
      <c r="P141">
        <v>397426.53</v>
      </c>
      <c r="Q141" t="b">
        <v>1</v>
      </c>
      <c r="R141" t="b">
        <v>0</v>
      </c>
      <c r="S141" t="b">
        <v>0</v>
      </c>
      <c r="T141" t="b">
        <v>1</v>
      </c>
      <c r="U141">
        <v>2</v>
      </c>
      <c r="V141" t="s">
        <v>4072</v>
      </c>
    </row>
    <row r="142" spans="1:22" hidden="1" x14ac:dyDescent="0.45">
      <c r="A142" s="2" t="s">
        <v>1403</v>
      </c>
      <c r="B142" s="11">
        <v>45807</v>
      </c>
      <c r="C142" s="2" t="s">
        <v>2014</v>
      </c>
      <c r="D142" s="2" t="s">
        <v>2019</v>
      </c>
      <c r="E142">
        <v>0</v>
      </c>
      <c r="F142">
        <v>0</v>
      </c>
      <c r="G142">
        <v>4955.21</v>
      </c>
      <c r="H142">
        <v>436058.48</v>
      </c>
      <c r="I142" s="2" t="s">
        <v>2022</v>
      </c>
      <c r="J142" s="2" t="s">
        <v>2029</v>
      </c>
      <c r="K142" s="2" t="s">
        <v>3424</v>
      </c>
      <c r="L142" s="2" t="s">
        <v>4032</v>
      </c>
      <c r="M142">
        <v>4955.21</v>
      </c>
      <c r="N142" s="2" t="s">
        <v>4042</v>
      </c>
      <c r="O142">
        <v>88</v>
      </c>
      <c r="P142">
        <v>436058.48</v>
      </c>
      <c r="Q142" t="b">
        <v>0</v>
      </c>
      <c r="R142" t="b">
        <v>1</v>
      </c>
      <c r="S142" t="b">
        <v>0</v>
      </c>
      <c r="T142" t="b">
        <v>1</v>
      </c>
      <c r="U142">
        <v>2</v>
      </c>
      <c r="V142" t="s">
        <v>4072</v>
      </c>
    </row>
    <row r="143" spans="1:22" hidden="1" x14ac:dyDescent="0.45">
      <c r="A143" s="2" t="s">
        <v>756</v>
      </c>
      <c r="B143" s="11">
        <v>45578</v>
      </c>
      <c r="C143" s="2" t="s">
        <v>2014</v>
      </c>
      <c r="D143" s="2" t="s">
        <v>2019</v>
      </c>
      <c r="E143">
        <v>0</v>
      </c>
      <c r="F143">
        <v>0</v>
      </c>
      <c r="G143">
        <v>4164.95</v>
      </c>
      <c r="H143">
        <v>428989.85</v>
      </c>
      <c r="I143" s="2" t="s">
        <v>2020</v>
      </c>
      <c r="J143" s="2" t="s">
        <v>2027</v>
      </c>
      <c r="K143" s="2" t="s">
        <v>2777</v>
      </c>
      <c r="L143" s="2" t="s">
        <v>4031</v>
      </c>
      <c r="M143">
        <v>4164.95</v>
      </c>
      <c r="N143" s="2" t="s">
        <v>4042</v>
      </c>
      <c r="O143">
        <v>103</v>
      </c>
      <c r="P143">
        <v>428989.85</v>
      </c>
      <c r="Q143" t="b">
        <v>1</v>
      </c>
      <c r="R143" t="b">
        <v>0</v>
      </c>
      <c r="S143" t="b">
        <v>0</v>
      </c>
      <c r="T143" t="b">
        <v>1</v>
      </c>
      <c r="U143">
        <v>2</v>
      </c>
      <c r="V143" t="s">
        <v>4072</v>
      </c>
    </row>
    <row r="144" spans="1:22" hidden="1" x14ac:dyDescent="0.45">
      <c r="A144" s="2" t="s">
        <v>1079</v>
      </c>
      <c r="B144" s="11">
        <v>45633</v>
      </c>
      <c r="C144" s="2" t="s">
        <v>2010</v>
      </c>
      <c r="D144" s="2" t="s">
        <v>2015</v>
      </c>
      <c r="E144">
        <v>0</v>
      </c>
      <c r="F144">
        <v>0</v>
      </c>
      <c r="G144">
        <v>4558.3900000000003</v>
      </c>
      <c r="H144">
        <v>401138.32</v>
      </c>
      <c r="I144" s="2" t="s">
        <v>2024</v>
      </c>
      <c r="J144" s="2" t="s">
        <v>2028</v>
      </c>
      <c r="K144" s="2" t="s">
        <v>3100</v>
      </c>
      <c r="L144" s="2" t="s">
        <v>4032</v>
      </c>
      <c r="M144">
        <v>4558.3900000000003</v>
      </c>
      <c r="N144" s="2" t="s">
        <v>4042</v>
      </c>
      <c r="O144">
        <v>88</v>
      </c>
      <c r="P144">
        <v>401138.32</v>
      </c>
      <c r="Q144" t="b">
        <v>1</v>
      </c>
      <c r="R144" t="b">
        <v>0</v>
      </c>
      <c r="S144" t="b">
        <v>0</v>
      </c>
      <c r="T144" t="b">
        <v>1</v>
      </c>
      <c r="U144">
        <v>2</v>
      </c>
      <c r="V144" t="s">
        <v>4072</v>
      </c>
    </row>
    <row r="145" spans="1:22" hidden="1" x14ac:dyDescent="0.45">
      <c r="A145" s="2" t="s">
        <v>1716</v>
      </c>
      <c r="B145" s="11">
        <v>45561</v>
      </c>
      <c r="C145" s="2" t="s">
        <v>2014</v>
      </c>
      <c r="D145" s="2" t="s">
        <v>2019</v>
      </c>
      <c r="E145">
        <v>0</v>
      </c>
      <c r="F145">
        <v>0</v>
      </c>
      <c r="G145">
        <v>4047.23</v>
      </c>
      <c r="H145">
        <v>416864.69</v>
      </c>
      <c r="I145" s="2" t="s">
        <v>2022</v>
      </c>
      <c r="J145" s="2" t="s">
        <v>2030</v>
      </c>
      <c r="K145" s="2" t="s">
        <v>3737</v>
      </c>
      <c r="L145" s="2" t="s">
        <v>4031</v>
      </c>
      <c r="M145">
        <v>4047.23</v>
      </c>
      <c r="N145" s="2" t="s">
        <v>4042</v>
      </c>
      <c r="O145">
        <v>103</v>
      </c>
      <c r="P145">
        <v>416864.69</v>
      </c>
      <c r="Q145" t="b">
        <v>0</v>
      </c>
      <c r="R145" t="b">
        <v>1</v>
      </c>
      <c r="S145" t="b">
        <v>0</v>
      </c>
      <c r="T145" t="b">
        <v>1</v>
      </c>
      <c r="U145">
        <v>2</v>
      </c>
      <c r="V145" t="s">
        <v>4072</v>
      </c>
    </row>
    <row r="146" spans="1:22" hidden="1" x14ac:dyDescent="0.45">
      <c r="A146" s="2" t="s">
        <v>129</v>
      </c>
      <c r="B146" s="11">
        <v>45626</v>
      </c>
      <c r="C146" s="2" t="s">
        <v>2013</v>
      </c>
      <c r="D146" s="2" t="s">
        <v>2018</v>
      </c>
      <c r="E146">
        <v>1120.46</v>
      </c>
      <c r="F146">
        <v>62745.760000000002</v>
      </c>
      <c r="G146">
        <v>0</v>
      </c>
      <c r="H146">
        <v>0</v>
      </c>
      <c r="I146" s="2" t="s">
        <v>2024</v>
      </c>
      <c r="J146" s="2" t="s">
        <v>2027</v>
      </c>
      <c r="K146" s="2" t="s">
        <v>2150</v>
      </c>
      <c r="L146" s="2" t="s">
        <v>4033</v>
      </c>
      <c r="M146">
        <v>-1120.46</v>
      </c>
      <c r="N146" s="2" t="s">
        <v>4044</v>
      </c>
      <c r="O146">
        <v>56</v>
      </c>
      <c r="P146">
        <v>-62745.760000000002</v>
      </c>
      <c r="Q146" t="b">
        <v>1</v>
      </c>
      <c r="R146" t="b">
        <v>1</v>
      </c>
      <c r="S146" t="b">
        <v>0</v>
      </c>
      <c r="T146" t="b">
        <v>0</v>
      </c>
      <c r="U146">
        <v>2</v>
      </c>
      <c r="V146" t="s">
        <v>4072</v>
      </c>
    </row>
    <row r="147" spans="1:22" hidden="1" x14ac:dyDescent="0.45">
      <c r="A147" s="2" t="s">
        <v>122</v>
      </c>
      <c r="B147" s="11">
        <v>45381</v>
      </c>
      <c r="C147" s="2" t="s">
        <v>2010</v>
      </c>
      <c r="D147" s="2" t="s">
        <v>2015</v>
      </c>
      <c r="E147">
        <v>0</v>
      </c>
      <c r="F147">
        <v>0</v>
      </c>
      <c r="G147">
        <v>1148.97</v>
      </c>
      <c r="H147">
        <v>70087.17</v>
      </c>
      <c r="I147" s="2" t="s">
        <v>2021</v>
      </c>
      <c r="J147" s="2" t="s">
        <v>2030</v>
      </c>
      <c r="K147" s="2" t="s">
        <v>2143</v>
      </c>
      <c r="L147" s="2" t="s">
        <v>4035</v>
      </c>
      <c r="M147">
        <v>1148.97</v>
      </c>
      <c r="N147" s="2" t="s">
        <v>4042</v>
      </c>
      <c r="O147">
        <v>61</v>
      </c>
      <c r="P147">
        <v>70087.17</v>
      </c>
      <c r="Q147" t="b">
        <v>1</v>
      </c>
      <c r="R147" t="b">
        <v>1</v>
      </c>
      <c r="S147" t="b">
        <v>0</v>
      </c>
      <c r="T147" t="b">
        <v>0</v>
      </c>
      <c r="U147">
        <v>2</v>
      </c>
      <c r="V147" t="s">
        <v>4072</v>
      </c>
    </row>
    <row r="148" spans="1:22" hidden="1" x14ac:dyDescent="0.45">
      <c r="A148" s="2" t="s">
        <v>1657</v>
      </c>
      <c r="B148" s="11">
        <v>44968</v>
      </c>
      <c r="C148" s="2" t="s">
        <v>2010</v>
      </c>
      <c r="D148" s="2" t="s">
        <v>2015</v>
      </c>
      <c r="E148">
        <v>0</v>
      </c>
      <c r="F148">
        <v>0</v>
      </c>
      <c r="G148">
        <v>4063.27</v>
      </c>
      <c r="H148">
        <v>418516.81</v>
      </c>
      <c r="I148" s="2" t="s">
        <v>2025</v>
      </c>
      <c r="J148" s="2" t="s">
        <v>2026</v>
      </c>
      <c r="K148" s="2" t="s">
        <v>3678</v>
      </c>
      <c r="L148" s="2" t="s">
        <v>4031</v>
      </c>
      <c r="M148">
        <v>4063.27</v>
      </c>
      <c r="N148" s="2" t="s">
        <v>4042</v>
      </c>
      <c r="O148">
        <v>103</v>
      </c>
      <c r="P148">
        <v>418516.81</v>
      </c>
      <c r="Q148" t="b">
        <v>1</v>
      </c>
      <c r="R148" t="b">
        <v>0</v>
      </c>
      <c r="S148" t="b">
        <v>0</v>
      </c>
      <c r="T148" t="b">
        <v>1</v>
      </c>
      <c r="U148">
        <v>2</v>
      </c>
      <c r="V148" t="s">
        <v>4072</v>
      </c>
    </row>
    <row r="149" spans="1:22" hidden="1" x14ac:dyDescent="0.45">
      <c r="A149" s="2" t="s">
        <v>1487</v>
      </c>
      <c r="B149" s="11">
        <v>45199</v>
      </c>
      <c r="C149" s="2" t="s">
        <v>2013</v>
      </c>
      <c r="D149" s="2" t="s">
        <v>2018</v>
      </c>
      <c r="E149">
        <v>1675.83</v>
      </c>
      <c r="F149">
        <v>137418.06</v>
      </c>
      <c r="G149">
        <v>0</v>
      </c>
      <c r="H149">
        <v>0</v>
      </c>
      <c r="I149" s="2" t="s">
        <v>2020</v>
      </c>
      <c r="J149" s="2" t="s">
        <v>2028</v>
      </c>
      <c r="K149" s="2" t="s">
        <v>3508</v>
      </c>
      <c r="L149" s="2" t="s">
        <v>4034</v>
      </c>
      <c r="M149">
        <v>-1675.83</v>
      </c>
      <c r="N149" s="2" t="s">
        <v>4044</v>
      </c>
      <c r="O149">
        <v>82</v>
      </c>
      <c r="P149">
        <v>-137418.06</v>
      </c>
      <c r="Q149" t="b">
        <v>1</v>
      </c>
      <c r="R149" t="b">
        <v>1</v>
      </c>
      <c r="S149" t="b">
        <v>0</v>
      </c>
      <c r="T149" t="b">
        <v>0</v>
      </c>
      <c r="U149">
        <v>2</v>
      </c>
      <c r="V149" t="s">
        <v>4072</v>
      </c>
    </row>
    <row r="150" spans="1:22" hidden="1" x14ac:dyDescent="0.45">
      <c r="A150" s="2" t="s">
        <v>91</v>
      </c>
      <c r="B150" s="11">
        <v>45172</v>
      </c>
      <c r="C150" s="2" t="s">
        <v>2010</v>
      </c>
      <c r="D150" s="2" t="s">
        <v>2015</v>
      </c>
      <c r="E150">
        <v>0</v>
      </c>
      <c r="F150">
        <v>0</v>
      </c>
      <c r="G150">
        <v>4706.6099999999997</v>
      </c>
      <c r="H150">
        <v>414181.68</v>
      </c>
      <c r="I150" s="2" t="s">
        <v>2022</v>
      </c>
      <c r="J150" s="2" t="s">
        <v>2027</v>
      </c>
      <c r="K150" s="2" t="s">
        <v>2112</v>
      </c>
      <c r="L150" s="2" t="s">
        <v>4032</v>
      </c>
      <c r="M150">
        <v>4706.6099999999997</v>
      </c>
      <c r="N150" s="2" t="s">
        <v>4042</v>
      </c>
      <c r="O150">
        <v>88</v>
      </c>
      <c r="P150">
        <v>414181.68</v>
      </c>
      <c r="Q150" t="b">
        <v>1</v>
      </c>
      <c r="R150" t="b">
        <v>0</v>
      </c>
      <c r="S150" t="b">
        <v>0</v>
      </c>
      <c r="T150" t="b">
        <v>1</v>
      </c>
      <c r="U150">
        <v>2</v>
      </c>
      <c r="V150" t="s">
        <v>4072</v>
      </c>
    </row>
    <row r="151" spans="1:22" hidden="1" x14ac:dyDescent="0.45">
      <c r="A151" s="2" t="s">
        <v>840</v>
      </c>
      <c r="B151" s="11">
        <v>45017</v>
      </c>
      <c r="C151" s="2" t="s">
        <v>2014</v>
      </c>
      <c r="D151" s="2" t="s">
        <v>2019</v>
      </c>
      <c r="E151">
        <v>0</v>
      </c>
      <c r="F151">
        <v>0</v>
      </c>
      <c r="G151">
        <v>4756.54</v>
      </c>
      <c r="H151">
        <v>418575.52</v>
      </c>
      <c r="I151" s="2" t="s">
        <v>2021</v>
      </c>
      <c r="J151" s="2" t="s">
        <v>2028</v>
      </c>
      <c r="K151" s="2" t="s">
        <v>2861</v>
      </c>
      <c r="L151" s="2" t="s">
        <v>4032</v>
      </c>
      <c r="M151">
        <v>4756.54</v>
      </c>
      <c r="N151" s="2" t="s">
        <v>4042</v>
      </c>
      <c r="O151">
        <v>88</v>
      </c>
      <c r="P151">
        <v>418575.52</v>
      </c>
      <c r="Q151" t="b">
        <v>1</v>
      </c>
      <c r="R151" t="b">
        <v>0</v>
      </c>
      <c r="S151" t="b">
        <v>0</v>
      </c>
      <c r="T151" t="b">
        <v>1</v>
      </c>
      <c r="U151">
        <v>2</v>
      </c>
      <c r="V151" t="s">
        <v>4072</v>
      </c>
    </row>
    <row r="152" spans="1:22" hidden="1" x14ac:dyDescent="0.45">
      <c r="A152" s="2" t="s">
        <v>1911</v>
      </c>
      <c r="B152" s="11">
        <v>45199</v>
      </c>
      <c r="C152" s="2" t="s">
        <v>2013</v>
      </c>
      <c r="D152" s="2" t="s">
        <v>2018</v>
      </c>
      <c r="E152">
        <v>335.2</v>
      </c>
      <c r="F152">
        <v>27486.399999999998</v>
      </c>
      <c r="G152">
        <v>0</v>
      </c>
      <c r="H152">
        <v>0</v>
      </c>
      <c r="I152" s="2" t="s">
        <v>2023</v>
      </c>
      <c r="J152" s="2" t="s">
        <v>2027</v>
      </c>
      <c r="K152" s="2" t="s">
        <v>3932</v>
      </c>
      <c r="L152" s="2" t="s">
        <v>4034</v>
      </c>
      <c r="M152">
        <v>-335.2</v>
      </c>
      <c r="N152" s="2" t="s">
        <v>4044</v>
      </c>
      <c r="O152">
        <v>82</v>
      </c>
      <c r="P152">
        <v>-27486.399999999998</v>
      </c>
      <c r="Q152" t="b">
        <v>1</v>
      </c>
      <c r="R152" t="b">
        <v>1</v>
      </c>
      <c r="S152" t="b">
        <v>0</v>
      </c>
      <c r="T152" t="b">
        <v>0</v>
      </c>
      <c r="U152">
        <v>2</v>
      </c>
      <c r="V152" t="s">
        <v>4072</v>
      </c>
    </row>
    <row r="153" spans="1:22" hidden="1" x14ac:dyDescent="0.45">
      <c r="A153" s="2" t="s">
        <v>677</v>
      </c>
      <c r="B153" s="11">
        <v>45224</v>
      </c>
      <c r="C153" s="2" t="s">
        <v>2014</v>
      </c>
      <c r="D153" s="2" t="s">
        <v>2019</v>
      </c>
      <c r="E153">
        <v>0</v>
      </c>
      <c r="F153">
        <v>0</v>
      </c>
      <c r="G153">
        <v>4106.57</v>
      </c>
      <c r="H153">
        <v>422976.70999999996</v>
      </c>
      <c r="I153" s="2" t="s">
        <v>2023</v>
      </c>
      <c r="J153" s="2" t="s">
        <v>2026</v>
      </c>
      <c r="K153" s="2" t="s">
        <v>2698</v>
      </c>
      <c r="L153" s="2" t="s">
        <v>4031</v>
      </c>
      <c r="M153">
        <v>4106.57</v>
      </c>
      <c r="N153" s="2" t="s">
        <v>4042</v>
      </c>
      <c r="O153">
        <v>103</v>
      </c>
      <c r="P153">
        <v>422976.70999999996</v>
      </c>
      <c r="Q153" t="b">
        <v>0</v>
      </c>
      <c r="R153" t="b">
        <v>1</v>
      </c>
      <c r="S153" t="b">
        <v>0</v>
      </c>
      <c r="T153" t="b">
        <v>1</v>
      </c>
      <c r="U153">
        <v>2</v>
      </c>
      <c r="V153" t="s">
        <v>4072</v>
      </c>
    </row>
    <row r="154" spans="1:22" hidden="1" x14ac:dyDescent="0.45">
      <c r="A154" s="2" t="s">
        <v>429</v>
      </c>
      <c r="B154" s="11">
        <v>45333</v>
      </c>
      <c r="C154" s="2" t="s">
        <v>2010</v>
      </c>
      <c r="D154" s="2" t="s">
        <v>2015</v>
      </c>
      <c r="E154">
        <v>0</v>
      </c>
      <c r="F154">
        <v>0</v>
      </c>
      <c r="G154">
        <v>4559.4399999999996</v>
      </c>
      <c r="H154">
        <v>469622.31999999995</v>
      </c>
      <c r="I154" s="2" t="s">
        <v>2024</v>
      </c>
      <c r="J154" s="2" t="s">
        <v>2030</v>
      </c>
      <c r="K154" s="2" t="s">
        <v>2450</v>
      </c>
      <c r="L154" s="2" t="s">
        <v>4031</v>
      </c>
      <c r="M154">
        <v>4559.4399999999996</v>
      </c>
      <c r="N154" s="2" t="s">
        <v>4042</v>
      </c>
      <c r="O154">
        <v>103</v>
      </c>
      <c r="P154">
        <v>469622.31999999995</v>
      </c>
      <c r="Q154" t="b">
        <v>1</v>
      </c>
      <c r="R154" t="b">
        <v>0</v>
      </c>
      <c r="S154" t="b">
        <v>0</v>
      </c>
      <c r="T154" t="b">
        <v>1</v>
      </c>
      <c r="U154">
        <v>2</v>
      </c>
      <c r="V154" t="s">
        <v>4072</v>
      </c>
    </row>
    <row r="155" spans="1:22" hidden="1" x14ac:dyDescent="0.45">
      <c r="A155" s="2" t="s">
        <v>640</v>
      </c>
      <c r="B155" s="11">
        <v>45470</v>
      </c>
      <c r="C155" s="2" t="s">
        <v>2010</v>
      </c>
      <c r="D155" s="2" t="s">
        <v>2015</v>
      </c>
      <c r="E155">
        <v>0</v>
      </c>
      <c r="F155">
        <v>0</v>
      </c>
      <c r="G155">
        <v>4116.3900000000003</v>
      </c>
      <c r="H155">
        <v>423988.17000000004</v>
      </c>
      <c r="I155" s="2" t="s">
        <v>2021</v>
      </c>
      <c r="J155" s="2" t="s">
        <v>2030</v>
      </c>
      <c r="K155" s="2" t="s">
        <v>2661</v>
      </c>
      <c r="L155" s="2" t="s">
        <v>4031</v>
      </c>
      <c r="M155">
        <v>4116.3900000000003</v>
      </c>
      <c r="N155" s="2" t="s">
        <v>4042</v>
      </c>
      <c r="O155">
        <v>103</v>
      </c>
      <c r="P155">
        <v>423988.17000000004</v>
      </c>
      <c r="Q155" t="b">
        <v>0</v>
      </c>
      <c r="R155" t="b">
        <v>1</v>
      </c>
      <c r="S155" t="b">
        <v>0</v>
      </c>
      <c r="T155" t="b">
        <v>1</v>
      </c>
      <c r="U155">
        <v>2</v>
      </c>
      <c r="V155" t="s">
        <v>4072</v>
      </c>
    </row>
    <row r="156" spans="1:22" hidden="1" x14ac:dyDescent="0.45">
      <c r="A156" s="2" t="s">
        <v>474</v>
      </c>
      <c r="B156" s="11">
        <v>45046</v>
      </c>
      <c r="C156" s="2" t="s">
        <v>2012</v>
      </c>
      <c r="D156" s="2" t="s">
        <v>2017</v>
      </c>
      <c r="E156">
        <v>417.54</v>
      </c>
      <c r="F156">
        <v>25469.940000000002</v>
      </c>
      <c r="G156">
        <v>0</v>
      </c>
      <c r="H156">
        <v>0</v>
      </c>
      <c r="I156" s="2" t="s">
        <v>2023</v>
      </c>
      <c r="J156" s="2" t="s">
        <v>2027</v>
      </c>
      <c r="K156" s="2" t="s">
        <v>2495</v>
      </c>
      <c r="L156" s="2" t="s">
        <v>4035</v>
      </c>
      <c r="M156">
        <v>-417.54</v>
      </c>
      <c r="N156" s="2" t="s">
        <v>4044</v>
      </c>
      <c r="O156">
        <v>61</v>
      </c>
      <c r="P156">
        <v>-25469.940000000002</v>
      </c>
      <c r="Q156" t="b">
        <v>1</v>
      </c>
      <c r="R156" t="b">
        <v>1</v>
      </c>
      <c r="S156" t="b">
        <v>0</v>
      </c>
      <c r="T156" t="b">
        <v>0</v>
      </c>
      <c r="U156">
        <v>2</v>
      </c>
      <c r="V156" t="s">
        <v>4072</v>
      </c>
    </row>
    <row r="157" spans="1:22" hidden="1" x14ac:dyDescent="0.45">
      <c r="A157" s="2" t="s">
        <v>1366</v>
      </c>
      <c r="B157" s="11">
        <v>45578</v>
      </c>
      <c r="C157" s="2" t="s">
        <v>2010</v>
      </c>
      <c r="D157" s="2" t="s">
        <v>2015</v>
      </c>
      <c r="E157">
        <v>0</v>
      </c>
      <c r="F157">
        <v>0</v>
      </c>
      <c r="G157">
        <v>4122.6000000000004</v>
      </c>
      <c r="H157">
        <v>424627.80000000005</v>
      </c>
      <c r="I157" s="2" t="s">
        <v>2022</v>
      </c>
      <c r="J157" s="2" t="s">
        <v>2029</v>
      </c>
      <c r="K157" s="2" t="s">
        <v>3387</v>
      </c>
      <c r="L157" s="2" t="s">
        <v>4031</v>
      </c>
      <c r="M157">
        <v>4122.6000000000004</v>
      </c>
      <c r="N157" s="2" t="s">
        <v>4042</v>
      </c>
      <c r="O157">
        <v>103</v>
      </c>
      <c r="P157">
        <v>424627.80000000005</v>
      </c>
      <c r="Q157" t="b">
        <v>1</v>
      </c>
      <c r="R157" t="b">
        <v>0</v>
      </c>
      <c r="S157" t="b">
        <v>0</v>
      </c>
      <c r="T157" t="b">
        <v>1</v>
      </c>
      <c r="U157">
        <v>2</v>
      </c>
      <c r="V157" t="s">
        <v>4072</v>
      </c>
    </row>
    <row r="158" spans="1:22" hidden="1" x14ac:dyDescent="0.45">
      <c r="A158" s="2" t="s">
        <v>413</v>
      </c>
      <c r="B158" s="11">
        <v>44985</v>
      </c>
      <c r="C158" s="2" t="s">
        <v>2014</v>
      </c>
      <c r="D158" s="2" t="s">
        <v>2019</v>
      </c>
      <c r="E158">
        <v>0</v>
      </c>
      <c r="F158">
        <v>0</v>
      </c>
      <c r="G158">
        <v>4835.87</v>
      </c>
      <c r="H158">
        <v>425556.56</v>
      </c>
      <c r="I158" s="2" t="s">
        <v>2022</v>
      </c>
      <c r="J158" s="2" t="s">
        <v>2026</v>
      </c>
      <c r="K158" s="2" t="s">
        <v>2434</v>
      </c>
      <c r="L158" s="2" t="s">
        <v>4032</v>
      </c>
      <c r="M158">
        <v>4835.87</v>
      </c>
      <c r="N158" s="2" t="s">
        <v>4042</v>
      </c>
      <c r="O158">
        <v>88</v>
      </c>
      <c r="P158">
        <v>425556.56</v>
      </c>
      <c r="Q158" t="b">
        <v>0</v>
      </c>
      <c r="R158" t="b">
        <v>1</v>
      </c>
      <c r="S158" t="b">
        <v>0</v>
      </c>
      <c r="T158" t="b">
        <v>1</v>
      </c>
      <c r="U158">
        <v>2</v>
      </c>
      <c r="V158" t="s">
        <v>4072</v>
      </c>
    </row>
    <row r="159" spans="1:22" hidden="1" x14ac:dyDescent="0.45">
      <c r="A159" s="2" t="s">
        <v>1319</v>
      </c>
      <c r="B159" s="11">
        <v>45531</v>
      </c>
      <c r="C159" s="2" t="s">
        <v>2014</v>
      </c>
      <c r="D159" s="2" t="s">
        <v>2019</v>
      </c>
      <c r="E159">
        <v>0</v>
      </c>
      <c r="F159">
        <v>0</v>
      </c>
      <c r="G159">
        <v>4614.12</v>
      </c>
      <c r="H159">
        <v>406042.56</v>
      </c>
      <c r="I159" s="2" t="s">
        <v>2023</v>
      </c>
      <c r="J159" s="2" t="s">
        <v>2027</v>
      </c>
      <c r="K159" s="2" t="s">
        <v>3340</v>
      </c>
      <c r="L159" s="2" t="s">
        <v>4032</v>
      </c>
      <c r="M159">
        <v>4614.12</v>
      </c>
      <c r="N159" s="2" t="s">
        <v>4042</v>
      </c>
      <c r="O159">
        <v>88</v>
      </c>
      <c r="P159">
        <v>406042.56</v>
      </c>
      <c r="Q159" t="b">
        <v>0</v>
      </c>
      <c r="R159" t="b">
        <v>1</v>
      </c>
      <c r="S159" t="b">
        <v>0</v>
      </c>
      <c r="T159" t="b">
        <v>1</v>
      </c>
      <c r="U159">
        <v>2</v>
      </c>
      <c r="V159" t="s">
        <v>4072</v>
      </c>
    </row>
    <row r="160" spans="1:22" hidden="1" x14ac:dyDescent="0.45">
      <c r="A160" s="2" t="s">
        <v>1882</v>
      </c>
      <c r="B160" s="11">
        <v>45382</v>
      </c>
      <c r="C160" s="2" t="s">
        <v>2012</v>
      </c>
      <c r="D160" s="2" t="s">
        <v>2017</v>
      </c>
      <c r="E160">
        <v>1669.15</v>
      </c>
      <c r="F160">
        <v>136870.30000000002</v>
      </c>
      <c r="G160">
        <v>0</v>
      </c>
      <c r="H160">
        <v>0</v>
      </c>
      <c r="I160" s="2" t="s">
        <v>2022</v>
      </c>
      <c r="J160" s="2" t="s">
        <v>2027</v>
      </c>
      <c r="K160" s="2" t="s">
        <v>3903</v>
      </c>
      <c r="L160" s="2" t="s">
        <v>4034</v>
      </c>
      <c r="M160">
        <v>-1669.15</v>
      </c>
      <c r="N160" s="2" t="s">
        <v>4044</v>
      </c>
      <c r="O160">
        <v>82</v>
      </c>
      <c r="P160">
        <v>-136870.30000000002</v>
      </c>
      <c r="Q160" t="b">
        <v>1</v>
      </c>
      <c r="R160" t="b">
        <v>1</v>
      </c>
      <c r="S160" t="b">
        <v>0</v>
      </c>
      <c r="T160" t="b">
        <v>0</v>
      </c>
      <c r="U160">
        <v>2</v>
      </c>
      <c r="V160" t="s">
        <v>4072</v>
      </c>
    </row>
    <row r="161" spans="1:22" hidden="1" x14ac:dyDescent="0.45">
      <c r="A161" s="2" t="s">
        <v>1505</v>
      </c>
      <c r="B161" s="11">
        <v>45288</v>
      </c>
      <c r="C161" s="2" t="s">
        <v>2010</v>
      </c>
      <c r="D161" s="2" t="s">
        <v>2015</v>
      </c>
      <c r="E161">
        <v>0</v>
      </c>
      <c r="F161">
        <v>0</v>
      </c>
      <c r="G161">
        <v>4145.32</v>
      </c>
      <c r="H161">
        <v>426967.95999999996</v>
      </c>
      <c r="I161" s="2" t="s">
        <v>2025</v>
      </c>
      <c r="J161" s="2" t="s">
        <v>2030</v>
      </c>
      <c r="K161" s="2" t="s">
        <v>3526</v>
      </c>
      <c r="L161" s="2" t="s">
        <v>4031</v>
      </c>
      <c r="M161">
        <v>4145.32</v>
      </c>
      <c r="N161" s="2" t="s">
        <v>4042</v>
      </c>
      <c r="O161">
        <v>103</v>
      </c>
      <c r="P161">
        <v>426967.95999999996</v>
      </c>
      <c r="Q161" t="b">
        <v>0</v>
      </c>
      <c r="R161" t="b">
        <v>1</v>
      </c>
      <c r="S161" t="b">
        <v>0</v>
      </c>
      <c r="T161" t="b">
        <v>1</v>
      </c>
      <c r="U161">
        <v>2</v>
      </c>
      <c r="V161" t="s">
        <v>4072</v>
      </c>
    </row>
    <row r="162" spans="1:22" hidden="1" x14ac:dyDescent="0.45">
      <c r="A162" s="2" t="s">
        <v>472</v>
      </c>
      <c r="B162" s="11">
        <v>45591</v>
      </c>
      <c r="C162" s="2" t="s">
        <v>2014</v>
      </c>
      <c r="D162" s="2" t="s">
        <v>2019</v>
      </c>
      <c r="E162">
        <v>0</v>
      </c>
      <c r="F162">
        <v>0</v>
      </c>
      <c r="G162">
        <v>1322.5</v>
      </c>
      <c r="H162">
        <v>136217.5</v>
      </c>
      <c r="I162" s="2" t="s">
        <v>2021</v>
      </c>
      <c r="J162" s="2" t="s">
        <v>2026</v>
      </c>
      <c r="K162" s="2" t="s">
        <v>2493</v>
      </c>
      <c r="L162" s="2" t="s">
        <v>4031</v>
      </c>
      <c r="M162">
        <v>1322.5</v>
      </c>
      <c r="N162" s="2" t="s">
        <v>4042</v>
      </c>
      <c r="O162">
        <v>103</v>
      </c>
      <c r="P162">
        <v>136217.5</v>
      </c>
      <c r="Q162" t="b">
        <v>1</v>
      </c>
      <c r="R162" t="b">
        <v>1</v>
      </c>
      <c r="S162" t="b">
        <v>0</v>
      </c>
      <c r="T162" t="b">
        <v>0</v>
      </c>
      <c r="U162">
        <v>2</v>
      </c>
      <c r="V162" t="s">
        <v>4072</v>
      </c>
    </row>
    <row r="163" spans="1:22" hidden="1" x14ac:dyDescent="0.45">
      <c r="A163" s="2" t="s">
        <v>1839</v>
      </c>
      <c r="B163" s="11">
        <v>45717</v>
      </c>
      <c r="C163" s="2" t="s">
        <v>2014</v>
      </c>
      <c r="D163" s="2" t="s">
        <v>2019</v>
      </c>
      <c r="E163">
        <v>0</v>
      </c>
      <c r="F163">
        <v>0</v>
      </c>
      <c r="G163">
        <v>4569.3500000000004</v>
      </c>
      <c r="H163">
        <v>402102.80000000005</v>
      </c>
      <c r="I163" s="2" t="s">
        <v>2020</v>
      </c>
      <c r="J163" s="2" t="s">
        <v>2029</v>
      </c>
      <c r="K163" s="2" t="s">
        <v>3860</v>
      </c>
      <c r="L163" s="2" t="s">
        <v>4032</v>
      </c>
      <c r="M163">
        <v>4569.3500000000004</v>
      </c>
      <c r="N163" s="2" t="s">
        <v>4042</v>
      </c>
      <c r="O163">
        <v>88</v>
      </c>
      <c r="P163">
        <v>402102.80000000005</v>
      </c>
      <c r="Q163" t="b">
        <v>1</v>
      </c>
      <c r="R163" t="b">
        <v>0</v>
      </c>
      <c r="S163" t="b">
        <v>0</v>
      </c>
      <c r="T163" t="b">
        <v>1</v>
      </c>
      <c r="U163">
        <v>2</v>
      </c>
      <c r="V163" t="s">
        <v>4072</v>
      </c>
    </row>
    <row r="164" spans="1:22" hidden="1" x14ac:dyDescent="0.45">
      <c r="A164" s="2" t="s">
        <v>1151</v>
      </c>
      <c r="B164" s="11">
        <v>45504</v>
      </c>
      <c r="C164" s="2" t="s">
        <v>2014</v>
      </c>
      <c r="D164" s="2" t="s">
        <v>2019</v>
      </c>
      <c r="E164">
        <v>0</v>
      </c>
      <c r="F164">
        <v>0</v>
      </c>
      <c r="G164">
        <v>4894.3999999999996</v>
      </c>
      <c r="H164">
        <v>401340.8</v>
      </c>
      <c r="I164" s="2" t="s">
        <v>2020</v>
      </c>
      <c r="J164" s="2" t="s">
        <v>2026</v>
      </c>
      <c r="K164" s="2" t="s">
        <v>3172</v>
      </c>
      <c r="L164" s="2" t="s">
        <v>4034</v>
      </c>
      <c r="M164">
        <v>4894.3999999999996</v>
      </c>
      <c r="N164" s="2" t="s">
        <v>4042</v>
      </c>
      <c r="O164">
        <v>82</v>
      </c>
      <c r="P164">
        <v>401340.8</v>
      </c>
      <c r="Q164" t="b">
        <v>0</v>
      </c>
      <c r="R164" t="b">
        <v>1</v>
      </c>
      <c r="S164" t="b">
        <v>0</v>
      </c>
      <c r="T164" t="b">
        <v>1</v>
      </c>
      <c r="U164">
        <v>2</v>
      </c>
      <c r="V164" t="s">
        <v>4072</v>
      </c>
    </row>
    <row r="165" spans="1:22" hidden="1" x14ac:dyDescent="0.45">
      <c r="A165" s="2" t="s">
        <v>483</v>
      </c>
      <c r="B165" s="11">
        <v>45276</v>
      </c>
      <c r="C165" s="2" t="s">
        <v>2014</v>
      </c>
      <c r="D165" s="2" t="s">
        <v>2019</v>
      </c>
      <c r="E165">
        <v>0</v>
      </c>
      <c r="F165">
        <v>0</v>
      </c>
      <c r="G165">
        <v>4991.26</v>
      </c>
      <c r="H165">
        <v>409283.32</v>
      </c>
      <c r="I165" s="2" t="s">
        <v>2023</v>
      </c>
      <c r="J165" s="2" t="s">
        <v>2029</v>
      </c>
      <c r="K165" s="2" t="s">
        <v>2504</v>
      </c>
      <c r="L165" s="2" t="s">
        <v>4034</v>
      </c>
      <c r="M165">
        <v>4991.26</v>
      </c>
      <c r="N165" s="2" t="s">
        <v>4042</v>
      </c>
      <c r="O165">
        <v>82</v>
      </c>
      <c r="P165">
        <v>409283.32</v>
      </c>
      <c r="Q165" t="b">
        <v>1</v>
      </c>
      <c r="R165" t="b">
        <v>0</v>
      </c>
      <c r="S165" t="b">
        <v>0</v>
      </c>
      <c r="T165" t="b">
        <v>1</v>
      </c>
      <c r="U165">
        <v>2</v>
      </c>
      <c r="V165" t="s">
        <v>4072</v>
      </c>
    </row>
    <row r="166" spans="1:22" hidden="1" x14ac:dyDescent="0.45">
      <c r="A166" s="2" t="s">
        <v>604</v>
      </c>
      <c r="B166" s="11">
        <v>45256</v>
      </c>
      <c r="C166" s="2" t="s">
        <v>2012</v>
      </c>
      <c r="D166" s="2" t="s">
        <v>2017</v>
      </c>
      <c r="E166">
        <v>648.30999999999995</v>
      </c>
      <c r="F166">
        <v>66775.929999999993</v>
      </c>
      <c r="G166">
        <v>0</v>
      </c>
      <c r="H166">
        <v>0</v>
      </c>
      <c r="I166" s="2" t="s">
        <v>2024</v>
      </c>
      <c r="J166" s="2" t="s">
        <v>2027</v>
      </c>
      <c r="K166" s="2" t="s">
        <v>2625</v>
      </c>
      <c r="L166" s="2" t="s">
        <v>4031</v>
      </c>
      <c r="M166">
        <v>-648.30999999999995</v>
      </c>
      <c r="N166" s="2" t="s">
        <v>4044</v>
      </c>
      <c r="O166">
        <v>103</v>
      </c>
      <c r="P166">
        <v>-66775.929999999993</v>
      </c>
      <c r="Q166" t="b">
        <v>1</v>
      </c>
      <c r="R166" t="b">
        <v>1</v>
      </c>
      <c r="S166" t="b">
        <v>0</v>
      </c>
      <c r="T166" t="b">
        <v>0</v>
      </c>
      <c r="U166">
        <v>2</v>
      </c>
      <c r="V166" t="s">
        <v>4072</v>
      </c>
    </row>
    <row r="167" spans="1:22" hidden="1" x14ac:dyDescent="0.45">
      <c r="A167" s="2" t="s">
        <v>1457</v>
      </c>
      <c r="B167" s="11">
        <v>45317</v>
      </c>
      <c r="C167" s="2" t="s">
        <v>2010</v>
      </c>
      <c r="D167" s="2" t="s">
        <v>2015</v>
      </c>
      <c r="E167">
        <v>0</v>
      </c>
      <c r="F167">
        <v>0</v>
      </c>
      <c r="G167">
        <v>4741</v>
      </c>
      <c r="H167">
        <v>388762</v>
      </c>
      <c r="I167" s="2" t="s">
        <v>2022</v>
      </c>
      <c r="J167" s="2" t="s">
        <v>2027</v>
      </c>
      <c r="K167" s="2" t="s">
        <v>3478</v>
      </c>
      <c r="L167" s="2" t="s">
        <v>4034</v>
      </c>
      <c r="M167">
        <v>4741</v>
      </c>
      <c r="N167" s="2" t="s">
        <v>4042</v>
      </c>
      <c r="O167">
        <v>82</v>
      </c>
      <c r="P167">
        <v>388762</v>
      </c>
      <c r="Q167" t="b">
        <v>0</v>
      </c>
      <c r="R167" t="b">
        <v>1</v>
      </c>
      <c r="S167" t="b">
        <v>0</v>
      </c>
      <c r="T167" t="b">
        <v>1</v>
      </c>
      <c r="U167">
        <v>2</v>
      </c>
      <c r="V167" t="s">
        <v>4072</v>
      </c>
    </row>
    <row r="168" spans="1:22" hidden="1" x14ac:dyDescent="0.45">
      <c r="A168" s="2" t="s">
        <v>1018</v>
      </c>
      <c r="B168" s="11">
        <v>45407</v>
      </c>
      <c r="C168" s="2" t="s">
        <v>2010</v>
      </c>
      <c r="D168" s="2" t="s">
        <v>2015</v>
      </c>
      <c r="E168">
        <v>0</v>
      </c>
      <c r="F168">
        <v>0</v>
      </c>
      <c r="G168">
        <v>4239.59</v>
      </c>
      <c r="H168">
        <v>373083.92000000004</v>
      </c>
      <c r="I168" s="2" t="s">
        <v>2020</v>
      </c>
      <c r="J168" s="2" t="s">
        <v>2030</v>
      </c>
      <c r="K168" s="2" t="s">
        <v>3039</v>
      </c>
      <c r="L168" s="2" t="s">
        <v>4032</v>
      </c>
      <c r="M168">
        <v>4239.59</v>
      </c>
      <c r="N168" s="2" t="s">
        <v>4042</v>
      </c>
      <c r="O168">
        <v>88</v>
      </c>
      <c r="P168">
        <v>373083.92000000004</v>
      </c>
      <c r="Q168" t="b">
        <v>0</v>
      </c>
      <c r="R168" t="b">
        <v>1</v>
      </c>
      <c r="S168" t="b">
        <v>0</v>
      </c>
      <c r="T168" t="b">
        <v>1</v>
      </c>
      <c r="U168">
        <v>2</v>
      </c>
      <c r="V168" t="s">
        <v>4072</v>
      </c>
    </row>
    <row r="169" spans="1:22" hidden="1" x14ac:dyDescent="0.45">
      <c r="A169" s="2" t="s">
        <v>1627</v>
      </c>
      <c r="B169" s="11">
        <v>45011</v>
      </c>
      <c r="C169" s="2" t="s">
        <v>2013</v>
      </c>
      <c r="D169" s="2" t="s">
        <v>2018</v>
      </c>
      <c r="E169">
        <v>1035.58</v>
      </c>
      <c r="F169">
        <v>57992.479999999996</v>
      </c>
      <c r="G169">
        <v>0</v>
      </c>
      <c r="H169">
        <v>0</v>
      </c>
      <c r="I169" s="2" t="s">
        <v>2025</v>
      </c>
      <c r="J169" s="2" t="s">
        <v>2028</v>
      </c>
      <c r="K169" s="2" t="s">
        <v>3648</v>
      </c>
      <c r="L169" s="2" t="s">
        <v>4033</v>
      </c>
      <c r="M169">
        <v>-1035.58</v>
      </c>
      <c r="N169" s="2" t="s">
        <v>4044</v>
      </c>
      <c r="O169">
        <v>56</v>
      </c>
      <c r="P169">
        <v>-57992.479999999996</v>
      </c>
      <c r="Q169" t="b">
        <v>1</v>
      </c>
      <c r="R169" t="b">
        <v>1</v>
      </c>
      <c r="S169" t="b">
        <v>0</v>
      </c>
      <c r="T169" t="b">
        <v>0</v>
      </c>
      <c r="U169">
        <v>2</v>
      </c>
      <c r="V169" t="s">
        <v>4072</v>
      </c>
    </row>
    <row r="170" spans="1:22" hidden="1" x14ac:dyDescent="0.45">
      <c r="A170" s="2" t="s">
        <v>137</v>
      </c>
      <c r="B170" s="11">
        <v>44962</v>
      </c>
      <c r="C170" s="2" t="s">
        <v>2010</v>
      </c>
      <c r="D170" s="2" t="s">
        <v>2015</v>
      </c>
      <c r="E170">
        <v>0</v>
      </c>
      <c r="F170">
        <v>0</v>
      </c>
      <c r="G170">
        <v>4964.84</v>
      </c>
      <c r="H170">
        <v>511378.52</v>
      </c>
      <c r="I170" s="2" t="s">
        <v>2021</v>
      </c>
      <c r="J170" s="2" t="s">
        <v>2026</v>
      </c>
      <c r="K170" s="2" t="s">
        <v>2158</v>
      </c>
      <c r="L170" s="2" t="s">
        <v>4031</v>
      </c>
      <c r="M170">
        <v>4964.84</v>
      </c>
      <c r="N170" s="2" t="s">
        <v>4042</v>
      </c>
      <c r="O170">
        <v>103</v>
      </c>
      <c r="P170">
        <v>511378.52</v>
      </c>
      <c r="Q170" t="b">
        <v>1</v>
      </c>
      <c r="R170" t="b">
        <v>0</v>
      </c>
      <c r="S170" t="b">
        <v>0</v>
      </c>
      <c r="T170" t="b">
        <v>1</v>
      </c>
      <c r="U170">
        <v>2</v>
      </c>
      <c r="V170" t="s">
        <v>4072</v>
      </c>
    </row>
    <row r="171" spans="1:22" hidden="1" x14ac:dyDescent="0.45">
      <c r="A171" s="2" t="s">
        <v>1291</v>
      </c>
      <c r="B171" s="11">
        <v>45289</v>
      </c>
      <c r="C171" s="2" t="s">
        <v>2014</v>
      </c>
      <c r="D171" s="2" t="s">
        <v>2019</v>
      </c>
      <c r="E171">
        <v>0</v>
      </c>
      <c r="F171">
        <v>0</v>
      </c>
      <c r="G171">
        <v>4953.53</v>
      </c>
      <c r="H171">
        <v>510213.58999999997</v>
      </c>
      <c r="I171" s="2" t="s">
        <v>2025</v>
      </c>
      <c r="J171" s="2" t="s">
        <v>2026</v>
      </c>
      <c r="K171" s="2" t="s">
        <v>3312</v>
      </c>
      <c r="L171" s="2" t="s">
        <v>4031</v>
      </c>
      <c r="M171">
        <v>4953.53</v>
      </c>
      <c r="N171" s="2" t="s">
        <v>4042</v>
      </c>
      <c r="O171">
        <v>103</v>
      </c>
      <c r="P171">
        <v>510213.58999999997</v>
      </c>
      <c r="Q171" t="b">
        <v>0</v>
      </c>
      <c r="R171" t="b">
        <v>1</v>
      </c>
      <c r="S171" t="b">
        <v>0</v>
      </c>
      <c r="T171" t="b">
        <v>1</v>
      </c>
      <c r="U171">
        <v>2</v>
      </c>
      <c r="V171" t="s">
        <v>4072</v>
      </c>
    </row>
    <row r="172" spans="1:22" hidden="1" x14ac:dyDescent="0.45">
      <c r="A172" s="2" t="s">
        <v>444</v>
      </c>
      <c r="B172" s="11">
        <v>45320</v>
      </c>
      <c r="C172" s="2" t="s">
        <v>2010</v>
      </c>
      <c r="D172" s="2" t="s">
        <v>2015</v>
      </c>
      <c r="E172">
        <v>0</v>
      </c>
      <c r="F172">
        <v>0</v>
      </c>
      <c r="G172">
        <v>4172.26</v>
      </c>
      <c r="H172">
        <v>342125.32</v>
      </c>
      <c r="I172" s="2" t="s">
        <v>2023</v>
      </c>
      <c r="J172" s="2" t="s">
        <v>2030</v>
      </c>
      <c r="K172" s="2" t="s">
        <v>2465</v>
      </c>
      <c r="L172" s="2" t="s">
        <v>4034</v>
      </c>
      <c r="M172">
        <v>4172.26</v>
      </c>
      <c r="N172" s="2" t="s">
        <v>4042</v>
      </c>
      <c r="O172">
        <v>82</v>
      </c>
      <c r="P172">
        <v>342125.32</v>
      </c>
      <c r="Q172" t="b">
        <v>0</v>
      </c>
      <c r="R172" t="b">
        <v>1</v>
      </c>
      <c r="S172" t="b">
        <v>0</v>
      </c>
      <c r="T172" t="b">
        <v>1</v>
      </c>
      <c r="U172">
        <v>2</v>
      </c>
      <c r="V172" t="s">
        <v>4072</v>
      </c>
    </row>
    <row r="173" spans="1:22" hidden="1" x14ac:dyDescent="0.45">
      <c r="A173" s="2" t="s">
        <v>172</v>
      </c>
      <c r="B173" s="11">
        <v>45647</v>
      </c>
      <c r="C173" s="2" t="s">
        <v>2010</v>
      </c>
      <c r="D173" s="2" t="s">
        <v>2015</v>
      </c>
      <c r="E173">
        <v>0</v>
      </c>
      <c r="F173">
        <v>0</v>
      </c>
      <c r="G173">
        <v>3901.69</v>
      </c>
      <c r="H173">
        <v>343348.72000000003</v>
      </c>
      <c r="I173" s="2" t="s">
        <v>2025</v>
      </c>
      <c r="J173" s="2" t="s">
        <v>2030</v>
      </c>
      <c r="K173" s="2" t="s">
        <v>2193</v>
      </c>
      <c r="L173" s="2" t="s">
        <v>4032</v>
      </c>
      <c r="M173">
        <v>3901.69</v>
      </c>
      <c r="N173" s="2" t="s">
        <v>4042</v>
      </c>
      <c r="O173">
        <v>88</v>
      </c>
      <c r="P173">
        <v>343348.72000000003</v>
      </c>
      <c r="Q173" t="b">
        <v>1</v>
      </c>
      <c r="R173" t="b">
        <v>0</v>
      </c>
      <c r="S173" t="b">
        <v>0</v>
      </c>
      <c r="T173" t="b">
        <v>1</v>
      </c>
      <c r="U173">
        <v>2</v>
      </c>
      <c r="V173" t="s">
        <v>4072</v>
      </c>
    </row>
    <row r="174" spans="1:22" hidden="1" x14ac:dyDescent="0.45">
      <c r="A174" s="2" t="s">
        <v>844</v>
      </c>
      <c r="B174" s="11">
        <v>45626</v>
      </c>
      <c r="C174" s="2" t="s">
        <v>2010</v>
      </c>
      <c r="D174" s="2" t="s">
        <v>2015</v>
      </c>
      <c r="E174">
        <v>0</v>
      </c>
      <c r="F174">
        <v>0</v>
      </c>
      <c r="G174">
        <v>1484.62</v>
      </c>
      <c r="H174">
        <v>152915.85999999999</v>
      </c>
      <c r="I174" s="2" t="s">
        <v>2023</v>
      </c>
      <c r="J174" s="2" t="s">
        <v>2029</v>
      </c>
      <c r="K174" s="2" t="s">
        <v>2865</v>
      </c>
      <c r="L174" s="2" t="s">
        <v>4031</v>
      </c>
      <c r="M174">
        <v>1484.62</v>
      </c>
      <c r="N174" s="2" t="s">
        <v>4042</v>
      </c>
      <c r="O174">
        <v>103</v>
      </c>
      <c r="P174">
        <v>152915.85999999999</v>
      </c>
      <c r="Q174" t="b">
        <v>1</v>
      </c>
      <c r="R174" t="b">
        <v>1</v>
      </c>
      <c r="S174" t="b">
        <v>0</v>
      </c>
      <c r="T174" t="b">
        <v>0</v>
      </c>
      <c r="U174">
        <v>2</v>
      </c>
      <c r="V174" t="s">
        <v>4072</v>
      </c>
    </row>
    <row r="175" spans="1:22" hidden="1" x14ac:dyDescent="0.45">
      <c r="A175" s="2" t="s">
        <v>660</v>
      </c>
      <c r="B175" s="11">
        <v>45742</v>
      </c>
      <c r="C175" s="2" t="s">
        <v>2010</v>
      </c>
      <c r="D175" s="2" t="s">
        <v>2015</v>
      </c>
      <c r="E175">
        <v>0</v>
      </c>
      <c r="F175">
        <v>0</v>
      </c>
      <c r="G175">
        <v>4294.0600000000004</v>
      </c>
      <c r="H175">
        <v>352112.92000000004</v>
      </c>
      <c r="I175" s="2" t="s">
        <v>2021</v>
      </c>
      <c r="J175" s="2" t="s">
        <v>2029</v>
      </c>
      <c r="K175" s="2" t="s">
        <v>2681</v>
      </c>
      <c r="L175" s="2" t="s">
        <v>4034</v>
      </c>
      <c r="M175">
        <v>4294.0600000000004</v>
      </c>
      <c r="N175" s="2" t="s">
        <v>4042</v>
      </c>
      <c r="O175">
        <v>82</v>
      </c>
      <c r="P175">
        <v>352112.92000000004</v>
      </c>
      <c r="Q175" t="b">
        <v>0</v>
      </c>
      <c r="R175" t="b">
        <v>1</v>
      </c>
      <c r="S175" t="b">
        <v>0</v>
      </c>
      <c r="T175" t="b">
        <v>1</v>
      </c>
      <c r="U175">
        <v>2</v>
      </c>
      <c r="V175" t="s">
        <v>4072</v>
      </c>
    </row>
    <row r="176" spans="1:22" hidden="1" x14ac:dyDescent="0.45">
      <c r="A176" s="2" t="s">
        <v>1135</v>
      </c>
      <c r="B176" s="11">
        <v>45451</v>
      </c>
      <c r="C176" s="2" t="s">
        <v>2014</v>
      </c>
      <c r="D176" s="2" t="s">
        <v>2019</v>
      </c>
      <c r="E176">
        <v>0</v>
      </c>
      <c r="F176">
        <v>0</v>
      </c>
      <c r="G176">
        <v>4016.46</v>
      </c>
      <c r="H176">
        <v>353448.48</v>
      </c>
      <c r="I176" s="2" t="s">
        <v>2024</v>
      </c>
      <c r="J176" s="2" t="s">
        <v>2027</v>
      </c>
      <c r="K176" s="2" t="s">
        <v>3156</v>
      </c>
      <c r="L176" s="2" t="s">
        <v>4032</v>
      </c>
      <c r="M176">
        <v>4016.46</v>
      </c>
      <c r="N176" s="2" t="s">
        <v>4042</v>
      </c>
      <c r="O176">
        <v>88</v>
      </c>
      <c r="P176">
        <v>353448.48</v>
      </c>
      <c r="Q176" t="b">
        <v>1</v>
      </c>
      <c r="R176" t="b">
        <v>0</v>
      </c>
      <c r="S176" t="b">
        <v>0</v>
      </c>
      <c r="T176" t="b">
        <v>1</v>
      </c>
      <c r="U176">
        <v>2</v>
      </c>
      <c r="V176" t="s">
        <v>4072</v>
      </c>
    </row>
    <row r="177" spans="1:22" hidden="1" x14ac:dyDescent="0.45">
      <c r="A177" s="2" t="s">
        <v>522</v>
      </c>
      <c r="B177" s="11">
        <v>45165</v>
      </c>
      <c r="C177" s="2" t="s">
        <v>2013</v>
      </c>
      <c r="D177" s="2" t="s">
        <v>2018</v>
      </c>
      <c r="E177">
        <v>1723.41</v>
      </c>
      <c r="F177">
        <v>151660.08000000002</v>
      </c>
      <c r="G177">
        <v>0</v>
      </c>
      <c r="H177">
        <v>0</v>
      </c>
      <c r="I177" s="2" t="s">
        <v>2020</v>
      </c>
      <c r="J177" s="2" t="s">
        <v>2030</v>
      </c>
      <c r="K177" s="2" t="s">
        <v>2543</v>
      </c>
      <c r="L177" s="2" t="s">
        <v>4032</v>
      </c>
      <c r="M177">
        <v>-1723.41</v>
      </c>
      <c r="N177" s="2" t="s">
        <v>4044</v>
      </c>
      <c r="O177">
        <v>88</v>
      </c>
      <c r="P177">
        <v>-151660.08000000002</v>
      </c>
      <c r="Q177" t="b">
        <v>1</v>
      </c>
      <c r="R177" t="b">
        <v>1</v>
      </c>
      <c r="S177" t="b">
        <v>0</v>
      </c>
      <c r="T177" t="b">
        <v>0</v>
      </c>
      <c r="U177">
        <v>2</v>
      </c>
      <c r="V177" t="s">
        <v>4072</v>
      </c>
    </row>
    <row r="178" spans="1:22" hidden="1" x14ac:dyDescent="0.45">
      <c r="A178" s="2" t="s">
        <v>1023</v>
      </c>
      <c r="B178" s="11">
        <v>44955</v>
      </c>
      <c r="C178" s="2" t="s">
        <v>2014</v>
      </c>
      <c r="D178" s="2" t="s">
        <v>2019</v>
      </c>
      <c r="E178">
        <v>0</v>
      </c>
      <c r="F178">
        <v>0</v>
      </c>
      <c r="G178">
        <v>2318.9699999999998</v>
      </c>
      <c r="H178">
        <v>129862.31999999999</v>
      </c>
      <c r="I178" s="2" t="s">
        <v>2025</v>
      </c>
      <c r="J178" s="2" t="s">
        <v>2026</v>
      </c>
      <c r="K178" s="2" t="s">
        <v>3044</v>
      </c>
      <c r="L178" s="2" t="s">
        <v>4033</v>
      </c>
      <c r="M178">
        <v>2318.9699999999998</v>
      </c>
      <c r="N178" s="2" t="s">
        <v>4042</v>
      </c>
      <c r="O178">
        <v>56</v>
      </c>
      <c r="P178">
        <v>129862.31999999999</v>
      </c>
      <c r="Q178" t="b">
        <v>1</v>
      </c>
      <c r="R178" t="b">
        <v>1</v>
      </c>
      <c r="S178" t="b">
        <v>0</v>
      </c>
      <c r="T178" t="b">
        <v>0</v>
      </c>
      <c r="U178">
        <v>2</v>
      </c>
      <c r="V178" t="s">
        <v>4072</v>
      </c>
    </row>
    <row r="179" spans="1:22" hidden="1" x14ac:dyDescent="0.45">
      <c r="A179" s="2" t="s">
        <v>690</v>
      </c>
      <c r="B179" s="11">
        <v>45504</v>
      </c>
      <c r="C179" s="2" t="s">
        <v>2014</v>
      </c>
      <c r="D179" s="2" t="s">
        <v>2019</v>
      </c>
      <c r="E179">
        <v>0</v>
      </c>
      <c r="F179">
        <v>0</v>
      </c>
      <c r="G179">
        <v>4910.29</v>
      </c>
      <c r="H179">
        <v>505759.87</v>
      </c>
      <c r="I179" s="2" t="s">
        <v>2020</v>
      </c>
      <c r="J179" s="2" t="s">
        <v>2030</v>
      </c>
      <c r="K179" s="2" t="s">
        <v>2711</v>
      </c>
      <c r="L179" s="2" t="s">
        <v>4031</v>
      </c>
      <c r="M179">
        <v>4910.29</v>
      </c>
      <c r="N179" s="2" t="s">
        <v>4042</v>
      </c>
      <c r="O179">
        <v>103</v>
      </c>
      <c r="P179">
        <v>505759.87</v>
      </c>
      <c r="Q179" t="b">
        <v>0</v>
      </c>
      <c r="R179" t="b">
        <v>1</v>
      </c>
      <c r="S179" t="b">
        <v>0</v>
      </c>
      <c r="T179" t="b">
        <v>1</v>
      </c>
      <c r="U179">
        <v>2</v>
      </c>
      <c r="V179" t="s">
        <v>4072</v>
      </c>
    </row>
    <row r="180" spans="1:22" hidden="1" x14ac:dyDescent="0.45">
      <c r="A180" s="2" t="s">
        <v>772</v>
      </c>
      <c r="B180" s="11">
        <v>45823</v>
      </c>
      <c r="C180" s="2" t="s">
        <v>2014</v>
      </c>
      <c r="D180" s="2" t="s">
        <v>2019</v>
      </c>
      <c r="E180">
        <v>0</v>
      </c>
      <c r="F180">
        <v>0</v>
      </c>
      <c r="G180">
        <v>3519.33</v>
      </c>
      <c r="H180">
        <v>362490.99</v>
      </c>
      <c r="I180" s="2" t="s">
        <v>2024</v>
      </c>
      <c r="J180" s="2" t="s">
        <v>2028</v>
      </c>
      <c r="K180" s="2" t="s">
        <v>2793</v>
      </c>
      <c r="L180" s="2" t="s">
        <v>4031</v>
      </c>
      <c r="M180">
        <v>3519.33</v>
      </c>
      <c r="N180" s="2" t="s">
        <v>4042</v>
      </c>
      <c r="O180">
        <v>103</v>
      </c>
      <c r="P180">
        <v>362490.99</v>
      </c>
      <c r="Q180" t="b">
        <v>1</v>
      </c>
      <c r="R180" t="b">
        <v>0</v>
      </c>
      <c r="S180" t="b">
        <v>0</v>
      </c>
      <c r="T180" t="b">
        <v>1</v>
      </c>
      <c r="U180">
        <v>2</v>
      </c>
      <c r="V180" t="s">
        <v>4072</v>
      </c>
    </row>
    <row r="181" spans="1:22" hidden="1" x14ac:dyDescent="0.45">
      <c r="A181" s="2" t="s">
        <v>1810</v>
      </c>
      <c r="B181" s="11">
        <v>45318</v>
      </c>
      <c r="C181" s="2" t="s">
        <v>2013</v>
      </c>
      <c r="D181" s="2" t="s">
        <v>2018</v>
      </c>
      <c r="E181">
        <v>292.83999999999997</v>
      </c>
      <c r="F181">
        <v>24012.879999999997</v>
      </c>
      <c r="G181">
        <v>0</v>
      </c>
      <c r="H181">
        <v>0</v>
      </c>
      <c r="I181" s="2" t="s">
        <v>2023</v>
      </c>
      <c r="J181" s="2" t="s">
        <v>2029</v>
      </c>
      <c r="K181" s="2" t="s">
        <v>3831</v>
      </c>
      <c r="L181" s="2" t="s">
        <v>4034</v>
      </c>
      <c r="M181">
        <v>-292.83999999999997</v>
      </c>
      <c r="N181" s="2" t="s">
        <v>4044</v>
      </c>
      <c r="O181">
        <v>82</v>
      </c>
      <c r="P181">
        <v>-24012.879999999997</v>
      </c>
      <c r="Q181" t="b">
        <v>1</v>
      </c>
      <c r="R181" t="b">
        <v>1</v>
      </c>
      <c r="S181" t="b">
        <v>0</v>
      </c>
      <c r="T181" t="b">
        <v>0</v>
      </c>
      <c r="U181">
        <v>2</v>
      </c>
      <c r="V181" t="s">
        <v>4072</v>
      </c>
    </row>
    <row r="182" spans="1:22" hidden="1" x14ac:dyDescent="0.45">
      <c r="A182" s="2" t="s">
        <v>118</v>
      </c>
      <c r="B182" s="11">
        <v>45319</v>
      </c>
      <c r="C182" s="2" t="s">
        <v>2012</v>
      </c>
      <c r="D182" s="2" t="s">
        <v>2017</v>
      </c>
      <c r="E182">
        <v>1400.69</v>
      </c>
      <c r="F182">
        <v>144271.07</v>
      </c>
      <c r="G182">
        <v>0</v>
      </c>
      <c r="H182">
        <v>0</v>
      </c>
      <c r="I182" s="2" t="s">
        <v>2021</v>
      </c>
      <c r="J182" s="2" t="s">
        <v>2028</v>
      </c>
      <c r="K182" s="2" t="s">
        <v>2139</v>
      </c>
      <c r="L182" s="2" t="s">
        <v>4031</v>
      </c>
      <c r="M182">
        <v>-1400.69</v>
      </c>
      <c r="N182" s="2" t="s">
        <v>4044</v>
      </c>
      <c r="O182">
        <v>103</v>
      </c>
      <c r="P182">
        <v>-144271.07</v>
      </c>
      <c r="Q182" t="b">
        <v>1</v>
      </c>
      <c r="R182" t="b">
        <v>1</v>
      </c>
      <c r="S182" t="b">
        <v>0</v>
      </c>
      <c r="T182" t="b">
        <v>0</v>
      </c>
      <c r="U182">
        <v>2</v>
      </c>
      <c r="V182" t="s">
        <v>4072</v>
      </c>
    </row>
    <row r="183" spans="1:22" hidden="1" x14ac:dyDescent="0.45">
      <c r="A183" s="2" t="s">
        <v>1213</v>
      </c>
      <c r="B183" s="11">
        <v>45529</v>
      </c>
      <c r="C183" s="2" t="s">
        <v>2014</v>
      </c>
      <c r="D183" s="2" t="s">
        <v>2019</v>
      </c>
      <c r="E183">
        <v>0</v>
      </c>
      <c r="F183">
        <v>0</v>
      </c>
      <c r="G183">
        <v>2484.3000000000002</v>
      </c>
      <c r="H183">
        <v>151542.30000000002</v>
      </c>
      <c r="I183" s="2" t="s">
        <v>2021</v>
      </c>
      <c r="J183" s="2" t="s">
        <v>2026</v>
      </c>
      <c r="K183" s="2" t="s">
        <v>3234</v>
      </c>
      <c r="L183" s="2" t="s">
        <v>4035</v>
      </c>
      <c r="M183">
        <v>2484.3000000000002</v>
      </c>
      <c r="N183" s="2" t="s">
        <v>4042</v>
      </c>
      <c r="O183">
        <v>61</v>
      </c>
      <c r="P183">
        <v>151542.30000000002</v>
      </c>
      <c r="Q183" t="b">
        <v>1</v>
      </c>
      <c r="R183" t="b">
        <v>1</v>
      </c>
      <c r="S183" t="b">
        <v>0</v>
      </c>
      <c r="T183" t="b">
        <v>0</v>
      </c>
      <c r="U183">
        <v>2</v>
      </c>
      <c r="V183" t="s">
        <v>4072</v>
      </c>
    </row>
    <row r="184" spans="1:22" hidden="1" x14ac:dyDescent="0.45">
      <c r="A184" s="2" t="s">
        <v>1927</v>
      </c>
      <c r="B184" s="11">
        <v>45143</v>
      </c>
      <c r="C184" s="2" t="s">
        <v>2014</v>
      </c>
      <c r="D184" s="2" t="s">
        <v>2019</v>
      </c>
      <c r="E184">
        <v>0</v>
      </c>
      <c r="F184">
        <v>0</v>
      </c>
      <c r="G184">
        <v>4525.68</v>
      </c>
      <c r="H184">
        <v>371105.76</v>
      </c>
      <c r="I184" s="2" t="s">
        <v>2020</v>
      </c>
      <c r="J184" s="2" t="s">
        <v>2030</v>
      </c>
      <c r="K184" s="2" t="s">
        <v>3948</v>
      </c>
      <c r="L184" s="2" t="s">
        <v>4034</v>
      </c>
      <c r="M184">
        <v>4525.68</v>
      </c>
      <c r="N184" s="2" t="s">
        <v>4042</v>
      </c>
      <c r="O184">
        <v>82</v>
      </c>
      <c r="P184">
        <v>371105.76</v>
      </c>
      <c r="Q184" t="b">
        <v>1</v>
      </c>
      <c r="R184" t="b">
        <v>0</v>
      </c>
      <c r="S184" t="b">
        <v>0</v>
      </c>
      <c r="T184" t="b">
        <v>1</v>
      </c>
      <c r="U184">
        <v>2</v>
      </c>
      <c r="V184" t="s">
        <v>4072</v>
      </c>
    </row>
    <row r="185" spans="1:22" hidden="1" x14ac:dyDescent="0.45">
      <c r="A185" s="2" t="s">
        <v>1427</v>
      </c>
      <c r="B185" s="11">
        <v>45522</v>
      </c>
      <c r="C185" s="2" t="s">
        <v>2010</v>
      </c>
      <c r="D185" s="2" t="s">
        <v>2015</v>
      </c>
      <c r="E185">
        <v>0</v>
      </c>
      <c r="F185">
        <v>0</v>
      </c>
      <c r="G185">
        <v>4835.3</v>
      </c>
      <c r="H185">
        <v>498035.9</v>
      </c>
      <c r="I185" s="2" t="s">
        <v>2022</v>
      </c>
      <c r="J185" s="2" t="s">
        <v>2030</v>
      </c>
      <c r="K185" s="2" t="s">
        <v>3448</v>
      </c>
      <c r="L185" s="2" t="s">
        <v>4031</v>
      </c>
      <c r="M185">
        <v>4835.3</v>
      </c>
      <c r="N185" s="2" t="s">
        <v>4042</v>
      </c>
      <c r="O185">
        <v>103</v>
      </c>
      <c r="P185">
        <v>498035.9</v>
      </c>
      <c r="Q185" t="b">
        <v>1</v>
      </c>
      <c r="R185" t="b">
        <v>0</v>
      </c>
      <c r="S185" t="b">
        <v>0</v>
      </c>
      <c r="T185" t="b">
        <v>1</v>
      </c>
      <c r="U185">
        <v>2</v>
      </c>
      <c r="V185" t="s">
        <v>4072</v>
      </c>
    </row>
    <row r="186" spans="1:22" hidden="1" x14ac:dyDescent="0.45">
      <c r="A186" s="2" t="s">
        <v>1257</v>
      </c>
      <c r="B186" s="11">
        <v>45424</v>
      </c>
      <c r="C186" s="2" t="s">
        <v>2010</v>
      </c>
      <c r="D186" s="2" t="s">
        <v>2015</v>
      </c>
      <c r="E186">
        <v>0</v>
      </c>
      <c r="F186">
        <v>0</v>
      </c>
      <c r="G186">
        <v>3603.35</v>
      </c>
      <c r="H186">
        <v>371145.05</v>
      </c>
      <c r="I186" s="2" t="s">
        <v>2020</v>
      </c>
      <c r="J186" s="2" t="s">
        <v>2028</v>
      </c>
      <c r="K186" s="2" t="s">
        <v>3278</v>
      </c>
      <c r="L186" s="2" t="s">
        <v>4031</v>
      </c>
      <c r="M186">
        <v>3603.35</v>
      </c>
      <c r="N186" s="2" t="s">
        <v>4042</v>
      </c>
      <c r="O186">
        <v>103</v>
      </c>
      <c r="P186">
        <v>371145.05</v>
      </c>
      <c r="Q186" t="b">
        <v>1</v>
      </c>
      <c r="R186" t="b">
        <v>0</v>
      </c>
      <c r="S186" t="b">
        <v>0</v>
      </c>
      <c r="T186" t="b">
        <v>1</v>
      </c>
      <c r="U186">
        <v>2</v>
      </c>
      <c r="V186" t="s">
        <v>4072</v>
      </c>
    </row>
    <row r="187" spans="1:22" hidden="1" x14ac:dyDescent="0.45">
      <c r="A187" s="2" t="s">
        <v>1455</v>
      </c>
      <c r="B187" s="11">
        <v>45171</v>
      </c>
      <c r="C187" s="2" t="s">
        <v>2014</v>
      </c>
      <c r="D187" s="2" t="s">
        <v>2019</v>
      </c>
      <c r="E187">
        <v>0</v>
      </c>
      <c r="F187">
        <v>0</v>
      </c>
      <c r="G187">
        <v>4210.6499999999996</v>
      </c>
      <c r="H187">
        <v>370537.19999999995</v>
      </c>
      <c r="I187" s="2" t="s">
        <v>2021</v>
      </c>
      <c r="J187" s="2" t="s">
        <v>2026</v>
      </c>
      <c r="K187" s="2" t="s">
        <v>3476</v>
      </c>
      <c r="L187" s="2" t="s">
        <v>4032</v>
      </c>
      <c r="M187">
        <v>4210.6499999999996</v>
      </c>
      <c r="N187" s="2" t="s">
        <v>4042</v>
      </c>
      <c r="O187">
        <v>88</v>
      </c>
      <c r="P187">
        <v>370537.19999999995</v>
      </c>
      <c r="Q187" t="b">
        <v>1</v>
      </c>
      <c r="R187" t="b">
        <v>0</v>
      </c>
      <c r="S187" t="b">
        <v>0</v>
      </c>
      <c r="T187" t="b">
        <v>1</v>
      </c>
      <c r="U187">
        <v>2</v>
      </c>
      <c r="V187" t="s">
        <v>4072</v>
      </c>
    </row>
    <row r="188" spans="1:22" hidden="1" x14ac:dyDescent="0.45">
      <c r="A188" s="2" t="s">
        <v>545</v>
      </c>
      <c r="B188" s="11">
        <v>45214</v>
      </c>
      <c r="C188" s="2" t="s">
        <v>2014</v>
      </c>
      <c r="D188" s="2" t="s">
        <v>2019</v>
      </c>
      <c r="E188">
        <v>0</v>
      </c>
      <c r="F188">
        <v>0</v>
      </c>
      <c r="G188">
        <v>3620.97</v>
      </c>
      <c r="H188">
        <v>372959.91</v>
      </c>
      <c r="I188" s="2" t="s">
        <v>2024</v>
      </c>
      <c r="J188" s="2" t="s">
        <v>2030</v>
      </c>
      <c r="K188" s="2" t="s">
        <v>2566</v>
      </c>
      <c r="L188" s="2" t="s">
        <v>4031</v>
      </c>
      <c r="M188">
        <v>3620.97</v>
      </c>
      <c r="N188" s="2" t="s">
        <v>4042</v>
      </c>
      <c r="O188">
        <v>103</v>
      </c>
      <c r="P188">
        <v>372959.91</v>
      </c>
      <c r="Q188" t="b">
        <v>1</v>
      </c>
      <c r="R188" t="b">
        <v>0</v>
      </c>
      <c r="S188" t="b">
        <v>0</v>
      </c>
      <c r="T188" t="b">
        <v>1</v>
      </c>
      <c r="U188">
        <v>2</v>
      </c>
      <c r="V188" t="s">
        <v>4072</v>
      </c>
    </row>
    <row r="189" spans="1:22" hidden="1" x14ac:dyDescent="0.45">
      <c r="A189" s="2" t="s">
        <v>1577</v>
      </c>
      <c r="B189" s="11">
        <v>45653</v>
      </c>
      <c r="C189" s="2" t="s">
        <v>2012</v>
      </c>
      <c r="D189" s="2" t="s">
        <v>2017</v>
      </c>
      <c r="E189">
        <v>420.76</v>
      </c>
      <c r="F189">
        <v>43338.28</v>
      </c>
      <c r="G189">
        <v>0</v>
      </c>
      <c r="H189">
        <v>0</v>
      </c>
      <c r="I189" s="2" t="s">
        <v>2023</v>
      </c>
      <c r="J189" s="2" t="s">
        <v>2027</v>
      </c>
      <c r="K189" s="2" t="s">
        <v>3598</v>
      </c>
      <c r="L189" s="2" t="s">
        <v>4031</v>
      </c>
      <c r="M189">
        <v>-420.76</v>
      </c>
      <c r="N189" s="2" t="s">
        <v>4044</v>
      </c>
      <c r="O189">
        <v>103</v>
      </c>
      <c r="P189">
        <v>-43338.28</v>
      </c>
      <c r="Q189" t="b">
        <v>0</v>
      </c>
      <c r="R189" t="b">
        <v>1</v>
      </c>
      <c r="S189" t="b">
        <v>0</v>
      </c>
      <c r="T189" t="b">
        <v>0</v>
      </c>
      <c r="U189">
        <v>1</v>
      </c>
      <c r="V189" t="s">
        <v>4073</v>
      </c>
    </row>
    <row r="190" spans="1:22" hidden="1" x14ac:dyDescent="0.45">
      <c r="A190" s="2" t="s">
        <v>1236</v>
      </c>
      <c r="B190" s="11">
        <v>45498</v>
      </c>
      <c r="C190" s="2" t="s">
        <v>2011</v>
      </c>
      <c r="D190" s="2" t="s">
        <v>2016</v>
      </c>
      <c r="E190">
        <v>1358.9</v>
      </c>
      <c r="F190">
        <v>111429.8</v>
      </c>
      <c r="G190">
        <v>0</v>
      </c>
      <c r="H190">
        <v>0</v>
      </c>
      <c r="I190" s="2" t="s">
        <v>2023</v>
      </c>
      <c r="J190" s="2" t="s">
        <v>2027</v>
      </c>
      <c r="K190" s="2" t="s">
        <v>3257</v>
      </c>
      <c r="L190" s="2" t="s">
        <v>4034</v>
      </c>
      <c r="M190">
        <v>-1358.9</v>
      </c>
      <c r="N190" s="2" t="s">
        <v>2016</v>
      </c>
      <c r="O190">
        <v>82</v>
      </c>
      <c r="P190">
        <v>-111429.8</v>
      </c>
      <c r="Q190" t="b">
        <v>0</v>
      </c>
      <c r="R190" t="b">
        <v>1</v>
      </c>
      <c r="S190" t="b">
        <v>0</v>
      </c>
      <c r="T190" t="b">
        <v>0</v>
      </c>
      <c r="U190">
        <v>1</v>
      </c>
      <c r="V190" t="s">
        <v>4073</v>
      </c>
    </row>
    <row r="191" spans="1:22" hidden="1" x14ac:dyDescent="0.45">
      <c r="A191" s="2" t="s">
        <v>1293</v>
      </c>
      <c r="B191" s="11">
        <v>45287</v>
      </c>
      <c r="C191" s="2" t="s">
        <v>2011</v>
      </c>
      <c r="D191" s="2" t="s">
        <v>2016</v>
      </c>
      <c r="E191">
        <v>475.84</v>
      </c>
      <c r="F191">
        <v>39018.879999999997</v>
      </c>
      <c r="G191">
        <v>0</v>
      </c>
      <c r="H191">
        <v>0</v>
      </c>
      <c r="I191" s="2" t="s">
        <v>2021</v>
      </c>
      <c r="J191" s="2" t="s">
        <v>2027</v>
      </c>
      <c r="K191" s="2" t="s">
        <v>3314</v>
      </c>
      <c r="L191" s="2" t="s">
        <v>4034</v>
      </c>
      <c r="M191">
        <v>-475.84</v>
      </c>
      <c r="N191" s="2" t="s">
        <v>2016</v>
      </c>
      <c r="O191">
        <v>82</v>
      </c>
      <c r="P191">
        <v>-39018.879999999997</v>
      </c>
      <c r="Q191" t="b">
        <v>0</v>
      </c>
      <c r="R191" t="b">
        <v>1</v>
      </c>
      <c r="S191" t="b">
        <v>0</v>
      </c>
      <c r="T191" t="b">
        <v>0</v>
      </c>
      <c r="U191">
        <v>1</v>
      </c>
      <c r="V191" t="s">
        <v>4073</v>
      </c>
    </row>
    <row r="192" spans="1:22" hidden="1" x14ac:dyDescent="0.45">
      <c r="A192" s="2" t="s">
        <v>704</v>
      </c>
      <c r="B192" s="11">
        <v>45423</v>
      </c>
      <c r="C192" s="2" t="s">
        <v>2012</v>
      </c>
      <c r="D192" s="2" t="s">
        <v>2017</v>
      </c>
      <c r="E192">
        <v>1824.18</v>
      </c>
      <c r="F192">
        <v>111274.98000000001</v>
      </c>
      <c r="G192">
        <v>0</v>
      </c>
      <c r="H192">
        <v>0</v>
      </c>
      <c r="I192" s="2" t="s">
        <v>2022</v>
      </c>
      <c r="J192" s="2" t="s">
        <v>2027</v>
      </c>
      <c r="K192" s="2" t="s">
        <v>2725</v>
      </c>
      <c r="L192" s="2" t="s">
        <v>4035</v>
      </c>
      <c r="M192">
        <v>-1824.18</v>
      </c>
      <c r="N192" s="2" t="s">
        <v>4044</v>
      </c>
      <c r="O192">
        <v>61</v>
      </c>
      <c r="P192">
        <v>-111274.98000000001</v>
      </c>
      <c r="Q192" t="b">
        <v>1</v>
      </c>
      <c r="R192" t="b">
        <v>0</v>
      </c>
      <c r="S192" t="b">
        <v>0</v>
      </c>
      <c r="T192" t="b">
        <v>0</v>
      </c>
      <c r="U192">
        <v>1</v>
      </c>
      <c r="V192" t="s">
        <v>4073</v>
      </c>
    </row>
    <row r="193" spans="1:22" hidden="1" x14ac:dyDescent="0.45">
      <c r="A193" s="2" t="s">
        <v>1208</v>
      </c>
      <c r="B193" s="11">
        <v>45440</v>
      </c>
      <c r="C193" s="2" t="s">
        <v>2010</v>
      </c>
      <c r="D193" s="2" t="s">
        <v>2015</v>
      </c>
      <c r="E193">
        <v>0</v>
      </c>
      <c r="F193">
        <v>0</v>
      </c>
      <c r="G193">
        <v>383.06</v>
      </c>
      <c r="H193">
        <v>39455.18</v>
      </c>
      <c r="I193" s="2" t="s">
        <v>2023</v>
      </c>
      <c r="J193" s="2" t="s">
        <v>2030</v>
      </c>
      <c r="K193" s="2" t="s">
        <v>3229</v>
      </c>
      <c r="L193" s="2" t="s">
        <v>4031</v>
      </c>
      <c r="M193">
        <v>383.06</v>
      </c>
      <c r="N193" s="2" t="s">
        <v>4042</v>
      </c>
      <c r="O193">
        <v>103</v>
      </c>
      <c r="P193">
        <v>39455.18</v>
      </c>
      <c r="Q193" t="b">
        <v>0</v>
      </c>
      <c r="R193" t="b">
        <v>1</v>
      </c>
      <c r="S193" t="b">
        <v>0</v>
      </c>
      <c r="T193" t="b">
        <v>0</v>
      </c>
      <c r="U193">
        <v>1</v>
      </c>
      <c r="V193" t="s">
        <v>4073</v>
      </c>
    </row>
    <row r="194" spans="1:22" hidden="1" x14ac:dyDescent="0.45">
      <c r="A194" s="2" t="s">
        <v>610</v>
      </c>
      <c r="B194" s="11">
        <v>45103</v>
      </c>
      <c r="C194" s="2" t="s">
        <v>2013</v>
      </c>
      <c r="D194" s="2" t="s">
        <v>2018</v>
      </c>
      <c r="E194">
        <v>387.61</v>
      </c>
      <c r="F194">
        <v>39923.83</v>
      </c>
      <c r="G194">
        <v>0</v>
      </c>
      <c r="H194">
        <v>0</v>
      </c>
      <c r="I194" s="2" t="s">
        <v>2025</v>
      </c>
      <c r="J194" s="2" t="s">
        <v>2028</v>
      </c>
      <c r="K194" s="2" t="s">
        <v>2631</v>
      </c>
      <c r="L194" s="2" t="s">
        <v>4031</v>
      </c>
      <c r="M194">
        <v>-387.61</v>
      </c>
      <c r="N194" s="2" t="s">
        <v>4044</v>
      </c>
      <c r="O194">
        <v>103</v>
      </c>
      <c r="P194">
        <v>-39923.83</v>
      </c>
      <c r="Q194" t="b">
        <v>0</v>
      </c>
      <c r="R194" t="b">
        <v>1</v>
      </c>
      <c r="S194" t="b">
        <v>0</v>
      </c>
      <c r="T194" t="b">
        <v>0</v>
      </c>
      <c r="U194">
        <v>1</v>
      </c>
      <c r="V194" t="s">
        <v>4073</v>
      </c>
    </row>
    <row r="195" spans="1:22" hidden="1" x14ac:dyDescent="0.45">
      <c r="A195" s="2" t="s">
        <v>329</v>
      </c>
      <c r="B195" s="11">
        <v>45340</v>
      </c>
      <c r="C195" s="2" t="s">
        <v>2013</v>
      </c>
      <c r="D195" s="2" t="s">
        <v>2018</v>
      </c>
      <c r="E195">
        <v>1808.37</v>
      </c>
      <c r="F195">
        <v>110310.56999999999</v>
      </c>
      <c r="G195">
        <v>0</v>
      </c>
      <c r="H195">
        <v>0</v>
      </c>
      <c r="I195" s="2" t="s">
        <v>2024</v>
      </c>
      <c r="J195" s="2" t="s">
        <v>2028</v>
      </c>
      <c r="K195" s="2" t="s">
        <v>2350</v>
      </c>
      <c r="L195" s="2" t="s">
        <v>4035</v>
      </c>
      <c r="M195">
        <v>-1808.37</v>
      </c>
      <c r="N195" s="2" t="s">
        <v>4044</v>
      </c>
      <c r="O195">
        <v>61</v>
      </c>
      <c r="P195">
        <v>-110310.56999999999</v>
      </c>
      <c r="Q195" t="b">
        <v>1</v>
      </c>
      <c r="R195" t="b">
        <v>0</v>
      </c>
      <c r="S195" t="b">
        <v>0</v>
      </c>
      <c r="T195" t="b">
        <v>0</v>
      </c>
      <c r="U195">
        <v>1</v>
      </c>
      <c r="V195" t="s">
        <v>4073</v>
      </c>
    </row>
    <row r="196" spans="1:22" hidden="1" x14ac:dyDescent="0.45">
      <c r="A196" s="2" t="s">
        <v>1162</v>
      </c>
      <c r="B196" s="11">
        <v>45332</v>
      </c>
      <c r="C196" s="2" t="s">
        <v>2011</v>
      </c>
      <c r="D196" s="2" t="s">
        <v>2016</v>
      </c>
      <c r="E196">
        <v>1212.48</v>
      </c>
      <c r="F196">
        <v>106698.24000000001</v>
      </c>
      <c r="G196">
        <v>0</v>
      </c>
      <c r="H196">
        <v>0</v>
      </c>
      <c r="I196" s="2" t="s">
        <v>2024</v>
      </c>
      <c r="J196" s="2" t="s">
        <v>2027</v>
      </c>
      <c r="K196" s="2" t="s">
        <v>3183</v>
      </c>
      <c r="L196" s="2" t="s">
        <v>4032</v>
      </c>
      <c r="M196">
        <v>-1212.48</v>
      </c>
      <c r="N196" s="2" t="s">
        <v>2016</v>
      </c>
      <c r="O196">
        <v>88</v>
      </c>
      <c r="P196">
        <v>-106698.24000000001</v>
      </c>
      <c r="Q196" t="b">
        <v>1</v>
      </c>
      <c r="R196" t="b">
        <v>0</v>
      </c>
      <c r="S196" t="b">
        <v>0</v>
      </c>
      <c r="T196" t="b">
        <v>0</v>
      </c>
      <c r="U196">
        <v>1</v>
      </c>
      <c r="V196" t="s">
        <v>4073</v>
      </c>
    </row>
    <row r="197" spans="1:22" hidden="1" x14ac:dyDescent="0.45">
      <c r="A197" s="2" t="s">
        <v>1318</v>
      </c>
      <c r="B197" s="11">
        <v>45340</v>
      </c>
      <c r="C197" s="2" t="s">
        <v>2013</v>
      </c>
      <c r="D197" s="2" t="s">
        <v>2018</v>
      </c>
      <c r="E197">
        <v>473.43</v>
      </c>
      <c r="F197">
        <v>26512.080000000002</v>
      </c>
      <c r="G197">
        <v>0</v>
      </c>
      <c r="H197">
        <v>0</v>
      </c>
      <c r="I197" s="2" t="s">
        <v>2020</v>
      </c>
      <c r="J197" s="2" t="s">
        <v>2029</v>
      </c>
      <c r="K197" s="2" t="s">
        <v>3339</v>
      </c>
      <c r="L197" s="2" t="s">
        <v>4033</v>
      </c>
      <c r="M197">
        <v>-473.43</v>
      </c>
      <c r="N197" s="2" t="s">
        <v>4044</v>
      </c>
      <c r="O197">
        <v>56</v>
      </c>
      <c r="P197">
        <v>-26512.080000000002</v>
      </c>
      <c r="Q197" t="b">
        <v>1</v>
      </c>
      <c r="R197" t="b">
        <v>0</v>
      </c>
      <c r="S197" t="b">
        <v>0</v>
      </c>
      <c r="T197" t="b">
        <v>0</v>
      </c>
      <c r="U197">
        <v>1</v>
      </c>
      <c r="V197" t="s">
        <v>4073</v>
      </c>
    </row>
    <row r="198" spans="1:22" hidden="1" x14ac:dyDescent="0.45">
      <c r="A198" s="2" t="s">
        <v>918</v>
      </c>
      <c r="B198" s="11">
        <v>45718</v>
      </c>
      <c r="C198" s="2" t="s">
        <v>2011</v>
      </c>
      <c r="D198" s="2" t="s">
        <v>2016</v>
      </c>
      <c r="E198">
        <v>1880.1</v>
      </c>
      <c r="F198">
        <v>105285.59999999999</v>
      </c>
      <c r="G198">
        <v>0</v>
      </c>
      <c r="H198">
        <v>0</v>
      </c>
      <c r="I198" s="2" t="s">
        <v>2022</v>
      </c>
      <c r="J198" s="2" t="s">
        <v>2027</v>
      </c>
      <c r="K198" s="2" t="s">
        <v>2939</v>
      </c>
      <c r="L198" s="2" t="s">
        <v>4033</v>
      </c>
      <c r="M198">
        <v>-1880.1</v>
      </c>
      <c r="N198" s="2" t="s">
        <v>2016</v>
      </c>
      <c r="O198">
        <v>56</v>
      </c>
      <c r="P198">
        <v>-105285.59999999999</v>
      </c>
      <c r="Q198" t="b">
        <v>1</v>
      </c>
      <c r="R198" t="b">
        <v>0</v>
      </c>
      <c r="S198" t="b">
        <v>0</v>
      </c>
      <c r="T198" t="b">
        <v>0</v>
      </c>
      <c r="U198">
        <v>1</v>
      </c>
      <c r="V198" t="s">
        <v>4073</v>
      </c>
    </row>
    <row r="199" spans="1:22" hidden="1" x14ac:dyDescent="0.45">
      <c r="A199" s="2" t="s">
        <v>1884</v>
      </c>
      <c r="B199" s="11">
        <v>44933</v>
      </c>
      <c r="C199" s="2" t="s">
        <v>2011</v>
      </c>
      <c r="D199" s="2" t="s">
        <v>2016</v>
      </c>
      <c r="E199">
        <v>520.70000000000005</v>
      </c>
      <c r="F199">
        <v>42697.4</v>
      </c>
      <c r="G199">
        <v>0</v>
      </c>
      <c r="H199">
        <v>0</v>
      </c>
      <c r="I199" s="2" t="s">
        <v>2021</v>
      </c>
      <c r="J199" s="2" t="s">
        <v>2030</v>
      </c>
      <c r="K199" s="2" t="s">
        <v>3905</v>
      </c>
      <c r="L199" s="2" t="s">
        <v>4034</v>
      </c>
      <c r="M199">
        <v>-520.70000000000005</v>
      </c>
      <c r="N199" s="2" t="s">
        <v>2016</v>
      </c>
      <c r="O199">
        <v>82</v>
      </c>
      <c r="P199">
        <v>-42697.4</v>
      </c>
      <c r="Q199" t="b">
        <v>1</v>
      </c>
      <c r="R199" t="b">
        <v>0</v>
      </c>
      <c r="S199" t="b">
        <v>0</v>
      </c>
      <c r="T199" t="b">
        <v>0</v>
      </c>
      <c r="U199">
        <v>1</v>
      </c>
      <c r="V199" t="s">
        <v>4073</v>
      </c>
    </row>
    <row r="200" spans="1:22" hidden="1" x14ac:dyDescent="0.45">
      <c r="A200" s="2" t="s">
        <v>1299</v>
      </c>
      <c r="B200" s="11">
        <v>45620</v>
      </c>
      <c r="C200" s="2" t="s">
        <v>2012</v>
      </c>
      <c r="D200" s="2" t="s">
        <v>2017</v>
      </c>
      <c r="E200">
        <v>520.39</v>
      </c>
      <c r="F200">
        <v>42671.979999999996</v>
      </c>
      <c r="G200">
        <v>0</v>
      </c>
      <c r="H200">
        <v>0</v>
      </c>
      <c r="I200" s="2" t="s">
        <v>2025</v>
      </c>
      <c r="J200" s="2" t="s">
        <v>2029</v>
      </c>
      <c r="K200" s="2" t="s">
        <v>3320</v>
      </c>
      <c r="L200" s="2" t="s">
        <v>4034</v>
      </c>
      <c r="M200">
        <v>-520.39</v>
      </c>
      <c r="N200" s="2" t="s">
        <v>4044</v>
      </c>
      <c r="O200">
        <v>82</v>
      </c>
      <c r="P200">
        <v>-42671.979999999996</v>
      </c>
      <c r="Q200" t="b">
        <v>1</v>
      </c>
      <c r="R200" t="b">
        <v>0</v>
      </c>
      <c r="S200" t="b">
        <v>0</v>
      </c>
      <c r="T200" t="b">
        <v>0</v>
      </c>
      <c r="U200">
        <v>1</v>
      </c>
      <c r="V200" t="s">
        <v>4073</v>
      </c>
    </row>
    <row r="201" spans="1:22" hidden="1" x14ac:dyDescent="0.45">
      <c r="A201" s="2" t="s">
        <v>1061</v>
      </c>
      <c r="B201" s="11">
        <v>44968</v>
      </c>
      <c r="C201" s="2" t="s">
        <v>2010</v>
      </c>
      <c r="D201" s="2" t="s">
        <v>2015</v>
      </c>
      <c r="E201">
        <v>0</v>
      </c>
      <c r="F201">
        <v>0</v>
      </c>
      <c r="G201">
        <v>458.3</v>
      </c>
      <c r="H201">
        <v>40330.400000000001</v>
      </c>
      <c r="I201" s="2" t="s">
        <v>2024</v>
      </c>
      <c r="J201" s="2" t="s">
        <v>2030</v>
      </c>
      <c r="K201" s="2" t="s">
        <v>3082</v>
      </c>
      <c r="L201" s="2" t="s">
        <v>4032</v>
      </c>
      <c r="M201">
        <v>458.3</v>
      </c>
      <c r="N201" s="2" t="s">
        <v>4042</v>
      </c>
      <c r="O201">
        <v>88</v>
      </c>
      <c r="P201">
        <v>40330.400000000001</v>
      </c>
      <c r="Q201" t="b">
        <v>1</v>
      </c>
      <c r="R201" t="b">
        <v>0</v>
      </c>
      <c r="S201" t="b">
        <v>0</v>
      </c>
      <c r="T201" t="b">
        <v>0</v>
      </c>
      <c r="U201">
        <v>1</v>
      </c>
      <c r="V201" t="s">
        <v>4073</v>
      </c>
    </row>
    <row r="202" spans="1:22" hidden="1" x14ac:dyDescent="0.45">
      <c r="A202" s="2" t="s">
        <v>1311</v>
      </c>
      <c r="B202" s="11">
        <v>45451</v>
      </c>
      <c r="C202" s="2" t="s">
        <v>2011</v>
      </c>
      <c r="D202" s="2" t="s">
        <v>2016</v>
      </c>
      <c r="E202">
        <v>1345.83</v>
      </c>
      <c r="F202">
        <v>138620.49</v>
      </c>
      <c r="G202">
        <v>0</v>
      </c>
      <c r="H202">
        <v>0</v>
      </c>
      <c r="I202" s="2" t="s">
        <v>2022</v>
      </c>
      <c r="J202" s="2" t="s">
        <v>2027</v>
      </c>
      <c r="K202" s="2" t="s">
        <v>3332</v>
      </c>
      <c r="L202" s="2" t="s">
        <v>4031</v>
      </c>
      <c r="M202">
        <v>-1345.83</v>
      </c>
      <c r="N202" s="2" t="s">
        <v>2016</v>
      </c>
      <c r="O202">
        <v>103</v>
      </c>
      <c r="P202">
        <v>-138620.49</v>
      </c>
      <c r="Q202" t="b">
        <v>1</v>
      </c>
      <c r="R202" t="b">
        <v>0</v>
      </c>
      <c r="S202" t="b">
        <v>0</v>
      </c>
      <c r="T202" t="b">
        <v>0</v>
      </c>
      <c r="U202">
        <v>1</v>
      </c>
      <c r="V202" t="s">
        <v>4073</v>
      </c>
    </row>
    <row r="203" spans="1:22" hidden="1" x14ac:dyDescent="0.45">
      <c r="A203" s="2" t="s">
        <v>76</v>
      </c>
      <c r="B203" s="11">
        <v>45214</v>
      </c>
      <c r="C203" s="2" t="s">
        <v>2013</v>
      </c>
      <c r="D203" s="2" t="s">
        <v>2018</v>
      </c>
      <c r="E203">
        <v>1212.6500000000001</v>
      </c>
      <c r="F203">
        <v>106713.20000000001</v>
      </c>
      <c r="G203">
        <v>0</v>
      </c>
      <c r="H203">
        <v>0</v>
      </c>
      <c r="I203" s="2" t="s">
        <v>2025</v>
      </c>
      <c r="J203" s="2" t="s">
        <v>2026</v>
      </c>
      <c r="K203" s="2" t="s">
        <v>2097</v>
      </c>
      <c r="L203" s="2" t="s">
        <v>4032</v>
      </c>
      <c r="M203">
        <v>-1212.6500000000001</v>
      </c>
      <c r="N203" s="2" t="s">
        <v>4044</v>
      </c>
      <c r="O203">
        <v>88</v>
      </c>
      <c r="P203">
        <v>-106713.20000000001</v>
      </c>
      <c r="Q203" t="b">
        <v>1</v>
      </c>
      <c r="R203" t="b">
        <v>0</v>
      </c>
      <c r="S203" t="b">
        <v>0</v>
      </c>
      <c r="T203" t="b">
        <v>0</v>
      </c>
      <c r="U203">
        <v>1</v>
      </c>
      <c r="V203" t="s">
        <v>4073</v>
      </c>
    </row>
    <row r="204" spans="1:22" hidden="1" x14ac:dyDescent="0.45">
      <c r="A204" s="2" t="s">
        <v>594</v>
      </c>
      <c r="B204" s="11">
        <v>45351</v>
      </c>
      <c r="C204" s="2" t="s">
        <v>2012</v>
      </c>
      <c r="D204" s="2" t="s">
        <v>2017</v>
      </c>
      <c r="E204">
        <v>1991.12</v>
      </c>
      <c r="F204">
        <v>111502.72</v>
      </c>
      <c r="G204">
        <v>0</v>
      </c>
      <c r="H204">
        <v>0</v>
      </c>
      <c r="I204" s="2" t="s">
        <v>2022</v>
      </c>
      <c r="J204" s="2" t="s">
        <v>2030</v>
      </c>
      <c r="K204" s="2" t="s">
        <v>2615</v>
      </c>
      <c r="L204" s="2" t="s">
        <v>4033</v>
      </c>
      <c r="M204">
        <v>-1991.12</v>
      </c>
      <c r="N204" s="2" t="s">
        <v>4044</v>
      </c>
      <c r="O204">
        <v>56</v>
      </c>
      <c r="P204">
        <v>-111502.72</v>
      </c>
      <c r="Q204" t="b">
        <v>0</v>
      </c>
      <c r="R204" t="b">
        <v>1</v>
      </c>
      <c r="S204" t="b">
        <v>0</v>
      </c>
      <c r="T204" t="b">
        <v>0</v>
      </c>
      <c r="U204">
        <v>1</v>
      </c>
      <c r="V204" t="s">
        <v>4073</v>
      </c>
    </row>
    <row r="205" spans="1:22" hidden="1" x14ac:dyDescent="0.45">
      <c r="A205" s="2" t="s">
        <v>1826</v>
      </c>
      <c r="B205" s="11">
        <v>45775</v>
      </c>
      <c r="C205" s="2" t="s">
        <v>2011</v>
      </c>
      <c r="D205" s="2" t="s">
        <v>2016</v>
      </c>
      <c r="E205">
        <v>692.56</v>
      </c>
      <c r="F205">
        <v>38783.360000000001</v>
      </c>
      <c r="G205">
        <v>0</v>
      </c>
      <c r="H205">
        <v>0</v>
      </c>
      <c r="I205" s="2" t="s">
        <v>2020</v>
      </c>
      <c r="J205" s="2" t="s">
        <v>2026</v>
      </c>
      <c r="K205" s="2" t="s">
        <v>3847</v>
      </c>
      <c r="L205" s="2" t="s">
        <v>4033</v>
      </c>
      <c r="M205">
        <v>-692.56</v>
      </c>
      <c r="N205" s="2" t="s">
        <v>2016</v>
      </c>
      <c r="O205">
        <v>56</v>
      </c>
      <c r="P205">
        <v>-38783.360000000001</v>
      </c>
      <c r="Q205" t="b">
        <v>0</v>
      </c>
      <c r="R205" t="b">
        <v>1</v>
      </c>
      <c r="S205" t="b">
        <v>0</v>
      </c>
      <c r="T205" t="b">
        <v>0</v>
      </c>
      <c r="U205">
        <v>1</v>
      </c>
      <c r="V205" t="s">
        <v>4073</v>
      </c>
    </row>
    <row r="206" spans="1:22" hidden="1" x14ac:dyDescent="0.45">
      <c r="A206" s="2" t="s">
        <v>842</v>
      </c>
      <c r="B206" s="11">
        <v>45684</v>
      </c>
      <c r="C206" s="2" t="s">
        <v>2013</v>
      </c>
      <c r="D206" s="2" t="s">
        <v>2018</v>
      </c>
      <c r="E206">
        <v>635.02</v>
      </c>
      <c r="F206">
        <v>38736.22</v>
      </c>
      <c r="G206">
        <v>0</v>
      </c>
      <c r="H206">
        <v>0</v>
      </c>
      <c r="I206" s="2" t="s">
        <v>2023</v>
      </c>
      <c r="J206" s="2" t="s">
        <v>2028</v>
      </c>
      <c r="K206" s="2" t="s">
        <v>2863</v>
      </c>
      <c r="L206" s="2" t="s">
        <v>4035</v>
      </c>
      <c r="M206">
        <v>-635.02</v>
      </c>
      <c r="N206" s="2" t="s">
        <v>4044</v>
      </c>
      <c r="O206">
        <v>61</v>
      </c>
      <c r="P206">
        <v>-38736.22</v>
      </c>
      <c r="Q206" t="b">
        <v>0</v>
      </c>
      <c r="R206" t="b">
        <v>1</v>
      </c>
      <c r="S206" t="b">
        <v>0</v>
      </c>
      <c r="T206" t="b">
        <v>0</v>
      </c>
      <c r="U206">
        <v>1</v>
      </c>
      <c r="V206" t="s">
        <v>4073</v>
      </c>
    </row>
    <row r="207" spans="1:22" hidden="1" x14ac:dyDescent="0.45">
      <c r="A207" s="2" t="s">
        <v>1410</v>
      </c>
      <c r="B207" s="11">
        <v>45257</v>
      </c>
      <c r="C207" s="2" t="s">
        <v>2013</v>
      </c>
      <c r="D207" s="2" t="s">
        <v>2018</v>
      </c>
      <c r="E207">
        <v>633.59</v>
      </c>
      <c r="F207">
        <v>38648.990000000005</v>
      </c>
      <c r="G207">
        <v>0</v>
      </c>
      <c r="H207">
        <v>0</v>
      </c>
      <c r="I207" s="2" t="s">
        <v>2023</v>
      </c>
      <c r="J207" s="2" t="s">
        <v>2027</v>
      </c>
      <c r="K207" s="2" t="s">
        <v>3431</v>
      </c>
      <c r="L207" s="2" t="s">
        <v>4035</v>
      </c>
      <c r="M207">
        <v>-633.59</v>
      </c>
      <c r="N207" s="2" t="s">
        <v>4044</v>
      </c>
      <c r="O207">
        <v>61</v>
      </c>
      <c r="P207">
        <v>-38648.990000000005</v>
      </c>
      <c r="Q207" t="b">
        <v>0</v>
      </c>
      <c r="R207" t="b">
        <v>1</v>
      </c>
      <c r="S207" t="b">
        <v>0</v>
      </c>
      <c r="T207" t="b">
        <v>0</v>
      </c>
      <c r="U207">
        <v>1</v>
      </c>
      <c r="V207" t="s">
        <v>4073</v>
      </c>
    </row>
    <row r="208" spans="1:22" hidden="1" x14ac:dyDescent="0.45">
      <c r="A208" s="2" t="s">
        <v>1646</v>
      </c>
      <c r="B208" s="11">
        <v>45269</v>
      </c>
      <c r="C208" s="2" t="s">
        <v>2013</v>
      </c>
      <c r="D208" s="2" t="s">
        <v>2018</v>
      </c>
      <c r="E208">
        <v>1845.02</v>
      </c>
      <c r="F208">
        <v>112546.22</v>
      </c>
      <c r="G208">
        <v>0</v>
      </c>
      <c r="H208">
        <v>0</v>
      </c>
      <c r="I208" s="2" t="s">
        <v>2024</v>
      </c>
      <c r="J208" s="2" t="s">
        <v>2029</v>
      </c>
      <c r="K208" s="2" t="s">
        <v>3667</v>
      </c>
      <c r="L208" s="2" t="s">
        <v>4035</v>
      </c>
      <c r="M208">
        <v>-1845.02</v>
      </c>
      <c r="N208" s="2" t="s">
        <v>4044</v>
      </c>
      <c r="O208">
        <v>61</v>
      </c>
      <c r="P208">
        <v>-112546.22</v>
      </c>
      <c r="Q208" t="b">
        <v>1</v>
      </c>
      <c r="R208" t="b">
        <v>0</v>
      </c>
      <c r="S208" t="b">
        <v>0</v>
      </c>
      <c r="T208" t="b">
        <v>0</v>
      </c>
      <c r="U208">
        <v>1</v>
      </c>
      <c r="V208" t="s">
        <v>4073</v>
      </c>
    </row>
    <row r="209" spans="1:22" hidden="1" x14ac:dyDescent="0.45">
      <c r="A209" s="2" t="s">
        <v>1011</v>
      </c>
      <c r="B209" s="11">
        <v>45528</v>
      </c>
      <c r="C209" s="2" t="s">
        <v>2012</v>
      </c>
      <c r="D209" s="2" t="s">
        <v>2017</v>
      </c>
      <c r="E209">
        <v>459.97</v>
      </c>
      <c r="F209">
        <v>37717.54</v>
      </c>
      <c r="G209">
        <v>0</v>
      </c>
      <c r="H209">
        <v>0</v>
      </c>
      <c r="I209" s="2" t="s">
        <v>2020</v>
      </c>
      <c r="J209" s="2" t="s">
        <v>2030</v>
      </c>
      <c r="K209" s="2" t="s">
        <v>3032</v>
      </c>
      <c r="L209" s="2" t="s">
        <v>4034</v>
      </c>
      <c r="M209">
        <v>-459.97</v>
      </c>
      <c r="N209" s="2" t="s">
        <v>4044</v>
      </c>
      <c r="O209">
        <v>82</v>
      </c>
      <c r="P209">
        <v>-37717.54</v>
      </c>
      <c r="Q209" t="b">
        <v>1</v>
      </c>
      <c r="R209" t="b">
        <v>0</v>
      </c>
      <c r="S209" t="b">
        <v>0</v>
      </c>
      <c r="T209" t="b">
        <v>0</v>
      </c>
      <c r="U209">
        <v>1</v>
      </c>
      <c r="V209" t="s">
        <v>4073</v>
      </c>
    </row>
    <row r="210" spans="1:22" hidden="1" x14ac:dyDescent="0.45">
      <c r="A210" s="2" t="s">
        <v>820</v>
      </c>
      <c r="B210" s="11">
        <v>45229</v>
      </c>
      <c r="C210" s="2" t="s">
        <v>2010</v>
      </c>
      <c r="D210" s="2" t="s">
        <v>2015</v>
      </c>
      <c r="E210">
        <v>0</v>
      </c>
      <c r="F210">
        <v>0</v>
      </c>
      <c r="G210">
        <v>460.23</v>
      </c>
      <c r="H210">
        <v>37738.86</v>
      </c>
      <c r="I210" s="2" t="s">
        <v>2022</v>
      </c>
      <c r="J210" s="2" t="s">
        <v>2029</v>
      </c>
      <c r="K210" s="2" t="s">
        <v>2841</v>
      </c>
      <c r="L210" s="2" t="s">
        <v>4034</v>
      </c>
      <c r="M210">
        <v>460.23</v>
      </c>
      <c r="N210" s="2" t="s">
        <v>4042</v>
      </c>
      <c r="O210">
        <v>82</v>
      </c>
      <c r="P210">
        <v>37738.86</v>
      </c>
      <c r="Q210" t="b">
        <v>0</v>
      </c>
      <c r="R210" t="b">
        <v>1</v>
      </c>
      <c r="S210" t="b">
        <v>0</v>
      </c>
      <c r="T210" t="b">
        <v>0</v>
      </c>
      <c r="U210">
        <v>1</v>
      </c>
      <c r="V210" t="s">
        <v>4073</v>
      </c>
    </row>
    <row r="211" spans="1:22" hidden="1" x14ac:dyDescent="0.45">
      <c r="A211" s="2" t="s">
        <v>1013</v>
      </c>
      <c r="B211" s="11">
        <v>45471</v>
      </c>
      <c r="C211" s="2" t="s">
        <v>2012</v>
      </c>
      <c r="D211" s="2" t="s">
        <v>2017</v>
      </c>
      <c r="E211">
        <v>1278.1199999999999</v>
      </c>
      <c r="F211">
        <v>112474.56</v>
      </c>
      <c r="G211">
        <v>0</v>
      </c>
      <c r="H211">
        <v>0</v>
      </c>
      <c r="I211" s="2" t="s">
        <v>2025</v>
      </c>
      <c r="J211" s="2" t="s">
        <v>2026</v>
      </c>
      <c r="K211" s="2" t="s">
        <v>3034</v>
      </c>
      <c r="L211" s="2" t="s">
        <v>4032</v>
      </c>
      <c r="M211">
        <v>-1278.1199999999999</v>
      </c>
      <c r="N211" s="2" t="s">
        <v>4044</v>
      </c>
      <c r="O211">
        <v>88</v>
      </c>
      <c r="P211">
        <v>-112474.56</v>
      </c>
      <c r="Q211" t="b">
        <v>0</v>
      </c>
      <c r="R211" t="b">
        <v>1</v>
      </c>
      <c r="S211" t="b">
        <v>0</v>
      </c>
      <c r="T211" t="b">
        <v>0</v>
      </c>
      <c r="U211">
        <v>1</v>
      </c>
      <c r="V211" t="s">
        <v>4073</v>
      </c>
    </row>
    <row r="212" spans="1:22" hidden="1" x14ac:dyDescent="0.45">
      <c r="A212" s="2" t="s">
        <v>1588</v>
      </c>
      <c r="B212" s="11">
        <v>45368</v>
      </c>
      <c r="C212" s="2" t="s">
        <v>2013</v>
      </c>
      <c r="D212" s="2" t="s">
        <v>2018</v>
      </c>
      <c r="E212">
        <v>1712.89</v>
      </c>
      <c r="F212">
        <v>104486.29000000001</v>
      </c>
      <c r="G212">
        <v>0</v>
      </c>
      <c r="H212">
        <v>0</v>
      </c>
      <c r="I212" s="2" t="s">
        <v>2025</v>
      </c>
      <c r="J212" s="2" t="s">
        <v>2030</v>
      </c>
      <c r="K212" s="2" t="s">
        <v>3609</v>
      </c>
      <c r="L212" s="2" t="s">
        <v>4035</v>
      </c>
      <c r="M212">
        <v>-1712.89</v>
      </c>
      <c r="N212" s="2" t="s">
        <v>4044</v>
      </c>
      <c r="O212">
        <v>61</v>
      </c>
      <c r="P212">
        <v>-104486.29000000001</v>
      </c>
      <c r="Q212" t="b">
        <v>1</v>
      </c>
      <c r="R212" t="b">
        <v>0</v>
      </c>
      <c r="S212" t="b">
        <v>0</v>
      </c>
      <c r="T212" t="b">
        <v>0</v>
      </c>
      <c r="U212">
        <v>1</v>
      </c>
      <c r="V212" t="s">
        <v>4073</v>
      </c>
    </row>
    <row r="213" spans="1:22" hidden="1" x14ac:dyDescent="0.45">
      <c r="A213" s="2" t="s">
        <v>1944</v>
      </c>
      <c r="B213" s="11">
        <v>45767</v>
      </c>
      <c r="C213" s="2" t="s">
        <v>2013</v>
      </c>
      <c r="D213" s="2" t="s">
        <v>2018</v>
      </c>
      <c r="E213">
        <v>407.55</v>
      </c>
      <c r="F213">
        <v>41977.65</v>
      </c>
      <c r="G213">
        <v>0</v>
      </c>
      <c r="H213">
        <v>0</v>
      </c>
      <c r="I213" s="2" t="s">
        <v>2022</v>
      </c>
      <c r="J213" s="2" t="s">
        <v>2028</v>
      </c>
      <c r="K213" s="2" t="s">
        <v>3965</v>
      </c>
      <c r="L213" s="2" t="s">
        <v>4031</v>
      </c>
      <c r="M213">
        <v>-407.55</v>
      </c>
      <c r="N213" s="2" t="s">
        <v>4044</v>
      </c>
      <c r="O213">
        <v>103</v>
      </c>
      <c r="P213">
        <v>-41977.65</v>
      </c>
      <c r="Q213" t="b">
        <v>1</v>
      </c>
      <c r="R213" t="b">
        <v>0</v>
      </c>
      <c r="S213" t="b">
        <v>0</v>
      </c>
      <c r="T213" t="b">
        <v>0</v>
      </c>
      <c r="U213">
        <v>1</v>
      </c>
      <c r="V213" t="s">
        <v>4073</v>
      </c>
    </row>
    <row r="214" spans="1:22" hidden="1" x14ac:dyDescent="0.45">
      <c r="A214" s="2" t="s">
        <v>159</v>
      </c>
      <c r="B214" s="11">
        <v>45668</v>
      </c>
      <c r="C214" s="2" t="s">
        <v>2010</v>
      </c>
      <c r="D214" s="2" t="s">
        <v>2015</v>
      </c>
      <c r="E214">
        <v>0</v>
      </c>
      <c r="F214">
        <v>0</v>
      </c>
      <c r="G214">
        <v>338.86</v>
      </c>
      <c r="H214">
        <v>27786.52</v>
      </c>
      <c r="I214" s="2" t="s">
        <v>2024</v>
      </c>
      <c r="J214" s="2" t="s">
        <v>2028</v>
      </c>
      <c r="K214" s="2" t="s">
        <v>2180</v>
      </c>
      <c r="L214" s="2" t="s">
        <v>4034</v>
      </c>
      <c r="M214">
        <v>338.86</v>
      </c>
      <c r="N214" s="2" t="s">
        <v>4042</v>
      </c>
      <c r="O214">
        <v>82</v>
      </c>
      <c r="P214">
        <v>27786.52</v>
      </c>
      <c r="Q214" t="b">
        <v>1</v>
      </c>
      <c r="R214" t="b">
        <v>0</v>
      </c>
      <c r="S214" t="b">
        <v>0</v>
      </c>
      <c r="T214" t="b">
        <v>0</v>
      </c>
      <c r="U214">
        <v>1</v>
      </c>
      <c r="V214" t="s">
        <v>4073</v>
      </c>
    </row>
    <row r="215" spans="1:22" hidden="1" x14ac:dyDescent="0.45">
      <c r="A215" s="2" t="s">
        <v>619</v>
      </c>
      <c r="B215" s="11">
        <v>45584</v>
      </c>
      <c r="C215" s="2" t="s">
        <v>2014</v>
      </c>
      <c r="D215" s="2" t="s">
        <v>2019</v>
      </c>
      <c r="E215">
        <v>0</v>
      </c>
      <c r="F215">
        <v>0</v>
      </c>
      <c r="G215">
        <v>1843.27</v>
      </c>
      <c r="H215">
        <v>112439.47</v>
      </c>
      <c r="I215" s="2" t="s">
        <v>2020</v>
      </c>
      <c r="J215" s="2" t="s">
        <v>2027</v>
      </c>
      <c r="K215" s="2" t="s">
        <v>2640</v>
      </c>
      <c r="L215" s="2" t="s">
        <v>4035</v>
      </c>
      <c r="M215">
        <v>1843.27</v>
      </c>
      <c r="N215" s="2" t="s">
        <v>4042</v>
      </c>
      <c r="O215">
        <v>61</v>
      </c>
      <c r="P215">
        <v>112439.47</v>
      </c>
      <c r="Q215" t="b">
        <v>1</v>
      </c>
      <c r="R215" t="b">
        <v>0</v>
      </c>
      <c r="S215" t="b">
        <v>0</v>
      </c>
      <c r="T215" t="b">
        <v>0</v>
      </c>
      <c r="U215">
        <v>1</v>
      </c>
      <c r="V215" t="s">
        <v>4073</v>
      </c>
    </row>
    <row r="216" spans="1:22" hidden="1" x14ac:dyDescent="0.45">
      <c r="A216" s="2" t="s">
        <v>1731</v>
      </c>
      <c r="B216" s="11">
        <v>45133</v>
      </c>
      <c r="C216" s="2" t="s">
        <v>2012</v>
      </c>
      <c r="D216" s="2" t="s">
        <v>2017</v>
      </c>
      <c r="E216">
        <v>770.91</v>
      </c>
      <c r="F216">
        <v>43170.96</v>
      </c>
      <c r="G216">
        <v>0</v>
      </c>
      <c r="H216">
        <v>0</v>
      </c>
      <c r="I216" s="2" t="s">
        <v>2025</v>
      </c>
      <c r="J216" s="2" t="s">
        <v>2030</v>
      </c>
      <c r="K216" s="2" t="s">
        <v>3752</v>
      </c>
      <c r="L216" s="2" t="s">
        <v>4033</v>
      </c>
      <c r="M216">
        <v>-770.91</v>
      </c>
      <c r="N216" s="2" t="s">
        <v>4044</v>
      </c>
      <c r="O216">
        <v>56</v>
      </c>
      <c r="P216">
        <v>-43170.96</v>
      </c>
      <c r="Q216" t="b">
        <v>0</v>
      </c>
      <c r="R216" t="b">
        <v>1</v>
      </c>
      <c r="S216" t="b">
        <v>0</v>
      </c>
      <c r="T216" t="b">
        <v>0</v>
      </c>
      <c r="U216">
        <v>1</v>
      </c>
      <c r="V216" t="s">
        <v>4073</v>
      </c>
    </row>
    <row r="217" spans="1:22" hidden="1" x14ac:dyDescent="0.45">
      <c r="A217" s="2" t="s">
        <v>1094</v>
      </c>
      <c r="B217" s="11">
        <v>45752</v>
      </c>
      <c r="C217" s="2" t="s">
        <v>2013</v>
      </c>
      <c r="D217" s="2" t="s">
        <v>2018</v>
      </c>
      <c r="E217">
        <v>1870.74</v>
      </c>
      <c r="F217">
        <v>104761.44</v>
      </c>
      <c r="G217">
        <v>0</v>
      </c>
      <c r="H217">
        <v>0</v>
      </c>
      <c r="I217" s="2" t="s">
        <v>2021</v>
      </c>
      <c r="J217" s="2" t="s">
        <v>2029</v>
      </c>
      <c r="K217" s="2" t="s">
        <v>3115</v>
      </c>
      <c r="L217" s="2" t="s">
        <v>4033</v>
      </c>
      <c r="M217">
        <v>-1870.74</v>
      </c>
      <c r="N217" s="2" t="s">
        <v>4044</v>
      </c>
      <c r="O217">
        <v>56</v>
      </c>
      <c r="P217">
        <v>-104761.44</v>
      </c>
      <c r="Q217" t="b">
        <v>1</v>
      </c>
      <c r="R217" t="b">
        <v>0</v>
      </c>
      <c r="S217" t="b">
        <v>0</v>
      </c>
      <c r="T217" t="b">
        <v>0</v>
      </c>
      <c r="U217">
        <v>1</v>
      </c>
      <c r="V217" t="s">
        <v>4073</v>
      </c>
    </row>
    <row r="218" spans="1:22" hidden="1" x14ac:dyDescent="0.45">
      <c r="A218" s="2" t="s">
        <v>1943</v>
      </c>
      <c r="B218" s="11">
        <v>45656</v>
      </c>
      <c r="C218" s="2" t="s">
        <v>2014</v>
      </c>
      <c r="D218" s="2" t="s">
        <v>2019</v>
      </c>
      <c r="E218">
        <v>0</v>
      </c>
      <c r="F218">
        <v>0</v>
      </c>
      <c r="G218">
        <v>1838.71</v>
      </c>
      <c r="H218">
        <v>112161.31</v>
      </c>
      <c r="I218" s="2" t="s">
        <v>2023</v>
      </c>
      <c r="J218" s="2" t="s">
        <v>2028</v>
      </c>
      <c r="K218" s="2" t="s">
        <v>3964</v>
      </c>
      <c r="L218" s="2" t="s">
        <v>4035</v>
      </c>
      <c r="M218">
        <v>1838.71</v>
      </c>
      <c r="N218" s="2" t="s">
        <v>4042</v>
      </c>
      <c r="O218">
        <v>61</v>
      </c>
      <c r="P218">
        <v>112161.31</v>
      </c>
      <c r="Q218" t="b">
        <v>0</v>
      </c>
      <c r="R218" t="b">
        <v>1</v>
      </c>
      <c r="S218" t="b">
        <v>0</v>
      </c>
      <c r="T218" t="b">
        <v>0</v>
      </c>
      <c r="U218">
        <v>1</v>
      </c>
      <c r="V218" t="s">
        <v>4073</v>
      </c>
    </row>
    <row r="219" spans="1:22" hidden="1" x14ac:dyDescent="0.45">
      <c r="A219" s="2" t="s">
        <v>155</v>
      </c>
      <c r="B219" s="11">
        <v>45080</v>
      </c>
      <c r="C219" s="2" t="s">
        <v>2012</v>
      </c>
      <c r="D219" s="2" t="s">
        <v>2017</v>
      </c>
      <c r="E219">
        <v>1366.61</v>
      </c>
      <c r="F219">
        <v>112062.01999999999</v>
      </c>
      <c r="G219">
        <v>0</v>
      </c>
      <c r="H219">
        <v>0</v>
      </c>
      <c r="I219" s="2" t="s">
        <v>2021</v>
      </c>
      <c r="J219" s="2" t="s">
        <v>2029</v>
      </c>
      <c r="K219" s="2" t="s">
        <v>2176</v>
      </c>
      <c r="L219" s="2" t="s">
        <v>4034</v>
      </c>
      <c r="M219">
        <v>-1366.61</v>
      </c>
      <c r="N219" s="2" t="s">
        <v>4044</v>
      </c>
      <c r="O219">
        <v>82</v>
      </c>
      <c r="P219">
        <v>-112062.01999999999</v>
      </c>
      <c r="Q219" t="b">
        <v>1</v>
      </c>
      <c r="R219" t="b">
        <v>0</v>
      </c>
      <c r="S219" t="b">
        <v>0</v>
      </c>
      <c r="T219" t="b">
        <v>0</v>
      </c>
      <c r="U219">
        <v>1</v>
      </c>
      <c r="V219" t="s">
        <v>4073</v>
      </c>
    </row>
    <row r="220" spans="1:22" hidden="1" x14ac:dyDescent="0.45">
      <c r="A220" s="2" t="s">
        <v>868</v>
      </c>
      <c r="B220" s="11">
        <v>45407</v>
      </c>
      <c r="C220" s="2" t="s">
        <v>2012</v>
      </c>
      <c r="D220" s="2" t="s">
        <v>2017</v>
      </c>
      <c r="E220">
        <v>1620.36</v>
      </c>
      <c r="F220">
        <v>142591.67999999999</v>
      </c>
      <c r="G220">
        <v>0</v>
      </c>
      <c r="H220">
        <v>0</v>
      </c>
      <c r="I220" s="2" t="s">
        <v>2020</v>
      </c>
      <c r="J220" s="2" t="s">
        <v>2028</v>
      </c>
      <c r="K220" s="2" t="s">
        <v>2889</v>
      </c>
      <c r="L220" s="2" t="s">
        <v>4032</v>
      </c>
      <c r="M220">
        <v>-1620.36</v>
      </c>
      <c r="N220" s="2" t="s">
        <v>4044</v>
      </c>
      <c r="O220">
        <v>88</v>
      </c>
      <c r="P220">
        <v>-142591.67999999999</v>
      </c>
      <c r="Q220" t="b">
        <v>0</v>
      </c>
      <c r="R220" t="b">
        <v>1</v>
      </c>
      <c r="S220" t="b">
        <v>0</v>
      </c>
      <c r="T220" t="b">
        <v>0</v>
      </c>
      <c r="U220">
        <v>1</v>
      </c>
      <c r="V220" t="s">
        <v>4073</v>
      </c>
    </row>
    <row r="221" spans="1:22" hidden="1" x14ac:dyDescent="0.45">
      <c r="A221" s="2" t="s">
        <v>360</v>
      </c>
      <c r="B221" s="11">
        <v>45521</v>
      </c>
      <c r="C221" s="2" t="s">
        <v>2011</v>
      </c>
      <c r="D221" s="2" t="s">
        <v>2016</v>
      </c>
      <c r="E221">
        <v>697.58</v>
      </c>
      <c r="F221">
        <v>42552.380000000005</v>
      </c>
      <c r="G221">
        <v>0</v>
      </c>
      <c r="H221">
        <v>0</v>
      </c>
      <c r="I221" s="2" t="s">
        <v>2022</v>
      </c>
      <c r="J221" s="2" t="s">
        <v>2029</v>
      </c>
      <c r="K221" s="2" t="s">
        <v>2381</v>
      </c>
      <c r="L221" s="2" t="s">
        <v>4035</v>
      </c>
      <c r="M221">
        <v>-697.58</v>
      </c>
      <c r="N221" s="2" t="s">
        <v>2016</v>
      </c>
      <c r="O221">
        <v>61</v>
      </c>
      <c r="P221">
        <v>-42552.380000000005</v>
      </c>
      <c r="Q221" t="b">
        <v>1</v>
      </c>
      <c r="R221" t="b">
        <v>0</v>
      </c>
      <c r="S221" t="b">
        <v>0</v>
      </c>
      <c r="T221" t="b">
        <v>0</v>
      </c>
      <c r="U221">
        <v>1</v>
      </c>
      <c r="V221" t="s">
        <v>4073</v>
      </c>
    </row>
    <row r="222" spans="1:22" hidden="1" x14ac:dyDescent="0.45">
      <c r="A222" s="2" t="s">
        <v>744</v>
      </c>
      <c r="B222" s="11">
        <v>45445</v>
      </c>
      <c r="C222" s="2" t="s">
        <v>2012</v>
      </c>
      <c r="D222" s="2" t="s">
        <v>2017</v>
      </c>
      <c r="E222">
        <v>678.83</v>
      </c>
      <c r="F222">
        <v>38014.480000000003</v>
      </c>
      <c r="G222">
        <v>0</v>
      </c>
      <c r="H222">
        <v>0</v>
      </c>
      <c r="I222" s="2" t="s">
        <v>2024</v>
      </c>
      <c r="J222" s="2" t="s">
        <v>2029</v>
      </c>
      <c r="K222" s="2" t="s">
        <v>2765</v>
      </c>
      <c r="L222" s="2" t="s">
        <v>4033</v>
      </c>
      <c r="M222">
        <v>-678.83</v>
      </c>
      <c r="N222" s="2" t="s">
        <v>4044</v>
      </c>
      <c r="O222">
        <v>56</v>
      </c>
      <c r="P222">
        <v>-38014.480000000003</v>
      </c>
      <c r="Q222" t="b">
        <v>1</v>
      </c>
      <c r="R222" t="b">
        <v>0</v>
      </c>
      <c r="S222" t="b">
        <v>0</v>
      </c>
      <c r="T222" t="b">
        <v>0</v>
      </c>
      <c r="U222">
        <v>1</v>
      </c>
      <c r="V222" t="s">
        <v>4073</v>
      </c>
    </row>
    <row r="223" spans="1:22" hidden="1" x14ac:dyDescent="0.45">
      <c r="A223" s="2" t="s">
        <v>1693</v>
      </c>
      <c r="B223" s="11">
        <v>45503</v>
      </c>
      <c r="C223" s="2" t="s">
        <v>2013</v>
      </c>
      <c r="D223" s="2" t="s">
        <v>2018</v>
      </c>
      <c r="E223">
        <v>1212.18</v>
      </c>
      <c r="F223">
        <v>106671.84000000001</v>
      </c>
      <c r="G223">
        <v>0</v>
      </c>
      <c r="H223">
        <v>0</v>
      </c>
      <c r="I223" s="2" t="s">
        <v>2020</v>
      </c>
      <c r="J223" s="2" t="s">
        <v>2027</v>
      </c>
      <c r="K223" s="2" t="s">
        <v>3714</v>
      </c>
      <c r="L223" s="2" t="s">
        <v>4032</v>
      </c>
      <c r="M223">
        <v>-1212.18</v>
      </c>
      <c r="N223" s="2" t="s">
        <v>4044</v>
      </c>
      <c r="O223">
        <v>88</v>
      </c>
      <c r="P223">
        <v>-106671.84000000001</v>
      </c>
      <c r="Q223" t="b">
        <v>0</v>
      </c>
      <c r="R223" t="b">
        <v>1</v>
      </c>
      <c r="S223" t="b">
        <v>0</v>
      </c>
      <c r="T223" t="b">
        <v>0</v>
      </c>
      <c r="U223">
        <v>1</v>
      </c>
      <c r="V223" t="s">
        <v>4073</v>
      </c>
    </row>
    <row r="224" spans="1:22" hidden="1" x14ac:dyDescent="0.45">
      <c r="A224" s="2" t="s">
        <v>299</v>
      </c>
      <c r="B224" s="11">
        <v>45777</v>
      </c>
      <c r="C224" s="2" t="s">
        <v>2011</v>
      </c>
      <c r="D224" s="2" t="s">
        <v>2016</v>
      </c>
      <c r="E224">
        <v>1308.19</v>
      </c>
      <c r="F224">
        <v>107271.58</v>
      </c>
      <c r="G224">
        <v>0</v>
      </c>
      <c r="H224">
        <v>0</v>
      </c>
      <c r="I224" s="2" t="s">
        <v>2020</v>
      </c>
      <c r="J224" s="2" t="s">
        <v>2028</v>
      </c>
      <c r="K224" s="2" t="s">
        <v>2320</v>
      </c>
      <c r="L224" s="2" t="s">
        <v>4034</v>
      </c>
      <c r="M224">
        <v>-1308.19</v>
      </c>
      <c r="N224" s="2" t="s">
        <v>2016</v>
      </c>
      <c r="O224">
        <v>82</v>
      </c>
      <c r="P224">
        <v>-107271.58</v>
      </c>
      <c r="Q224" t="b">
        <v>0</v>
      </c>
      <c r="R224" t="b">
        <v>1</v>
      </c>
      <c r="S224" t="b">
        <v>0</v>
      </c>
      <c r="T224" t="b">
        <v>0</v>
      </c>
      <c r="U224">
        <v>1</v>
      </c>
      <c r="V224" t="s">
        <v>4073</v>
      </c>
    </row>
    <row r="225" spans="1:22" hidden="1" x14ac:dyDescent="0.45">
      <c r="A225" s="2" t="s">
        <v>1225</v>
      </c>
      <c r="B225" s="11">
        <v>45066</v>
      </c>
      <c r="C225" s="2" t="s">
        <v>2013</v>
      </c>
      <c r="D225" s="2" t="s">
        <v>2018</v>
      </c>
      <c r="E225">
        <v>1884.45</v>
      </c>
      <c r="F225">
        <v>105529.2</v>
      </c>
      <c r="G225">
        <v>0</v>
      </c>
      <c r="H225">
        <v>0</v>
      </c>
      <c r="I225" s="2" t="s">
        <v>2020</v>
      </c>
      <c r="J225" s="2" t="s">
        <v>2028</v>
      </c>
      <c r="K225" s="2" t="s">
        <v>3246</v>
      </c>
      <c r="L225" s="2" t="s">
        <v>4033</v>
      </c>
      <c r="M225">
        <v>-1884.45</v>
      </c>
      <c r="N225" s="2" t="s">
        <v>4044</v>
      </c>
      <c r="O225">
        <v>56</v>
      </c>
      <c r="P225">
        <v>-105529.2</v>
      </c>
      <c r="Q225" t="b">
        <v>1</v>
      </c>
      <c r="R225" t="b">
        <v>0</v>
      </c>
      <c r="S225" t="b">
        <v>0</v>
      </c>
      <c r="T225" t="b">
        <v>0</v>
      </c>
      <c r="U225">
        <v>1</v>
      </c>
      <c r="V225" t="s">
        <v>4073</v>
      </c>
    </row>
    <row r="226" spans="1:22" hidden="1" x14ac:dyDescent="0.45">
      <c r="A226" s="2" t="s">
        <v>1952</v>
      </c>
      <c r="B226" s="11">
        <v>44927</v>
      </c>
      <c r="C226" s="2" t="s">
        <v>2013</v>
      </c>
      <c r="D226" s="2" t="s">
        <v>2018</v>
      </c>
      <c r="E226">
        <v>1735.63</v>
      </c>
      <c r="F226">
        <v>105873.43000000001</v>
      </c>
      <c r="G226">
        <v>0</v>
      </c>
      <c r="H226">
        <v>0</v>
      </c>
      <c r="I226" s="2" t="s">
        <v>2020</v>
      </c>
      <c r="J226" s="2" t="s">
        <v>2026</v>
      </c>
      <c r="K226" s="2" t="s">
        <v>3973</v>
      </c>
      <c r="L226" s="2" t="s">
        <v>4035</v>
      </c>
      <c r="M226">
        <v>-1735.63</v>
      </c>
      <c r="N226" s="2" t="s">
        <v>4044</v>
      </c>
      <c r="O226">
        <v>61</v>
      </c>
      <c r="P226">
        <v>-105873.43000000001</v>
      </c>
      <c r="Q226" t="b">
        <v>1</v>
      </c>
      <c r="R226" t="b">
        <v>0</v>
      </c>
      <c r="S226" t="b">
        <v>0</v>
      </c>
      <c r="T226" t="b">
        <v>0</v>
      </c>
      <c r="U226">
        <v>1</v>
      </c>
      <c r="V226" t="s">
        <v>4073</v>
      </c>
    </row>
    <row r="227" spans="1:22" hidden="1" x14ac:dyDescent="0.45">
      <c r="A227" s="2" t="s">
        <v>1220</v>
      </c>
      <c r="B227" s="11">
        <v>45561</v>
      </c>
      <c r="C227" s="2" t="s">
        <v>2013</v>
      </c>
      <c r="D227" s="2" t="s">
        <v>2018</v>
      </c>
      <c r="E227">
        <v>1891.86</v>
      </c>
      <c r="F227">
        <v>105944.15999999999</v>
      </c>
      <c r="G227">
        <v>0</v>
      </c>
      <c r="H227">
        <v>0</v>
      </c>
      <c r="I227" s="2" t="s">
        <v>2024</v>
      </c>
      <c r="J227" s="2" t="s">
        <v>2028</v>
      </c>
      <c r="K227" s="2" t="s">
        <v>3241</v>
      </c>
      <c r="L227" s="2" t="s">
        <v>4033</v>
      </c>
      <c r="M227">
        <v>-1891.86</v>
      </c>
      <c r="N227" s="2" t="s">
        <v>4044</v>
      </c>
      <c r="O227">
        <v>56</v>
      </c>
      <c r="P227">
        <v>-105944.15999999999</v>
      </c>
      <c r="Q227" t="b">
        <v>0</v>
      </c>
      <c r="R227" t="b">
        <v>1</v>
      </c>
      <c r="S227" t="b">
        <v>0</v>
      </c>
      <c r="T227" t="b">
        <v>0</v>
      </c>
      <c r="U227">
        <v>1</v>
      </c>
      <c r="V227" t="s">
        <v>4073</v>
      </c>
    </row>
    <row r="228" spans="1:22" hidden="1" x14ac:dyDescent="0.45">
      <c r="A228" s="2" t="s">
        <v>294</v>
      </c>
      <c r="B228" s="11">
        <v>45685</v>
      </c>
      <c r="C228" s="2" t="s">
        <v>2010</v>
      </c>
      <c r="D228" s="2" t="s">
        <v>2015</v>
      </c>
      <c r="E228">
        <v>0</v>
      </c>
      <c r="F228">
        <v>0</v>
      </c>
      <c r="G228">
        <v>1932.35</v>
      </c>
      <c r="H228">
        <v>108211.59999999999</v>
      </c>
      <c r="I228" s="2" t="s">
        <v>2020</v>
      </c>
      <c r="J228" s="2" t="s">
        <v>2028</v>
      </c>
      <c r="K228" s="2" t="s">
        <v>2315</v>
      </c>
      <c r="L228" s="2" t="s">
        <v>4033</v>
      </c>
      <c r="M228">
        <v>1932.35</v>
      </c>
      <c r="N228" s="2" t="s">
        <v>4042</v>
      </c>
      <c r="O228">
        <v>56</v>
      </c>
      <c r="P228">
        <v>108211.59999999999</v>
      </c>
      <c r="Q228" t="b">
        <v>0</v>
      </c>
      <c r="R228" t="b">
        <v>1</v>
      </c>
      <c r="S228" t="b">
        <v>0</v>
      </c>
      <c r="T228" t="b">
        <v>0</v>
      </c>
      <c r="U228">
        <v>1</v>
      </c>
      <c r="V228" t="s">
        <v>4073</v>
      </c>
    </row>
    <row r="229" spans="1:22" hidden="1" x14ac:dyDescent="0.45">
      <c r="A229" s="2" t="s">
        <v>1607</v>
      </c>
      <c r="B229" s="11">
        <v>45781</v>
      </c>
      <c r="C229" s="2" t="s">
        <v>2011</v>
      </c>
      <c r="D229" s="2" t="s">
        <v>2016</v>
      </c>
      <c r="E229">
        <v>1229.26</v>
      </c>
      <c r="F229">
        <v>108174.88</v>
      </c>
      <c r="G229">
        <v>0</v>
      </c>
      <c r="H229">
        <v>0</v>
      </c>
      <c r="I229" s="2" t="s">
        <v>2023</v>
      </c>
      <c r="J229" s="2" t="s">
        <v>2027</v>
      </c>
      <c r="K229" s="2" t="s">
        <v>3628</v>
      </c>
      <c r="L229" s="2" t="s">
        <v>4032</v>
      </c>
      <c r="M229">
        <v>-1229.26</v>
      </c>
      <c r="N229" s="2" t="s">
        <v>2016</v>
      </c>
      <c r="O229">
        <v>88</v>
      </c>
      <c r="P229">
        <v>-108174.88</v>
      </c>
      <c r="Q229" t="b">
        <v>1</v>
      </c>
      <c r="R229" t="b">
        <v>0</v>
      </c>
      <c r="S229" t="b">
        <v>0</v>
      </c>
      <c r="T229" t="b">
        <v>0</v>
      </c>
      <c r="U229">
        <v>1</v>
      </c>
      <c r="V229" t="s">
        <v>4073</v>
      </c>
    </row>
    <row r="230" spans="1:22" hidden="1" x14ac:dyDescent="0.45">
      <c r="A230" s="2" t="s">
        <v>606</v>
      </c>
      <c r="B230" s="11">
        <v>45230</v>
      </c>
      <c r="C230" s="2" t="s">
        <v>2011</v>
      </c>
      <c r="D230" s="2" t="s">
        <v>2016</v>
      </c>
      <c r="E230">
        <v>309.33999999999997</v>
      </c>
      <c r="F230">
        <v>27221.919999999998</v>
      </c>
      <c r="G230">
        <v>0</v>
      </c>
      <c r="H230">
        <v>0</v>
      </c>
      <c r="I230" s="2" t="s">
        <v>2024</v>
      </c>
      <c r="J230" s="2" t="s">
        <v>2027</v>
      </c>
      <c r="K230" s="2" t="s">
        <v>2627</v>
      </c>
      <c r="L230" s="2" t="s">
        <v>4032</v>
      </c>
      <c r="M230">
        <v>-309.33999999999997</v>
      </c>
      <c r="N230" s="2" t="s">
        <v>2016</v>
      </c>
      <c r="O230">
        <v>88</v>
      </c>
      <c r="P230">
        <v>-27221.919999999998</v>
      </c>
      <c r="Q230" t="b">
        <v>0</v>
      </c>
      <c r="R230" t="b">
        <v>1</v>
      </c>
      <c r="S230" t="b">
        <v>0</v>
      </c>
      <c r="T230" t="b">
        <v>0</v>
      </c>
      <c r="U230">
        <v>1</v>
      </c>
      <c r="V230" t="s">
        <v>4073</v>
      </c>
    </row>
    <row r="231" spans="1:22" hidden="1" x14ac:dyDescent="0.45">
      <c r="A231" s="2" t="s">
        <v>1341</v>
      </c>
      <c r="B231" s="11">
        <v>45298</v>
      </c>
      <c r="C231" s="2" t="s">
        <v>2010</v>
      </c>
      <c r="D231" s="2" t="s">
        <v>2015</v>
      </c>
      <c r="E231">
        <v>0</v>
      </c>
      <c r="F231">
        <v>0</v>
      </c>
      <c r="G231">
        <v>687.07</v>
      </c>
      <c r="H231">
        <v>41911.270000000004</v>
      </c>
      <c r="I231" s="2" t="s">
        <v>2021</v>
      </c>
      <c r="J231" s="2" t="s">
        <v>2027</v>
      </c>
      <c r="K231" s="2" t="s">
        <v>3362</v>
      </c>
      <c r="L231" s="2" t="s">
        <v>4035</v>
      </c>
      <c r="M231">
        <v>687.07</v>
      </c>
      <c r="N231" s="2" t="s">
        <v>4042</v>
      </c>
      <c r="O231">
        <v>61</v>
      </c>
      <c r="P231">
        <v>41911.270000000004</v>
      </c>
      <c r="Q231" t="b">
        <v>1</v>
      </c>
      <c r="R231" t="b">
        <v>0</v>
      </c>
      <c r="S231" t="b">
        <v>0</v>
      </c>
      <c r="T231" t="b">
        <v>0</v>
      </c>
      <c r="U231">
        <v>1</v>
      </c>
      <c r="V231" t="s">
        <v>4073</v>
      </c>
    </row>
    <row r="232" spans="1:22" hidden="1" x14ac:dyDescent="0.45">
      <c r="A232" s="2" t="s">
        <v>601</v>
      </c>
      <c r="B232" s="11">
        <v>45795</v>
      </c>
      <c r="C232" s="2" t="s">
        <v>2012</v>
      </c>
      <c r="D232" s="2" t="s">
        <v>2017</v>
      </c>
      <c r="E232">
        <v>402.92</v>
      </c>
      <c r="F232">
        <v>41500.76</v>
      </c>
      <c r="G232">
        <v>0</v>
      </c>
      <c r="H232">
        <v>0</v>
      </c>
      <c r="I232" s="2" t="s">
        <v>2025</v>
      </c>
      <c r="J232" s="2" t="s">
        <v>2028</v>
      </c>
      <c r="K232" s="2" t="s">
        <v>2622</v>
      </c>
      <c r="L232" s="2" t="s">
        <v>4031</v>
      </c>
      <c r="M232">
        <v>-402.92</v>
      </c>
      <c r="N232" s="2" t="s">
        <v>4044</v>
      </c>
      <c r="O232">
        <v>103</v>
      </c>
      <c r="P232">
        <v>-41500.76</v>
      </c>
      <c r="Q232" t="b">
        <v>1</v>
      </c>
      <c r="R232" t="b">
        <v>0</v>
      </c>
      <c r="S232" t="b">
        <v>0</v>
      </c>
      <c r="T232" t="b">
        <v>0</v>
      </c>
      <c r="U232">
        <v>1</v>
      </c>
      <c r="V232" t="s">
        <v>4073</v>
      </c>
    </row>
    <row r="233" spans="1:22" hidden="1" x14ac:dyDescent="0.45">
      <c r="A233" s="2" t="s">
        <v>289</v>
      </c>
      <c r="B233" s="11">
        <v>45025</v>
      </c>
      <c r="C233" s="2" t="s">
        <v>2010</v>
      </c>
      <c r="D233" s="2" t="s">
        <v>2015</v>
      </c>
      <c r="E233">
        <v>0</v>
      </c>
      <c r="F233">
        <v>0</v>
      </c>
      <c r="G233">
        <v>1358.19</v>
      </c>
      <c r="H233">
        <v>139893.57</v>
      </c>
      <c r="I233" s="2" t="s">
        <v>2023</v>
      </c>
      <c r="J233" s="2" t="s">
        <v>2028</v>
      </c>
      <c r="K233" s="2" t="s">
        <v>2310</v>
      </c>
      <c r="L233" s="2" t="s">
        <v>4031</v>
      </c>
      <c r="M233">
        <v>1358.19</v>
      </c>
      <c r="N233" s="2" t="s">
        <v>4042</v>
      </c>
      <c r="O233">
        <v>103</v>
      </c>
      <c r="P233">
        <v>139893.57</v>
      </c>
      <c r="Q233" t="b">
        <v>1</v>
      </c>
      <c r="R233" t="b">
        <v>0</v>
      </c>
      <c r="S233" t="b">
        <v>0</v>
      </c>
      <c r="T233" t="b">
        <v>0</v>
      </c>
      <c r="U233">
        <v>1</v>
      </c>
      <c r="V233" t="s">
        <v>4073</v>
      </c>
    </row>
    <row r="234" spans="1:22" hidden="1" x14ac:dyDescent="0.45">
      <c r="A234" s="2" t="s">
        <v>1603</v>
      </c>
      <c r="B234" s="11">
        <v>45172</v>
      </c>
      <c r="C234" s="2" t="s">
        <v>2014</v>
      </c>
      <c r="D234" s="2" t="s">
        <v>2019</v>
      </c>
      <c r="E234">
        <v>0</v>
      </c>
      <c r="F234">
        <v>0</v>
      </c>
      <c r="G234">
        <v>1925.54</v>
      </c>
      <c r="H234">
        <v>107830.23999999999</v>
      </c>
      <c r="I234" s="2" t="s">
        <v>2021</v>
      </c>
      <c r="J234" s="2" t="s">
        <v>2027</v>
      </c>
      <c r="K234" s="2" t="s">
        <v>3624</v>
      </c>
      <c r="L234" s="2" t="s">
        <v>4033</v>
      </c>
      <c r="M234">
        <v>1925.54</v>
      </c>
      <c r="N234" s="2" t="s">
        <v>4042</v>
      </c>
      <c r="O234">
        <v>56</v>
      </c>
      <c r="P234">
        <v>107830.23999999999</v>
      </c>
      <c r="Q234" t="b">
        <v>1</v>
      </c>
      <c r="R234" t="b">
        <v>0</v>
      </c>
      <c r="S234" t="b">
        <v>0</v>
      </c>
      <c r="T234" t="b">
        <v>0</v>
      </c>
      <c r="U234">
        <v>1</v>
      </c>
      <c r="V234" t="s">
        <v>4073</v>
      </c>
    </row>
    <row r="235" spans="1:22" hidden="1" x14ac:dyDescent="0.45">
      <c r="A235" s="2" t="s">
        <v>1752</v>
      </c>
      <c r="B235" s="11">
        <v>45622</v>
      </c>
      <c r="C235" s="2" t="s">
        <v>2010</v>
      </c>
      <c r="D235" s="2" t="s">
        <v>2015</v>
      </c>
      <c r="E235">
        <v>0</v>
      </c>
      <c r="F235">
        <v>0</v>
      </c>
      <c r="G235">
        <v>2518.37</v>
      </c>
      <c r="H235">
        <v>141028.72</v>
      </c>
      <c r="I235" s="2" t="s">
        <v>2022</v>
      </c>
      <c r="J235" s="2" t="s">
        <v>2029</v>
      </c>
      <c r="K235" s="2" t="s">
        <v>3773</v>
      </c>
      <c r="L235" s="2" t="s">
        <v>4033</v>
      </c>
      <c r="M235">
        <v>2518.37</v>
      </c>
      <c r="N235" s="2" t="s">
        <v>4042</v>
      </c>
      <c r="O235">
        <v>56</v>
      </c>
      <c r="P235">
        <v>141028.72</v>
      </c>
      <c r="Q235" t="b">
        <v>0</v>
      </c>
      <c r="R235" t="b">
        <v>1</v>
      </c>
      <c r="S235" t="b">
        <v>0</v>
      </c>
      <c r="T235" t="b">
        <v>0</v>
      </c>
      <c r="U235">
        <v>1</v>
      </c>
      <c r="V235" t="s">
        <v>4073</v>
      </c>
    </row>
    <row r="236" spans="1:22" hidden="1" x14ac:dyDescent="0.45">
      <c r="A236" s="2" t="s">
        <v>812</v>
      </c>
      <c r="B236" s="11">
        <v>45504</v>
      </c>
      <c r="C236" s="2" t="s">
        <v>2010</v>
      </c>
      <c r="D236" s="2" t="s">
        <v>2015</v>
      </c>
      <c r="E236">
        <v>0</v>
      </c>
      <c r="F236">
        <v>0</v>
      </c>
      <c r="G236">
        <v>303.74</v>
      </c>
      <c r="H236">
        <v>26729.120000000003</v>
      </c>
      <c r="I236" s="2" t="s">
        <v>2020</v>
      </c>
      <c r="J236" s="2" t="s">
        <v>2029</v>
      </c>
      <c r="K236" s="2" t="s">
        <v>2833</v>
      </c>
      <c r="L236" s="2" t="s">
        <v>4032</v>
      </c>
      <c r="M236">
        <v>303.74</v>
      </c>
      <c r="N236" s="2" t="s">
        <v>4042</v>
      </c>
      <c r="O236">
        <v>88</v>
      </c>
      <c r="P236">
        <v>26729.120000000003</v>
      </c>
      <c r="Q236" t="b">
        <v>0</v>
      </c>
      <c r="R236" t="b">
        <v>1</v>
      </c>
      <c r="S236" t="b">
        <v>0</v>
      </c>
      <c r="T236" t="b">
        <v>0</v>
      </c>
      <c r="U236">
        <v>1</v>
      </c>
      <c r="V236" t="s">
        <v>4073</v>
      </c>
    </row>
    <row r="237" spans="1:22" hidden="1" x14ac:dyDescent="0.45">
      <c r="A237" s="2" t="s">
        <v>937</v>
      </c>
      <c r="B237" s="11">
        <v>45703</v>
      </c>
      <c r="C237" s="2" t="s">
        <v>2012</v>
      </c>
      <c r="D237" s="2" t="s">
        <v>2017</v>
      </c>
      <c r="E237">
        <v>260.58</v>
      </c>
      <c r="F237">
        <v>26839.739999999998</v>
      </c>
      <c r="G237">
        <v>0</v>
      </c>
      <c r="H237">
        <v>0</v>
      </c>
      <c r="I237" s="2" t="s">
        <v>2023</v>
      </c>
      <c r="J237" s="2" t="s">
        <v>2028</v>
      </c>
      <c r="K237" s="2" t="s">
        <v>2958</v>
      </c>
      <c r="L237" s="2" t="s">
        <v>4031</v>
      </c>
      <c r="M237">
        <v>-260.58</v>
      </c>
      <c r="N237" s="2" t="s">
        <v>4044</v>
      </c>
      <c r="O237">
        <v>103</v>
      </c>
      <c r="P237">
        <v>-26839.739999999998</v>
      </c>
      <c r="Q237" t="b">
        <v>1</v>
      </c>
      <c r="R237" t="b">
        <v>0</v>
      </c>
      <c r="S237" t="b">
        <v>0</v>
      </c>
      <c r="T237" t="b">
        <v>0</v>
      </c>
      <c r="U237">
        <v>1</v>
      </c>
      <c r="V237" t="s">
        <v>4073</v>
      </c>
    </row>
    <row r="238" spans="1:22" hidden="1" x14ac:dyDescent="0.45">
      <c r="A238" s="2" t="s">
        <v>1372</v>
      </c>
      <c r="B238" s="11">
        <v>44968</v>
      </c>
      <c r="C238" s="2" t="s">
        <v>2011</v>
      </c>
      <c r="D238" s="2" t="s">
        <v>2016</v>
      </c>
      <c r="E238">
        <v>506.43</v>
      </c>
      <c r="F238">
        <v>41527.26</v>
      </c>
      <c r="G238">
        <v>0</v>
      </c>
      <c r="H238">
        <v>0</v>
      </c>
      <c r="I238" s="2" t="s">
        <v>2025</v>
      </c>
      <c r="J238" s="2" t="s">
        <v>2030</v>
      </c>
      <c r="K238" s="2" t="s">
        <v>3393</v>
      </c>
      <c r="L238" s="2" t="s">
        <v>4034</v>
      </c>
      <c r="M238">
        <v>-506.43</v>
      </c>
      <c r="N238" s="2" t="s">
        <v>2016</v>
      </c>
      <c r="O238">
        <v>82</v>
      </c>
      <c r="P238">
        <v>-41527.26</v>
      </c>
      <c r="Q238" t="b">
        <v>1</v>
      </c>
      <c r="R238" t="b">
        <v>0</v>
      </c>
      <c r="S238" t="b">
        <v>0</v>
      </c>
      <c r="T238" t="b">
        <v>0</v>
      </c>
      <c r="U238">
        <v>1</v>
      </c>
      <c r="V238" t="s">
        <v>4073</v>
      </c>
    </row>
    <row r="239" spans="1:22" hidden="1" x14ac:dyDescent="0.45">
      <c r="A239" s="2" t="s">
        <v>1622</v>
      </c>
      <c r="B239" s="11">
        <v>45612</v>
      </c>
      <c r="C239" s="2" t="s">
        <v>2012</v>
      </c>
      <c r="D239" s="2" t="s">
        <v>2017</v>
      </c>
      <c r="E239">
        <v>1292.1400000000001</v>
      </c>
      <c r="F239">
        <v>105955.48000000001</v>
      </c>
      <c r="G239">
        <v>0</v>
      </c>
      <c r="H239">
        <v>0</v>
      </c>
      <c r="I239" s="2" t="s">
        <v>2021</v>
      </c>
      <c r="J239" s="2" t="s">
        <v>2026</v>
      </c>
      <c r="K239" s="2" t="s">
        <v>3643</v>
      </c>
      <c r="L239" s="2" t="s">
        <v>4034</v>
      </c>
      <c r="M239">
        <v>-1292.1400000000001</v>
      </c>
      <c r="N239" s="2" t="s">
        <v>4044</v>
      </c>
      <c r="O239">
        <v>82</v>
      </c>
      <c r="P239">
        <v>-105955.48000000001</v>
      </c>
      <c r="Q239" t="b">
        <v>1</v>
      </c>
      <c r="R239" t="b">
        <v>0</v>
      </c>
      <c r="S239" t="b">
        <v>0</v>
      </c>
      <c r="T239" t="b">
        <v>0</v>
      </c>
      <c r="U239">
        <v>1</v>
      </c>
      <c r="V239" t="s">
        <v>4073</v>
      </c>
    </row>
    <row r="240" spans="1:22" hidden="1" x14ac:dyDescent="0.45">
      <c r="A240" s="2" t="s">
        <v>1658</v>
      </c>
      <c r="B240" s="11">
        <v>45169</v>
      </c>
      <c r="C240" s="2" t="s">
        <v>2012</v>
      </c>
      <c r="D240" s="2" t="s">
        <v>2017</v>
      </c>
      <c r="E240">
        <v>1920.87</v>
      </c>
      <c r="F240">
        <v>107568.72</v>
      </c>
      <c r="G240">
        <v>0</v>
      </c>
      <c r="H240">
        <v>0</v>
      </c>
      <c r="I240" s="2" t="s">
        <v>2024</v>
      </c>
      <c r="J240" s="2" t="s">
        <v>2027</v>
      </c>
      <c r="K240" s="2" t="s">
        <v>3679</v>
      </c>
      <c r="L240" s="2" t="s">
        <v>4033</v>
      </c>
      <c r="M240">
        <v>-1920.87</v>
      </c>
      <c r="N240" s="2" t="s">
        <v>4044</v>
      </c>
      <c r="O240">
        <v>56</v>
      </c>
      <c r="P240">
        <v>-107568.72</v>
      </c>
      <c r="Q240" t="b">
        <v>0</v>
      </c>
      <c r="R240" t="b">
        <v>1</v>
      </c>
      <c r="S240" t="b">
        <v>0</v>
      </c>
      <c r="T240" t="b">
        <v>0</v>
      </c>
      <c r="U240">
        <v>1</v>
      </c>
      <c r="V240" t="s">
        <v>4073</v>
      </c>
    </row>
    <row r="241" spans="1:22" hidden="1" x14ac:dyDescent="0.45">
      <c r="A241" s="2" t="s">
        <v>1872</v>
      </c>
      <c r="B241" s="11">
        <v>45075</v>
      </c>
      <c r="C241" s="2" t="s">
        <v>2011</v>
      </c>
      <c r="D241" s="2" t="s">
        <v>2016</v>
      </c>
      <c r="E241">
        <v>1221.74</v>
      </c>
      <c r="F241">
        <v>107513.12</v>
      </c>
      <c r="G241">
        <v>0</v>
      </c>
      <c r="H241">
        <v>0</v>
      </c>
      <c r="I241" s="2" t="s">
        <v>2025</v>
      </c>
      <c r="J241" s="2" t="s">
        <v>2026</v>
      </c>
      <c r="K241" s="2" t="s">
        <v>3893</v>
      </c>
      <c r="L241" s="2" t="s">
        <v>4032</v>
      </c>
      <c r="M241">
        <v>-1221.74</v>
      </c>
      <c r="N241" s="2" t="s">
        <v>2016</v>
      </c>
      <c r="O241">
        <v>88</v>
      </c>
      <c r="P241">
        <v>-107513.12</v>
      </c>
      <c r="Q241" t="b">
        <v>0</v>
      </c>
      <c r="R241" t="b">
        <v>1</v>
      </c>
      <c r="S241" t="b">
        <v>0</v>
      </c>
      <c r="T241" t="b">
        <v>0</v>
      </c>
      <c r="U241">
        <v>1</v>
      </c>
      <c r="V241" t="s">
        <v>4073</v>
      </c>
    </row>
    <row r="242" spans="1:22" hidden="1" x14ac:dyDescent="0.45">
      <c r="A242" s="2" t="s">
        <v>736</v>
      </c>
      <c r="B242" s="11">
        <v>45326</v>
      </c>
      <c r="C242" s="2" t="s">
        <v>2011</v>
      </c>
      <c r="D242" s="2" t="s">
        <v>2016</v>
      </c>
      <c r="E242">
        <v>1846.14</v>
      </c>
      <c r="F242">
        <v>112614.54000000001</v>
      </c>
      <c r="G242">
        <v>0</v>
      </c>
      <c r="H242">
        <v>0</v>
      </c>
      <c r="I242" s="2" t="s">
        <v>2021</v>
      </c>
      <c r="J242" s="2" t="s">
        <v>2027</v>
      </c>
      <c r="K242" s="2" t="s">
        <v>2757</v>
      </c>
      <c r="L242" s="2" t="s">
        <v>4035</v>
      </c>
      <c r="M242">
        <v>-1846.14</v>
      </c>
      <c r="N242" s="2" t="s">
        <v>2016</v>
      </c>
      <c r="O242">
        <v>61</v>
      </c>
      <c r="P242">
        <v>-112614.54000000001</v>
      </c>
      <c r="Q242" t="b">
        <v>1</v>
      </c>
      <c r="R242" t="b">
        <v>0</v>
      </c>
      <c r="S242" t="b">
        <v>0</v>
      </c>
      <c r="T242" t="b">
        <v>0</v>
      </c>
      <c r="U242">
        <v>1</v>
      </c>
      <c r="V242" t="s">
        <v>4073</v>
      </c>
    </row>
    <row r="243" spans="1:22" hidden="1" x14ac:dyDescent="0.45">
      <c r="A243" s="2" t="s">
        <v>1497</v>
      </c>
      <c r="B243" s="11">
        <v>45379</v>
      </c>
      <c r="C243" s="2" t="s">
        <v>2011</v>
      </c>
      <c r="D243" s="2" t="s">
        <v>2016</v>
      </c>
      <c r="E243">
        <v>489.81</v>
      </c>
      <c r="F243">
        <v>27429.360000000001</v>
      </c>
      <c r="G243">
        <v>0</v>
      </c>
      <c r="H243">
        <v>0</v>
      </c>
      <c r="I243" s="2" t="s">
        <v>2021</v>
      </c>
      <c r="J243" s="2" t="s">
        <v>2030</v>
      </c>
      <c r="K243" s="2" t="s">
        <v>3518</v>
      </c>
      <c r="L243" s="2" t="s">
        <v>4033</v>
      </c>
      <c r="M243">
        <v>-489.81</v>
      </c>
      <c r="N243" s="2" t="s">
        <v>2016</v>
      </c>
      <c r="O243">
        <v>56</v>
      </c>
      <c r="P243">
        <v>-27429.360000000001</v>
      </c>
      <c r="Q243" t="b">
        <v>0</v>
      </c>
      <c r="R243" t="b">
        <v>1</v>
      </c>
      <c r="S243" t="b">
        <v>0</v>
      </c>
      <c r="T243" t="b">
        <v>0</v>
      </c>
      <c r="U243">
        <v>1</v>
      </c>
      <c r="V243" t="s">
        <v>4073</v>
      </c>
    </row>
    <row r="244" spans="1:22" hidden="1" x14ac:dyDescent="0.45">
      <c r="A244" s="2" t="s">
        <v>881</v>
      </c>
      <c r="B244" s="11">
        <v>45080</v>
      </c>
      <c r="C244" s="2" t="s">
        <v>2014</v>
      </c>
      <c r="D244" s="2" t="s">
        <v>2019</v>
      </c>
      <c r="E244">
        <v>0</v>
      </c>
      <c r="F244">
        <v>0</v>
      </c>
      <c r="G244">
        <v>1322.78</v>
      </c>
      <c r="H244">
        <v>108467.95999999999</v>
      </c>
      <c r="I244" s="2" t="s">
        <v>2021</v>
      </c>
      <c r="J244" s="2" t="s">
        <v>2029</v>
      </c>
      <c r="K244" s="2" t="s">
        <v>2902</v>
      </c>
      <c r="L244" s="2" t="s">
        <v>4034</v>
      </c>
      <c r="M244">
        <v>1322.78</v>
      </c>
      <c r="N244" s="2" t="s">
        <v>4042</v>
      </c>
      <c r="O244">
        <v>82</v>
      </c>
      <c r="P244">
        <v>108467.95999999999</v>
      </c>
      <c r="Q244" t="b">
        <v>1</v>
      </c>
      <c r="R244" t="b">
        <v>0</v>
      </c>
      <c r="S244" t="b">
        <v>0</v>
      </c>
      <c r="T244" t="b">
        <v>0</v>
      </c>
      <c r="U244">
        <v>1</v>
      </c>
      <c r="V244" t="s">
        <v>4073</v>
      </c>
    </row>
    <row r="245" spans="1:22" hidden="1" x14ac:dyDescent="0.45">
      <c r="A245" s="2" t="s">
        <v>924</v>
      </c>
      <c r="B245" s="11">
        <v>45288</v>
      </c>
      <c r="C245" s="2" t="s">
        <v>2012</v>
      </c>
      <c r="D245" s="2" t="s">
        <v>2017</v>
      </c>
      <c r="E245">
        <v>1749.98</v>
      </c>
      <c r="F245">
        <v>106748.78</v>
      </c>
      <c r="G245">
        <v>0</v>
      </c>
      <c r="H245">
        <v>0</v>
      </c>
      <c r="I245" s="2" t="s">
        <v>2024</v>
      </c>
      <c r="J245" s="2" t="s">
        <v>2028</v>
      </c>
      <c r="K245" s="2" t="s">
        <v>2945</v>
      </c>
      <c r="L245" s="2" t="s">
        <v>4035</v>
      </c>
      <c r="M245">
        <v>-1749.98</v>
      </c>
      <c r="N245" s="2" t="s">
        <v>4044</v>
      </c>
      <c r="O245">
        <v>61</v>
      </c>
      <c r="P245">
        <v>-106748.78</v>
      </c>
      <c r="Q245" t="b">
        <v>0</v>
      </c>
      <c r="R245" t="b">
        <v>1</v>
      </c>
      <c r="S245" t="b">
        <v>0</v>
      </c>
      <c r="T245" t="b">
        <v>0</v>
      </c>
      <c r="U245">
        <v>1</v>
      </c>
      <c r="V245" t="s">
        <v>4073</v>
      </c>
    </row>
    <row r="246" spans="1:22" hidden="1" x14ac:dyDescent="0.45">
      <c r="A246" s="2" t="s">
        <v>1671</v>
      </c>
      <c r="B246" s="11">
        <v>45320</v>
      </c>
      <c r="C246" s="2" t="s">
        <v>2011</v>
      </c>
      <c r="D246" s="2" t="s">
        <v>2016</v>
      </c>
      <c r="E246">
        <v>1959.6</v>
      </c>
      <c r="F246">
        <v>109737.59999999999</v>
      </c>
      <c r="G246">
        <v>0</v>
      </c>
      <c r="H246">
        <v>0</v>
      </c>
      <c r="I246" s="2" t="s">
        <v>2023</v>
      </c>
      <c r="J246" s="2" t="s">
        <v>2026</v>
      </c>
      <c r="K246" s="2" t="s">
        <v>3692</v>
      </c>
      <c r="L246" s="2" t="s">
        <v>4033</v>
      </c>
      <c r="M246">
        <v>-1959.6</v>
      </c>
      <c r="N246" s="2" t="s">
        <v>2016</v>
      </c>
      <c r="O246">
        <v>56</v>
      </c>
      <c r="P246">
        <v>-109737.59999999999</v>
      </c>
      <c r="Q246" t="b">
        <v>0</v>
      </c>
      <c r="R246" t="b">
        <v>1</v>
      </c>
      <c r="S246" t="b">
        <v>0</v>
      </c>
      <c r="T246" t="b">
        <v>0</v>
      </c>
      <c r="U246">
        <v>1</v>
      </c>
      <c r="V246" t="s">
        <v>4073</v>
      </c>
    </row>
    <row r="247" spans="1:22" hidden="1" x14ac:dyDescent="0.45">
      <c r="A247" s="2" t="s">
        <v>1093</v>
      </c>
      <c r="B247" s="11">
        <v>45716</v>
      </c>
      <c r="C247" s="2" t="s">
        <v>2011</v>
      </c>
      <c r="D247" s="2" t="s">
        <v>2016</v>
      </c>
      <c r="E247">
        <v>1240.48</v>
      </c>
      <c r="F247">
        <v>109162.24000000001</v>
      </c>
      <c r="G247">
        <v>0</v>
      </c>
      <c r="H247">
        <v>0</v>
      </c>
      <c r="I247" s="2" t="s">
        <v>2023</v>
      </c>
      <c r="J247" s="2" t="s">
        <v>2027</v>
      </c>
      <c r="K247" s="2" t="s">
        <v>3114</v>
      </c>
      <c r="L247" s="2" t="s">
        <v>4032</v>
      </c>
      <c r="M247">
        <v>-1240.48</v>
      </c>
      <c r="N247" s="2" t="s">
        <v>2016</v>
      </c>
      <c r="O247">
        <v>88</v>
      </c>
      <c r="P247">
        <v>-109162.24000000001</v>
      </c>
      <c r="Q247" t="b">
        <v>0</v>
      </c>
      <c r="R247" t="b">
        <v>1</v>
      </c>
      <c r="S247" t="b">
        <v>0</v>
      </c>
      <c r="T247" t="b">
        <v>0</v>
      </c>
      <c r="U247">
        <v>1</v>
      </c>
      <c r="V247" t="s">
        <v>4073</v>
      </c>
    </row>
    <row r="248" spans="1:22" hidden="1" x14ac:dyDescent="0.45">
      <c r="A248" s="2" t="s">
        <v>1831</v>
      </c>
      <c r="B248" s="11">
        <v>45289</v>
      </c>
      <c r="C248" s="2" t="s">
        <v>2012</v>
      </c>
      <c r="D248" s="2" t="s">
        <v>2017</v>
      </c>
      <c r="E248">
        <v>323.47000000000003</v>
      </c>
      <c r="F248">
        <v>26524.54</v>
      </c>
      <c r="G248">
        <v>0</v>
      </c>
      <c r="H248">
        <v>0</v>
      </c>
      <c r="I248" s="2" t="s">
        <v>2023</v>
      </c>
      <c r="J248" s="2" t="s">
        <v>2028</v>
      </c>
      <c r="K248" s="2" t="s">
        <v>3852</v>
      </c>
      <c r="L248" s="2" t="s">
        <v>4034</v>
      </c>
      <c r="M248">
        <v>-323.47000000000003</v>
      </c>
      <c r="N248" s="2" t="s">
        <v>4044</v>
      </c>
      <c r="O248">
        <v>82</v>
      </c>
      <c r="P248">
        <v>-26524.54</v>
      </c>
      <c r="Q248" t="b">
        <v>0</v>
      </c>
      <c r="R248" t="b">
        <v>1</v>
      </c>
      <c r="S248" t="b">
        <v>0</v>
      </c>
      <c r="T248" t="b">
        <v>0</v>
      </c>
      <c r="U248">
        <v>1</v>
      </c>
      <c r="V248" t="s">
        <v>4073</v>
      </c>
    </row>
    <row r="249" spans="1:22" hidden="1" x14ac:dyDescent="0.45">
      <c r="A249" s="2" t="s">
        <v>1432</v>
      </c>
      <c r="B249" s="11">
        <v>44962</v>
      </c>
      <c r="C249" s="2" t="s">
        <v>2013</v>
      </c>
      <c r="D249" s="2" t="s">
        <v>2018</v>
      </c>
      <c r="E249">
        <v>413.05</v>
      </c>
      <c r="F249">
        <v>42544.15</v>
      </c>
      <c r="G249">
        <v>0</v>
      </c>
      <c r="H249">
        <v>0</v>
      </c>
      <c r="I249" s="2" t="s">
        <v>2025</v>
      </c>
      <c r="J249" s="2" t="s">
        <v>2028</v>
      </c>
      <c r="K249" s="2" t="s">
        <v>3453</v>
      </c>
      <c r="L249" s="2" t="s">
        <v>4031</v>
      </c>
      <c r="M249">
        <v>-413.05</v>
      </c>
      <c r="N249" s="2" t="s">
        <v>4044</v>
      </c>
      <c r="O249">
        <v>103</v>
      </c>
      <c r="P249">
        <v>-42544.15</v>
      </c>
      <c r="Q249" t="b">
        <v>1</v>
      </c>
      <c r="R249" t="b">
        <v>0</v>
      </c>
      <c r="S249" t="b">
        <v>0</v>
      </c>
      <c r="T249" t="b">
        <v>0</v>
      </c>
      <c r="U249">
        <v>1</v>
      </c>
      <c r="V249" t="s">
        <v>4073</v>
      </c>
    </row>
    <row r="250" spans="1:22" hidden="1" x14ac:dyDescent="0.45">
      <c r="A250" s="2" t="s">
        <v>1475</v>
      </c>
      <c r="B250" s="11">
        <v>45508</v>
      </c>
      <c r="C250" s="2" t="s">
        <v>2011</v>
      </c>
      <c r="D250" s="2" t="s">
        <v>2016</v>
      </c>
      <c r="E250">
        <v>1578.71</v>
      </c>
      <c r="F250">
        <v>138926.48000000001</v>
      </c>
      <c r="G250">
        <v>0</v>
      </c>
      <c r="H250">
        <v>0</v>
      </c>
      <c r="I250" s="2" t="s">
        <v>2024</v>
      </c>
      <c r="J250" s="2" t="s">
        <v>2027</v>
      </c>
      <c r="K250" s="2" t="s">
        <v>3496</v>
      </c>
      <c r="L250" s="2" t="s">
        <v>4032</v>
      </c>
      <c r="M250">
        <v>-1578.71</v>
      </c>
      <c r="N250" s="2" t="s">
        <v>2016</v>
      </c>
      <c r="O250">
        <v>88</v>
      </c>
      <c r="P250">
        <v>-138926.48000000001</v>
      </c>
      <c r="Q250" t="b">
        <v>1</v>
      </c>
      <c r="R250" t="b">
        <v>0</v>
      </c>
      <c r="S250" t="b">
        <v>0</v>
      </c>
      <c r="T250" t="b">
        <v>0</v>
      </c>
      <c r="U250">
        <v>1</v>
      </c>
      <c r="V250" t="s">
        <v>4073</v>
      </c>
    </row>
    <row r="251" spans="1:22" hidden="1" x14ac:dyDescent="0.45">
      <c r="A251" s="2" t="s">
        <v>1001</v>
      </c>
      <c r="B251" s="11">
        <v>45132</v>
      </c>
      <c r="C251" s="2" t="s">
        <v>2013</v>
      </c>
      <c r="D251" s="2" t="s">
        <v>2018</v>
      </c>
      <c r="E251">
        <v>1593.21</v>
      </c>
      <c r="F251">
        <v>140202.48000000001</v>
      </c>
      <c r="G251">
        <v>0</v>
      </c>
      <c r="H251">
        <v>0</v>
      </c>
      <c r="I251" s="2" t="s">
        <v>2021</v>
      </c>
      <c r="J251" s="2" t="s">
        <v>2029</v>
      </c>
      <c r="K251" s="2" t="s">
        <v>3022</v>
      </c>
      <c r="L251" s="2" t="s">
        <v>4032</v>
      </c>
      <c r="M251">
        <v>-1593.21</v>
      </c>
      <c r="N251" s="2" t="s">
        <v>4044</v>
      </c>
      <c r="O251">
        <v>88</v>
      </c>
      <c r="P251">
        <v>-140202.48000000001</v>
      </c>
      <c r="Q251" t="b">
        <v>0</v>
      </c>
      <c r="R251" t="b">
        <v>1</v>
      </c>
      <c r="S251" t="b">
        <v>0</v>
      </c>
      <c r="T251" t="b">
        <v>0</v>
      </c>
      <c r="U251">
        <v>1</v>
      </c>
      <c r="V251" t="s">
        <v>4073</v>
      </c>
    </row>
    <row r="252" spans="1:22" hidden="1" x14ac:dyDescent="0.45">
      <c r="A252" s="2" t="s">
        <v>1846</v>
      </c>
      <c r="B252" s="11">
        <v>45651</v>
      </c>
      <c r="C252" s="2" t="s">
        <v>2012</v>
      </c>
      <c r="D252" s="2" t="s">
        <v>2017</v>
      </c>
      <c r="E252">
        <v>1583.41</v>
      </c>
      <c r="F252">
        <v>139340.08000000002</v>
      </c>
      <c r="G252">
        <v>0</v>
      </c>
      <c r="H252">
        <v>0</v>
      </c>
      <c r="I252" s="2" t="s">
        <v>2021</v>
      </c>
      <c r="J252" s="2" t="s">
        <v>2026</v>
      </c>
      <c r="K252" s="2" t="s">
        <v>3867</v>
      </c>
      <c r="L252" s="2" t="s">
        <v>4032</v>
      </c>
      <c r="M252">
        <v>-1583.41</v>
      </c>
      <c r="N252" s="2" t="s">
        <v>4044</v>
      </c>
      <c r="O252">
        <v>88</v>
      </c>
      <c r="P252">
        <v>-139340.08000000002</v>
      </c>
      <c r="Q252" t="b">
        <v>0</v>
      </c>
      <c r="R252" t="b">
        <v>1</v>
      </c>
      <c r="S252" t="b">
        <v>0</v>
      </c>
      <c r="T252" t="b">
        <v>0</v>
      </c>
      <c r="U252">
        <v>1</v>
      </c>
      <c r="V252" t="s">
        <v>4073</v>
      </c>
    </row>
    <row r="253" spans="1:22" hidden="1" x14ac:dyDescent="0.45">
      <c r="A253" s="2" t="s">
        <v>620</v>
      </c>
      <c r="B253" s="11">
        <v>45468</v>
      </c>
      <c r="C253" s="2" t="s">
        <v>2012</v>
      </c>
      <c r="D253" s="2" t="s">
        <v>2017</v>
      </c>
      <c r="E253">
        <v>1239.45</v>
      </c>
      <c r="F253">
        <v>109071.6</v>
      </c>
      <c r="G253">
        <v>0</v>
      </c>
      <c r="H253">
        <v>0</v>
      </c>
      <c r="I253" s="2" t="s">
        <v>2022</v>
      </c>
      <c r="J253" s="2" t="s">
        <v>2027</v>
      </c>
      <c r="K253" s="2" t="s">
        <v>2641</v>
      </c>
      <c r="L253" s="2" t="s">
        <v>4032</v>
      </c>
      <c r="M253">
        <v>-1239.45</v>
      </c>
      <c r="N253" s="2" t="s">
        <v>4044</v>
      </c>
      <c r="O253">
        <v>88</v>
      </c>
      <c r="P253">
        <v>-109071.6</v>
      </c>
      <c r="Q253" t="b">
        <v>0</v>
      </c>
      <c r="R253" t="b">
        <v>1</v>
      </c>
      <c r="S253" t="b">
        <v>0</v>
      </c>
      <c r="T253" t="b">
        <v>0</v>
      </c>
      <c r="U253">
        <v>1</v>
      </c>
      <c r="V253" t="s">
        <v>4073</v>
      </c>
    </row>
    <row r="254" spans="1:22" hidden="1" x14ac:dyDescent="0.45">
      <c r="A254" s="2" t="s">
        <v>875</v>
      </c>
      <c r="B254" s="11">
        <v>45530</v>
      </c>
      <c r="C254" s="2" t="s">
        <v>2011</v>
      </c>
      <c r="D254" s="2" t="s">
        <v>2016</v>
      </c>
      <c r="E254">
        <v>1327.52</v>
      </c>
      <c r="F254">
        <v>108856.64</v>
      </c>
      <c r="G254">
        <v>0</v>
      </c>
      <c r="H254">
        <v>0</v>
      </c>
      <c r="I254" s="2" t="s">
        <v>2025</v>
      </c>
      <c r="J254" s="2" t="s">
        <v>2028</v>
      </c>
      <c r="K254" s="2" t="s">
        <v>2896</v>
      </c>
      <c r="L254" s="2" t="s">
        <v>4034</v>
      </c>
      <c r="M254">
        <v>-1327.52</v>
      </c>
      <c r="N254" s="2" t="s">
        <v>2016</v>
      </c>
      <c r="O254">
        <v>82</v>
      </c>
      <c r="P254">
        <v>-108856.64</v>
      </c>
      <c r="Q254" t="b">
        <v>0</v>
      </c>
      <c r="R254" t="b">
        <v>1</v>
      </c>
      <c r="S254" t="b">
        <v>0</v>
      </c>
      <c r="T254" t="b">
        <v>0</v>
      </c>
      <c r="U254">
        <v>1</v>
      </c>
      <c r="V254" t="s">
        <v>4073</v>
      </c>
    </row>
    <row r="255" spans="1:22" hidden="1" x14ac:dyDescent="0.45">
      <c r="A255" s="2" t="s">
        <v>1885</v>
      </c>
      <c r="B255" s="11">
        <v>45378</v>
      </c>
      <c r="C255" s="2" t="s">
        <v>2012</v>
      </c>
      <c r="D255" s="2" t="s">
        <v>2017</v>
      </c>
      <c r="E255">
        <v>501.53</v>
      </c>
      <c r="F255">
        <v>41125.46</v>
      </c>
      <c r="G255">
        <v>0</v>
      </c>
      <c r="H255">
        <v>0</v>
      </c>
      <c r="I255" s="2" t="s">
        <v>2020</v>
      </c>
      <c r="J255" s="2" t="s">
        <v>2030</v>
      </c>
      <c r="K255" s="2" t="s">
        <v>3906</v>
      </c>
      <c r="L255" s="2" t="s">
        <v>4034</v>
      </c>
      <c r="M255">
        <v>-501.53</v>
      </c>
      <c r="N255" s="2" t="s">
        <v>4044</v>
      </c>
      <c r="O255">
        <v>82</v>
      </c>
      <c r="P255">
        <v>-41125.46</v>
      </c>
      <c r="Q255" t="b">
        <v>0</v>
      </c>
      <c r="R255" t="b">
        <v>1</v>
      </c>
      <c r="S255" t="b">
        <v>0</v>
      </c>
      <c r="T255" t="b">
        <v>0</v>
      </c>
      <c r="U255">
        <v>1</v>
      </c>
      <c r="V255" t="s">
        <v>4073</v>
      </c>
    </row>
    <row r="256" spans="1:22" hidden="1" x14ac:dyDescent="0.45">
      <c r="A256" s="2" t="s">
        <v>1807</v>
      </c>
      <c r="B256" s="11">
        <v>44969</v>
      </c>
      <c r="C256" s="2" t="s">
        <v>2012</v>
      </c>
      <c r="D256" s="2" t="s">
        <v>2017</v>
      </c>
      <c r="E256">
        <v>1893.28</v>
      </c>
      <c r="F256">
        <v>106023.67999999999</v>
      </c>
      <c r="G256">
        <v>0</v>
      </c>
      <c r="H256">
        <v>0</v>
      </c>
      <c r="I256" s="2" t="s">
        <v>2023</v>
      </c>
      <c r="J256" s="2" t="s">
        <v>2028</v>
      </c>
      <c r="K256" s="2" t="s">
        <v>3828</v>
      </c>
      <c r="L256" s="2" t="s">
        <v>4033</v>
      </c>
      <c r="M256">
        <v>-1893.28</v>
      </c>
      <c r="N256" s="2" t="s">
        <v>4044</v>
      </c>
      <c r="O256">
        <v>56</v>
      </c>
      <c r="P256">
        <v>-106023.67999999999</v>
      </c>
      <c r="Q256" t="b">
        <v>1</v>
      </c>
      <c r="R256" t="b">
        <v>0</v>
      </c>
      <c r="S256" t="b">
        <v>0</v>
      </c>
      <c r="T256" t="b">
        <v>0</v>
      </c>
      <c r="U256">
        <v>1</v>
      </c>
      <c r="V256" t="s">
        <v>4073</v>
      </c>
    </row>
    <row r="257" spans="1:22" hidden="1" x14ac:dyDescent="0.45">
      <c r="A257" s="2" t="s">
        <v>323</v>
      </c>
      <c r="B257" s="11">
        <v>45150</v>
      </c>
      <c r="C257" s="2" t="s">
        <v>2012</v>
      </c>
      <c r="D257" s="2" t="s">
        <v>2017</v>
      </c>
      <c r="E257">
        <v>737.29</v>
      </c>
      <c r="F257">
        <v>41288.239999999998</v>
      </c>
      <c r="G257">
        <v>0</v>
      </c>
      <c r="H257">
        <v>0</v>
      </c>
      <c r="I257" s="2" t="s">
        <v>2020</v>
      </c>
      <c r="J257" s="2" t="s">
        <v>2030</v>
      </c>
      <c r="K257" s="2" t="s">
        <v>2344</v>
      </c>
      <c r="L257" s="2" t="s">
        <v>4033</v>
      </c>
      <c r="M257">
        <v>-737.29</v>
      </c>
      <c r="N257" s="2" t="s">
        <v>4044</v>
      </c>
      <c r="O257">
        <v>56</v>
      </c>
      <c r="P257">
        <v>-41288.239999999998</v>
      </c>
      <c r="Q257" t="b">
        <v>1</v>
      </c>
      <c r="R257" t="b">
        <v>0</v>
      </c>
      <c r="S257" t="b">
        <v>0</v>
      </c>
      <c r="T257" t="b">
        <v>0</v>
      </c>
      <c r="U257">
        <v>1</v>
      </c>
      <c r="V257" t="s">
        <v>4073</v>
      </c>
    </row>
    <row r="258" spans="1:22" hidden="1" x14ac:dyDescent="0.45">
      <c r="A258" s="2" t="s">
        <v>1636</v>
      </c>
      <c r="B258" s="11">
        <v>45013</v>
      </c>
      <c r="C258" s="2" t="s">
        <v>2011</v>
      </c>
      <c r="D258" s="2" t="s">
        <v>2016</v>
      </c>
      <c r="E258">
        <v>480.18</v>
      </c>
      <c r="F258">
        <v>42255.840000000004</v>
      </c>
      <c r="G258">
        <v>0</v>
      </c>
      <c r="H258">
        <v>0</v>
      </c>
      <c r="I258" s="2" t="s">
        <v>2021</v>
      </c>
      <c r="J258" s="2" t="s">
        <v>2028</v>
      </c>
      <c r="K258" s="2" t="s">
        <v>3657</v>
      </c>
      <c r="L258" s="2" t="s">
        <v>4032</v>
      </c>
      <c r="M258">
        <v>-480.18</v>
      </c>
      <c r="N258" s="2" t="s">
        <v>2016</v>
      </c>
      <c r="O258">
        <v>88</v>
      </c>
      <c r="P258">
        <v>-42255.840000000004</v>
      </c>
      <c r="Q258" t="b">
        <v>0</v>
      </c>
      <c r="R258" t="b">
        <v>1</v>
      </c>
      <c r="S258" t="b">
        <v>0</v>
      </c>
      <c r="T258" t="b">
        <v>0</v>
      </c>
      <c r="U258">
        <v>1</v>
      </c>
      <c r="V258" t="s">
        <v>4073</v>
      </c>
    </row>
    <row r="259" spans="1:22" hidden="1" x14ac:dyDescent="0.45">
      <c r="A259" s="2" t="s">
        <v>1339</v>
      </c>
      <c r="B259" s="11">
        <v>45623</v>
      </c>
      <c r="C259" s="2" t="s">
        <v>2013</v>
      </c>
      <c r="D259" s="2" t="s">
        <v>2018</v>
      </c>
      <c r="E259">
        <v>1731.77</v>
      </c>
      <c r="F259">
        <v>105637.97</v>
      </c>
      <c r="G259">
        <v>0</v>
      </c>
      <c r="H259">
        <v>0</v>
      </c>
      <c r="I259" s="2" t="s">
        <v>2023</v>
      </c>
      <c r="J259" s="2" t="s">
        <v>2028</v>
      </c>
      <c r="K259" s="2" t="s">
        <v>3360</v>
      </c>
      <c r="L259" s="2" t="s">
        <v>4035</v>
      </c>
      <c r="M259">
        <v>-1731.77</v>
      </c>
      <c r="N259" s="2" t="s">
        <v>4044</v>
      </c>
      <c r="O259">
        <v>61</v>
      </c>
      <c r="P259">
        <v>-105637.97</v>
      </c>
      <c r="Q259" t="b">
        <v>0</v>
      </c>
      <c r="R259" t="b">
        <v>1</v>
      </c>
      <c r="S259" t="b">
        <v>0</v>
      </c>
      <c r="T259" t="b">
        <v>0</v>
      </c>
      <c r="U259">
        <v>1</v>
      </c>
      <c r="V259" t="s">
        <v>4073</v>
      </c>
    </row>
    <row r="260" spans="1:22" hidden="1" x14ac:dyDescent="0.45">
      <c r="A260" s="2" t="s">
        <v>295</v>
      </c>
      <c r="B260" s="11">
        <v>45833</v>
      </c>
      <c r="C260" s="2" t="s">
        <v>2011</v>
      </c>
      <c r="D260" s="2" t="s">
        <v>2016</v>
      </c>
      <c r="E260">
        <v>1733.12</v>
      </c>
      <c r="F260">
        <v>105720.31999999999</v>
      </c>
      <c r="G260">
        <v>0</v>
      </c>
      <c r="H260">
        <v>0</v>
      </c>
      <c r="I260" s="2" t="s">
        <v>2020</v>
      </c>
      <c r="J260" s="2" t="s">
        <v>2026</v>
      </c>
      <c r="K260" s="2" t="s">
        <v>2316</v>
      </c>
      <c r="L260" s="2" t="s">
        <v>4035</v>
      </c>
      <c r="M260">
        <v>-1733.12</v>
      </c>
      <c r="N260" s="2" t="s">
        <v>2016</v>
      </c>
      <c r="O260">
        <v>61</v>
      </c>
      <c r="P260">
        <v>-105720.31999999999</v>
      </c>
      <c r="Q260" t="b">
        <v>0</v>
      </c>
      <c r="R260" t="b">
        <v>1</v>
      </c>
      <c r="S260" t="b">
        <v>0</v>
      </c>
      <c r="T260" t="b">
        <v>0</v>
      </c>
      <c r="U260">
        <v>1</v>
      </c>
      <c r="V260" t="s">
        <v>4073</v>
      </c>
    </row>
    <row r="261" spans="1:22" hidden="1" x14ac:dyDescent="0.45">
      <c r="A261" s="2" t="s">
        <v>1876</v>
      </c>
      <c r="B261" s="11">
        <v>45326</v>
      </c>
      <c r="C261" s="2" t="s">
        <v>2012</v>
      </c>
      <c r="D261" s="2" t="s">
        <v>2017</v>
      </c>
      <c r="E261">
        <v>1055.53</v>
      </c>
      <c r="F261">
        <v>108719.59</v>
      </c>
      <c r="G261">
        <v>0</v>
      </c>
      <c r="H261">
        <v>0</v>
      </c>
      <c r="I261" s="2" t="s">
        <v>2022</v>
      </c>
      <c r="J261" s="2" t="s">
        <v>2029</v>
      </c>
      <c r="K261" s="2" t="s">
        <v>3897</v>
      </c>
      <c r="L261" s="2" t="s">
        <v>4031</v>
      </c>
      <c r="M261">
        <v>-1055.53</v>
      </c>
      <c r="N261" s="2" t="s">
        <v>4044</v>
      </c>
      <c r="O261">
        <v>103</v>
      </c>
      <c r="P261">
        <v>-108719.59</v>
      </c>
      <c r="Q261" t="b">
        <v>1</v>
      </c>
      <c r="R261" t="b">
        <v>0</v>
      </c>
      <c r="S261" t="b">
        <v>0</v>
      </c>
      <c r="T261" t="b">
        <v>0</v>
      </c>
      <c r="U261">
        <v>1</v>
      </c>
      <c r="V261" t="s">
        <v>4073</v>
      </c>
    </row>
    <row r="262" spans="1:22" hidden="1" x14ac:dyDescent="0.45">
      <c r="A262" s="2" t="s">
        <v>742</v>
      </c>
      <c r="B262" s="11">
        <v>45080</v>
      </c>
      <c r="C262" s="2" t="s">
        <v>2013</v>
      </c>
      <c r="D262" s="2" t="s">
        <v>2018</v>
      </c>
      <c r="E262">
        <v>1937.34</v>
      </c>
      <c r="F262">
        <v>108491.04</v>
      </c>
      <c r="G262">
        <v>0</v>
      </c>
      <c r="H262">
        <v>0</v>
      </c>
      <c r="I262" s="2" t="s">
        <v>2023</v>
      </c>
      <c r="J262" s="2" t="s">
        <v>2030</v>
      </c>
      <c r="K262" s="2" t="s">
        <v>2763</v>
      </c>
      <c r="L262" s="2" t="s">
        <v>4033</v>
      </c>
      <c r="M262">
        <v>-1937.34</v>
      </c>
      <c r="N262" s="2" t="s">
        <v>4044</v>
      </c>
      <c r="O262">
        <v>56</v>
      </c>
      <c r="P262">
        <v>-108491.04</v>
      </c>
      <c r="Q262" t="b">
        <v>1</v>
      </c>
      <c r="R262" t="b">
        <v>0</v>
      </c>
      <c r="S262" t="b">
        <v>0</v>
      </c>
      <c r="T262" t="b">
        <v>0</v>
      </c>
      <c r="U262">
        <v>1</v>
      </c>
      <c r="V262" t="s">
        <v>4073</v>
      </c>
    </row>
    <row r="263" spans="1:22" hidden="1" x14ac:dyDescent="0.45">
      <c r="A263" s="2" t="s">
        <v>968</v>
      </c>
      <c r="B263" s="11">
        <v>45486</v>
      </c>
      <c r="C263" s="2" t="s">
        <v>2013</v>
      </c>
      <c r="D263" s="2" t="s">
        <v>2018</v>
      </c>
      <c r="E263">
        <v>1912.71</v>
      </c>
      <c r="F263">
        <v>107111.76000000001</v>
      </c>
      <c r="G263">
        <v>0</v>
      </c>
      <c r="H263">
        <v>0</v>
      </c>
      <c r="I263" s="2" t="s">
        <v>2025</v>
      </c>
      <c r="J263" s="2" t="s">
        <v>2029</v>
      </c>
      <c r="K263" s="2" t="s">
        <v>2989</v>
      </c>
      <c r="L263" s="2" t="s">
        <v>4033</v>
      </c>
      <c r="M263">
        <v>-1912.71</v>
      </c>
      <c r="N263" s="2" t="s">
        <v>4044</v>
      </c>
      <c r="O263">
        <v>56</v>
      </c>
      <c r="P263">
        <v>-107111.76000000001</v>
      </c>
      <c r="Q263" t="b">
        <v>1</v>
      </c>
      <c r="R263" t="b">
        <v>0</v>
      </c>
      <c r="S263" t="b">
        <v>0</v>
      </c>
      <c r="T263" t="b">
        <v>0</v>
      </c>
      <c r="U263">
        <v>1</v>
      </c>
      <c r="V263" t="s">
        <v>4073</v>
      </c>
    </row>
    <row r="264" spans="1:22" hidden="1" x14ac:dyDescent="0.45">
      <c r="A264" s="2" t="s">
        <v>270</v>
      </c>
      <c r="B264" s="11">
        <v>45138</v>
      </c>
      <c r="C264" s="2" t="s">
        <v>2011</v>
      </c>
      <c r="D264" s="2" t="s">
        <v>2016</v>
      </c>
      <c r="E264">
        <v>1095.1300000000001</v>
      </c>
      <c r="F264">
        <v>112798.39000000001</v>
      </c>
      <c r="G264">
        <v>0</v>
      </c>
      <c r="H264">
        <v>0</v>
      </c>
      <c r="I264" s="2" t="s">
        <v>2021</v>
      </c>
      <c r="J264" s="2" t="s">
        <v>2030</v>
      </c>
      <c r="K264" s="2" t="s">
        <v>2291</v>
      </c>
      <c r="L264" s="2" t="s">
        <v>4031</v>
      </c>
      <c r="M264">
        <v>-1095.1300000000001</v>
      </c>
      <c r="N264" s="2" t="s">
        <v>2016</v>
      </c>
      <c r="O264">
        <v>103</v>
      </c>
      <c r="P264">
        <v>-112798.39000000001</v>
      </c>
      <c r="Q264" t="b">
        <v>0</v>
      </c>
      <c r="R264" t="b">
        <v>1</v>
      </c>
      <c r="S264" t="b">
        <v>0</v>
      </c>
      <c r="T264" t="b">
        <v>0</v>
      </c>
      <c r="U264">
        <v>1</v>
      </c>
      <c r="V264" t="s">
        <v>4073</v>
      </c>
    </row>
    <row r="265" spans="1:22" hidden="1" x14ac:dyDescent="0.45">
      <c r="A265" s="2" t="s">
        <v>1877</v>
      </c>
      <c r="B265" s="11">
        <v>45684</v>
      </c>
      <c r="C265" s="2" t="s">
        <v>2012</v>
      </c>
      <c r="D265" s="2" t="s">
        <v>2017</v>
      </c>
      <c r="E265">
        <v>349.69</v>
      </c>
      <c r="F265">
        <v>36018.07</v>
      </c>
      <c r="G265">
        <v>0</v>
      </c>
      <c r="H265">
        <v>0</v>
      </c>
      <c r="I265" s="2" t="s">
        <v>2024</v>
      </c>
      <c r="J265" s="2" t="s">
        <v>2030</v>
      </c>
      <c r="K265" s="2" t="s">
        <v>3898</v>
      </c>
      <c r="L265" s="2" t="s">
        <v>4031</v>
      </c>
      <c r="M265">
        <v>-349.69</v>
      </c>
      <c r="N265" s="2" t="s">
        <v>4044</v>
      </c>
      <c r="O265">
        <v>103</v>
      </c>
      <c r="P265">
        <v>-36018.07</v>
      </c>
      <c r="Q265" t="b">
        <v>0</v>
      </c>
      <c r="R265" t="b">
        <v>1</v>
      </c>
      <c r="S265" t="b">
        <v>0</v>
      </c>
      <c r="T265" t="b">
        <v>0</v>
      </c>
      <c r="U265">
        <v>1</v>
      </c>
      <c r="V265" t="s">
        <v>4073</v>
      </c>
    </row>
    <row r="266" spans="1:22" hidden="1" x14ac:dyDescent="0.45">
      <c r="A266" s="2" t="s">
        <v>1245</v>
      </c>
      <c r="B266" s="11">
        <v>45317</v>
      </c>
      <c r="C266" s="2" t="s">
        <v>2011</v>
      </c>
      <c r="D266" s="2" t="s">
        <v>2016</v>
      </c>
      <c r="E266">
        <v>1101.82</v>
      </c>
      <c r="F266">
        <v>113487.45999999999</v>
      </c>
      <c r="G266">
        <v>0</v>
      </c>
      <c r="H266">
        <v>0</v>
      </c>
      <c r="I266" s="2" t="s">
        <v>2021</v>
      </c>
      <c r="J266" s="2" t="s">
        <v>2027</v>
      </c>
      <c r="K266" s="2" t="s">
        <v>3266</v>
      </c>
      <c r="L266" s="2" t="s">
        <v>4031</v>
      </c>
      <c r="M266">
        <v>-1101.82</v>
      </c>
      <c r="N266" s="2" t="s">
        <v>2016</v>
      </c>
      <c r="O266">
        <v>103</v>
      </c>
      <c r="P266">
        <v>-113487.45999999999</v>
      </c>
      <c r="Q266" t="b">
        <v>0</v>
      </c>
      <c r="R266" t="b">
        <v>1</v>
      </c>
      <c r="S266" t="b">
        <v>0</v>
      </c>
      <c r="T266" t="b">
        <v>0</v>
      </c>
      <c r="U266">
        <v>1</v>
      </c>
      <c r="V266" t="s">
        <v>4073</v>
      </c>
    </row>
    <row r="267" spans="1:22" hidden="1" x14ac:dyDescent="0.45">
      <c r="A267" s="2" t="s">
        <v>1228</v>
      </c>
      <c r="B267" s="11">
        <v>45297</v>
      </c>
      <c r="C267" s="2" t="s">
        <v>2010</v>
      </c>
      <c r="D267" s="2" t="s">
        <v>2015</v>
      </c>
      <c r="E267">
        <v>0</v>
      </c>
      <c r="F267">
        <v>0</v>
      </c>
      <c r="G267">
        <v>1406.7</v>
      </c>
      <c r="H267">
        <v>123789.6</v>
      </c>
      <c r="I267" s="2" t="s">
        <v>2020</v>
      </c>
      <c r="J267" s="2" t="s">
        <v>2029</v>
      </c>
      <c r="K267" s="2" t="s">
        <v>3249</v>
      </c>
      <c r="L267" s="2" t="s">
        <v>4032</v>
      </c>
      <c r="M267">
        <v>1406.7</v>
      </c>
      <c r="N267" s="2" t="s">
        <v>4042</v>
      </c>
      <c r="O267">
        <v>88</v>
      </c>
      <c r="P267">
        <v>123789.6</v>
      </c>
      <c r="Q267" t="b">
        <v>1</v>
      </c>
      <c r="R267" t="b">
        <v>0</v>
      </c>
      <c r="S267" t="b">
        <v>0</v>
      </c>
      <c r="T267" t="b">
        <v>0</v>
      </c>
      <c r="U267">
        <v>1</v>
      </c>
      <c r="V267" t="s">
        <v>4073</v>
      </c>
    </row>
    <row r="268" spans="1:22" hidden="1" x14ac:dyDescent="0.45">
      <c r="A268" s="2" t="s">
        <v>1676</v>
      </c>
      <c r="B268" s="11">
        <v>45151</v>
      </c>
      <c r="C268" s="2" t="s">
        <v>2012</v>
      </c>
      <c r="D268" s="2" t="s">
        <v>2017</v>
      </c>
      <c r="E268">
        <v>1403.79</v>
      </c>
      <c r="F268">
        <v>123533.51999999999</v>
      </c>
      <c r="G268">
        <v>0</v>
      </c>
      <c r="H268">
        <v>0</v>
      </c>
      <c r="I268" s="2" t="s">
        <v>2024</v>
      </c>
      <c r="J268" s="2" t="s">
        <v>2028</v>
      </c>
      <c r="K268" s="2" t="s">
        <v>3697</v>
      </c>
      <c r="L268" s="2" t="s">
        <v>4032</v>
      </c>
      <c r="M268">
        <v>-1403.79</v>
      </c>
      <c r="N268" s="2" t="s">
        <v>4044</v>
      </c>
      <c r="O268">
        <v>88</v>
      </c>
      <c r="P268">
        <v>-123533.51999999999</v>
      </c>
      <c r="Q268" t="b">
        <v>1</v>
      </c>
      <c r="R268" t="b">
        <v>0</v>
      </c>
      <c r="S268" t="b">
        <v>0</v>
      </c>
      <c r="T268" t="b">
        <v>0</v>
      </c>
      <c r="U268">
        <v>1</v>
      </c>
      <c r="V268" t="s">
        <v>4073</v>
      </c>
    </row>
    <row r="269" spans="1:22" hidden="1" x14ac:dyDescent="0.45">
      <c r="A269" s="2" t="s">
        <v>1086</v>
      </c>
      <c r="B269" s="11">
        <v>45656</v>
      </c>
      <c r="C269" s="2" t="s">
        <v>2013</v>
      </c>
      <c r="D269" s="2" t="s">
        <v>2018</v>
      </c>
      <c r="E269">
        <v>1402.31</v>
      </c>
      <c r="F269">
        <v>123403.28</v>
      </c>
      <c r="G269">
        <v>0</v>
      </c>
      <c r="H269">
        <v>0</v>
      </c>
      <c r="I269" s="2" t="s">
        <v>2025</v>
      </c>
      <c r="J269" s="2" t="s">
        <v>2030</v>
      </c>
      <c r="K269" s="2" t="s">
        <v>3107</v>
      </c>
      <c r="L269" s="2" t="s">
        <v>4032</v>
      </c>
      <c r="M269">
        <v>-1402.31</v>
      </c>
      <c r="N269" s="2" t="s">
        <v>4044</v>
      </c>
      <c r="O269">
        <v>88</v>
      </c>
      <c r="P269">
        <v>-123403.28</v>
      </c>
      <c r="Q269" t="b">
        <v>0</v>
      </c>
      <c r="R269" t="b">
        <v>1</v>
      </c>
      <c r="S269" t="b">
        <v>0</v>
      </c>
      <c r="T269" t="b">
        <v>0</v>
      </c>
      <c r="U269">
        <v>1</v>
      </c>
      <c r="V269" t="s">
        <v>4073</v>
      </c>
    </row>
    <row r="270" spans="1:22" hidden="1" x14ac:dyDescent="0.45">
      <c r="A270" s="2" t="s">
        <v>765</v>
      </c>
      <c r="B270" s="11">
        <v>44947</v>
      </c>
      <c r="C270" s="2" t="s">
        <v>2011</v>
      </c>
      <c r="D270" s="2" t="s">
        <v>2016</v>
      </c>
      <c r="E270">
        <v>1504.62</v>
      </c>
      <c r="F270">
        <v>123378.84</v>
      </c>
      <c r="G270">
        <v>0</v>
      </c>
      <c r="H270">
        <v>0</v>
      </c>
      <c r="I270" s="2" t="s">
        <v>2020</v>
      </c>
      <c r="J270" s="2" t="s">
        <v>2029</v>
      </c>
      <c r="K270" s="2" t="s">
        <v>2786</v>
      </c>
      <c r="L270" s="2" t="s">
        <v>4034</v>
      </c>
      <c r="M270">
        <v>-1504.62</v>
      </c>
      <c r="N270" s="2" t="s">
        <v>2016</v>
      </c>
      <c r="O270">
        <v>82</v>
      </c>
      <c r="P270">
        <v>-123378.84</v>
      </c>
      <c r="Q270" t="b">
        <v>1</v>
      </c>
      <c r="R270" t="b">
        <v>0</v>
      </c>
      <c r="S270" t="b">
        <v>0</v>
      </c>
      <c r="T270" t="b">
        <v>0</v>
      </c>
      <c r="U270">
        <v>1</v>
      </c>
      <c r="V270" t="s">
        <v>4073</v>
      </c>
    </row>
    <row r="271" spans="1:22" hidden="1" x14ac:dyDescent="0.45">
      <c r="A271" s="2" t="s">
        <v>313</v>
      </c>
      <c r="B271" s="11">
        <v>45504</v>
      </c>
      <c r="C271" s="2" t="s">
        <v>2010</v>
      </c>
      <c r="D271" s="2" t="s">
        <v>2015</v>
      </c>
      <c r="E271">
        <v>0</v>
      </c>
      <c r="F271">
        <v>0</v>
      </c>
      <c r="G271">
        <v>1400.77</v>
      </c>
      <c r="H271">
        <v>123267.76</v>
      </c>
      <c r="I271" s="2" t="s">
        <v>2020</v>
      </c>
      <c r="J271" s="2" t="s">
        <v>2029</v>
      </c>
      <c r="K271" s="2" t="s">
        <v>2334</v>
      </c>
      <c r="L271" s="2" t="s">
        <v>4032</v>
      </c>
      <c r="M271">
        <v>1400.77</v>
      </c>
      <c r="N271" s="2" t="s">
        <v>4042</v>
      </c>
      <c r="O271">
        <v>88</v>
      </c>
      <c r="P271">
        <v>123267.76</v>
      </c>
      <c r="Q271" t="b">
        <v>0</v>
      </c>
      <c r="R271" t="b">
        <v>1</v>
      </c>
      <c r="S271" t="b">
        <v>0</v>
      </c>
      <c r="T271" t="b">
        <v>0</v>
      </c>
      <c r="U271">
        <v>1</v>
      </c>
      <c r="V271" t="s">
        <v>4073</v>
      </c>
    </row>
    <row r="272" spans="1:22" hidden="1" x14ac:dyDescent="0.45">
      <c r="A272" s="2" t="s">
        <v>759</v>
      </c>
      <c r="B272" s="11">
        <v>45350</v>
      </c>
      <c r="C272" s="2" t="s">
        <v>2011</v>
      </c>
      <c r="D272" s="2" t="s">
        <v>2016</v>
      </c>
      <c r="E272">
        <v>319.47000000000003</v>
      </c>
      <c r="F272">
        <v>32905.410000000003</v>
      </c>
      <c r="G272">
        <v>0</v>
      </c>
      <c r="H272">
        <v>0</v>
      </c>
      <c r="I272" s="2" t="s">
        <v>2022</v>
      </c>
      <c r="J272" s="2" t="s">
        <v>2030</v>
      </c>
      <c r="K272" s="2" t="s">
        <v>2780</v>
      </c>
      <c r="L272" s="2" t="s">
        <v>4031</v>
      </c>
      <c r="M272">
        <v>-319.47000000000003</v>
      </c>
      <c r="N272" s="2" t="s">
        <v>2016</v>
      </c>
      <c r="O272">
        <v>103</v>
      </c>
      <c r="P272">
        <v>-32905.410000000003</v>
      </c>
      <c r="Q272" t="b">
        <v>0</v>
      </c>
      <c r="R272" t="b">
        <v>1</v>
      </c>
      <c r="S272" t="b">
        <v>0</v>
      </c>
      <c r="T272" t="b">
        <v>0</v>
      </c>
      <c r="U272">
        <v>1</v>
      </c>
      <c r="V272" t="s">
        <v>4073</v>
      </c>
    </row>
    <row r="273" spans="1:22" hidden="1" x14ac:dyDescent="0.45">
      <c r="A273" s="2" t="s">
        <v>1069</v>
      </c>
      <c r="B273" s="11">
        <v>45287</v>
      </c>
      <c r="C273" s="2" t="s">
        <v>2014</v>
      </c>
      <c r="D273" s="2" t="s">
        <v>2019</v>
      </c>
      <c r="E273">
        <v>0</v>
      </c>
      <c r="F273">
        <v>0</v>
      </c>
      <c r="G273">
        <v>544.42999999999995</v>
      </c>
      <c r="H273">
        <v>33210.229999999996</v>
      </c>
      <c r="I273" s="2" t="s">
        <v>2021</v>
      </c>
      <c r="J273" s="2" t="s">
        <v>2026</v>
      </c>
      <c r="K273" s="2" t="s">
        <v>3090</v>
      </c>
      <c r="L273" s="2" t="s">
        <v>4035</v>
      </c>
      <c r="M273">
        <v>544.42999999999995</v>
      </c>
      <c r="N273" s="2" t="s">
        <v>4042</v>
      </c>
      <c r="O273">
        <v>61</v>
      </c>
      <c r="P273">
        <v>33210.229999999996</v>
      </c>
      <c r="Q273" t="b">
        <v>0</v>
      </c>
      <c r="R273" t="b">
        <v>1</v>
      </c>
      <c r="S273" t="b">
        <v>0</v>
      </c>
      <c r="T273" t="b">
        <v>0</v>
      </c>
      <c r="U273">
        <v>1</v>
      </c>
      <c r="V273" t="s">
        <v>4073</v>
      </c>
    </row>
    <row r="274" spans="1:22" hidden="1" x14ac:dyDescent="0.45">
      <c r="A274" s="2" t="s">
        <v>1249</v>
      </c>
      <c r="B274" s="11">
        <v>45197</v>
      </c>
      <c r="C274" s="2" t="s">
        <v>2011</v>
      </c>
      <c r="D274" s="2" t="s">
        <v>2016</v>
      </c>
      <c r="E274">
        <v>1394.34</v>
      </c>
      <c r="F274">
        <v>122701.92</v>
      </c>
      <c r="G274">
        <v>0</v>
      </c>
      <c r="H274">
        <v>0</v>
      </c>
      <c r="I274" s="2" t="s">
        <v>2022</v>
      </c>
      <c r="J274" s="2" t="s">
        <v>2029</v>
      </c>
      <c r="K274" s="2" t="s">
        <v>3270</v>
      </c>
      <c r="L274" s="2" t="s">
        <v>4032</v>
      </c>
      <c r="M274">
        <v>-1394.34</v>
      </c>
      <c r="N274" s="2" t="s">
        <v>2016</v>
      </c>
      <c r="O274">
        <v>88</v>
      </c>
      <c r="P274">
        <v>-122701.92</v>
      </c>
      <c r="Q274" t="b">
        <v>0</v>
      </c>
      <c r="R274" t="b">
        <v>1</v>
      </c>
      <c r="S274" t="b">
        <v>0</v>
      </c>
      <c r="T274" t="b">
        <v>0</v>
      </c>
      <c r="U274">
        <v>1</v>
      </c>
      <c r="V274" t="s">
        <v>4073</v>
      </c>
    </row>
    <row r="275" spans="1:22" hidden="1" x14ac:dyDescent="0.45">
      <c r="A275" s="2" t="s">
        <v>782</v>
      </c>
      <c r="B275" s="11">
        <v>45166</v>
      </c>
      <c r="C275" s="2" t="s">
        <v>2010</v>
      </c>
      <c r="D275" s="2" t="s">
        <v>2015</v>
      </c>
      <c r="E275">
        <v>0</v>
      </c>
      <c r="F275">
        <v>0</v>
      </c>
      <c r="G275">
        <v>1493.92</v>
      </c>
      <c r="H275">
        <v>122501.44</v>
      </c>
      <c r="I275" s="2" t="s">
        <v>2021</v>
      </c>
      <c r="J275" s="2" t="s">
        <v>2027</v>
      </c>
      <c r="K275" s="2" t="s">
        <v>2803</v>
      </c>
      <c r="L275" s="2" t="s">
        <v>4034</v>
      </c>
      <c r="M275">
        <v>1493.92</v>
      </c>
      <c r="N275" s="2" t="s">
        <v>4042</v>
      </c>
      <c r="O275">
        <v>82</v>
      </c>
      <c r="P275">
        <v>122501.44</v>
      </c>
      <c r="Q275" t="b">
        <v>0</v>
      </c>
      <c r="R275" t="b">
        <v>1</v>
      </c>
      <c r="S275" t="b">
        <v>0</v>
      </c>
      <c r="T275" t="b">
        <v>0</v>
      </c>
      <c r="U275">
        <v>1</v>
      </c>
      <c r="V275" t="s">
        <v>4073</v>
      </c>
    </row>
    <row r="276" spans="1:22" hidden="1" x14ac:dyDescent="0.45">
      <c r="A276" s="2" t="s">
        <v>1861</v>
      </c>
      <c r="B276" s="11">
        <v>45151</v>
      </c>
      <c r="C276" s="2" t="s">
        <v>2011</v>
      </c>
      <c r="D276" s="2" t="s">
        <v>2016</v>
      </c>
      <c r="E276">
        <v>544.71</v>
      </c>
      <c r="F276">
        <v>33227.310000000005</v>
      </c>
      <c r="G276">
        <v>0</v>
      </c>
      <c r="H276">
        <v>0</v>
      </c>
      <c r="I276" s="2" t="s">
        <v>2025</v>
      </c>
      <c r="J276" s="2" t="s">
        <v>2030</v>
      </c>
      <c r="K276" s="2" t="s">
        <v>3882</v>
      </c>
      <c r="L276" s="2" t="s">
        <v>4035</v>
      </c>
      <c r="M276">
        <v>-544.71</v>
      </c>
      <c r="N276" s="2" t="s">
        <v>2016</v>
      </c>
      <c r="O276">
        <v>61</v>
      </c>
      <c r="P276">
        <v>-33227.310000000005</v>
      </c>
      <c r="Q276" t="b">
        <v>1</v>
      </c>
      <c r="R276" t="b">
        <v>0</v>
      </c>
      <c r="S276" t="b">
        <v>0</v>
      </c>
      <c r="T276" t="b">
        <v>0</v>
      </c>
      <c r="U276">
        <v>1</v>
      </c>
      <c r="V276" t="s">
        <v>4073</v>
      </c>
    </row>
    <row r="277" spans="1:22" hidden="1" x14ac:dyDescent="0.45">
      <c r="A277" s="2" t="s">
        <v>666</v>
      </c>
      <c r="B277" s="11">
        <v>45143</v>
      </c>
      <c r="C277" s="2" t="s">
        <v>2013</v>
      </c>
      <c r="D277" s="2" t="s">
        <v>2018</v>
      </c>
      <c r="E277">
        <v>1489.09</v>
      </c>
      <c r="F277">
        <v>131039.92</v>
      </c>
      <c r="G277">
        <v>0</v>
      </c>
      <c r="H277">
        <v>0</v>
      </c>
      <c r="I277" s="2" t="s">
        <v>2020</v>
      </c>
      <c r="J277" s="2" t="s">
        <v>2028</v>
      </c>
      <c r="K277" s="2" t="s">
        <v>2687</v>
      </c>
      <c r="L277" s="2" t="s">
        <v>4032</v>
      </c>
      <c r="M277">
        <v>-1489.09</v>
      </c>
      <c r="N277" s="2" t="s">
        <v>4044</v>
      </c>
      <c r="O277">
        <v>88</v>
      </c>
      <c r="P277">
        <v>-131039.92</v>
      </c>
      <c r="Q277" t="b">
        <v>1</v>
      </c>
      <c r="R277" t="b">
        <v>0</v>
      </c>
      <c r="S277" t="b">
        <v>0</v>
      </c>
      <c r="T277" t="b">
        <v>0</v>
      </c>
      <c r="U277">
        <v>1</v>
      </c>
      <c r="V277" t="s">
        <v>4073</v>
      </c>
    </row>
    <row r="278" spans="1:22" hidden="1" x14ac:dyDescent="0.45">
      <c r="A278" s="2" t="s">
        <v>2002</v>
      </c>
      <c r="B278" s="11">
        <v>45452</v>
      </c>
      <c r="C278" s="2" t="s">
        <v>2014</v>
      </c>
      <c r="D278" s="2" t="s">
        <v>2019</v>
      </c>
      <c r="E278">
        <v>0</v>
      </c>
      <c r="F278">
        <v>0</v>
      </c>
      <c r="G278">
        <v>2003.64</v>
      </c>
      <c r="H278">
        <v>122222.04000000001</v>
      </c>
      <c r="I278" s="2" t="s">
        <v>2024</v>
      </c>
      <c r="J278" s="2" t="s">
        <v>2026</v>
      </c>
      <c r="K278" s="2" t="s">
        <v>4023</v>
      </c>
      <c r="L278" s="2" t="s">
        <v>4035</v>
      </c>
      <c r="M278">
        <v>2003.64</v>
      </c>
      <c r="N278" s="2" t="s">
        <v>4042</v>
      </c>
      <c r="O278">
        <v>61</v>
      </c>
      <c r="P278">
        <v>122222.04000000001</v>
      </c>
      <c r="Q278" t="b">
        <v>1</v>
      </c>
      <c r="R278" t="b">
        <v>0</v>
      </c>
      <c r="S278" t="b">
        <v>0</v>
      </c>
      <c r="T278" t="b">
        <v>0</v>
      </c>
      <c r="U278">
        <v>1</v>
      </c>
      <c r="V278" t="s">
        <v>4073</v>
      </c>
    </row>
    <row r="279" spans="1:22" hidden="1" x14ac:dyDescent="0.45">
      <c r="A279" s="2" t="s">
        <v>1337</v>
      </c>
      <c r="B279" s="11">
        <v>45689</v>
      </c>
      <c r="C279" s="2" t="s">
        <v>2011</v>
      </c>
      <c r="D279" s="2" t="s">
        <v>2016</v>
      </c>
      <c r="E279">
        <v>606.16</v>
      </c>
      <c r="F279">
        <v>33944.959999999999</v>
      </c>
      <c r="G279">
        <v>0</v>
      </c>
      <c r="H279">
        <v>0</v>
      </c>
      <c r="I279" s="2" t="s">
        <v>2021</v>
      </c>
      <c r="J279" s="2" t="s">
        <v>2029</v>
      </c>
      <c r="K279" s="2" t="s">
        <v>3358</v>
      </c>
      <c r="L279" s="2" t="s">
        <v>4033</v>
      </c>
      <c r="M279">
        <v>-606.16</v>
      </c>
      <c r="N279" s="2" t="s">
        <v>2016</v>
      </c>
      <c r="O279">
        <v>56</v>
      </c>
      <c r="P279">
        <v>-33944.959999999999</v>
      </c>
      <c r="Q279" t="b">
        <v>1</v>
      </c>
      <c r="R279" t="b">
        <v>0</v>
      </c>
      <c r="S279" t="b">
        <v>0</v>
      </c>
      <c r="T279" t="b">
        <v>0</v>
      </c>
      <c r="U279">
        <v>1</v>
      </c>
      <c r="V279" t="s">
        <v>4073</v>
      </c>
    </row>
    <row r="280" spans="1:22" hidden="1" x14ac:dyDescent="0.45">
      <c r="A280" s="2" t="s">
        <v>1996</v>
      </c>
      <c r="B280" s="11">
        <v>45230</v>
      </c>
      <c r="C280" s="2" t="s">
        <v>2012</v>
      </c>
      <c r="D280" s="2" t="s">
        <v>2017</v>
      </c>
      <c r="E280">
        <v>415.73</v>
      </c>
      <c r="F280">
        <v>34089.86</v>
      </c>
      <c r="G280">
        <v>0</v>
      </c>
      <c r="H280">
        <v>0</v>
      </c>
      <c r="I280" s="2" t="s">
        <v>2023</v>
      </c>
      <c r="J280" s="2" t="s">
        <v>2026</v>
      </c>
      <c r="K280" s="2" t="s">
        <v>4017</v>
      </c>
      <c r="L280" s="2" t="s">
        <v>4034</v>
      </c>
      <c r="M280">
        <v>-415.73</v>
      </c>
      <c r="N280" s="2" t="s">
        <v>4044</v>
      </c>
      <c r="O280">
        <v>82</v>
      </c>
      <c r="P280">
        <v>-34089.86</v>
      </c>
      <c r="Q280" t="b">
        <v>0</v>
      </c>
      <c r="R280" t="b">
        <v>1</v>
      </c>
      <c r="S280" t="b">
        <v>0</v>
      </c>
      <c r="T280" t="b">
        <v>0</v>
      </c>
      <c r="U280">
        <v>1</v>
      </c>
      <c r="V280" t="s">
        <v>4073</v>
      </c>
    </row>
    <row r="281" spans="1:22" hidden="1" x14ac:dyDescent="0.45">
      <c r="A281" s="2" t="s">
        <v>735</v>
      </c>
      <c r="B281" s="11">
        <v>45442</v>
      </c>
      <c r="C281" s="2" t="s">
        <v>2011</v>
      </c>
      <c r="D281" s="2" t="s">
        <v>2016</v>
      </c>
      <c r="E281">
        <v>1474.83</v>
      </c>
      <c r="F281">
        <v>120936.06</v>
      </c>
      <c r="G281">
        <v>0</v>
      </c>
      <c r="H281">
        <v>0</v>
      </c>
      <c r="I281" s="2" t="s">
        <v>2021</v>
      </c>
      <c r="J281" s="2" t="s">
        <v>2029</v>
      </c>
      <c r="K281" s="2" t="s">
        <v>2756</v>
      </c>
      <c r="L281" s="2" t="s">
        <v>4034</v>
      </c>
      <c r="M281">
        <v>-1474.83</v>
      </c>
      <c r="N281" s="2" t="s">
        <v>2016</v>
      </c>
      <c r="O281">
        <v>82</v>
      </c>
      <c r="P281">
        <v>-120936.06</v>
      </c>
      <c r="Q281" t="b">
        <v>0</v>
      </c>
      <c r="R281" t="b">
        <v>1</v>
      </c>
      <c r="S281" t="b">
        <v>0</v>
      </c>
      <c r="T281" t="b">
        <v>0</v>
      </c>
      <c r="U281">
        <v>1</v>
      </c>
      <c r="V281" t="s">
        <v>4073</v>
      </c>
    </row>
    <row r="282" spans="1:22" hidden="1" x14ac:dyDescent="0.45">
      <c r="A282" s="2" t="s">
        <v>1864</v>
      </c>
      <c r="B282" s="11">
        <v>45440</v>
      </c>
      <c r="C282" s="2" t="s">
        <v>2012</v>
      </c>
      <c r="D282" s="2" t="s">
        <v>2017</v>
      </c>
      <c r="E282">
        <v>288.41000000000003</v>
      </c>
      <c r="F282">
        <v>29706.230000000003</v>
      </c>
      <c r="G282">
        <v>0</v>
      </c>
      <c r="H282">
        <v>0</v>
      </c>
      <c r="I282" s="2" t="s">
        <v>2023</v>
      </c>
      <c r="J282" s="2" t="s">
        <v>2026</v>
      </c>
      <c r="K282" s="2" t="s">
        <v>3885</v>
      </c>
      <c r="L282" s="2" t="s">
        <v>4031</v>
      </c>
      <c r="M282">
        <v>-288.41000000000003</v>
      </c>
      <c r="N282" s="2" t="s">
        <v>4044</v>
      </c>
      <c r="O282">
        <v>103</v>
      </c>
      <c r="P282">
        <v>-29706.230000000003</v>
      </c>
      <c r="Q282" t="b">
        <v>0</v>
      </c>
      <c r="R282" t="b">
        <v>1</v>
      </c>
      <c r="S282" t="b">
        <v>0</v>
      </c>
      <c r="T282" t="b">
        <v>0</v>
      </c>
      <c r="U282">
        <v>1</v>
      </c>
      <c r="V282" t="s">
        <v>4073</v>
      </c>
    </row>
    <row r="283" spans="1:22" hidden="1" x14ac:dyDescent="0.45">
      <c r="A283" s="2" t="s">
        <v>165</v>
      </c>
      <c r="B283" s="11">
        <v>45116</v>
      </c>
      <c r="C283" s="2" t="s">
        <v>2012</v>
      </c>
      <c r="D283" s="2" t="s">
        <v>2017</v>
      </c>
      <c r="E283">
        <v>1711.43</v>
      </c>
      <c r="F283">
        <v>104397.23000000001</v>
      </c>
      <c r="G283">
        <v>0</v>
      </c>
      <c r="H283">
        <v>0</v>
      </c>
      <c r="I283" s="2" t="s">
        <v>2024</v>
      </c>
      <c r="J283" s="2" t="s">
        <v>2028</v>
      </c>
      <c r="K283" s="2" t="s">
        <v>2186</v>
      </c>
      <c r="L283" s="2" t="s">
        <v>4035</v>
      </c>
      <c r="M283">
        <v>-1711.43</v>
      </c>
      <c r="N283" s="2" t="s">
        <v>4044</v>
      </c>
      <c r="O283">
        <v>61</v>
      </c>
      <c r="P283">
        <v>-104397.23000000001</v>
      </c>
      <c r="Q283" t="b">
        <v>1</v>
      </c>
      <c r="R283" t="b">
        <v>0</v>
      </c>
      <c r="S283" t="b">
        <v>0</v>
      </c>
      <c r="T283" t="b">
        <v>0</v>
      </c>
      <c r="U283">
        <v>1</v>
      </c>
      <c r="V283" t="s">
        <v>4073</v>
      </c>
    </row>
    <row r="284" spans="1:22" hidden="1" x14ac:dyDescent="0.45">
      <c r="A284" s="2" t="s">
        <v>965</v>
      </c>
      <c r="B284" s="11">
        <v>45713</v>
      </c>
      <c r="C284" s="2" t="s">
        <v>2011</v>
      </c>
      <c r="D284" s="2" t="s">
        <v>2016</v>
      </c>
      <c r="E284">
        <v>1472.38</v>
      </c>
      <c r="F284">
        <v>120735.16</v>
      </c>
      <c r="G284">
        <v>0</v>
      </c>
      <c r="H284">
        <v>0</v>
      </c>
      <c r="I284" s="2" t="s">
        <v>2021</v>
      </c>
      <c r="J284" s="2" t="s">
        <v>2027</v>
      </c>
      <c r="K284" s="2" t="s">
        <v>2986</v>
      </c>
      <c r="L284" s="2" t="s">
        <v>4034</v>
      </c>
      <c r="M284">
        <v>-1472.38</v>
      </c>
      <c r="N284" s="2" t="s">
        <v>2016</v>
      </c>
      <c r="O284">
        <v>82</v>
      </c>
      <c r="P284">
        <v>-120735.16</v>
      </c>
      <c r="Q284" t="b">
        <v>0</v>
      </c>
      <c r="R284" t="b">
        <v>1</v>
      </c>
      <c r="S284" t="b">
        <v>0</v>
      </c>
      <c r="T284" t="b">
        <v>0</v>
      </c>
      <c r="U284">
        <v>1</v>
      </c>
      <c r="V284" t="s">
        <v>4073</v>
      </c>
    </row>
    <row r="285" spans="1:22" hidden="1" x14ac:dyDescent="0.45">
      <c r="A285" s="2" t="s">
        <v>1598</v>
      </c>
      <c r="B285" s="11">
        <v>45360</v>
      </c>
      <c r="C285" s="2" t="s">
        <v>2012</v>
      </c>
      <c r="D285" s="2" t="s">
        <v>2017</v>
      </c>
      <c r="E285">
        <v>1614.34</v>
      </c>
      <c r="F285">
        <v>132375.88</v>
      </c>
      <c r="G285">
        <v>0</v>
      </c>
      <c r="H285">
        <v>0</v>
      </c>
      <c r="I285" s="2" t="s">
        <v>2020</v>
      </c>
      <c r="J285" s="2" t="s">
        <v>2028</v>
      </c>
      <c r="K285" s="2" t="s">
        <v>3619</v>
      </c>
      <c r="L285" s="2" t="s">
        <v>4034</v>
      </c>
      <c r="M285">
        <v>-1614.34</v>
      </c>
      <c r="N285" s="2" t="s">
        <v>4044</v>
      </c>
      <c r="O285">
        <v>82</v>
      </c>
      <c r="P285">
        <v>-132375.88</v>
      </c>
      <c r="Q285" t="b">
        <v>1</v>
      </c>
      <c r="R285" t="b">
        <v>0</v>
      </c>
      <c r="S285" t="b">
        <v>0</v>
      </c>
      <c r="T285" t="b">
        <v>0</v>
      </c>
      <c r="U285">
        <v>1</v>
      </c>
      <c r="V285" t="s">
        <v>4073</v>
      </c>
    </row>
    <row r="286" spans="1:22" hidden="1" x14ac:dyDescent="0.45">
      <c r="A286" s="2" t="s">
        <v>221</v>
      </c>
      <c r="B286" s="11">
        <v>45259</v>
      </c>
      <c r="C286" s="2" t="s">
        <v>2013</v>
      </c>
      <c r="D286" s="2" t="s">
        <v>2018</v>
      </c>
      <c r="E286">
        <v>1619.58</v>
      </c>
      <c r="F286">
        <v>132805.56</v>
      </c>
      <c r="G286">
        <v>0</v>
      </c>
      <c r="H286">
        <v>0</v>
      </c>
      <c r="I286" s="2" t="s">
        <v>2020</v>
      </c>
      <c r="J286" s="2" t="s">
        <v>2028</v>
      </c>
      <c r="K286" s="2" t="s">
        <v>2242</v>
      </c>
      <c r="L286" s="2" t="s">
        <v>4034</v>
      </c>
      <c r="M286">
        <v>-1619.58</v>
      </c>
      <c r="N286" s="2" t="s">
        <v>4044</v>
      </c>
      <c r="O286">
        <v>82</v>
      </c>
      <c r="P286">
        <v>-132805.56</v>
      </c>
      <c r="Q286" t="b">
        <v>0</v>
      </c>
      <c r="R286" t="b">
        <v>1</v>
      </c>
      <c r="S286" t="b">
        <v>0</v>
      </c>
      <c r="T286" t="b">
        <v>0</v>
      </c>
      <c r="U286">
        <v>1</v>
      </c>
      <c r="V286" t="s">
        <v>4073</v>
      </c>
    </row>
    <row r="287" spans="1:22" hidden="1" x14ac:dyDescent="0.45">
      <c r="A287" s="2" t="s">
        <v>128</v>
      </c>
      <c r="B287" s="11">
        <v>45669</v>
      </c>
      <c r="C287" s="2" t="s">
        <v>2012</v>
      </c>
      <c r="D287" s="2" t="s">
        <v>2017</v>
      </c>
      <c r="E287">
        <v>523.80999999999995</v>
      </c>
      <c r="F287">
        <v>29333.359999999997</v>
      </c>
      <c r="G287">
        <v>0</v>
      </c>
      <c r="H287">
        <v>0</v>
      </c>
      <c r="I287" s="2" t="s">
        <v>2023</v>
      </c>
      <c r="J287" s="2" t="s">
        <v>2026</v>
      </c>
      <c r="K287" s="2" t="s">
        <v>2149</v>
      </c>
      <c r="L287" s="2" t="s">
        <v>4033</v>
      </c>
      <c r="M287">
        <v>-523.80999999999995</v>
      </c>
      <c r="N287" s="2" t="s">
        <v>4044</v>
      </c>
      <c r="O287">
        <v>56</v>
      </c>
      <c r="P287">
        <v>-29333.359999999997</v>
      </c>
      <c r="Q287" t="b">
        <v>1</v>
      </c>
      <c r="R287" t="b">
        <v>0</v>
      </c>
      <c r="S287" t="b">
        <v>0</v>
      </c>
      <c r="T287" t="b">
        <v>0</v>
      </c>
      <c r="U287">
        <v>1</v>
      </c>
      <c r="V287" t="s">
        <v>4073</v>
      </c>
    </row>
    <row r="288" spans="1:22" hidden="1" x14ac:dyDescent="0.45">
      <c r="A288" s="2" t="s">
        <v>748</v>
      </c>
      <c r="B288" s="11">
        <v>45380</v>
      </c>
      <c r="C288" s="2" t="s">
        <v>2014</v>
      </c>
      <c r="D288" s="2" t="s">
        <v>2019</v>
      </c>
      <c r="E288">
        <v>0</v>
      </c>
      <c r="F288">
        <v>0</v>
      </c>
      <c r="G288">
        <v>2188.77</v>
      </c>
      <c r="H288">
        <v>133514.97</v>
      </c>
      <c r="I288" s="2" t="s">
        <v>2024</v>
      </c>
      <c r="J288" s="2" t="s">
        <v>2029</v>
      </c>
      <c r="K288" s="2" t="s">
        <v>2769</v>
      </c>
      <c r="L288" s="2" t="s">
        <v>4035</v>
      </c>
      <c r="M288">
        <v>2188.77</v>
      </c>
      <c r="N288" s="2" t="s">
        <v>4042</v>
      </c>
      <c r="O288">
        <v>61</v>
      </c>
      <c r="P288">
        <v>133514.97</v>
      </c>
      <c r="Q288" t="b">
        <v>0</v>
      </c>
      <c r="R288" t="b">
        <v>1</v>
      </c>
      <c r="S288" t="b">
        <v>0</v>
      </c>
      <c r="T288" t="b">
        <v>0</v>
      </c>
      <c r="U288">
        <v>1</v>
      </c>
      <c r="V288" t="s">
        <v>4073</v>
      </c>
    </row>
    <row r="289" spans="1:22" hidden="1" x14ac:dyDescent="0.45">
      <c r="A289" s="2" t="s">
        <v>11</v>
      </c>
      <c r="B289" s="11">
        <v>45466</v>
      </c>
      <c r="C289" s="2" t="s">
        <v>2011</v>
      </c>
      <c r="D289" s="2" t="s">
        <v>2016</v>
      </c>
      <c r="E289">
        <v>1184.73</v>
      </c>
      <c r="F289">
        <v>122027.19</v>
      </c>
      <c r="G289">
        <v>0</v>
      </c>
      <c r="H289">
        <v>0</v>
      </c>
      <c r="I289" s="2" t="s">
        <v>2021</v>
      </c>
      <c r="J289" s="2" t="s">
        <v>2026</v>
      </c>
      <c r="K289" s="2" t="s">
        <v>2032</v>
      </c>
      <c r="L289" s="2" t="s">
        <v>4031</v>
      </c>
      <c r="M289">
        <v>-1184.73</v>
      </c>
      <c r="N289" s="2" t="s">
        <v>2016</v>
      </c>
      <c r="O289">
        <v>103</v>
      </c>
      <c r="P289">
        <v>-122027.19</v>
      </c>
      <c r="Q289" t="b">
        <v>1</v>
      </c>
      <c r="R289" t="b">
        <v>0</v>
      </c>
      <c r="S289" t="b">
        <v>0</v>
      </c>
      <c r="T289" t="b">
        <v>0</v>
      </c>
      <c r="U289">
        <v>1</v>
      </c>
      <c r="V289" t="s">
        <v>4073</v>
      </c>
    </row>
    <row r="290" spans="1:22" hidden="1" x14ac:dyDescent="0.45">
      <c r="A290" s="2" t="s">
        <v>644</v>
      </c>
      <c r="B290" s="11">
        <v>44933</v>
      </c>
      <c r="C290" s="2" t="s">
        <v>2011</v>
      </c>
      <c r="D290" s="2" t="s">
        <v>2016</v>
      </c>
      <c r="E290">
        <v>608.84</v>
      </c>
      <c r="F290">
        <v>34095.040000000001</v>
      </c>
      <c r="G290">
        <v>0</v>
      </c>
      <c r="H290">
        <v>0</v>
      </c>
      <c r="I290" s="2" t="s">
        <v>2025</v>
      </c>
      <c r="J290" s="2" t="s">
        <v>2030</v>
      </c>
      <c r="K290" s="2" t="s">
        <v>2665</v>
      </c>
      <c r="L290" s="2" t="s">
        <v>4033</v>
      </c>
      <c r="M290">
        <v>-608.84</v>
      </c>
      <c r="N290" s="2" t="s">
        <v>2016</v>
      </c>
      <c r="O290">
        <v>56</v>
      </c>
      <c r="P290">
        <v>-34095.040000000001</v>
      </c>
      <c r="Q290" t="b">
        <v>1</v>
      </c>
      <c r="R290" t="b">
        <v>0</v>
      </c>
      <c r="S290" t="b">
        <v>0</v>
      </c>
      <c r="T290" t="b">
        <v>0</v>
      </c>
      <c r="U290">
        <v>1</v>
      </c>
      <c r="V290" t="s">
        <v>4073</v>
      </c>
    </row>
    <row r="291" spans="1:22" hidden="1" x14ac:dyDescent="0.45">
      <c r="A291" s="2" t="s">
        <v>284</v>
      </c>
      <c r="B291" s="11">
        <v>45052</v>
      </c>
      <c r="C291" s="2" t="s">
        <v>2014</v>
      </c>
      <c r="D291" s="2" t="s">
        <v>2019</v>
      </c>
      <c r="E291">
        <v>0</v>
      </c>
      <c r="F291">
        <v>0</v>
      </c>
      <c r="G291">
        <v>1203.8</v>
      </c>
      <c r="H291">
        <v>123991.4</v>
      </c>
      <c r="I291" s="2" t="s">
        <v>2024</v>
      </c>
      <c r="J291" s="2" t="s">
        <v>2026</v>
      </c>
      <c r="K291" s="2" t="s">
        <v>2305</v>
      </c>
      <c r="L291" s="2" t="s">
        <v>4031</v>
      </c>
      <c r="M291">
        <v>1203.8</v>
      </c>
      <c r="N291" s="2" t="s">
        <v>4042</v>
      </c>
      <c r="O291">
        <v>103</v>
      </c>
      <c r="P291">
        <v>123991.4</v>
      </c>
      <c r="Q291" t="b">
        <v>1</v>
      </c>
      <c r="R291" t="b">
        <v>0</v>
      </c>
      <c r="S291" t="b">
        <v>0</v>
      </c>
      <c r="T291" t="b">
        <v>0</v>
      </c>
      <c r="U291">
        <v>1</v>
      </c>
      <c r="V291" t="s">
        <v>4073</v>
      </c>
    </row>
    <row r="292" spans="1:22" hidden="1" x14ac:dyDescent="0.45">
      <c r="A292" s="2" t="s">
        <v>410</v>
      </c>
      <c r="B292" s="11">
        <v>45493</v>
      </c>
      <c r="C292" s="2" t="s">
        <v>2013</v>
      </c>
      <c r="D292" s="2" t="s">
        <v>2018</v>
      </c>
      <c r="E292">
        <v>312.45</v>
      </c>
      <c r="F292">
        <v>32182.35</v>
      </c>
      <c r="G292">
        <v>0</v>
      </c>
      <c r="H292">
        <v>0</v>
      </c>
      <c r="I292" s="2" t="s">
        <v>2021</v>
      </c>
      <c r="J292" s="2" t="s">
        <v>2026</v>
      </c>
      <c r="K292" s="2" t="s">
        <v>2431</v>
      </c>
      <c r="L292" s="2" t="s">
        <v>4031</v>
      </c>
      <c r="M292">
        <v>-312.45</v>
      </c>
      <c r="N292" s="2" t="s">
        <v>4044</v>
      </c>
      <c r="O292">
        <v>103</v>
      </c>
      <c r="P292">
        <v>-32182.35</v>
      </c>
      <c r="Q292" t="b">
        <v>1</v>
      </c>
      <c r="R292" t="b">
        <v>0</v>
      </c>
      <c r="S292" t="b">
        <v>0</v>
      </c>
      <c r="T292" t="b">
        <v>0</v>
      </c>
      <c r="U292">
        <v>1</v>
      </c>
      <c r="V292" t="s">
        <v>4073</v>
      </c>
    </row>
    <row r="293" spans="1:22" hidden="1" x14ac:dyDescent="0.45">
      <c r="A293" s="2" t="s">
        <v>170</v>
      </c>
      <c r="B293" s="11">
        <v>45269</v>
      </c>
      <c r="C293" s="2" t="s">
        <v>2012</v>
      </c>
      <c r="D293" s="2" t="s">
        <v>2017</v>
      </c>
      <c r="E293">
        <v>1556.44</v>
      </c>
      <c r="F293">
        <v>127628.08</v>
      </c>
      <c r="G293">
        <v>0</v>
      </c>
      <c r="H293">
        <v>0</v>
      </c>
      <c r="I293" s="2" t="s">
        <v>2025</v>
      </c>
      <c r="J293" s="2" t="s">
        <v>2028</v>
      </c>
      <c r="K293" s="2" t="s">
        <v>2191</v>
      </c>
      <c r="L293" s="2" t="s">
        <v>4034</v>
      </c>
      <c r="M293">
        <v>-1556.44</v>
      </c>
      <c r="N293" s="2" t="s">
        <v>4044</v>
      </c>
      <c r="O293">
        <v>82</v>
      </c>
      <c r="P293">
        <v>-127628.08</v>
      </c>
      <c r="Q293" t="b">
        <v>1</v>
      </c>
      <c r="R293" t="b">
        <v>0</v>
      </c>
      <c r="S293" t="b">
        <v>0</v>
      </c>
      <c r="T293" t="b">
        <v>0</v>
      </c>
      <c r="U293">
        <v>1</v>
      </c>
      <c r="V293" t="s">
        <v>4073</v>
      </c>
    </row>
    <row r="294" spans="1:22" hidden="1" x14ac:dyDescent="0.45">
      <c r="A294" s="2" t="s">
        <v>798</v>
      </c>
      <c r="B294" s="11">
        <v>45378</v>
      </c>
      <c r="C294" s="2" t="s">
        <v>2013</v>
      </c>
      <c r="D294" s="2" t="s">
        <v>2018</v>
      </c>
      <c r="E294">
        <v>510.05</v>
      </c>
      <c r="F294">
        <v>31113.05</v>
      </c>
      <c r="G294">
        <v>0</v>
      </c>
      <c r="H294">
        <v>0</v>
      </c>
      <c r="I294" s="2" t="s">
        <v>2023</v>
      </c>
      <c r="J294" s="2" t="s">
        <v>2026</v>
      </c>
      <c r="K294" s="2" t="s">
        <v>2819</v>
      </c>
      <c r="L294" s="2" t="s">
        <v>4035</v>
      </c>
      <c r="M294">
        <v>-510.05</v>
      </c>
      <c r="N294" s="2" t="s">
        <v>4044</v>
      </c>
      <c r="O294">
        <v>61</v>
      </c>
      <c r="P294">
        <v>-31113.05</v>
      </c>
      <c r="Q294" t="b">
        <v>0</v>
      </c>
      <c r="R294" t="b">
        <v>1</v>
      </c>
      <c r="S294" t="b">
        <v>0</v>
      </c>
      <c r="T294" t="b">
        <v>0</v>
      </c>
      <c r="U294">
        <v>1</v>
      </c>
      <c r="V294" t="s">
        <v>4073</v>
      </c>
    </row>
    <row r="295" spans="1:22" hidden="1" x14ac:dyDescent="0.45">
      <c r="A295" s="2" t="s">
        <v>612</v>
      </c>
      <c r="B295" s="11">
        <v>45772</v>
      </c>
      <c r="C295" s="2" t="s">
        <v>2011</v>
      </c>
      <c r="D295" s="2" t="s">
        <v>2016</v>
      </c>
      <c r="E295">
        <v>1231.94</v>
      </c>
      <c r="F295">
        <v>126889.82</v>
      </c>
      <c r="G295">
        <v>0</v>
      </c>
      <c r="H295">
        <v>0</v>
      </c>
      <c r="I295" s="2" t="s">
        <v>2023</v>
      </c>
      <c r="J295" s="2" t="s">
        <v>2027</v>
      </c>
      <c r="K295" s="2" t="s">
        <v>2633</v>
      </c>
      <c r="L295" s="2" t="s">
        <v>4031</v>
      </c>
      <c r="M295">
        <v>-1231.94</v>
      </c>
      <c r="N295" s="2" t="s">
        <v>2016</v>
      </c>
      <c r="O295">
        <v>103</v>
      </c>
      <c r="P295">
        <v>-126889.82</v>
      </c>
      <c r="Q295" t="b">
        <v>0</v>
      </c>
      <c r="R295" t="b">
        <v>1</v>
      </c>
      <c r="S295" t="b">
        <v>0</v>
      </c>
      <c r="T295" t="b">
        <v>0</v>
      </c>
      <c r="U295">
        <v>1</v>
      </c>
      <c r="V295" t="s">
        <v>4073</v>
      </c>
    </row>
    <row r="296" spans="1:22" hidden="1" x14ac:dyDescent="0.45">
      <c r="A296" s="2" t="s">
        <v>83</v>
      </c>
      <c r="B296" s="11">
        <v>45690</v>
      </c>
      <c r="C296" s="2" t="s">
        <v>2012</v>
      </c>
      <c r="D296" s="2" t="s">
        <v>2017</v>
      </c>
      <c r="E296">
        <v>1231.32</v>
      </c>
      <c r="F296">
        <v>126825.95999999999</v>
      </c>
      <c r="G296">
        <v>0</v>
      </c>
      <c r="H296">
        <v>0</v>
      </c>
      <c r="I296" s="2" t="s">
        <v>2021</v>
      </c>
      <c r="J296" s="2" t="s">
        <v>2029</v>
      </c>
      <c r="K296" s="2" t="s">
        <v>2104</v>
      </c>
      <c r="L296" s="2" t="s">
        <v>4031</v>
      </c>
      <c r="M296">
        <v>-1231.32</v>
      </c>
      <c r="N296" s="2" t="s">
        <v>4044</v>
      </c>
      <c r="O296">
        <v>103</v>
      </c>
      <c r="P296">
        <v>-126825.95999999999</v>
      </c>
      <c r="Q296" t="b">
        <v>1</v>
      </c>
      <c r="R296" t="b">
        <v>0</v>
      </c>
      <c r="S296" t="b">
        <v>0</v>
      </c>
      <c r="T296" t="b">
        <v>0</v>
      </c>
      <c r="U296">
        <v>1</v>
      </c>
      <c r="V296" t="s">
        <v>4073</v>
      </c>
    </row>
    <row r="297" spans="1:22" hidden="1" x14ac:dyDescent="0.45">
      <c r="A297" s="2" t="s">
        <v>1202</v>
      </c>
      <c r="B297" s="11">
        <v>44990</v>
      </c>
      <c r="C297" s="2" t="s">
        <v>2014</v>
      </c>
      <c r="D297" s="2" t="s">
        <v>2019</v>
      </c>
      <c r="E297">
        <v>0</v>
      </c>
      <c r="F297">
        <v>0</v>
      </c>
      <c r="G297">
        <v>1546.54</v>
      </c>
      <c r="H297">
        <v>126816.28</v>
      </c>
      <c r="I297" s="2" t="s">
        <v>2020</v>
      </c>
      <c r="J297" s="2" t="s">
        <v>2029</v>
      </c>
      <c r="K297" s="2" t="s">
        <v>3223</v>
      </c>
      <c r="L297" s="2" t="s">
        <v>4034</v>
      </c>
      <c r="M297">
        <v>1546.54</v>
      </c>
      <c r="N297" s="2" t="s">
        <v>4042</v>
      </c>
      <c r="O297">
        <v>82</v>
      </c>
      <c r="P297">
        <v>126816.28</v>
      </c>
      <c r="Q297" t="b">
        <v>1</v>
      </c>
      <c r="R297" t="b">
        <v>0</v>
      </c>
      <c r="S297" t="b">
        <v>0</v>
      </c>
      <c r="T297" t="b">
        <v>0</v>
      </c>
      <c r="U297">
        <v>1</v>
      </c>
      <c r="V297" t="s">
        <v>4073</v>
      </c>
    </row>
    <row r="298" spans="1:22" hidden="1" x14ac:dyDescent="0.45">
      <c r="A298" s="2" t="s">
        <v>1879</v>
      </c>
      <c r="B298" s="11">
        <v>45263</v>
      </c>
      <c r="C298" s="2" t="s">
        <v>2012</v>
      </c>
      <c r="D298" s="2" t="s">
        <v>2017</v>
      </c>
      <c r="E298">
        <v>552.91</v>
      </c>
      <c r="F298">
        <v>30962.959999999999</v>
      </c>
      <c r="G298">
        <v>0</v>
      </c>
      <c r="H298">
        <v>0</v>
      </c>
      <c r="I298" s="2" t="s">
        <v>2023</v>
      </c>
      <c r="J298" s="2" t="s">
        <v>2029</v>
      </c>
      <c r="K298" s="2" t="s">
        <v>3900</v>
      </c>
      <c r="L298" s="2" t="s">
        <v>4033</v>
      </c>
      <c r="M298">
        <v>-552.91</v>
      </c>
      <c r="N298" s="2" t="s">
        <v>4044</v>
      </c>
      <c r="O298">
        <v>56</v>
      </c>
      <c r="P298">
        <v>-30962.959999999999</v>
      </c>
      <c r="Q298" t="b">
        <v>1</v>
      </c>
      <c r="R298" t="b">
        <v>0</v>
      </c>
      <c r="S298" t="b">
        <v>0</v>
      </c>
      <c r="T298" t="b">
        <v>0</v>
      </c>
      <c r="U298">
        <v>1</v>
      </c>
      <c r="V298" t="s">
        <v>4073</v>
      </c>
    </row>
    <row r="299" spans="1:22" hidden="1" x14ac:dyDescent="0.45">
      <c r="A299" s="2" t="s">
        <v>665</v>
      </c>
      <c r="B299" s="11">
        <v>45388</v>
      </c>
      <c r="C299" s="2" t="s">
        <v>2011</v>
      </c>
      <c r="D299" s="2" t="s">
        <v>2016</v>
      </c>
      <c r="E299">
        <v>1429.26</v>
      </c>
      <c r="F299">
        <v>125774.88</v>
      </c>
      <c r="G299">
        <v>0</v>
      </c>
      <c r="H299">
        <v>0</v>
      </c>
      <c r="I299" s="2" t="s">
        <v>2025</v>
      </c>
      <c r="J299" s="2" t="s">
        <v>2029</v>
      </c>
      <c r="K299" s="2" t="s">
        <v>2686</v>
      </c>
      <c r="L299" s="2" t="s">
        <v>4032</v>
      </c>
      <c r="M299">
        <v>-1429.26</v>
      </c>
      <c r="N299" s="2" t="s">
        <v>2016</v>
      </c>
      <c r="O299">
        <v>88</v>
      </c>
      <c r="P299">
        <v>-125774.88</v>
      </c>
      <c r="Q299" t="b">
        <v>1</v>
      </c>
      <c r="R299" t="b">
        <v>0</v>
      </c>
      <c r="S299" t="b">
        <v>0</v>
      </c>
      <c r="T299" t="b">
        <v>0</v>
      </c>
      <c r="U299">
        <v>1</v>
      </c>
      <c r="V299" t="s">
        <v>4073</v>
      </c>
    </row>
    <row r="300" spans="1:22" hidden="1" x14ac:dyDescent="0.45">
      <c r="A300" s="2" t="s">
        <v>1498</v>
      </c>
      <c r="B300" s="11">
        <v>45624</v>
      </c>
      <c r="C300" s="2" t="s">
        <v>2013</v>
      </c>
      <c r="D300" s="2" t="s">
        <v>2018</v>
      </c>
      <c r="E300">
        <v>505.72</v>
      </c>
      <c r="F300">
        <v>30848.920000000002</v>
      </c>
      <c r="G300">
        <v>0</v>
      </c>
      <c r="H300">
        <v>0</v>
      </c>
      <c r="I300" s="2" t="s">
        <v>2024</v>
      </c>
      <c r="J300" s="2" t="s">
        <v>2029</v>
      </c>
      <c r="K300" s="2" t="s">
        <v>3519</v>
      </c>
      <c r="L300" s="2" t="s">
        <v>4035</v>
      </c>
      <c r="M300">
        <v>-505.72</v>
      </c>
      <c r="N300" s="2" t="s">
        <v>4044</v>
      </c>
      <c r="O300">
        <v>61</v>
      </c>
      <c r="P300">
        <v>-30848.920000000002</v>
      </c>
      <c r="Q300" t="b">
        <v>0</v>
      </c>
      <c r="R300" t="b">
        <v>1</v>
      </c>
      <c r="S300" t="b">
        <v>0</v>
      </c>
      <c r="T300" t="b">
        <v>0</v>
      </c>
      <c r="U300">
        <v>1</v>
      </c>
      <c r="V300" t="s">
        <v>4073</v>
      </c>
    </row>
    <row r="301" spans="1:22" hidden="1" x14ac:dyDescent="0.45">
      <c r="A301" s="2" t="s">
        <v>1063</v>
      </c>
      <c r="B301" s="11">
        <v>45459</v>
      </c>
      <c r="C301" s="2" t="s">
        <v>2014</v>
      </c>
      <c r="D301" s="2" t="s">
        <v>2019</v>
      </c>
      <c r="E301">
        <v>0</v>
      </c>
      <c r="F301">
        <v>0</v>
      </c>
      <c r="G301">
        <v>550.03</v>
      </c>
      <c r="H301">
        <v>30801.68</v>
      </c>
      <c r="I301" s="2" t="s">
        <v>2022</v>
      </c>
      <c r="J301" s="2" t="s">
        <v>2030</v>
      </c>
      <c r="K301" s="2" t="s">
        <v>3084</v>
      </c>
      <c r="L301" s="2" t="s">
        <v>4033</v>
      </c>
      <c r="M301">
        <v>550.03</v>
      </c>
      <c r="N301" s="2" t="s">
        <v>4042</v>
      </c>
      <c r="O301">
        <v>56</v>
      </c>
      <c r="P301">
        <v>30801.68</v>
      </c>
      <c r="Q301" t="b">
        <v>1</v>
      </c>
      <c r="R301" t="b">
        <v>0</v>
      </c>
      <c r="S301" t="b">
        <v>0</v>
      </c>
      <c r="T301" t="b">
        <v>0</v>
      </c>
      <c r="U301">
        <v>1</v>
      </c>
      <c r="V301" t="s">
        <v>4073</v>
      </c>
    </row>
    <row r="302" spans="1:22" hidden="1" x14ac:dyDescent="0.45">
      <c r="A302" s="2" t="s">
        <v>1531</v>
      </c>
      <c r="B302" s="11">
        <v>45305</v>
      </c>
      <c r="C302" s="2" t="s">
        <v>2011</v>
      </c>
      <c r="D302" s="2" t="s">
        <v>2016</v>
      </c>
      <c r="E302">
        <v>383.71</v>
      </c>
      <c r="F302">
        <v>31464.219999999998</v>
      </c>
      <c r="G302">
        <v>0</v>
      </c>
      <c r="H302">
        <v>0</v>
      </c>
      <c r="I302" s="2" t="s">
        <v>2023</v>
      </c>
      <c r="J302" s="2" t="s">
        <v>2030</v>
      </c>
      <c r="K302" s="2" t="s">
        <v>3552</v>
      </c>
      <c r="L302" s="2" t="s">
        <v>4034</v>
      </c>
      <c r="M302">
        <v>-383.71</v>
      </c>
      <c r="N302" s="2" t="s">
        <v>2016</v>
      </c>
      <c r="O302">
        <v>82</v>
      </c>
      <c r="P302">
        <v>-31464.219999999998</v>
      </c>
      <c r="Q302" t="b">
        <v>1</v>
      </c>
      <c r="R302" t="b">
        <v>0</v>
      </c>
      <c r="S302" t="b">
        <v>0</v>
      </c>
      <c r="T302" t="b">
        <v>0</v>
      </c>
      <c r="U302">
        <v>1</v>
      </c>
      <c r="V302" t="s">
        <v>4073</v>
      </c>
    </row>
    <row r="303" spans="1:22" hidden="1" x14ac:dyDescent="0.45">
      <c r="A303" s="2" t="s">
        <v>201</v>
      </c>
      <c r="B303" s="11">
        <v>45838</v>
      </c>
      <c r="C303" s="2" t="s">
        <v>2011</v>
      </c>
      <c r="D303" s="2" t="s">
        <v>2016</v>
      </c>
      <c r="E303">
        <v>1409.16</v>
      </c>
      <c r="F303">
        <v>124006.08</v>
      </c>
      <c r="G303">
        <v>0</v>
      </c>
      <c r="H303">
        <v>0</v>
      </c>
      <c r="I303" s="2" t="s">
        <v>2022</v>
      </c>
      <c r="J303" s="2" t="s">
        <v>2026</v>
      </c>
      <c r="K303" s="2" t="s">
        <v>2222</v>
      </c>
      <c r="L303" s="2" t="s">
        <v>4032</v>
      </c>
      <c r="M303">
        <v>-1409.16</v>
      </c>
      <c r="N303" s="2" t="s">
        <v>2016</v>
      </c>
      <c r="O303">
        <v>88</v>
      </c>
      <c r="P303">
        <v>-124006.08</v>
      </c>
      <c r="Q303" t="b">
        <v>0</v>
      </c>
      <c r="R303" t="b">
        <v>1</v>
      </c>
      <c r="S303" t="b">
        <v>0</v>
      </c>
      <c r="T303" t="b">
        <v>0</v>
      </c>
      <c r="U303">
        <v>1</v>
      </c>
      <c r="V303" t="s">
        <v>4073</v>
      </c>
    </row>
    <row r="304" spans="1:22" hidden="1" x14ac:dyDescent="0.45">
      <c r="A304" s="2" t="s">
        <v>1956</v>
      </c>
      <c r="B304" s="11">
        <v>45018</v>
      </c>
      <c r="C304" s="2" t="s">
        <v>2012</v>
      </c>
      <c r="D304" s="2" t="s">
        <v>2017</v>
      </c>
      <c r="E304">
        <v>502.87</v>
      </c>
      <c r="F304">
        <v>30675.07</v>
      </c>
      <c r="G304">
        <v>0</v>
      </c>
      <c r="H304">
        <v>0</v>
      </c>
      <c r="I304" s="2" t="s">
        <v>2021</v>
      </c>
      <c r="J304" s="2" t="s">
        <v>2026</v>
      </c>
      <c r="K304" s="2" t="s">
        <v>3977</v>
      </c>
      <c r="L304" s="2" t="s">
        <v>4035</v>
      </c>
      <c r="M304">
        <v>-502.87</v>
      </c>
      <c r="N304" s="2" t="s">
        <v>4044</v>
      </c>
      <c r="O304">
        <v>61</v>
      </c>
      <c r="P304">
        <v>-30675.07</v>
      </c>
      <c r="Q304" t="b">
        <v>1</v>
      </c>
      <c r="R304" t="b">
        <v>0</v>
      </c>
      <c r="S304" t="b">
        <v>0</v>
      </c>
      <c r="T304" t="b">
        <v>0</v>
      </c>
      <c r="U304">
        <v>1</v>
      </c>
      <c r="V304" t="s">
        <v>4073</v>
      </c>
    </row>
    <row r="305" spans="1:22" hidden="1" x14ac:dyDescent="0.45">
      <c r="A305" s="2" t="s">
        <v>1185</v>
      </c>
      <c r="B305" s="11">
        <v>45018</v>
      </c>
      <c r="C305" s="2" t="s">
        <v>2014</v>
      </c>
      <c r="D305" s="2" t="s">
        <v>2019</v>
      </c>
      <c r="E305">
        <v>0</v>
      </c>
      <c r="F305">
        <v>0</v>
      </c>
      <c r="G305">
        <v>517.76</v>
      </c>
      <c r="H305">
        <v>31583.360000000001</v>
      </c>
      <c r="I305" s="2" t="s">
        <v>2023</v>
      </c>
      <c r="J305" s="2" t="s">
        <v>2030</v>
      </c>
      <c r="K305" s="2" t="s">
        <v>3206</v>
      </c>
      <c r="L305" s="2" t="s">
        <v>4035</v>
      </c>
      <c r="M305">
        <v>517.76</v>
      </c>
      <c r="N305" s="2" t="s">
        <v>4042</v>
      </c>
      <c r="O305">
        <v>61</v>
      </c>
      <c r="P305">
        <v>31583.360000000001</v>
      </c>
      <c r="Q305" t="b">
        <v>1</v>
      </c>
      <c r="R305" t="b">
        <v>0</v>
      </c>
      <c r="S305" t="b">
        <v>0</v>
      </c>
      <c r="T305" t="b">
        <v>0</v>
      </c>
      <c r="U305">
        <v>1</v>
      </c>
      <c r="V305" t="s">
        <v>4073</v>
      </c>
    </row>
    <row r="306" spans="1:22" hidden="1" x14ac:dyDescent="0.45">
      <c r="A306" s="2" t="s">
        <v>485</v>
      </c>
      <c r="B306" s="11">
        <v>45494</v>
      </c>
      <c r="C306" s="2" t="s">
        <v>2012</v>
      </c>
      <c r="D306" s="2" t="s">
        <v>2017</v>
      </c>
      <c r="E306">
        <v>1464.99</v>
      </c>
      <c r="F306">
        <v>128919.12</v>
      </c>
      <c r="G306">
        <v>0</v>
      </c>
      <c r="H306">
        <v>0</v>
      </c>
      <c r="I306" s="2" t="s">
        <v>2023</v>
      </c>
      <c r="J306" s="2" t="s">
        <v>2030</v>
      </c>
      <c r="K306" s="2" t="s">
        <v>2506</v>
      </c>
      <c r="L306" s="2" t="s">
        <v>4032</v>
      </c>
      <c r="M306">
        <v>-1464.99</v>
      </c>
      <c r="N306" s="2" t="s">
        <v>4044</v>
      </c>
      <c r="O306">
        <v>88</v>
      </c>
      <c r="P306">
        <v>-128919.12</v>
      </c>
      <c r="Q306" t="b">
        <v>1</v>
      </c>
      <c r="R306" t="b">
        <v>0</v>
      </c>
      <c r="S306" t="b">
        <v>0</v>
      </c>
      <c r="T306" t="b">
        <v>0</v>
      </c>
      <c r="U306">
        <v>1</v>
      </c>
      <c r="V306" t="s">
        <v>4073</v>
      </c>
    </row>
    <row r="307" spans="1:22" hidden="1" x14ac:dyDescent="0.45">
      <c r="A307" s="2" t="s">
        <v>1285</v>
      </c>
      <c r="B307" s="11">
        <v>45704</v>
      </c>
      <c r="C307" s="2" t="s">
        <v>2013</v>
      </c>
      <c r="D307" s="2" t="s">
        <v>2018</v>
      </c>
      <c r="E307">
        <v>501.83</v>
      </c>
      <c r="F307">
        <v>30611.629999999997</v>
      </c>
      <c r="G307">
        <v>0</v>
      </c>
      <c r="H307">
        <v>0</v>
      </c>
      <c r="I307" s="2" t="s">
        <v>2025</v>
      </c>
      <c r="J307" s="2" t="s">
        <v>2030</v>
      </c>
      <c r="K307" s="2" t="s">
        <v>3306</v>
      </c>
      <c r="L307" s="2" t="s">
        <v>4035</v>
      </c>
      <c r="M307">
        <v>-501.83</v>
      </c>
      <c r="N307" s="2" t="s">
        <v>4044</v>
      </c>
      <c r="O307">
        <v>61</v>
      </c>
      <c r="P307">
        <v>-30611.629999999997</v>
      </c>
      <c r="Q307" t="b">
        <v>1</v>
      </c>
      <c r="R307" t="b">
        <v>0</v>
      </c>
      <c r="S307" t="b">
        <v>0</v>
      </c>
      <c r="T307" t="b">
        <v>0</v>
      </c>
      <c r="U307">
        <v>1</v>
      </c>
      <c r="V307" t="s">
        <v>4073</v>
      </c>
    </row>
    <row r="308" spans="1:22" hidden="1" x14ac:dyDescent="0.45">
      <c r="A308" s="2" t="s">
        <v>1860</v>
      </c>
      <c r="B308" s="11">
        <v>45536</v>
      </c>
      <c r="C308" s="2" t="s">
        <v>2012</v>
      </c>
      <c r="D308" s="2" t="s">
        <v>2017</v>
      </c>
      <c r="E308">
        <v>568.46</v>
      </c>
      <c r="F308">
        <v>31833.760000000002</v>
      </c>
      <c r="G308">
        <v>0</v>
      </c>
      <c r="H308">
        <v>0</v>
      </c>
      <c r="I308" s="2" t="s">
        <v>2021</v>
      </c>
      <c r="J308" s="2" t="s">
        <v>2026</v>
      </c>
      <c r="K308" s="2" t="s">
        <v>3881</v>
      </c>
      <c r="L308" s="2" t="s">
        <v>4033</v>
      </c>
      <c r="M308">
        <v>-568.46</v>
      </c>
      <c r="N308" s="2" t="s">
        <v>4044</v>
      </c>
      <c r="O308">
        <v>56</v>
      </c>
      <c r="P308">
        <v>-31833.760000000002</v>
      </c>
      <c r="Q308" t="b">
        <v>1</v>
      </c>
      <c r="R308" t="b">
        <v>0</v>
      </c>
      <c r="S308" t="b">
        <v>0</v>
      </c>
      <c r="T308" t="b">
        <v>0</v>
      </c>
      <c r="U308">
        <v>1</v>
      </c>
      <c r="V308" t="s">
        <v>4073</v>
      </c>
    </row>
    <row r="309" spans="1:22" hidden="1" x14ac:dyDescent="0.45">
      <c r="A309" s="2" t="s">
        <v>1863</v>
      </c>
      <c r="B309" s="11">
        <v>45533</v>
      </c>
      <c r="C309" s="2" t="s">
        <v>2012</v>
      </c>
      <c r="D309" s="2" t="s">
        <v>2017</v>
      </c>
      <c r="E309">
        <v>499.11</v>
      </c>
      <c r="F309">
        <v>30445.71</v>
      </c>
      <c r="G309">
        <v>0</v>
      </c>
      <c r="H309">
        <v>0</v>
      </c>
      <c r="I309" s="2" t="s">
        <v>2020</v>
      </c>
      <c r="J309" s="2" t="s">
        <v>2030</v>
      </c>
      <c r="K309" s="2" t="s">
        <v>3884</v>
      </c>
      <c r="L309" s="2" t="s">
        <v>4035</v>
      </c>
      <c r="M309">
        <v>-499.11</v>
      </c>
      <c r="N309" s="2" t="s">
        <v>4044</v>
      </c>
      <c r="O309">
        <v>61</v>
      </c>
      <c r="P309">
        <v>-30445.71</v>
      </c>
      <c r="Q309" t="b">
        <v>0</v>
      </c>
      <c r="R309" t="b">
        <v>1</v>
      </c>
      <c r="S309" t="b">
        <v>0</v>
      </c>
      <c r="T309" t="b">
        <v>0</v>
      </c>
      <c r="U309">
        <v>1</v>
      </c>
      <c r="V309" t="s">
        <v>4073</v>
      </c>
    </row>
    <row r="310" spans="1:22" hidden="1" x14ac:dyDescent="0.45">
      <c r="A310" s="2" t="s">
        <v>1501</v>
      </c>
      <c r="B310" s="11">
        <v>45732</v>
      </c>
      <c r="C310" s="2" t="s">
        <v>2014</v>
      </c>
      <c r="D310" s="2" t="s">
        <v>2019</v>
      </c>
      <c r="E310">
        <v>0</v>
      </c>
      <c r="F310">
        <v>0</v>
      </c>
      <c r="G310">
        <v>309.72000000000003</v>
      </c>
      <c r="H310">
        <v>31901.160000000003</v>
      </c>
      <c r="I310" s="2" t="s">
        <v>2020</v>
      </c>
      <c r="J310" s="2" t="s">
        <v>2030</v>
      </c>
      <c r="K310" s="2" t="s">
        <v>3522</v>
      </c>
      <c r="L310" s="2" t="s">
        <v>4031</v>
      </c>
      <c r="M310">
        <v>309.72000000000003</v>
      </c>
      <c r="N310" s="2" t="s">
        <v>4042</v>
      </c>
      <c r="O310">
        <v>103</v>
      </c>
      <c r="P310">
        <v>31901.160000000003</v>
      </c>
      <c r="Q310" t="b">
        <v>1</v>
      </c>
      <c r="R310" t="b">
        <v>0</v>
      </c>
      <c r="S310" t="b">
        <v>0</v>
      </c>
      <c r="T310" t="b">
        <v>0</v>
      </c>
      <c r="U310">
        <v>1</v>
      </c>
      <c r="V310" t="s">
        <v>4073</v>
      </c>
    </row>
    <row r="311" spans="1:22" hidden="1" x14ac:dyDescent="0.45">
      <c r="A311" s="2" t="s">
        <v>1393</v>
      </c>
      <c r="B311" s="11">
        <v>45158</v>
      </c>
      <c r="C311" s="2" t="s">
        <v>2014</v>
      </c>
      <c r="D311" s="2" t="s">
        <v>2019</v>
      </c>
      <c r="E311">
        <v>0</v>
      </c>
      <c r="F311">
        <v>0</v>
      </c>
      <c r="G311">
        <v>2334.75</v>
      </c>
      <c r="H311">
        <v>130746</v>
      </c>
      <c r="I311" s="2" t="s">
        <v>2022</v>
      </c>
      <c r="J311" s="2" t="s">
        <v>2029</v>
      </c>
      <c r="K311" s="2" t="s">
        <v>3414</v>
      </c>
      <c r="L311" s="2" t="s">
        <v>4033</v>
      </c>
      <c r="M311">
        <v>2334.75</v>
      </c>
      <c r="N311" s="2" t="s">
        <v>4042</v>
      </c>
      <c r="O311">
        <v>56</v>
      </c>
      <c r="P311">
        <v>130746</v>
      </c>
      <c r="Q311" t="b">
        <v>1</v>
      </c>
      <c r="R311" t="b">
        <v>0</v>
      </c>
      <c r="S311" t="b">
        <v>0</v>
      </c>
      <c r="T311" t="b">
        <v>0</v>
      </c>
      <c r="U311">
        <v>1</v>
      </c>
      <c r="V311" t="s">
        <v>4073</v>
      </c>
    </row>
    <row r="312" spans="1:22" hidden="1" x14ac:dyDescent="0.45">
      <c r="A312" s="2" t="s">
        <v>1358</v>
      </c>
      <c r="B312" s="11">
        <v>45759</v>
      </c>
      <c r="C312" s="2" t="s">
        <v>2014</v>
      </c>
      <c r="D312" s="2" t="s">
        <v>2019</v>
      </c>
      <c r="E312">
        <v>0</v>
      </c>
      <c r="F312">
        <v>0</v>
      </c>
      <c r="G312">
        <v>1214.51</v>
      </c>
      <c r="H312">
        <v>125094.53</v>
      </c>
      <c r="I312" s="2" t="s">
        <v>2023</v>
      </c>
      <c r="J312" s="2" t="s">
        <v>2030</v>
      </c>
      <c r="K312" s="2" t="s">
        <v>3379</v>
      </c>
      <c r="L312" s="2" t="s">
        <v>4031</v>
      </c>
      <c r="M312">
        <v>1214.51</v>
      </c>
      <c r="N312" s="2" t="s">
        <v>4042</v>
      </c>
      <c r="O312">
        <v>103</v>
      </c>
      <c r="P312">
        <v>125094.53</v>
      </c>
      <c r="Q312" t="b">
        <v>1</v>
      </c>
      <c r="R312" t="b">
        <v>0</v>
      </c>
      <c r="S312" t="b">
        <v>0</v>
      </c>
      <c r="T312" t="b">
        <v>0</v>
      </c>
      <c r="U312">
        <v>1</v>
      </c>
      <c r="V312" t="s">
        <v>4073</v>
      </c>
    </row>
    <row r="313" spans="1:22" hidden="1" x14ac:dyDescent="0.45">
      <c r="A313" s="2" t="s">
        <v>1596</v>
      </c>
      <c r="B313" s="11">
        <v>45071</v>
      </c>
      <c r="C313" s="2" t="s">
        <v>2013</v>
      </c>
      <c r="D313" s="2" t="s">
        <v>2018</v>
      </c>
      <c r="E313">
        <v>369.39</v>
      </c>
      <c r="F313">
        <v>30289.98</v>
      </c>
      <c r="G313">
        <v>0</v>
      </c>
      <c r="H313">
        <v>0</v>
      </c>
      <c r="I313" s="2" t="s">
        <v>2022</v>
      </c>
      <c r="J313" s="2" t="s">
        <v>2030</v>
      </c>
      <c r="K313" s="2" t="s">
        <v>3617</v>
      </c>
      <c r="L313" s="2" t="s">
        <v>4034</v>
      </c>
      <c r="M313">
        <v>-369.39</v>
      </c>
      <c r="N313" s="2" t="s">
        <v>4044</v>
      </c>
      <c r="O313">
        <v>82</v>
      </c>
      <c r="P313">
        <v>-30289.98</v>
      </c>
      <c r="Q313" t="b">
        <v>0</v>
      </c>
      <c r="R313" t="b">
        <v>1</v>
      </c>
      <c r="S313" t="b">
        <v>0</v>
      </c>
      <c r="T313" t="b">
        <v>0</v>
      </c>
      <c r="U313">
        <v>1</v>
      </c>
      <c r="V313" t="s">
        <v>4073</v>
      </c>
    </row>
    <row r="314" spans="1:22" hidden="1" x14ac:dyDescent="0.45">
      <c r="A314" s="2" t="s">
        <v>1631</v>
      </c>
      <c r="B314" s="11">
        <v>45550</v>
      </c>
      <c r="C314" s="2" t="s">
        <v>2014</v>
      </c>
      <c r="D314" s="2" t="s">
        <v>2019</v>
      </c>
      <c r="E314">
        <v>0</v>
      </c>
      <c r="F314">
        <v>0</v>
      </c>
      <c r="G314">
        <v>527.38</v>
      </c>
      <c r="H314">
        <v>32170.18</v>
      </c>
      <c r="I314" s="2" t="s">
        <v>2020</v>
      </c>
      <c r="J314" s="2" t="s">
        <v>2028</v>
      </c>
      <c r="K314" s="2" t="s">
        <v>3652</v>
      </c>
      <c r="L314" s="2" t="s">
        <v>4035</v>
      </c>
      <c r="M314">
        <v>527.38</v>
      </c>
      <c r="N314" s="2" t="s">
        <v>4042</v>
      </c>
      <c r="O314">
        <v>61</v>
      </c>
      <c r="P314">
        <v>32170.18</v>
      </c>
      <c r="Q314" t="b">
        <v>1</v>
      </c>
      <c r="R314" t="b">
        <v>0</v>
      </c>
      <c r="S314" t="b">
        <v>0</v>
      </c>
      <c r="T314" t="b">
        <v>0</v>
      </c>
      <c r="U314">
        <v>1</v>
      </c>
      <c r="V314" t="s">
        <v>4073</v>
      </c>
    </row>
    <row r="315" spans="1:22" hidden="1" x14ac:dyDescent="0.45">
      <c r="A315" s="2" t="s">
        <v>1717</v>
      </c>
      <c r="B315" s="11">
        <v>45619</v>
      </c>
      <c r="C315" s="2" t="s">
        <v>2011</v>
      </c>
      <c r="D315" s="2" t="s">
        <v>2016</v>
      </c>
      <c r="E315">
        <v>546.9</v>
      </c>
      <c r="F315">
        <v>30626.399999999998</v>
      </c>
      <c r="G315">
        <v>0</v>
      </c>
      <c r="H315">
        <v>0</v>
      </c>
      <c r="I315" s="2" t="s">
        <v>2025</v>
      </c>
      <c r="J315" s="2" t="s">
        <v>2030</v>
      </c>
      <c r="K315" s="2" t="s">
        <v>3738</v>
      </c>
      <c r="L315" s="2" t="s">
        <v>4033</v>
      </c>
      <c r="M315">
        <v>-546.9</v>
      </c>
      <c r="N315" s="2" t="s">
        <v>2016</v>
      </c>
      <c r="O315">
        <v>56</v>
      </c>
      <c r="P315">
        <v>-30626.399999999998</v>
      </c>
      <c r="Q315" t="b">
        <v>1</v>
      </c>
      <c r="R315" t="b">
        <v>0</v>
      </c>
      <c r="S315" t="b">
        <v>0</v>
      </c>
      <c r="T315" t="b">
        <v>0</v>
      </c>
      <c r="U315">
        <v>1</v>
      </c>
      <c r="V315" t="s">
        <v>4073</v>
      </c>
    </row>
    <row r="316" spans="1:22" hidden="1" x14ac:dyDescent="0.45">
      <c r="A316" s="2" t="s">
        <v>66</v>
      </c>
      <c r="B316" s="11">
        <v>45041</v>
      </c>
      <c r="C316" s="2" t="s">
        <v>2011</v>
      </c>
      <c r="D316" s="2" t="s">
        <v>2016</v>
      </c>
      <c r="E316">
        <v>609.79999999999995</v>
      </c>
      <c r="F316">
        <v>37197.799999999996</v>
      </c>
      <c r="G316">
        <v>0</v>
      </c>
      <c r="H316">
        <v>0</v>
      </c>
      <c r="I316" s="2" t="s">
        <v>2021</v>
      </c>
      <c r="J316" s="2" t="s">
        <v>2027</v>
      </c>
      <c r="K316" s="2" t="s">
        <v>2087</v>
      </c>
      <c r="L316" s="2" t="s">
        <v>4035</v>
      </c>
      <c r="M316">
        <v>-609.79999999999995</v>
      </c>
      <c r="N316" s="2" t="s">
        <v>2016</v>
      </c>
      <c r="O316">
        <v>61</v>
      </c>
      <c r="P316">
        <v>-37197.799999999996</v>
      </c>
      <c r="Q316" t="b">
        <v>0</v>
      </c>
      <c r="R316" t="b">
        <v>1</v>
      </c>
      <c r="S316" t="b">
        <v>0</v>
      </c>
      <c r="T316" t="b">
        <v>0</v>
      </c>
      <c r="U316">
        <v>1</v>
      </c>
      <c r="V316" t="s">
        <v>4073</v>
      </c>
    </row>
    <row r="317" spans="1:22" hidden="1" x14ac:dyDescent="0.45">
      <c r="A317" s="2" t="s">
        <v>491</v>
      </c>
      <c r="B317" s="11">
        <v>45599</v>
      </c>
      <c r="C317" s="2" t="s">
        <v>2012</v>
      </c>
      <c r="D317" s="2" t="s">
        <v>2017</v>
      </c>
      <c r="E317">
        <v>1467.92</v>
      </c>
      <c r="F317">
        <v>120369.44</v>
      </c>
      <c r="G317">
        <v>0</v>
      </c>
      <c r="H317">
        <v>0</v>
      </c>
      <c r="I317" s="2" t="s">
        <v>2020</v>
      </c>
      <c r="J317" s="2" t="s">
        <v>2027</v>
      </c>
      <c r="K317" s="2" t="s">
        <v>2512</v>
      </c>
      <c r="L317" s="2" t="s">
        <v>4034</v>
      </c>
      <c r="M317">
        <v>-1467.92</v>
      </c>
      <c r="N317" s="2" t="s">
        <v>4044</v>
      </c>
      <c r="O317">
        <v>82</v>
      </c>
      <c r="P317">
        <v>-120369.44</v>
      </c>
      <c r="Q317" t="b">
        <v>1</v>
      </c>
      <c r="R317" t="b">
        <v>0</v>
      </c>
      <c r="S317" t="b">
        <v>0</v>
      </c>
      <c r="T317" t="b">
        <v>0</v>
      </c>
      <c r="U317">
        <v>1</v>
      </c>
      <c r="V317" t="s">
        <v>4073</v>
      </c>
    </row>
    <row r="318" spans="1:22" hidden="1" x14ac:dyDescent="0.45">
      <c r="A318" s="2" t="s">
        <v>1659</v>
      </c>
      <c r="B318" s="11">
        <v>45502</v>
      </c>
      <c r="C318" s="2" t="s">
        <v>2012</v>
      </c>
      <c r="D318" s="2" t="s">
        <v>2017</v>
      </c>
      <c r="E318">
        <v>1167.74</v>
      </c>
      <c r="F318">
        <v>120277.22</v>
      </c>
      <c r="G318">
        <v>0</v>
      </c>
      <c r="H318">
        <v>0</v>
      </c>
      <c r="I318" s="2" t="s">
        <v>2024</v>
      </c>
      <c r="J318" s="2" t="s">
        <v>2028</v>
      </c>
      <c r="K318" s="2" t="s">
        <v>3680</v>
      </c>
      <c r="L318" s="2" t="s">
        <v>4031</v>
      </c>
      <c r="M318">
        <v>-1167.74</v>
      </c>
      <c r="N318" s="2" t="s">
        <v>4044</v>
      </c>
      <c r="O318">
        <v>103</v>
      </c>
      <c r="P318">
        <v>-120277.22</v>
      </c>
      <c r="Q318" t="b">
        <v>0</v>
      </c>
      <c r="R318" t="b">
        <v>1</v>
      </c>
      <c r="S318" t="b">
        <v>0</v>
      </c>
      <c r="T318" t="b">
        <v>0</v>
      </c>
      <c r="U318">
        <v>1</v>
      </c>
      <c r="V318" t="s">
        <v>4073</v>
      </c>
    </row>
    <row r="319" spans="1:22" hidden="1" x14ac:dyDescent="0.45">
      <c r="A319" s="2" t="s">
        <v>1516</v>
      </c>
      <c r="B319" s="11">
        <v>45367</v>
      </c>
      <c r="C319" s="2" t="s">
        <v>2013</v>
      </c>
      <c r="D319" s="2" t="s">
        <v>2018</v>
      </c>
      <c r="E319">
        <v>406.62</v>
      </c>
      <c r="F319">
        <v>35782.559999999998</v>
      </c>
      <c r="G319">
        <v>0</v>
      </c>
      <c r="H319">
        <v>0</v>
      </c>
      <c r="I319" s="2" t="s">
        <v>2021</v>
      </c>
      <c r="J319" s="2" t="s">
        <v>2030</v>
      </c>
      <c r="K319" s="2" t="s">
        <v>3537</v>
      </c>
      <c r="L319" s="2" t="s">
        <v>4032</v>
      </c>
      <c r="M319">
        <v>-406.62</v>
      </c>
      <c r="N319" s="2" t="s">
        <v>4044</v>
      </c>
      <c r="O319">
        <v>88</v>
      </c>
      <c r="P319">
        <v>-35782.559999999998</v>
      </c>
      <c r="Q319" t="b">
        <v>1</v>
      </c>
      <c r="R319" t="b">
        <v>0</v>
      </c>
      <c r="S319" t="b">
        <v>0</v>
      </c>
      <c r="T319" t="b">
        <v>0</v>
      </c>
      <c r="U319">
        <v>1</v>
      </c>
      <c r="V319" t="s">
        <v>4073</v>
      </c>
    </row>
    <row r="320" spans="1:22" hidden="1" x14ac:dyDescent="0.45">
      <c r="A320" s="2" t="s">
        <v>860</v>
      </c>
      <c r="B320" s="11">
        <v>45687</v>
      </c>
      <c r="C320" s="2" t="s">
        <v>2011</v>
      </c>
      <c r="D320" s="2" t="s">
        <v>2016</v>
      </c>
      <c r="E320">
        <v>436.4</v>
      </c>
      <c r="F320">
        <v>35784.799999999996</v>
      </c>
      <c r="G320">
        <v>0</v>
      </c>
      <c r="H320">
        <v>0</v>
      </c>
      <c r="I320" s="2" t="s">
        <v>2020</v>
      </c>
      <c r="J320" s="2" t="s">
        <v>2030</v>
      </c>
      <c r="K320" s="2" t="s">
        <v>2881</v>
      </c>
      <c r="L320" s="2" t="s">
        <v>4034</v>
      </c>
      <c r="M320">
        <v>-436.4</v>
      </c>
      <c r="N320" s="2" t="s">
        <v>2016</v>
      </c>
      <c r="O320">
        <v>82</v>
      </c>
      <c r="P320">
        <v>-35784.799999999996</v>
      </c>
      <c r="Q320" t="b">
        <v>0</v>
      </c>
      <c r="R320" t="b">
        <v>1</v>
      </c>
      <c r="S320" t="b">
        <v>0</v>
      </c>
      <c r="T320" t="b">
        <v>0</v>
      </c>
      <c r="U320">
        <v>1</v>
      </c>
      <c r="V320" t="s">
        <v>4073</v>
      </c>
    </row>
    <row r="321" spans="1:22" hidden="1" x14ac:dyDescent="0.45">
      <c r="A321" s="2" t="s">
        <v>783</v>
      </c>
      <c r="B321" s="11">
        <v>45423</v>
      </c>
      <c r="C321" s="2" t="s">
        <v>2011</v>
      </c>
      <c r="D321" s="2" t="s">
        <v>2016</v>
      </c>
      <c r="E321">
        <v>588.44000000000005</v>
      </c>
      <c r="F321">
        <v>35894.840000000004</v>
      </c>
      <c r="G321">
        <v>0</v>
      </c>
      <c r="H321">
        <v>0</v>
      </c>
      <c r="I321" s="2" t="s">
        <v>2023</v>
      </c>
      <c r="J321" s="2" t="s">
        <v>2027</v>
      </c>
      <c r="K321" s="2" t="s">
        <v>2804</v>
      </c>
      <c r="L321" s="2" t="s">
        <v>4035</v>
      </c>
      <c r="M321">
        <v>-588.44000000000005</v>
      </c>
      <c r="N321" s="2" t="s">
        <v>2016</v>
      </c>
      <c r="O321">
        <v>61</v>
      </c>
      <c r="P321">
        <v>-35894.840000000004</v>
      </c>
      <c r="Q321" t="b">
        <v>1</v>
      </c>
      <c r="R321" t="b">
        <v>0</v>
      </c>
      <c r="S321" t="b">
        <v>0</v>
      </c>
      <c r="T321" t="b">
        <v>0</v>
      </c>
      <c r="U321">
        <v>1</v>
      </c>
      <c r="V321" t="s">
        <v>4073</v>
      </c>
    </row>
    <row r="322" spans="1:22" hidden="1" x14ac:dyDescent="0.45">
      <c r="A322" s="2" t="s">
        <v>1175</v>
      </c>
      <c r="B322" s="11">
        <v>45668</v>
      </c>
      <c r="C322" s="2" t="s">
        <v>2011</v>
      </c>
      <c r="D322" s="2" t="s">
        <v>2016</v>
      </c>
      <c r="E322">
        <v>1130.18</v>
      </c>
      <c r="F322">
        <v>116408.54000000001</v>
      </c>
      <c r="G322">
        <v>0</v>
      </c>
      <c r="H322">
        <v>0</v>
      </c>
      <c r="I322" s="2" t="s">
        <v>2025</v>
      </c>
      <c r="J322" s="2" t="s">
        <v>2029</v>
      </c>
      <c r="K322" s="2" t="s">
        <v>3196</v>
      </c>
      <c r="L322" s="2" t="s">
        <v>4031</v>
      </c>
      <c r="M322">
        <v>-1130.18</v>
      </c>
      <c r="N322" s="2" t="s">
        <v>2016</v>
      </c>
      <c r="O322">
        <v>103</v>
      </c>
      <c r="P322">
        <v>-116408.54000000001</v>
      </c>
      <c r="Q322" t="b">
        <v>1</v>
      </c>
      <c r="R322" t="b">
        <v>0</v>
      </c>
      <c r="S322" t="b">
        <v>0</v>
      </c>
      <c r="T322" t="b">
        <v>0</v>
      </c>
      <c r="U322">
        <v>1</v>
      </c>
      <c r="V322" t="s">
        <v>4073</v>
      </c>
    </row>
    <row r="323" spans="1:22" hidden="1" x14ac:dyDescent="0.45">
      <c r="A323" s="2" t="s">
        <v>1764</v>
      </c>
      <c r="B323" s="11">
        <v>45557</v>
      </c>
      <c r="C323" s="2" t="s">
        <v>2011</v>
      </c>
      <c r="D323" s="2" t="s">
        <v>2016</v>
      </c>
      <c r="E323">
        <v>501.66</v>
      </c>
      <c r="F323">
        <v>28092.960000000003</v>
      </c>
      <c r="G323">
        <v>0</v>
      </c>
      <c r="H323">
        <v>0</v>
      </c>
      <c r="I323" s="2" t="s">
        <v>2025</v>
      </c>
      <c r="J323" s="2" t="s">
        <v>2028</v>
      </c>
      <c r="K323" s="2" t="s">
        <v>3785</v>
      </c>
      <c r="L323" s="2" t="s">
        <v>4033</v>
      </c>
      <c r="M323">
        <v>-501.66</v>
      </c>
      <c r="N323" s="2" t="s">
        <v>2016</v>
      </c>
      <c r="O323">
        <v>56</v>
      </c>
      <c r="P323">
        <v>-28092.960000000003</v>
      </c>
      <c r="Q323" t="b">
        <v>1</v>
      </c>
      <c r="R323" t="b">
        <v>0</v>
      </c>
      <c r="S323" t="b">
        <v>0</v>
      </c>
      <c r="T323" t="b">
        <v>0</v>
      </c>
      <c r="U323">
        <v>1</v>
      </c>
      <c r="V323" t="s">
        <v>4073</v>
      </c>
    </row>
    <row r="324" spans="1:22" hidden="1" x14ac:dyDescent="0.45">
      <c r="A324" s="2" t="s">
        <v>1667</v>
      </c>
      <c r="B324" s="11">
        <v>45116</v>
      </c>
      <c r="C324" s="2" t="s">
        <v>2011</v>
      </c>
      <c r="D324" s="2" t="s">
        <v>2016</v>
      </c>
      <c r="E324">
        <v>408.27</v>
      </c>
      <c r="F324">
        <v>35927.759999999995</v>
      </c>
      <c r="G324">
        <v>0</v>
      </c>
      <c r="H324">
        <v>0</v>
      </c>
      <c r="I324" s="2" t="s">
        <v>2022</v>
      </c>
      <c r="J324" s="2" t="s">
        <v>2026</v>
      </c>
      <c r="K324" s="2" t="s">
        <v>3688</v>
      </c>
      <c r="L324" s="2" t="s">
        <v>4032</v>
      </c>
      <c r="M324">
        <v>-408.27</v>
      </c>
      <c r="N324" s="2" t="s">
        <v>2016</v>
      </c>
      <c r="O324">
        <v>88</v>
      </c>
      <c r="P324">
        <v>-35927.759999999995</v>
      </c>
      <c r="Q324" t="b">
        <v>1</v>
      </c>
      <c r="R324" t="b">
        <v>0</v>
      </c>
      <c r="S324" t="b">
        <v>0</v>
      </c>
      <c r="T324" t="b">
        <v>0</v>
      </c>
      <c r="U324">
        <v>1</v>
      </c>
      <c r="V324" t="s">
        <v>4073</v>
      </c>
    </row>
    <row r="325" spans="1:22" hidden="1" x14ac:dyDescent="0.45">
      <c r="A325" s="2" t="s">
        <v>1145</v>
      </c>
      <c r="B325" s="11">
        <v>45242</v>
      </c>
      <c r="C325" s="2" t="s">
        <v>2010</v>
      </c>
      <c r="D325" s="2" t="s">
        <v>2015</v>
      </c>
      <c r="E325">
        <v>0</v>
      </c>
      <c r="F325">
        <v>0</v>
      </c>
      <c r="G325">
        <v>2284.31</v>
      </c>
      <c r="H325">
        <v>127921.36</v>
      </c>
      <c r="I325" s="2" t="s">
        <v>2022</v>
      </c>
      <c r="J325" s="2" t="s">
        <v>2026</v>
      </c>
      <c r="K325" s="2" t="s">
        <v>3166</v>
      </c>
      <c r="L325" s="2" t="s">
        <v>4033</v>
      </c>
      <c r="M325">
        <v>2284.31</v>
      </c>
      <c r="N325" s="2" t="s">
        <v>4042</v>
      </c>
      <c r="O325">
        <v>56</v>
      </c>
      <c r="P325">
        <v>127921.36</v>
      </c>
      <c r="Q325" t="b">
        <v>1</v>
      </c>
      <c r="R325" t="b">
        <v>0</v>
      </c>
      <c r="S325" t="b">
        <v>0</v>
      </c>
      <c r="T325" t="b">
        <v>0</v>
      </c>
      <c r="U325">
        <v>1</v>
      </c>
      <c r="V325" t="s">
        <v>4073</v>
      </c>
    </row>
    <row r="326" spans="1:22" hidden="1" x14ac:dyDescent="0.45">
      <c r="A326" s="2" t="s">
        <v>795</v>
      </c>
      <c r="B326" s="11">
        <v>45312</v>
      </c>
      <c r="C326" s="2" t="s">
        <v>2011</v>
      </c>
      <c r="D326" s="2" t="s">
        <v>2016</v>
      </c>
      <c r="E326">
        <v>459.65</v>
      </c>
      <c r="F326">
        <v>28038.649999999998</v>
      </c>
      <c r="G326">
        <v>0</v>
      </c>
      <c r="H326">
        <v>0</v>
      </c>
      <c r="I326" s="2" t="s">
        <v>2020</v>
      </c>
      <c r="J326" s="2" t="s">
        <v>2026</v>
      </c>
      <c r="K326" s="2" t="s">
        <v>2816</v>
      </c>
      <c r="L326" s="2" t="s">
        <v>4035</v>
      </c>
      <c r="M326">
        <v>-459.65</v>
      </c>
      <c r="N326" s="2" t="s">
        <v>2016</v>
      </c>
      <c r="O326">
        <v>61</v>
      </c>
      <c r="P326">
        <v>-28038.649999999998</v>
      </c>
      <c r="Q326" t="b">
        <v>1</v>
      </c>
      <c r="R326" t="b">
        <v>0</v>
      </c>
      <c r="S326" t="b">
        <v>0</v>
      </c>
      <c r="T326" t="b">
        <v>0</v>
      </c>
      <c r="U326">
        <v>1</v>
      </c>
      <c r="V326" t="s">
        <v>4073</v>
      </c>
    </row>
    <row r="327" spans="1:22" hidden="1" x14ac:dyDescent="0.45">
      <c r="A327" s="2" t="s">
        <v>695</v>
      </c>
      <c r="B327" s="11">
        <v>45716</v>
      </c>
      <c r="C327" s="2" t="s">
        <v>2013</v>
      </c>
      <c r="D327" s="2" t="s">
        <v>2018</v>
      </c>
      <c r="E327">
        <v>1411.99</v>
      </c>
      <c r="F327">
        <v>115783.18000000001</v>
      </c>
      <c r="G327">
        <v>0</v>
      </c>
      <c r="H327">
        <v>0</v>
      </c>
      <c r="I327" s="2" t="s">
        <v>2020</v>
      </c>
      <c r="J327" s="2" t="s">
        <v>2029</v>
      </c>
      <c r="K327" s="2" t="s">
        <v>2716</v>
      </c>
      <c r="L327" s="2" t="s">
        <v>4034</v>
      </c>
      <c r="M327">
        <v>-1411.99</v>
      </c>
      <c r="N327" s="2" t="s">
        <v>4044</v>
      </c>
      <c r="O327">
        <v>82</v>
      </c>
      <c r="P327">
        <v>-115783.18000000001</v>
      </c>
      <c r="Q327" t="b">
        <v>0</v>
      </c>
      <c r="R327" t="b">
        <v>1</v>
      </c>
      <c r="S327" t="b">
        <v>0</v>
      </c>
      <c r="T327" t="b">
        <v>0</v>
      </c>
      <c r="U327">
        <v>1</v>
      </c>
      <c r="V327" t="s">
        <v>4073</v>
      </c>
    </row>
    <row r="328" spans="1:22" hidden="1" x14ac:dyDescent="0.45">
      <c r="A328" s="2" t="s">
        <v>173</v>
      </c>
      <c r="B328" s="11">
        <v>45714</v>
      </c>
      <c r="C328" s="2" t="s">
        <v>2014</v>
      </c>
      <c r="D328" s="2" t="s">
        <v>2019</v>
      </c>
      <c r="E328">
        <v>0</v>
      </c>
      <c r="F328">
        <v>0</v>
      </c>
      <c r="G328">
        <v>1890.76</v>
      </c>
      <c r="H328">
        <v>115336.36</v>
      </c>
      <c r="I328" s="2" t="s">
        <v>2021</v>
      </c>
      <c r="J328" s="2" t="s">
        <v>2029</v>
      </c>
      <c r="K328" s="2" t="s">
        <v>2194</v>
      </c>
      <c r="L328" s="2" t="s">
        <v>4035</v>
      </c>
      <c r="M328">
        <v>1890.76</v>
      </c>
      <c r="N328" s="2" t="s">
        <v>4042</v>
      </c>
      <c r="O328">
        <v>61</v>
      </c>
      <c r="P328">
        <v>115336.36</v>
      </c>
      <c r="Q328" t="b">
        <v>0</v>
      </c>
      <c r="R328" t="b">
        <v>1</v>
      </c>
      <c r="S328" t="b">
        <v>0</v>
      </c>
      <c r="T328" t="b">
        <v>0</v>
      </c>
      <c r="U328">
        <v>1</v>
      </c>
      <c r="V328" t="s">
        <v>4073</v>
      </c>
    </row>
    <row r="329" spans="1:22" hidden="1" x14ac:dyDescent="0.45">
      <c r="A329" s="2" t="s">
        <v>684</v>
      </c>
      <c r="B329" s="11">
        <v>45408</v>
      </c>
      <c r="C329" s="2" t="s">
        <v>2013</v>
      </c>
      <c r="D329" s="2" t="s">
        <v>2018</v>
      </c>
      <c r="E329">
        <v>1919.89</v>
      </c>
      <c r="F329">
        <v>117113.29000000001</v>
      </c>
      <c r="G329">
        <v>0</v>
      </c>
      <c r="H329">
        <v>0</v>
      </c>
      <c r="I329" s="2" t="s">
        <v>2020</v>
      </c>
      <c r="J329" s="2" t="s">
        <v>2029</v>
      </c>
      <c r="K329" s="2" t="s">
        <v>2705</v>
      </c>
      <c r="L329" s="2" t="s">
        <v>4035</v>
      </c>
      <c r="M329">
        <v>-1919.89</v>
      </c>
      <c r="N329" s="2" t="s">
        <v>4044</v>
      </c>
      <c r="O329">
        <v>61</v>
      </c>
      <c r="P329">
        <v>-117113.29000000001</v>
      </c>
      <c r="Q329" t="b">
        <v>0</v>
      </c>
      <c r="R329" t="b">
        <v>1</v>
      </c>
      <c r="S329" t="b">
        <v>0</v>
      </c>
      <c r="T329" t="b">
        <v>0</v>
      </c>
      <c r="U329">
        <v>1</v>
      </c>
      <c r="V329" t="s">
        <v>4073</v>
      </c>
    </row>
    <row r="330" spans="1:22" hidden="1" x14ac:dyDescent="0.45">
      <c r="A330" s="2" t="s">
        <v>1352</v>
      </c>
      <c r="B330" s="11">
        <v>45647</v>
      </c>
      <c r="C330" s="2" t="s">
        <v>2011</v>
      </c>
      <c r="D330" s="2" t="s">
        <v>2016</v>
      </c>
      <c r="E330">
        <v>1405.39</v>
      </c>
      <c r="F330">
        <v>115241.98000000001</v>
      </c>
      <c r="G330">
        <v>0</v>
      </c>
      <c r="H330">
        <v>0</v>
      </c>
      <c r="I330" s="2" t="s">
        <v>2020</v>
      </c>
      <c r="J330" s="2" t="s">
        <v>2026</v>
      </c>
      <c r="K330" s="2" t="s">
        <v>3373</v>
      </c>
      <c r="L330" s="2" t="s">
        <v>4034</v>
      </c>
      <c r="M330">
        <v>-1405.39</v>
      </c>
      <c r="N330" s="2" t="s">
        <v>2016</v>
      </c>
      <c r="O330">
        <v>82</v>
      </c>
      <c r="P330">
        <v>-115241.98000000001</v>
      </c>
      <c r="Q330" t="b">
        <v>1</v>
      </c>
      <c r="R330" t="b">
        <v>0</v>
      </c>
      <c r="S330" t="b">
        <v>0</v>
      </c>
      <c r="T330" t="b">
        <v>0</v>
      </c>
      <c r="U330">
        <v>1</v>
      </c>
      <c r="V330" t="s">
        <v>4073</v>
      </c>
    </row>
    <row r="331" spans="1:22" hidden="1" x14ac:dyDescent="0.45">
      <c r="A331" s="2" t="s">
        <v>1338</v>
      </c>
      <c r="B331" s="11">
        <v>45423</v>
      </c>
      <c r="C331" s="2" t="s">
        <v>2012</v>
      </c>
      <c r="D331" s="2" t="s">
        <v>2017</v>
      </c>
      <c r="E331">
        <v>1885.28</v>
      </c>
      <c r="F331">
        <v>115002.08</v>
      </c>
      <c r="G331">
        <v>0</v>
      </c>
      <c r="H331">
        <v>0</v>
      </c>
      <c r="I331" s="2" t="s">
        <v>2023</v>
      </c>
      <c r="J331" s="2" t="s">
        <v>2027</v>
      </c>
      <c r="K331" s="2" t="s">
        <v>3359</v>
      </c>
      <c r="L331" s="2" t="s">
        <v>4035</v>
      </c>
      <c r="M331">
        <v>-1885.28</v>
      </c>
      <c r="N331" s="2" t="s">
        <v>4044</v>
      </c>
      <c r="O331">
        <v>61</v>
      </c>
      <c r="P331">
        <v>-115002.08</v>
      </c>
      <c r="Q331" t="b">
        <v>1</v>
      </c>
      <c r="R331" t="b">
        <v>0</v>
      </c>
      <c r="S331" t="b">
        <v>0</v>
      </c>
      <c r="T331" t="b">
        <v>0</v>
      </c>
      <c r="U331">
        <v>1</v>
      </c>
      <c r="V331" t="s">
        <v>4073</v>
      </c>
    </row>
    <row r="332" spans="1:22" hidden="1" x14ac:dyDescent="0.45">
      <c r="A332" s="2" t="s">
        <v>1211</v>
      </c>
      <c r="B332" s="11">
        <v>45502</v>
      </c>
      <c r="C332" s="2" t="s">
        <v>2013</v>
      </c>
      <c r="D332" s="2" t="s">
        <v>2018</v>
      </c>
      <c r="E332">
        <v>600.28</v>
      </c>
      <c r="F332">
        <v>36617.08</v>
      </c>
      <c r="G332">
        <v>0</v>
      </c>
      <c r="H332">
        <v>0</v>
      </c>
      <c r="I332" s="2" t="s">
        <v>2022</v>
      </c>
      <c r="J332" s="2" t="s">
        <v>2030</v>
      </c>
      <c r="K332" s="2" t="s">
        <v>3232</v>
      </c>
      <c r="L332" s="2" t="s">
        <v>4035</v>
      </c>
      <c r="M332">
        <v>-600.28</v>
      </c>
      <c r="N332" s="2" t="s">
        <v>4044</v>
      </c>
      <c r="O332">
        <v>61</v>
      </c>
      <c r="P332">
        <v>-36617.08</v>
      </c>
      <c r="Q332" t="b">
        <v>0</v>
      </c>
      <c r="R332" t="b">
        <v>1</v>
      </c>
      <c r="S332" t="b">
        <v>0</v>
      </c>
      <c r="T332" t="b">
        <v>0</v>
      </c>
      <c r="U332">
        <v>1</v>
      </c>
      <c r="V332" t="s">
        <v>4073</v>
      </c>
    </row>
    <row r="333" spans="1:22" hidden="1" x14ac:dyDescent="0.45">
      <c r="A333" s="2" t="s">
        <v>1064</v>
      </c>
      <c r="B333" s="11">
        <v>45144</v>
      </c>
      <c r="C333" s="2" t="s">
        <v>2013</v>
      </c>
      <c r="D333" s="2" t="s">
        <v>2018</v>
      </c>
      <c r="E333">
        <v>1300.8599999999999</v>
      </c>
      <c r="F333">
        <v>114475.68</v>
      </c>
      <c r="G333">
        <v>0</v>
      </c>
      <c r="H333">
        <v>0</v>
      </c>
      <c r="I333" s="2" t="s">
        <v>2025</v>
      </c>
      <c r="J333" s="2" t="s">
        <v>2027</v>
      </c>
      <c r="K333" s="2" t="s">
        <v>3085</v>
      </c>
      <c r="L333" s="2" t="s">
        <v>4032</v>
      </c>
      <c r="M333">
        <v>-1300.8599999999999</v>
      </c>
      <c r="N333" s="2" t="s">
        <v>4044</v>
      </c>
      <c r="O333">
        <v>88</v>
      </c>
      <c r="P333">
        <v>-114475.68</v>
      </c>
      <c r="Q333" t="b">
        <v>1</v>
      </c>
      <c r="R333" t="b">
        <v>0</v>
      </c>
      <c r="S333" t="b">
        <v>0</v>
      </c>
      <c r="T333" t="b">
        <v>0</v>
      </c>
      <c r="U333">
        <v>1</v>
      </c>
      <c r="V333" t="s">
        <v>4073</v>
      </c>
    </row>
    <row r="334" spans="1:22" hidden="1" x14ac:dyDescent="0.45">
      <c r="A334" s="2" t="s">
        <v>632</v>
      </c>
      <c r="B334" s="11">
        <v>45595</v>
      </c>
      <c r="C334" s="2" t="s">
        <v>2013</v>
      </c>
      <c r="D334" s="2" t="s">
        <v>2018</v>
      </c>
      <c r="E334">
        <v>1876.28</v>
      </c>
      <c r="F334">
        <v>114453.08</v>
      </c>
      <c r="G334">
        <v>0</v>
      </c>
      <c r="H334">
        <v>0</v>
      </c>
      <c r="I334" s="2" t="s">
        <v>2024</v>
      </c>
      <c r="J334" s="2" t="s">
        <v>2028</v>
      </c>
      <c r="K334" s="2" t="s">
        <v>2653</v>
      </c>
      <c r="L334" s="2" t="s">
        <v>4035</v>
      </c>
      <c r="M334">
        <v>-1876.28</v>
      </c>
      <c r="N334" s="2" t="s">
        <v>4044</v>
      </c>
      <c r="O334">
        <v>61</v>
      </c>
      <c r="P334">
        <v>-114453.08</v>
      </c>
      <c r="Q334" t="b">
        <v>0</v>
      </c>
      <c r="R334" t="b">
        <v>1</v>
      </c>
      <c r="S334" t="b">
        <v>0</v>
      </c>
      <c r="T334" t="b">
        <v>0</v>
      </c>
      <c r="U334">
        <v>1</v>
      </c>
      <c r="V334" t="s">
        <v>4073</v>
      </c>
    </row>
    <row r="335" spans="1:22" hidden="1" x14ac:dyDescent="0.45">
      <c r="A335" s="2" t="s">
        <v>285</v>
      </c>
      <c r="B335" s="11">
        <v>45316</v>
      </c>
      <c r="C335" s="2" t="s">
        <v>2010</v>
      </c>
      <c r="D335" s="2" t="s">
        <v>2015</v>
      </c>
      <c r="E335">
        <v>0</v>
      </c>
      <c r="F335">
        <v>0</v>
      </c>
      <c r="G335">
        <v>656.25</v>
      </c>
      <c r="H335">
        <v>36750</v>
      </c>
      <c r="I335" s="2" t="s">
        <v>2023</v>
      </c>
      <c r="J335" s="2" t="s">
        <v>2029</v>
      </c>
      <c r="K335" s="2" t="s">
        <v>2306</v>
      </c>
      <c r="L335" s="2" t="s">
        <v>4033</v>
      </c>
      <c r="M335">
        <v>656.25</v>
      </c>
      <c r="N335" s="2" t="s">
        <v>4042</v>
      </c>
      <c r="O335">
        <v>56</v>
      </c>
      <c r="P335">
        <v>36750</v>
      </c>
      <c r="Q335" t="b">
        <v>0</v>
      </c>
      <c r="R335" t="b">
        <v>1</v>
      </c>
      <c r="S335" t="b">
        <v>0</v>
      </c>
      <c r="T335" t="b">
        <v>0</v>
      </c>
      <c r="U335">
        <v>1</v>
      </c>
      <c r="V335" t="s">
        <v>4073</v>
      </c>
    </row>
    <row r="336" spans="1:22" hidden="1" x14ac:dyDescent="0.45">
      <c r="A336" s="2" t="s">
        <v>1519</v>
      </c>
      <c r="B336" s="11">
        <v>45277</v>
      </c>
      <c r="C336" s="2" t="s">
        <v>2010</v>
      </c>
      <c r="D336" s="2" t="s">
        <v>2015</v>
      </c>
      <c r="E336">
        <v>0</v>
      </c>
      <c r="F336">
        <v>0</v>
      </c>
      <c r="G336">
        <v>2037.61</v>
      </c>
      <c r="H336">
        <v>114106.15999999999</v>
      </c>
      <c r="I336" s="2" t="s">
        <v>2025</v>
      </c>
      <c r="J336" s="2" t="s">
        <v>2028</v>
      </c>
      <c r="K336" s="2" t="s">
        <v>3540</v>
      </c>
      <c r="L336" s="2" t="s">
        <v>4033</v>
      </c>
      <c r="M336">
        <v>2037.61</v>
      </c>
      <c r="N336" s="2" t="s">
        <v>4042</v>
      </c>
      <c r="O336">
        <v>56</v>
      </c>
      <c r="P336">
        <v>114106.15999999999</v>
      </c>
      <c r="Q336" t="b">
        <v>1</v>
      </c>
      <c r="R336" t="b">
        <v>0</v>
      </c>
      <c r="S336" t="b">
        <v>0</v>
      </c>
      <c r="T336" t="b">
        <v>0</v>
      </c>
      <c r="U336">
        <v>1</v>
      </c>
      <c r="V336" t="s">
        <v>4073</v>
      </c>
    </row>
    <row r="337" spans="1:22" hidden="1" x14ac:dyDescent="0.45">
      <c r="A337" s="2" t="s">
        <v>642</v>
      </c>
      <c r="B337" s="11">
        <v>45298</v>
      </c>
      <c r="C337" s="2" t="s">
        <v>2011</v>
      </c>
      <c r="D337" s="2" t="s">
        <v>2016</v>
      </c>
      <c r="E337">
        <v>1107.71</v>
      </c>
      <c r="F337">
        <v>114094.13</v>
      </c>
      <c r="G337">
        <v>0</v>
      </c>
      <c r="H337">
        <v>0</v>
      </c>
      <c r="I337" s="2" t="s">
        <v>2025</v>
      </c>
      <c r="J337" s="2" t="s">
        <v>2027</v>
      </c>
      <c r="K337" s="2" t="s">
        <v>2663</v>
      </c>
      <c r="L337" s="2" t="s">
        <v>4031</v>
      </c>
      <c r="M337">
        <v>-1107.71</v>
      </c>
      <c r="N337" s="2" t="s">
        <v>2016</v>
      </c>
      <c r="O337">
        <v>103</v>
      </c>
      <c r="P337">
        <v>-114094.13</v>
      </c>
      <c r="Q337" t="b">
        <v>1</v>
      </c>
      <c r="R337" t="b">
        <v>0</v>
      </c>
      <c r="S337" t="b">
        <v>0</v>
      </c>
      <c r="T337" t="b">
        <v>0</v>
      </c>
      <c r="U337">
        <v>1</v>
      </c>
      <c r="V337" t="s">
        <v>4073</v>
      </c>
    </row>
    <row r="338" spans="1:22" hidden="1" x14ac:dyDescent="0.45">
      <c r="A338" s="2" t="s">
        <v>850</v>
      </c>
      <c r="B338" s="11">
        <v>45498</v>
      </c>
      <c r="C338" s="2" t="s">
        <v>2012</v>
      </c>
      <c r="D338" s="2" t="s">
        <v>2017</v>
      </c>
      <c r="E338">
        <v>1386.65</v>
      </c>
      <c r="F338">
        <v>113705.3</v>
      </c>
      <c r="G338">
        <v>0</v>
      </c>
      <c r="H338">
        <v>0</v>
      </c>
      <c r="I338" s="2" t="s">
        <v>2024</v>
      </c>
      <c r="J338" s="2" t="s">
        <v>2027</v>
      </c>
      <c r="K338" s="2" t="s">
        <v>2871</v>
      </c>
      <c r="L338" s="2" t="s">
        <v>4034</v>
      </c>
      <c r="M338">
        <v>-1386.65</v>
      </c>
      <c r="N338" s="2" t="s">
        <v>4044</v>
      </c>
      <c r="O338">
        <v>82</v>
      </c>
      <c r="P338">
        <v>-113705.3</v>
      </c>
      <c r="Q338" t="b">
        <v>0</v>
      </c>
      <c r="R338" t="b">
        <v>1</v>
      </c>
      <c r="S338" t="b">
        <v>0</v>
      </c>
      <c r="T338" t="b">
        <v>0</v>
      </c>
      <c r="U338">
        <v>1</v>
      </c>
      <c r="V338" t="s">
        <v>4073</v>
      </c>
    </row>
    <row r="339" spans="1:22" hidden="1" x14ac:dyDescent="0.45">
      <c r="A339" s="2" t="s">
        <v>1017</v>
      </c>
      <c r="B339" s="11">
        <v>45101</v>
      </c>
      <c r="C339" s="2" t="s">
        <v>2011</v>
      </c>
      <c r="D339" s="2" t="s">
        <v>2016</v>
      </c>
      <c r="E339">
        <v>316.43</v>
      </c>
      <c r="F339">
        <v>27845.84</v>
      </c>
      <c r="G339">
        <v>0</v>
      </c>
      <c r="H339">
        <v>0</v>
      </c>
      <c r="I339" s="2" t="s">
        <v>2022</v>
      </c>
      <c r="J339" s="2" t="s">
        <v>2030</v>
      </c>
      <c r="K339" s="2" t="s">
        <v>3038</v>
      </c>
      <c r="L339" s="2" t="s">
        <v>4032</v>
      </c>
      <c r="M339">
        <v>-316.43</v>
      </c>
      <c r="N339" s="2" t="s">
        <v>2016</v>
      </c>
      <c r="O339">
        <v>88</v>
      </c>
      <c r="P339">
        <v>-27845.84</v>
      </c>
      <c r="Q339" t="b">
        <v>1</v>
      </c>
      <c r="R339" t="b">
        <v>0</v>
      </c>
      <c r="S339" t="b">
        <v>0</v>
      </c>
      <c r="T339" t="b">
        <v>0</v>
      </c>
      <c r="U339">
        <v>1</v>
      </c>
      <c r="V339" t="s">
        <v>4073</v>
      </c>
    </row>
    <row r="340" spans="1:22" hidden="1" x14ac:dyDescent="0.45">
      <c r="A340" s="2" t="s">
        <v>1890</v>
      </c>
      <c r="B340" s="11">
        <v>45493</v>
      </c>
      <c r="C340" s="2" t="s">
        <v>2011</v>
      </c>
      <c r="D340" s="2" t="s">
        <v>2016</v>
      </c>
      <c r="E340">
        <v>1863.66</v>
      </c>
      <c r="F340">
        <v>113683.26000000001</v>
      </c>
      <c r="G340">
        <v>0</v>
      </c>
      <c r="H340">
        <v>0</v>
      </c>
      <c r="I340" s="2" t="s">
        <v>2025</v>
      </c>
      <c r="J340" s="2" t="s">
        <v>2030</v>
      </c>
      <c r="K340" s="2" t="s">
        <v>3911</v>
      </c>
      <c r="L340" s="2" t="s">
        <v>4035</v>
      </c>
      <c r="M340">
        <v>-1863.66</v>
      </c>
      <c r="N340" s="2" t="s">
        <v>2016</v>
      </c>
      <c r="O340">
        <v>61</v>
      </c>
      <c r="P340">
        <v>-113683.26000000001</v>
      </c>
      <c r="Q340" t="b">
        <v>1</v>
      </c>
      <c r="R340" t="b">
        <v>0</v>
      </c>
      <c r="S340" t="b">
        <v>0</v>
      </c>
      <c r="T340" t="b">
        <v>0</v>
      </c>
      <c r="U340">
        <v>1</v>
      </c>
      <c r="V340" t="s">
        <v>4073</v>
      </c>
    </row>
    <row r="341" spans="1:22" hidden="1" x14ac:dyDescent="0.45">
      <c r="A341" s="2" t="s">
        <v>1950</v>
      </c>
      <c r="B341" s="11">
        <v>45834</v>
      </c>
      <c r="C341" s="2" t="s">
        <v>2012</v>
      </c>
      <c r="D341" s="2" t="s">
        <v>2017</v>
      </c>
      <c r="E341">
        <v>1885.62</v>
      </c>
      <c r="F341">
        <v>115022.81999999999</v>
      </c>
      <c r="G341">
        <v>0</v>
      </c>
      <c r="H341">
        <v>0</v>
      </c>
      <c r="I341" s="2" t="s">
        <v>2024</v>
      </c>
      <c r="J341" s="2" t="s">
        <v>2029</v>
      </c>
      <c r="K341" s="2" t="s">
        <v>3971</v>
      </c>
      <c r="L341" s="2" t="s">
        <v>4035</v>
      </c>
      <c r="M341">
        <v>-1885.62</v>
      </c>
      <c r="N341" s="2" t="s">
        <v>4044</v>
      </c>
      <c r="O341">
        <v>61</v>
      </c>
      <c r="P341">
        <v>-115022.81999999999</v>
      </c>
      <c r="Q341" t="b">
        <v>0</v>
      </c>
      <c r="R341" t="b">
        <v>1</v>
      </c>
      <c r="S341" t="b">
        <v>0</v>
      </c>
      <c r="T341" t="b">
        <v>0</v>
      </c>
      <c r="U341">
        <v>1</v>
      </c>
      <c r="V341" t="s">
        <v>4073</v>
      </c>
    </row>
    <row r="342" spans="1:22" hidden="1" x14ac:dyDescent="0.45">
      <c r="A342" s="2" t="s">
        <v>512</v>
      </c>
      <c r="B342" s="11">
        <v>45105</v>
      </c>
      <c r="C342" s="2" t="s">
        <v>2010</v>
      </c>
      <c r="D342" s="2" t="s">
        <v>2015</v>
      </c>
      <c r="E342">
        <v>0</v>
      </c>
      <c r="F342">
        <v>0</v>
      </c>
      <c r="G342">
        <v>1521.81</v>
      </c>
      <c r="H342">
        <v>133919.28</v>
      </c>
      <c r="I342" s="2" t="s">
        <v>2023</v>
      </c>
      <c r="J342" s="2" t="s">
        <v>2029</v>
      </c>
      <c r="K342" s="2" t="s">
        <v>2533</v>
      </c>
      <c r="L342" s="2" t="s">
        <v>4032</v>
      </c>
      <c r="M342">
        <v>1521.81</v>
      </c>
      <c r="N342" s="2" t="s">
        <v>4042</v>
      </c>
      <c r="O342">
        <v>88</v>
      </c>
      <c r="P342">
        <v>133919.28</v>
      </c>
      <c r="Q342" t="b">
        <v>0</v>
      </c>
      <c r="R342" t="b">
        <v>1</v>
      </c>
      <c r="S342" t="b">
        <v>0</v>
      </c>
      <c r="T342" t="b">
        <v>0</v>
      </c>
      <c r="U342">
        <v>1</v>
      </c>
      <c r="V342" t="s">
        <v>4073</v>
      </c>
    </row>
    <row r="343" spans="1:22" hidden="1" x14ac:dyDescent="0.45">
      <c r="A343" s="2" t="s">
        <v>1819</v>
      </c>
      <c r="B343" s="11">
        <v>45815</v>
      </c>
      <c r="C343" s="2" t="s">
        <v>2011</v>
      </c>
      <c r="D343" s="2" t="s">
        <v>2016</v>
      </c>
      <c r="E343">
        <v>1920.83</v>
      </c>
      <c r="F343">
        <v>117170.62999999999</v>
      </c>
      <c r="G343">
        <v>0</v>
      </c>
      <c r="H343">
        <v>0</v>
      </c>
      <c r="I343" s="2" t="s">
        <v>2023</v>
      </c>
      <c r="J343" s="2" t="s">
        <v>2029</v>
      </c>
      <c r="K343" s="2" t="s">
        <v>3840</v>
      </c>
      <c r="L343" s="2" t="s">
        <v>4035</v>
      </c>
      <c r="M343">
        <v>-1920.83</v>
      </c>
      <c r="N343" s="2" t="s">
        <v>2016</v>
      </c>
      <c r="O343">
        <v>61</v>
      </c>
      <c r="P343">
        <v>-117170.62999999999</v>
      </c>
      <c r="Q343" t="b">
        <v>1</v>
      </c>
      <c r="R343" t="b">
        <v>0</v>
      </c>
      <c r="S343" t="b">
        <v>0</v>
      </c>
      <c r="T343" t="b">
        <v>0</v>
      </c>
      <c r="U343">
        <v>1</v>
      </c>
      <c r="V343" t="s">
        <v>4073</v>
      </c>
    </row>
    <row r="344" spans="1:22" hidden="1" x14ac:dyDescent="0.45">
      <c r="A344" s="2" t="s">
        <v>351</v>
      </c>
      <c r="B344" s="11">
        <v>45311</v>
      </c>
      <c r="C344" s="2" t="s">
        <v>2010</v>
      </c>
      <c r="D344" s="2" t="s">
        <v>2015</v>
      </c>
      <c r="E344">
        <v>0</v>
      </c>
      <c r="F344">
        <v>0</v>
      </c>
      <c r="G344">
        <v>1924.88</v>
      </c>
      <c r="H344">
        <v>117417.68000000001</v>
      </c>
      <c r="I344" s="2" t="s">
        <v>2025</v>
      </c>
      <c r="J344" s="2" t="s">
        <v>2030</v>
      </c>
      <c r="K344" s="2" t="s">
        <v>2372</v>
      </c>
      <c r="L344" s="2" t="s">
        <v>4035</v>
      </c>
      <c r="M344">
        <v>1924.88</v>
      </c>
      <c r="N344" s="2" t="s">
        <v>4042</v>
      </c>
      <c r="O344">
        <v>61</v>
      </c>
      <c r="P344">
        <v>117417.68000000001</v>
      </c>
      <c r="Q344" t="b">
        <v>1</v>
      </c>
      <c r="R344" t="b">
        <v>0</v>
      </c>
      <c r="S344" t="b">
        <v>0</v>
      </c>
      <c r="T344" t="b">
        <v>0</v>
      </c>
      <c r="U344">
        <v>1</v>
      </c>
      <c r="V344" t="s">
        <v>4073</v>
      </c>
    </row>
    <row r="345" spans="1:22" hidden="1" x14ac:dyDescent="0.45">
      <c r="A345" s="2" t="s">
        <v>424</v>
      </c>
      <c r="B345" s="11">
        <v>45167</v>
      </c>
      <c r="C345" s="2" t="s">
        <v>2010</v>
      </c>
      <c r="D345" s="2" t="s">
        <v>2015</v>
      </c>
      <c r="E345">
        <v>0</v>
      </c>
      <c r="F345">
        <v>0</v>
      </c>
      <c r="G345">
        <v>2146.0700000000002</v>
      </c>
      <c r="H345">
        <v>120179.92000000001</v>
      </c>
      <c r="I345" s="2" t="s">
        <v>2023</v>
      </c>
      <c r="J345" s="2" t="s">
        <v>2026</v>
      </c>
      <c r="K345" s="2" t="s">
        <v>2445</v>
      </c>
      <c r="L345" s="2" t="s">
        <v>4033</v>
      </c>
      <c r="M345">
        <v>2146.0700000000002</v>
      </c>
      <c r="N345" s="2" t="s">
        <v>4042</v>
      </c>
      <c r="O345">
        <v>56</v>
      </c>
      <c r="P345">
        <v>120179.92000000001</v>
      </c>
      <c r="Q345" t="b">
        <v>0</v>
      </c>
      <c r="R345" t="b">
        <v>1</v>
      </c>
      <c r="S345" t="b">
        <v>0</v>
      </c>
      <c r="T345" t="b">
        <v>0</v>
      </c>
      <c r="U345">
        <v>1</v>
      </c>
      <c r="V345" t="s">
        <v>4073</v>
      </c>
    </row>
    <row r="346" spans="1:22" hidden="1" x14ac:dyDescent="0.45">
      <c r="A346" s="2" t="s">
        <v>1542</v>
      </c>
      <c r="B346" s="11">
        <v>45388</v>
      </c>
      <c r="C346" s="2" t="s">
        <v>2013</v>
      </c>
      <c r="D346" s="2" t="s">
        <v>2018</v>
      </c>
      <c r="E346">
        <v>1969.36</v>
      </c>
      <c r="F346">
        <v>120130.95999999999</v>
      </c>
      <c r="G346">
        <v>0</v>
      </c>
      <c r="H346">
        <v>0</v>
      </c>
      <c r="I346" s="2" t="s">
        <v>2022</v>
      </c>
      <c r="J346" s="2" t="s">
        <v>2026</v>
      </c>
      <c r="K346" s="2" t="s">
        <v>3563</v>
      </c>
      <c r="L346" s="2" t="s">
        <v>4035</v>
      </c>
      <c r="M346">
        <v>-1969.36</v>
      </c>
      <c r="N346" s="2" t="s">
        <v>4044</v>
      </c>
      <c r="O346">
        <v>61</v>
      </c>
      <c r="P346">
        <v>-120130.95999999999</v>
      </c>
      <c r="Q346" t="b">
        <v>1</v>
      </c>
      <c r="R346" t="b">
        <v>0</v>
      </c>
      <c r="S346" t="b">
        <v>0</v>
      </c>
      <c r="T346" t="b">
        <v>0</v>
      </c>
      <c r="U346">
        <v>1</v>
      </c>
      <c r="V346" t="s">
        <v>4073</v>
      </c>
    </row>
    <row r="347" spans="1:22" hidden="1" x14ac:dyDescent="0.45">
      <c r="A347" s="2" t="s">
        <v>157</v>
      </c>
      <c r="B347" s="11">
        <v>45468</v>
      </c>
      <c r="C347" s="2" t="s">
        <v>2010</v>
      </c>
      <c r="D347" s="2" t="s">
        <v>2015</v>
      </c>
      <c r="E347">
        <v>0</v>
      </c>
      <c r="F347">
        <v>0</v>
      </c>
      <c r="G347">
        <v>1164.3499999999999</v>
      </c>
      <c r="H347">
        <v>119928.04999999999</v>
      </c>
      <c r="I347" s="2" t="s">
        <v>2025</v>
      </c>
      <c r="J347" s="2" t="s">
        <v>2029</v>
      </c>
      <c r="K347" s="2" t="s">
        <v>2178</v>
      </c>
      <c r="L347" s="2" t="s">
        <v>4031</v>
      </c>
      <c r="M347">
        <v>1164.3499999999999</v>
      </c>
      <c r="N347" s="2" t="s">
        <v>4042</v>
      </c>
      <c r="O347">
        <v>103</v>
      </c>
      <c r="P347">
        <v>119928.04999999999</v>
      </c>
      <c r="Q347" t="b">
        <v>0</v>
      </c>
      <c r="R347" t="b">
        <v>1</v>
      </c>
      <c r="S347" t="b">
        <v>0</v>
      </c>
      <c r="T347" t="b">
        <v>0</v>
      </c>
      <c r="U347">
        <v>1</v>
      </c>
      <c r="V347" t="s">
        <v>4073</v>
      </c>
    </row>
    <row r="348" spans="1:22" hidden="1" x14ac:dyDescent="0.45">
      <c r="A348" s="2" t="s">
        <v>1720</v>
      </c>
      <c r="B348" s="11">
        <v>45688</v>
      </c>
      <c r="C348" s="2" t="s">
        <v>2014</v>
      </c>
      <c r="D348" s="2" t="s">
        <v>2019</v>
      </c>
      <c r="E348">
        <v>0</v>
      </c>
      <c r="F348">
        <v>0</v>
      </c>
      <c r="G348">
        <v>1521.92</v>
      </c>
      <c r="H348">
        <v>133928.96000000002</v>
      </c>
      <c r="I348" s="2" t="s">
        <v>2025</v>
      </c>
      <c r="J348" s="2" t="s">
        <v>2030</v>
      </c>
      <c r="K348" s="2" t="s">
        <v>3741</v>
      </c>
      <c r="L348" s="2" t="s">
        <v>4032</v>
      </c>
      <c r="M348">
        <v>1521.92</v>
      </c>
      <c r="N348" s="2" t="s">
        <v>4042</v>
      </c>
      <c r="O348">
        <v>88</v>
      </c>
      <c r="P348">
        <v>133928.96000000002</v>
      </c>
      <c r="Q348" t="b">
        <v>0</v>
      </c>
      <c r="R348" t="b">
        <v>1</v>
      </c>
      <c r="S348" t="b">
        <v>0</v>
      </c>
      <c r="T348" t="b">
        <v>0</v>
      </c>
      <c r="U348">
        <v>1</v>
      </c>
      <c r="V348" t="s">
        <v>4073</v>
      </c>
    </row>
    <row r="349" spans="1:22" hidden="1" x14ac:dyDescent="0.45">
      <c r="A349" s="2" t="s">
        <v>910</v>
      </c>
      <c r="B349" s="11">
        <v>45115</v>
      </c>
      <c r="C349" s="2" t="s">
        <v>2012</v>
      </c>
      <c r="D349" s="2" t="s">
        <v>2017</v>
      </c>
      <c r="E349">
        <v>1312.28</v>
      </c>
      <c r="F349">
        <v>135164.84</v>
      </c>
      <c r="G349">
        <v>0</v>
      </c>
      <c r="H349">
        <v>0</v>
      </c>
      <c r="I349" s="2" t="s">
        <v>2022</v>
      </c>
      <c r="J349" s="2" t="s">
        <v>2026</v>
      </c>
      <c r="K349" s="2" t="s">
        <v>2931</v>
      </c>
      <c r="L349" s="2" t="s">
        <v>4031</v>
      </c>
      <c r="M349">
        <v>-1312.28</v>
      </c>
      <c r="N349" s="2" t="s">
        <v>4044</v>
      </c>
      <c r="O349">
        <v>103</v>
      </c>
      <c r="P349">
        <v>-135164.84</v>
      </c>
      <c r="Q349" t="b">
        <v>1</v>
      </c>
      <c r="R349" t="b">
        <v>0</v>
      </c>
      <c r="S349" t="b">
        <v>0</v>
      </c>
      <c r="T349" t="b">
        <v>0</v>
      </c>
      <c r="U349">
        <v>1</v>
      </c>
      <c r="V349" t="s">
        <v>4073</v>
      </c>
    </row>
    <row r="350" spans="1:22" hidden="1" x14ac:dyDescent="0.45">
      <c r="A350" s="2" t="s">
        <v>566</v>
      </c>
      <c r="B350" s="11">
        <v>45577</v>
      </c>
      <c r="C350" s="2" t="s">
        <v>2013</v>
      </c>
      <c r="D350" s="2" t="s">
        <v>2018</v>
      </c>
      <c r="E350">
        <v>421.39</v>
      </c>
      <c r="F350">
        <v>34553.979999999996</v>
      </c>
      <c r="G350">
        <v>0</v>
      </c>
      <c r="H350">
        <v>0</v>
      </c>
      <c r="I350" s="2" t="s">
        <v>2024</v>
      </c>
      <c r="J350" s="2" t="s">
        <v>2028</v>
      </c>
      <c r="K350" s="2" t="s">
        <v>2587</v>
      </c>
      <c r="L350" s="2" t="s">
        <v>4034</v>
      </c>
      <c r="M350">
        <v>-421.39</v>
      </c>
      <c r="N350" s="2" t="s">
        <v>4044</v>
      </c>
      <c r="O350">
        <v>82</v>
      </c>
      <c r="P350">
        <v>-34553.979999999996</v>
      </c>
      <c r="Q350" t="b">
        <v>1</v>
      </c>
      <c r="R350" t="b">
        <v>0</v>
      </c>
      <c r="S350" t="b">
        <v>0</v>
      </c>
      <c r="T350" t="b">
        <v>0</v>
      </c>
      <c r="U350">
        <v>1</v>
      </c>
      <c r="V350" t="s">
        <v>4073</v>
      </c>
    </row>
    <row r="351" spans="1:22" hidden="1" x14ac:dyDescent="0.45">
      <c r="A351" s="2" t="s">
        <v>187</v>
      </c>
      <c r="B351" s="11">
        <v>45269</v>
      </c>
      <c r="C351" s="2" t="s">
        <v>2010</v>
      </c>
      <c r="D351" s="2" t="s">
        <v>2015</v>
      </c>
      <c r="E351">
        <v>0</v>
      </c>
      <c r="F351">
        <v>0</v>
      </c>
      <c r="G351">
        <v>335.99</v>
      </c>
      <c r="H351">
        <v>34606.97</v>
      </c>
      <c r="I351" s="2" t="s">
        <v>2022</v>
      </c>
      <c r="J351" s="2" t="s">
        <v>2026</v>
      </c>
      <c r="K351" s="2" t="s">
        <v>2208</v>
      </c>
      <c r="L351" s="2" t="s">
        <v>4031</v>
      </c>
      <c r="M351">
        <v>335.99</v>
      </c>
      <c r="N351" s="2" t="s">
        <v>4042</v>
      </c>
      <c r="O351">
        <v>103</v>
      </c>
      <c r="P351">
        <v>34606.97</v>
      </c>
      <c r="Q351" t="b">
        <v>1</v>
      </c>
      <c r="R351" t="b">
        <v>0</v>
      </c>
      <c r="S351" t="b">
        <v>0</v>
      </c>
      <c r="T351" t="b">
        <v>0</v>
      </c>
      <c r="U351">
        <v>1</v>
      </c>
      <c r="V351" t="s">
        <v>4073</v>
      </c>
    </row>
    <row r="352" spans="1:22" hidden="1" x14ac:dyDescent="0.45">
      <c r="A352" s="2" t="s">
        <v>15</v>
      </c>
      <c r="B352" s="11">
        <v>45788</v>
      </c>
      <c r="C352" s="2" t="s">
        <v>2012</v>
      </c>
      <c r="D352" s="2" t="s">
        <v>2017</v>
      </c>
      <c r="E352">
        <v>1653.64</v>
      </c>
      <c r="F352">
        <v>135598.48000000001</v>
      </c>
      <c r="G352">
        <v>0</v>
      </c>
      <c r="H352">
        <v>0</v>
      </c>
      <c r="I352" s="2" t="s">
        <v>2023</v>
      </c>
      <c r="J352" s="2" t="s">
        <v>2028</v>
      </c>
      <c r="K352" s="2" t="s">
        <v>2036</v>
      </c>
      <c r="L352" s="2" t="s">
        <v>4034</v>
      </c>
      <c r="M352">
        <v>-1653.64</v>
      </c>
      <c r="N352" s="2" t="s">
        <v>4044</v>
      </c>
      <c r="O352">
        <v>82</v>
      </c>
      <c r="P352">
        <v>-135598.48000000001</v>
      </c>
      <c r="Q352" t="b">
        <v>1</v>
      </c>
      <c r="R352" t="b">
        <v>0</v>
      </c>
      <c r="S352" t="b">
        <v>0</v>
      </c>
      <c r="T352" t="b">
        <v>0</v>
      </c>
      <c r="U352">
        <v>1</v>
      </c>
      <c r="V352" t="s">
        <v>4073</v>
      </c>
    </row>
    <row r="353" spans="1:22" hidden="1" x14ac:dyDescent="0.45">
      <c r="A353" s="2" t="s">
        <v>1085</v>
      </c>
      <c r="B353" s="11">
        <v>45072</v>
      </c>
      <c r="C353" s="2" t="s">
        <v>2011</v>
      </c>
      <c r="D353" s="2" t="s">
        <v>2016</v>
      </c>
      <c r="E353">
        <v>1655.29</v>
      </c>
      <c r="F353">
        <v>135733.78</v>
      </c>
      <c r="G353">
        <v>0</v>
      </c>
      <c r="H353">
        <v>0</v>
      </c>
      <c r="I353" s="2" t="s">
        <v>2021</v>
      </c>
      <c r="J353" s="2" t="s">
        <v>2026</v>
      </c>
      <c r="K353" s="2" t="s">
        <v>3106</v>
      </c>
      <c r="L353" s="2" t="s">
        <v>4034</v>
      </c>
      <c r="M353">
        <v>-1655.29</v>
      </c>
      <c r="N353" s="2" t="s">
        <v>2016</v>
      </c>
      <c r="O353">
        <v>82</v>
      </c>
      <c r="P353">
        <v>-135733.78</v>
      </c>
      <c r="Q353" t="b">
        <v>0</v>
      </c>
      <c r="R353" t="b">
        <v>1</v>
      </c>
      <c r="S353" t="b">
        <v>0</v>
      </c>
      <c r="T353" t="b">
        <v>0</v>
      </c>
      <c r="U353">
        <v>1</v>
      </c>
      <c r="V353" t="s">
        <v>4073</v>
      </c>
    </row>
    <row r="354" spans="1:22" hidden="1" x14ac:dyDescent="0.45">
      <c r="A354" s="2" t="s">
        <v>805</v>
      </c>
      <c r="B354" s="11">
        <v>45747</v>
      </c>
      <c r="C354" s="2" t="s">
        <v>2012</v>
      </c>
      <c r="D354" s="2" t="s">
        <v>2017</v>
      </c>
      <c r="E354">
        <v>1953.3</v>
      </c>
      <c r="F354">
        <v>119151.3</v>
      </c>
      <c r="G354">
        <v>0</v>
      </c>
      <c r="H354">
        <v>0</v>
      </c>
      <c r="I354" s="2" t="s">
        <v>2024</v>
      </c>
      <c r="J354" s="2" t="s">
        <v>2027</v>
      </c>
      <c r="K354" s="2" t="s">
        <v>2826</v>
      </c>
      <c r="L354" s="2" t="s">
        <v>4035</v>
      </c>
      <c r="M354">
        <v>-1953.3</v>
      </c>
      <c r="N354" s="2" t="s">
        <v>4044</v>
      </c>
      <c r="O354">
        <v>61</v>
      </c>
      <c r="P354">
        <v>-119151.3</v>
      </c>
      <c r="Q354" t="b">
        <v>0</v>
      </c>
      <c r="R354" t="b">
        <v>1</v>
      </c>
      <c r="S354" t="b">
        <v>0</v>
      </c>
      <c r="T354" t="b">
        <v>0</v>
      </c>
      <c r="U354">
        <v>1</v>
      </c>
      <c r="V354" t="s">
        <v>4073</v>
      </c>
    </row>
    <row r="355" spans="1:22" hidden="1" x14ac:dyDescent="0.45">
      <c r="A355" s="2" t="s">
        <v>1815</v>
      </c>
      <c r="B355" s="11">
        <v>45288</v>
      </c>
      <c r="C355" s="2" t="s">
        <v>2011</v>
      </c>
      <c r="D355" s="2" t="s">
        <v>2016</v>
      </c>
      <c r="E355">
        <v>435.57</v>
      </c>
      <c r="F355">
        <v>35716.74</v>
      </c>
      <c r="G355">
        <v>0</v>
      </c>
      <c r="H355">
        <v>0</v>
      </c>
      <c r="I355" s="2" t="s">
        <v>2022</v>
      </c>
      <c r="J355" s="2" t="s">
        <v>2029</v>
      </c>
      <c r="K355" s="2" t="s">
        <v>3836</v>
      </c>
      <c r="L355" s="2" t="s">
        <v>4034</v>
      </c>
      <c r="M355">
        <v>-435.57</v>
      </c>
      <c r="N355" s="2" t="s">
        <v>2016</v>
      </c>
      <c r="O355">
        <v>82</v>
      </c>
      <c r="P355">
        <v>-35716.74</v>
      </c>
      <c r="Q355" t="b">
        <v>0</v>
      </c>
      <c r="R355" t="b">
        <v>1</v>
      </c>
      <c r="S355" t="b">
        <v>0</v>
      </c>
      <c r="T355" t="b">
        <v>0</v>
      </c>
      <c r="U355">
        <v>1</v>
      </c>
      <c r="V355" t="s">
        <v>4073</v>
      </c>
    </row>
    <row r="356" spans="1:22" hidden="1" x14ac:dyDescent="0.45">
      <c r="A356" s="2" t="s">
        <v>380</v>
      </c>
      <c r="B356" s="11">
        <v>45349</v>
      </c>
      <c r="C356" s="2" t="s">
        <v>2013</v>
      </c>
      <c r="D356" s="2" t="s">
        <v>2018</v>
      </c>
      <c r="E356">
        <v>1450.58</v>
      </c>
      <c r="F356">
        <v>118947.56</v>
      </c>
      <c r="G356">
        <v>0</v>
      </c>
      <c r="H356">
        <v>0</v>
      </c>
      <c r="I356" s="2" t="s">
        <v>2022</v>
      </c>
      <c r="J356" s="2" t="s">
        <v>2028</v>
      </c>
      <c r="K356" s="2" t="s">
        <v>2401</v>
      </c>
      <c r="L356" s="2" t="s">
        <v>4034</v>
      </c>
      <c r="M356">
        <v>-1450.58</v>
      </c>
      <c r="N356" s="2" t="s">
        <v>4044</v>
      </c>
      <c r="O356">
        <v>82</v>
      </c>
      <c r="P356">
        <v>-118947.56</v>
      </c>
      <c r="Q356" t="b">
        <v>0</v>
      </c>
      <c r="R356" t="b">
        <v>1</v>
      </c>
      <c r="S356" t="b">
        <v>0</v>
      </c>
      <c r="T356" t="b">
        <v>0</v>
      </c>
      <c r="U356">
        <v>1</v>
      </c>
      <c r="V356" t="s">
        <v>4073</v>
      </c>
    </row>
    <row r="357" spans="1:22" hidden="1" x14ac:dyDescent="0.45">
      <c r="A357" s="2" t="s">
        <v>103</v>
      </c>
      <c r="B357" s="11">
        <v>45424</v>
      </c>
      <c r="C357" s="2" t="s">
        <v>2012</v>
      </c>
      <c r="D357" s="2" t="s">
        <v>2017</v>
      </c>
      <c r="E357">
        <v>1449.67</v>
      </c>
      <c r="F357">
        <v>118872.94</v>
      </c>
      <c r="G357">
        <v>0</v>
      </c>
      <c r="H357">
        <v>0</v>
      </c>
      <c r="I357" s="2" t="s">
        <v>2020</v>
      </c>
      <c r="J357" s="2" t="s">
        <v>2029</v>
      </c>
      <c r="K357" s="2" t="s">
        <v>2124</v>
      </c>
      <c r="L357" s="2" t="s">
        <v>4034</v>
      </c>
      <c r="M357">
        <v>-1449.67</v>
      </c>
      <c r="N357" s="2" t="s">
        <v>4044</v>
      </c>
      <c r="O357">
        <v>82</v>
      </c>
      <c r="P357">
        <v>-118872.94</v>
      </c>
      <c r="Q357" t="b">
        <v>1</v>
      </c>
      <c r="R357" t="b">
        <v>0</v>
      </c>
      <c r="S357" t="b">
        <v>0</v>
      </c>
      <c r="T357" t="b">
        <v>0</v>
      </c>
      <c r="U357">
        <v>1</v>
      </c>
      <c r="V357" t="s">
        <v>4073</v>
      </c>
    </row>
    <row r="358" spans="1:22" hidden="1" x14ac:dyDescent="0.45">
      <c r="A358" s="2" t="s">
        <v>1034</v>
      </c>
      <c r="B358" s="11">
        <v>45332</v>
      </c>
      <c r="C358" s="2" t="s">
        <v>2012</v>
      </c>
      <c r="D358" s="2" t="s">
        <v>2017</v>
      </c>
      <c r="E358">
        <v>1946.64</v>
      </c>
      <c r="F358">
        <v>118745.04000000001</v>
      </c>
      <c r="G358">
        <v>0</v>
      </c>
      <c r="H358">
        <v>0</v>
      </c>
      <c r="I358" s="2" t="s">
        <v>2024</v>
      </c>
      <c r="J358" s="2" t="s">
        <v>2028</v>
      </c>
      <c r="K358" s="2" t="s">
        <v>3055</v>
      </c>
      <c r="L358" s="2" t="s">
        <v>4035</v>
      </c>
      <c r="M358">
        <v>-1946.64</v>
      </c>
      <c r="N358" s="2" t="s">
        <v>4044</v>
      </c>
      <c r="O358">
        <v>61</v>
      </c>
      <c r="P358">
        <v>-118745.04000000001</v>
      </c>
      <c r="Q358" t="b">
        <v>1</v>
      </c>
      <c r="R358" t="b">
        <v>0</v>
      </c>
      <c r="S358" t="b">
        <v>0</v>
      </c>
      <c r="T358" t="b">
        <v>0</v>
      </c>
      <c r="U358">
        <v>1</v>
      </c>
      <c r="V358" t="s">
        <v>4073</v>
      </c>
    </row>
    <row r="359" spans="1:22" hidden="1" x14ac:dyDescent="0.45">
      <c r="A359" s="2" t="s">
        <v>764</v>
      </c>
      <c r="B359" s="11">
        <v>45710</v>
      </c>
      <c r="C359" s="2" t="s">
        <v>2014</v>
      </c>
      <c r="D359" s="2" t="s">
        <v>2019</v>
      </c>
      <c r="E359">
        <v>0</v>
      </c>
      <c r="F359">
        <v>0</v>
      </c>
      <c r="G359">
        <v>324.7</v>
      </c>
      <c r="H359">
        <v>28573.599999999999</v>
      </c>
      <c r="I359" s="2" t="s">
        <v>2020</v>
      </c>
      <c r="J359" s="2" t="s">
        <v>2027</v>
      </c>
      <c r="K359" s="2" t="s">
        <v>2785</v>
      </c>
      <c r="L359" s="2" t="s">
        <v>4032</v>
      </c>
      <c r="M359">
        <v>324.7</v>
      </c>
      <c r="N359" s="2" t="s">
        <v>4042</v>
      </c>
      <c r="O359">
        <v>88</v>
      </c>
      <c r="P359">
        <v>28573.599999999999</v>
      </c>
      <c r="Q359" t="b">
        <v>1</v>
      </c>
      <c r="R359" t="b">
        <v>0</v>
      </c>
      <c r="S359" t="b">
        <v>0</v>
      </c>
      <c r="T359" t="b">
        <v>0</v>
      </c>
      <c r="U359">
        <v>1</v>
      </c>
      <c r="V359" t="s">
        <v>4073</v>
      </c>
    </row>
    <row r="360" spans="1:22" hidden="1" x14ac:dyDescent="0.45">
      <c r="A360" s="2" t="s">
        <v>420</v>
      </c>
      <c r="B360" s="11">
        <v>45368</v>
      </c>
      <c r="C360" s="2" t="s">
        <v>2010</v>
      </c>
      <c r="D360" s="2" t="s">
        <v>2015</v>
      </c>
      <c r="E360">
        <v>0</v>
      </c>
      <c r="F360">
        <v>0</v>
      </c>
      <c r="G360">
        <v>1148.8499999999999</v>
      </c>
      <c r="H360">
        <v>118331.54999999999</v>
      </c>
      <c r="I360" s="2" t="s">
        <v>2024</v>
      </c>
      <c r="J360" s="2" t="s">
        <v>2028</v>
      </c>
      <c r="K360" s="2" t="s">
        <v>2441</v>
      </c>
      <c r="L360" s="2" t="s">
        <v>4031</v>
      </c>
      <c r="M360">
        <v>1148.8499999999999</v>
      </c>
      <c r="N360" s="2" t="s">
        <v>4042</v>
      </c>
      <c r="O360">
        <v>103</v>
      </c>
      <c r="P360">
        <v>118331.54999999999</v>
      </c>
      <c r="Q360" t="b">
        <v>1</v>
      </c>
      <c r="R360" t="b">
        <v>0</v>
      </c>
      <c r="S360" t="b">
        <v>0</v>
      </c>
      <c r="T360" t="b">
        <v>0</v>
      </c>
      <c r="U360">
        <v>1</v>
      </c>
      <c r="V360" t="s">
        <v>4073</v>
      </c>
    </row>
    <row r="361" spans="1:22" hidden="1" x14ac:dyDescent="0.45">
      <c r="A361" s="2" t="s">
        <v>276</v>
      </c>
      <c r="B361" s="11">
        <v>45804</v>
      </c>
      <c r="C361" s="2" t="s">
        <v>2011</v>
      </c>
      <c r="D361" s="2" t="s">
        <v>2016</v>
      </c>
      <c r="E361">
        <v>1343.21</v>
      </c>
      <c r="F361">
        <v>118202.48000000001</v>
      </c>
      <c r="G361">
        <v>0</v>
      </c>
      <c r="H361">
        <v>0</v>
      </c>
      <c r="I361" s="2" t="s">
        <v>2023</v>
      </c>
      <c r="J361" s="2" t="s">
        <v>2029</v>
      </c>
      <c r="K361" s="2" t="s">
        <v>2297</v>
      </c>
      <c r="L361" s="2" t="s">
        <v>4032</v>
      </c>
      <c r="M361">
        <v>-1343.21</v>
      </c>
      <c r="N361" s="2" t="s">
        <v>2016</v>
      </c>
      <c r="O361">
        <v>88</v>
      </c>
      <c r="P361">
        <v>-118202.48000000001</v>
      </c>
      <c r="Q361" t="b">
        <v>0</v>
      </c>
      <c r="R361" t="b">
        <v>1</v>
      </c>
      <c r="S361" t="b">
        <v>0</v>
      </c>
      <c r="T361" t="b">
        <v>0</v>
      </c>
      <c r="U361">
        <v>1</v>
      </c>
      <c r="V361" t="s">
        <v>4073</v>
      </c>
    </row>
    <row r="362" spans="1:22" hidden="1" x14ac:dyDescent="0.45">
      <c r="A362" s="2" t="s">
        <v>1071</v>
      </c>
      <c r="B362" s="11">
        <v>45242</v>
      </c>
      <c r="C362" s="2" t="s">
        <v>2013</v>
      </c>
      <c r="D362" s="2" t="s">
        <v>2018</v>
      </c>
      <c r="E362">
        <v>1323.46</v>
      </c>
      <c r="F362">
        <v>136316.38</v>
      </c>
      <c r="G362">
        <v>0</v>
      </c>
      <c r="H362">
        <v>0</v>
      </c>
      <c r="I362" s="2" t="s">
        <v>2022</v>
      </c>
      <c r="J362" s="2" t="s">
        <v>2030</v>
      </c>
      <c r="K362" s="2" t="s">
        <v>3092</v>
      </c>
      <c r="L362" s="2" t="s">
        <v>4031</v>
      </c>
      <c r="M362">
        <v>-1323.46</v>
      </c>
      <c r="N362" s="2" t="s">
        <v>4044</v>
      </c>
      <c r="O362">
        <v>103</v>
      </c>
      <c r="P362">
        <v>-136316.38</v>
      </c>
      <c r="Q362" t="b">
        <v>1</v>
      </c>
      <c r="R362" t="b">
        <v>0</v>
      </c>
      <c r="S362" t="b">
        <v>0</v>
      </c>
      <c r="T362" t="b">
        <v>0</v>
      </c>
      <c r="U362">
        <v>1</v>
      </c>
      <c r="V362" t="s">
        <v>4073</v>
      </c>
    </row>
    <row r="363" spans="1:22" hidden="1" x14ac:dyDescent="0.45">
      <c r="A363" s="2" t="s">
        <v>639</v>
      </c>
      <c r="B363" s="11">
        <v>45809</v>
      </c>
      <c r="C363" s="2" t="s">
        <v>2011</v>
      </c>
      <c r="D363" s="2" t="s">
        <v>2016</v>
      </c>
      <c r="E363">
        <v>1437.11</v>
      </c>
      <c r="F363">
        <v>117843.01999999999</v>
      </c>
      <c r="G363">
        <v>0</v>
      </c>
      <c r="H363">
        <v>0</v>
      </c>
      <c r="I363" s="2" t="s">
        <v>2024</v>
      </c>
      <c r="J363" s="2" t="s">
        <v>2029</v>
      </c>
      <c r="K363" s="2" t="s">
        <v>2660</v>
      </c>
      <c r="L363" s="2" t="s">
        <v>4034</v>
      </c>
      <c r="M363">
        <v>-1437.11</v>
      </c>
      <c r="N363" s="2" t="s">
        <v>2016</v>
      </c>
      <c r="O363">
        <v>82</v>
      </c>
      <c r="P363">
        <v>-117843.01999999999</v>
      </c>
      <c r="Q363" t="b">
        <v>1</v>
      </c>
      <c r="R363" t="b">
        <v>0</v>
      </c>
      <c r="S363" t="b">
        <v>0</v>
      </c>
      <c r="T363" t="b">
        <v>0</v>
      </c>
      <c r="U363">
        <v>1</v>
      </c>
      <c r="V363" t="s">
        <v>4073</v>
      </c>
    </row>
    <row r="364" spans="1:22" hidden="1" x14ac:dyDescent="0.45">
      <c r="A364" s="2" t="s">
        <v>1298</v>
      </c>
      <c r="B364" s="11">
        <v>45724</v>
      </c>
      <c r="C364" s="2" t="s">
        <v>2010</v>
      </c>
      <c r="D364" s="2" t="s">
        <v>2015</v>
      </c>
      <c r="E364">
        <v>0</v>
      </c>
      <c r="F364">
        <v>0</v>
      </c>
      <c r="G364">
        <v>2447.1</v>
      </c>
      <c r="H364">
        <v>137037.6</v>
      </c>
      <c r="I364" s="2" t="s">
        <v>2021</v>
      </c>
      <c r="J364" s="2" t="s">
        <v>2028</v>
      </c>
      <c r="K364" s="2" t="s">
        <v>3319</v>
      </c>
      <c r="L364" s="2" t="s">
        <v>4033</v>
      </c>
      <c r="M364">
        <v>2447.1</v>
      </c>
      <c r="N364" s="2" t="s">
        <v>4042</v>
      </c>
      <c r="O364">
        <v>56</v>
      </c>
      <c r="P364">
        <v>137037.6</v>
      </c>
      <c r="Q364" t="b">
        <v>1</v>
      </c>
      <c r="R364" t="b">
        <v>0</v>
      </c>
      <c r="S364" t="b">
        <v>0</v>
      </c>
      <c r="T364" t="b">
        <v>0</v>
      </c>
      <c r="U364">
        <v>1</v>
      </c>
      <c r="V364" t="s">
        <v>4073</v>
      </c>
    </row>
    <row r="365" spans="1:22" hidden="1" x14ac:dyDescent="0.45">
      <c r="A365" s="2" t="s">
        <v>533</v>
      </c>
      <c r="B365" s="11">
        <v>45441</v>
      </c>
      <c r="C365" s="2" t="s">
        <v>2014</v>
      </c>
      <c r="D365" s="2" t="s">
        <v>2019</v>
      </c>
      <c r="E365">
        <v>0</v>
      </c>
      <c r="F365">
        <v>0</v>
      </c>
      <c r="G365">
        <v>402.69</v>
      </c>
      <c r="H365">
        <v>35436.720000000001</v>
      </c>
      <c r="I365" s="2" t="s">
        <v>2023</v>
      </c>
      <c r="J365" s="2" t="s">
        <v>2029</v>
      </c>
      <c r="K365" s="2" t="s">
        <v>2554</v>
      </c>
      <c r="L365" s="2" t="s">
        <v>4032</v>
      </c>
      <c r="M365">
        <v>402.69</v>
      </c>
      <c r="N365" s="2" t="s">
        <v>4042</v>
      </c>
      <c r="O365">
        <v>88</v>
      </c>
      <c r="P365">
        <v>35436.720000000001</v>
      </c>
      <c r="Q365" t="b">
        <v>0</v>
      </c>
      <c r="R365" t="b">
        <v>1</v>
      </c>
      <c r="S365" t="b">
        <v>0</v>
      </c>
      <c r="T365" t="b">
        <v>0</v>
      </c>
      <c r="U365">
        <v>1</v>
      </c>
      <c r="V365" t="s">
        <v>4073</v>
      </c>
    </row>
    <row r="366" spans="1:22" hidden="1" x14ac:dyDescent="0.45">
      <c r="A366" s="2" t="s">
        <v>836</v>
      </c>
      <c r="B366" s="11">
        <v>45613</v>
      </c>
      <c r="C366" s="2" t="s">
        <v>2014</v>
      </c>
      <c r="D366" s="2" t="s">
        <v>2019</v>
      </c>
      <c r="E366">
        <v>0</v>
      </c>
      <c r="F366">
        <v>0</v>
      </c>
      <c r="G366">
        <v>2447.66</v>
      </c>
      <c r="H366">
        <v>137068.96</v>
      </c>
      <c r="I366" s="2" t="s">
        <v>2025</v>
      </c>
      <c r="J366" s="2" t="s">
        <v>2027</v>
      </c>
      <c r="K366" s="2" t="s">
        <v>2857</v>
      </c>
      <c r="L366" s="2" t="s">
        <v>4033</v>
      </c>
      <c r="M366">
        <v>2447.66</v>
      </c>
      <c r="N366" s="2" t="s">
        <v>4042</v>
      </c>
      <c r="O366">
        <v>56</v>
      </c>
      <c r="P366">
        <v>137068.96</v>
      </c>
      <c r="Q366" t="b">
        <v>1</v>
      </c>
      <c r="R366" t="b">
        <v>0</v>
      </c>
      <c r="S366" t="b">
        <v>0</v>
      </c>
      <c r="T366" t="b">
        <v>0</v>
      </c>
      <c r="U366">
        <v>1</v>
      </c>
      <c r="V366" t="s">
        <v>4073</v>
      </c>
    </row>
    <row r="367" spans="1:22" hidden="1" x14ac:dyDescent="0.45">
      <c r="A367" s="2" t="s">
        <v>520</v>
      </c>
      <c r="B367" s="11">
        <v>44933</v>
      </c>
      <c r="C367" s="2" t="s">
        <v>2014</v>
      </c>
      <c r="D367" s="2" t="s">
        <v>2019</v>
      </c>
      <c r="E367">
        <v>0</v>
      </c>
      <c r="F367">
        <v>0</v>
      </c>
      <c r="G367">
        <v>1351.35</v>
      </c>
      <c r="H367">
        <v>118918.79999999999</v>
      </c>
      <c r="I367" s="2" t="s">
        <v>2021</v>
      </c>
      <c r="J367" s="2" t="s">
        <v>2026</v>
      </c>
      <c r="K367" s="2" t="s">
        <v>2541</v>
      </c>
      <c r="L367" s="2" t="s">
        <v>4032</v>
      </c>
      <c r="M367">
        <v>1351.35</v>
      </c>
      <c r="N367" s="2" t="s">
        <v>4042</v>
      </c>
      <c r="O367">
        <v>88</v>
      </c>
      <c r="P367">
        <v>118918.79999999999</v>
      </c>
      <c r="Q367" t="b">
        <v>1</v>
      </c>
      <c r="R367" t="b">
        <v>0</v>
      </c>
      <c r="S367" t="b">
        <v>0</v>
      </c>
      <c r="T367" t="b">
        <v>0</v>
      </c>
      <c r="U367">
        <v>1</v>
      </c>
      <c r="V367" t="s">
        <v>4073</v>
      </c>
    </row>
    <row r="368" spans="1:22" hidden="1" x14ac:dyDescent="0.45">
      <c r="A368" s="2" t="s">
        <v>1108</v>
      </c>
      <c r="B368" s="11">
        <v>45809</v>
      </c>
      <c r="C368" s="2" t="s">
        <v>2013</v>
      </c>
      <c r="D368" s="2" t="s">
        <v>2018</v>
      </c>
      <c r="E368">
        <v>352.55</v>
      </c>
      <c r="F368">
        <v>31024.400000000001</v>
      </c>
      <c r="G368">
        <v>0</v>
      </c>
      <c r="H368">
        <v>0</v>
      </c>
      <c r="I368" s="2" t="s">
        <v>2022</v>
      </c>
      <c r="J368" s="2" t="s">
        <v>2029</v>
      </c>
      <c r="K368" s="2" t="s">
        <v>3129</v>
      </c>
      <c r="L368" s="2" t="s">
        <v>4032</v>
      </c>
      <c r="M368">
        <v>-352.55</v>
      </c>
      <c r="N368" s="2" t="s">
        <v>4044</v>
      </c>
      <c r="O368">
        <v>88</v>
      </c>
      <c r="P368">
        <v>-31024.400000000001</v>
      </c>
      <c r="Q368" t="b">
        <v>1</v>
      </c>
      <c r="R368" t="b">
        <v>0</v>
      </c>
      <c r="S368" t="b">
        <v>0</v>
      </c>
      <c r="T368" t="b">
        <v>0</v>
      </c>
      <c r="U368">
        <v>1</v>
      </c>
      <c r="V368" t="s">
        <v>4073</v>
      </c>
    </row>
    <row r="369" spans="1:22" hidden="1" x14ac:dyDescent="0.45">
      <c r="A369" s="2" t="s">
        <v>1491</v>
      </c>
      <c r="B369" s="11">
        <v>45804</v>
      </c>
      <c r="C369" s="2" t="s">
        <v>2010</v>
      </c>
      <c r="D369" s="2" t="s">
        <v>2015</v>
      </c>
      <c r="E369">
        <v>0</v>
      </c>
      <c r="F369">
        <v>0</v>
      </c>
      <c r="G369">
        <v>1080.5</v>
      </c>
      <c r="H369">
        <v>95084</v>
      </c>
      <c r="I369" s="2" t="s">
        <v>2020</v>
      </c>
      <c r="J369" s="2" t="s">
        <v>2030</v>
      </c>
      <c r="K369" s="2" t="s">
        <v>3512</v>
      </c>
      <c r="L369" s="2" t="s">
        <v>4032</v>
      </c>
      <c r="M369">
        <v>1080.5</v>
      </c>
      <c r="N369" s="2" t="s">
        <v>4042</v>
      </c>
      <c r="O369">
        <v>88</v>
      </c>
      <c r="P369">
        <v>95084</v>
      </c>
      <c r="Q369" t="b">
        <v>0</v>
      </c>
      <c r="R369" t="b">
        <v>1</v>
      </c>
      <c r="S369" t="b">
        <v>0</v>
      </c>
      <c r="T369" t="b">
        <v>0</v>
      </c>
      <c r="U369">
        <v>1</v>
      </c>
      <c r="V369" t="s">
        <v>4073</v>
      </c>
    </row>
    <row r="370" spans="1:22" hidden="1" x14ac:dyDescent="0.45">
      <c r="A370" s="2" t="s">
        <v>771</v>
      </c>
      <c r="B370" s="11">
        <v>45661</v>
      </c>
      <c r="C370" s="2" t="s">
        <v>2011</v>
      </c>
      <c r="D370" s="2" t="s">
        <v>2016</v>
      </c>
      <c r="E370">
        <v>1261.48</v>
      </c>
      <c r="F370">
        <v>103441.36</v>
      </c>
      <c r="G370">
        <v>0</v>
      </c>
      <c r="H370">
        <v>0</v>
      </c>
      <c r="I370" s="2" t="s">
        <v>2023</v>
      </c>
      <c r="J370" s="2" t="s">
        <v>2027</v>
      </c>
      <c r="K370" s="2" t="s">
        <v>2792</v>
      </c>
      <c r="L370" s="2" t="s">
        <v>4034</v>
      </c>
      <c r="M370">
        <v>-1261.48</v>
      </c>
      <c r="N370" s="2" t="s">
        <v>2016</v>
      </c>
      <c r="O370">
        <v>82</v>
      </c>
      <c r="P370">
        <v>-103441.36</v>
      </c>
      <c r="Q370" t="b">
        <v>1</v>
      </c>
      <c r="R370" t="b">
        <v>0</v>
      </c>
      <c r="S370" t="b">
        <v>0</v>
      </c>
      <c r="T370" t="b">
        <v>0</v>
      </c>
      <c r="U370">
        <v>1</v>
      </c>
      <c r="V370" t="s">
        <v>4073</v>
      </c>
    </row>
    <row r="371" spans="1:22" hidden="1" x14ac:dyDescent="0.45">
      <c r="A371" s="2" t="s">
        <v>942</v>
      </c>
      <c r="B371" s="11">
        <v>45242</v>
      </c>
      <c r="C371" s="2" t="s">
        <v>2013</v>
      </c>
      <c r="D371" s="2" t="s">
        <v>2018</v>
      </c>
      <c r="E371">
        <v>920.32</v>
      </c>
      <c r="F371">
        <v>80988.160000000003</v>
      </c>
      <c r="G371">
        <v>0</v>
      </c>
      <c r="H371">
        <v>0</v>
      </c>
      <c r="I371" s="2" t="s">
        <v>2022</v>
      </c>
      <c r="J371" s="2" t="s">
        <v>2026</v>
      </c>
      <c r="K371" s="2" t="s">
        <v>2963</v>
      </c>
      <c r="L371" s="2" t="s">
        <v>4032</v>
      </c>
      <c r="M371">
        <v>-920.32</v>
      </c>
      <c r="N371" s="2" t="s">
        <v>4044</v>
      </c>
      <c r="O371">
        <v>88</v>
      </c>
      <c r="P371">
        <v>-80988.160000000003</v>
      </c>
      <c r="Q371" t="b">
        <v>1</v>
      </c>
      <c r="R371" t="b">
        <v>0</v>
      </c>
      <c r="S371" t="b">
        <v>0</v>
      </c>
      <c r="T371" t="b">
        <v>0</v>
      </c>
      <c r="U371">
        <v>1</v>
      </c>
      <c r="V371" t="s">
        <v>4073</v>
      </c>
    </row>
    <row r="372" spans="1:22" hidden="1" x14ac:dyDescent="0.45">
      <c r="A372" s="2" t="s">
        <v>233</v>
      </c>
      <c r="B372" s="11">
        <v>45367</v>
      </c>
      <c r="C372" s="2" t="s">
        <v>2011</v>
      </c>
      <c r="D372" s="2" t="s">
        <v>2016</v>
      </c>
      <c r="E372">
        <v>1439</v>
      </c>
      <c r="F372">
        <v>80584</v>
      </c>
      <c r="G372">
        <v>0</v>
      </c>
      <c r="H372">
        <v>0</v>
      </c>
      <c r="I372" s="2" t="s">
        <v>2025</v>
      </c>
      <c r="J372" s="2" t="s">
        <v>2027</v>
      </c>
      <c r="K372" s="2" t="s">
        <v>2254</v>
      </c>
      <c r="L372" s="2" t="s">
        <v>4033</v>
      </c>
      <c r="M372">
        <v>-1439</v>
      </c>
      <c r="N372" s="2" t="s">
        <v>2016</v>
      </c>
      <c r="O372">
        <v>56</v>
      </c>
      <c r="P372">
        <v>-80584</v>
      </c>
      <c r="Q372" t="b">
        <v>1</v>
      </c>
      <c r="R372" t="b">
        <v>0</v>
      </c>
      <c r="S372" t="b">
        <v>0</v>
      </c>
      <c r="T372" t="b">
        <v>0</v>
      </c>
      <c r="U372">
        <v>1</v>
      </c>
      <c r="V372" t="s">
        <v>4073</v>
      </c>
    </row>
    <row r="373" spans="1:22" hidden="1" x14ac:dyDescent="0.45">
      <c r="A373" s="2" t="s">
        <v>1559</v>
      </c>
      <c r="B373" s="11">
        <v>45104</v>
      </c>
      <c r="C373" s="2" t="s">
        <v>2012</v>
      </c>
      <c r="D373" s="2" t="s">
        <v>2017</v>
      </c>
      <c r="E373">
        <v>1317.88</v>
      </c>
      <c r="F373">
        <v>80390.680000000008</v>
      </c>
      <c r="G373">
        <v>0</v>
      </c>
      <c r="H373">
        <v>0</v>
      </c>
      <c r="I373" s="2" t="s">
        <v>2025</v>
      </c>
      <c r="J373" s="2" t="s">
        <v>2027</v>
      </c>
      <c r="K373" s="2" t="s">
        <v>3580</v>
      </c>
      <c r="L373" s="2" t="s">
        <v>4035</v>
      </c>
      <c r="M373">
        <v>-1317.88</v>
      </c>
      <c r="N373" s="2" t="s">
        <v>4044</v>
      </c>
      <c r="O373">
        <v>61</v>
      </c>
      <c r="P373">
        <v>-80390.680000000008</v>
      </c>
      <c r="Q373" t="b">
        <v>0</v>
      </c>
      <c r="R373" t="b">
        <v>1</v>
      </c>
      <c r="S373" t="b">
        <v>0</v>
      </c>
      <c r="T373" t="b">
        <v>0</v>
      </c>
      <c r="U373">
        <v>1</v>
      </c>
      <c r="V373" t="s">
        <v>4073</v>
      </c>
    </row>
    <row r="374" spans="1:22" hidden="1" x14ac:dyDescent="0.45">
      <c r="A374" s="2" t="s">
        <v>557</v>
      </c>
      <c r="B374" s="11">
        <v>45806</v>
      </c>
      <c r="C374" s="2" t="s">
        <v>2013</v>
      </c>
      <c r="D374" s="2" t="s">
        <v>2018</v>
      </c>
      <c r="E374">
        <v>1316.39</v>
      </c>
      <c r="F374">
        <v>80299.790000000008</v>
      </c>
      <c r="G374">
        <v>0</v>
      </c>
      <c r="H374">
        <v>0</v>
      </c>
      <c r="I374" s="2" t="s">
        <v>2024</v>
      </c>
      <c r="J374" s="2" t="s">
        <v>2030</v>
      </c>
      <c r="K374" s="2" t="s">
        <v>2578</v>
      </c>
      <c r="L374" s="2" t="s">
        <v>4035</v>
      </c>
      <c r="M374">
        <v>-1316.39</v>
      </c>
      <c r="N374" s="2" t="s">
        <v>4044</v>
      </c>
      <c r="O374">
        <v>61</v>
      </c>
      <c r="P374">
        <v>-80299.790000000008</v>
      </c>
      <c r="Q374" t="b">
        <v>0</v>
      </c>
      <c r="R374" t="b">
        <v>1</v>
      </c>
      <c r="S374" t="b">
        <v>0</v>
      </c>
      <c r="T374" t="b">
        <v>0</v>
      </c>
      <c r="U374">
        <v>1</v>
      </c>
      <c r="V374" t="s">
        <v>4073</v>
      </c>
    </row>
    <row r="375" spans="1:22" hidden="1" x14ac:dyDescent="0.45">
      <c r="A375" s="2" t="s">
        <v>1761</v>
      </c>
      <c r="B375" s="11">
        <v>45838</v>
      </c>
      <c r="C375" s="2" t="s">
        <v>2012</v>
      </c>
      <c r="D375" s="2" t="s">
        <v>2017</v>
      </c>
      <c r="E375">
        <v>912.48</v>
      </c>
      <c r="F375">
        <v>80298.240000000005</v>
      </c>
      <c r="G375">
        <v>0</v>
      </c>
      <c r="H375">
        <v>0</v>
      </c>
      <c r="I375" s="2" t="s">
        <v>2024</v>
      </c>
      <c r="J375" s="2" t="s">
        <v>2026</v>
      </c>
      <c r="K375" s="2" t="s">
        <v>3782</v>
      </c>
      <c r="L375" s="2" t="s">
        <v>4032</v>
      </c>
      <c r="M375">
        <v>-912.48</v>
      </c>
      <c r="N375" s="2" t="s">
        <v>4044</v>
      </c>
      <c r="O375">
        <v>88</v>
      </c>
      <c r="P375">
        <v>-80298.240000000005</v>
      </c>
      <c r="Q375" t="b">
        <v>0</v>
      </c>
      <c r="R375" t="b">
        <v>1</v>
      </c>
      <c r="S375" t="b">
        <v>0</v>
      </c>
      <c r="T375" t="b">
        <v>0</v>
      </c>
      <c r="U375">
        <v>1</v>
      </c>
      <c r="V375" t="s">
        <v>4073</v>
      </c>
    </row>
    <row r="376" spans="1:22" hidden="1" x14ac:dyDescent="0.45">
      <c r="A376" s="2" t="s">
        <v>252</v>
      </c>
      <c r="B376" s="11">
        <v>44940</v>
      </c>
      <c r="C376" s="2" t="s">
        <v>2012</v>
      </c>
      <c r="D376" s="2" t="s">
        <v>2017</v>
      </c>
      <c r="E376">
        <v>908.7</v>
      </c>
      <c r="F376">
        <v>79965.600000000006</v>
      </c>
      <c r="G376">
        <v>0</v>
      </c>
      <c r="H376">
        <v>0</v>
      </c>
      <c r="I376" s="2" t="s">
        <v>2021</v>
      </c>
      <c r="J376" s="2" t="s">
        <v>2030</v>
      </c>
      <c r="K376" s="2" t="s">
        <v>2273</v>
      </c>
      <c r="L376" s="2" t="s">
        <v>4032</v>
      </c>
      <c r="M376">
        <v>-908.7</v>
      </c>
      <c r="N376" s="2" t="s">
        <v>4044</v>
      </c>
      <c r="O376">
        <v>88</v>
      </c>
      <c r="P376">
        <v>-79965.600000000006</v>
      </c>
      <c r="Q376" t="b">
        <v>1</v>
      </c>
      <c r="R376" t="b">
        <v>0</v>
      </c>
      <c r="S376" t="b">
        <v>0</v>
      </c>
      <c r="T376" t="b">
        <v>0</v>
      </c>
      <c r="U376">
        <v>1</v>
      </c>
      <c r="V376" t="s">
        <v>4073</v>
      </c>
    </row>
    <row r="377" spans="1:22" hidden="1" x14ac:dyDescent="0.45">
      <c r="A377" s="2" t="s">
        <v>321</v>
      </c>
      <c r="B377" s="11">
        <v>45326</v>
      </c>
      <c r="C377" s="2" t="s">
        <v>2011</v>
      </c>
      <c r="D377" s="2" t="s">
        <v>2016</v>
      </c>
      <c r="E377">
        <v>547.95000000000005</v>
      </c>
      <c r="F377">
        <v>56438.850000000006</v>
      </c>
      <c r="G377">
        <v>0</v>
      </c>
      <c r="H377">
        <v>0</v>
      </c>
      <c r="I377" s="2" t="s">
        <v>2024</v>
      </c>
      <c r="J377" s="2" t="s">
        <v>2026</v>
      </c>
      <c r="K377" s="2" t="s">
        <v>2342</v>
      </c>
      <c r="L377" s="2" t="s">
        <v>4031</v>
      </c>
      <c r="M377">
        <v>-547.95000000000005</v>
      </c>
      <c r="N377" s="2" t="s">
        <v>2016</v>
      </c>
      <c r="O377">
        <v>103</v>
      </c>
      <c r="P377">
        <v>-56438.850000000006</v>
      </c>
      <c r="Q377" t="b">
        <v>1</v>
      </c>
      <c r="R377" t="b">
        <v>0</v>
      </c>
      <c r="S377" t="b">
        <v>0</v>
      </c>
      <c r="T377" t="b">
        <v>0</v>
      </c>
      <c r="U377">
        <v>1</v>
      </c>
      <c r="V377" t="s">
        <v>4073</v>
      </c>
    </row>
    <row r="378" spans="1:22" hidden="1" x14ac:dyDescent="0.45">
      <c r="A378" s="2" t="s">
        <v>869</v>
      </c>
      <c r="B378" s="11">
        <v>45807</v>
      </c>
      <c r="C378" s="2" t="s">
        <v>2010</v>
      </c>
      <c r="D378" s="2" t="s">
        <v>2015</v>
      </c>
      <c r="E378">
        <v>0</v>
      </c>
      <c r="F378">
        <v>0</v>
      </c>
      <c r="G378">
        <v>549.91999999999996</v>
      </c>
      <c r="H378">
        <v>56641.759999999995</v>
      </c>
      <c r="I378" s="2" t="s">
        <v>2024</v>
      </c>
      <c r="J378" s="2" t="s">
        <v>2027</v>
      </c>
      <c r="K378" s="2" t="s">
        <v>2890</v>
      </c>
      <c r="L378" s="2" t="s">
        <v>4031</v>
      </c>
      <c r="M378">
        <v>549.91999999999996</v>
      </c>
      <c r="N378" s="2" t="s">
        <v>4042</v>
      </c>
      <c r="O378">
        <v>103</v>
      </c>
      <c r="P378">
        <v>56641.759999999995</v>
      </c>
      <c r="Q378" t="b">
        <v>0</v>
      </c>
      <c r="R378" t="b">
        <v>1</v>
      </c>
      <c r="S378" t="b">
        <v>0</v>
      </c>
      <c r="T378" t="b">
        <v>0</v>
      </c>
      <c r="U378">
        <v>1</v>
      </c>
      <c r="V378" t="s">
        <v>4073</v>
      </c>
    </row>
    <row r="379" spans="1:22" hidden="1" x14ac:dyDescent="0.45">
      <c r="A379" s="2" t="s">
        <v>806</v>
      </c>
      <c r="B379" s="11">
        <v>45494</v>
      </c>
      <c r="C379" s="2" t="s">
        <v>2013</v>
      </c>
      <c r="D379" s="2" t="s">
        <v>2018</v>
      </c>
      <c r="E379">
        <v>1420.92</v>
      </c>
      <c r="F379">
        <v>79571.520000000004</v>
      </c>
      <c r="G379">
        <v>0</v>
      </c>
      <c r="H379">
        <v>0</v>
      </c>
      <c r="I379" s="2" t="s">
        <v>2024</v>
      </c>
      <c r="J379" s="2" t="s">
        <v>2026</v>
      </c>
      <c r="K379" s="2" t="s">
        <v>2827</v>
      </c>
      <c r="L379" s="2" t="s">
        <v>4033</v>
      </c>
      <c r="M379">
        <v>-1420.92</v>
      </c>
      <c r="N379" s="2" t="s">
        <v>4044</v>
      </c>
      <c r="O379">
        <v>56</v>
      </c>
      <c r="P379">
        <v>-79571.520000000004</v>
      </c>
      <c r="Q379" t="b">
        <v>1</v>
      </c>
      <c r="R379" t="b">
        <v>0</v>
      </c>
      <c r="S379" t="b">
        <v>0</v>
      </c>
      <c r="T379" t="b">
        <v>0</v>
      </c>
      <c r="U379">
        <v>1</v>
      </c>
      <c r="V379" t="s">
        <v>4073</v>
      </c>
    </row>
    <row r="380" spans="1:22" hidden="1" x14ac:dyDescent="0.45">
      <c r="A380" s="2" t="s">
        <v>87</v>
      </c>
      <c r="B380" s="11">
        <v>45012</v>
      </c>
      <c r="C380" s="2" t="s">
        <v>2012</v>
      </c>
      <c r="D380" s="2" t="s">
        <v>2017</v>
      </c>
      <c r="E380">
        <v>1420.84</v>
      </c>
      <c r="F380">
        <v>79567.039999999994</v>
      </c>
      <c r="G380">
        <v>0</v>
      </c>
      <c r="H380">
        <v>0</v>
      </c>
      <c r="I380" s="2" t="s">
        <v>2022</v>
      </c>
      <c r="J380" s="2" t="s">
        <v>2028</v>
      </c>
      <c r="K380" s="2" t="s">
        <v>2108</v>
      </c>
      <c r="L380" s="2" t="s">
        <v>4033</v>
      </c>
      <c r="M380">
        <v>-1420.84</v>
      </c>
      <c r="N380" s="2" t="s">
        <v>4044</v>
      </c>
      <c r="O380">
        <v>56</v>
      </c>
      <c r="P380">
        <v>-79567.039999999994</v>
      </c>
      <c r="Q380" t="b">
        <v>0</v>
      </c>
      <c r="R380" t="b">
        <v>1</v>
      </c>
      <c r="S380" t="b">
        <v>0</v>
      </c>
      <c r="T380" t="b">
        <v>0</v>
      </c>
      <c r="U380">
        <v>1</v>
      </c>
      <c r="V380" t="s">
        <v>4073</v>
      </c>
    </row>
    <row r="381" spans="1:22" hidden="1" x14ac:dyDescent="0.45">
      <c r="A381" s="2" t="s">
        <v>611</v>
      </c>
      <c r="B381" s="11">
        <v>45717</v>
      </c>
      <c r="C381" s="2" t="s">
        <v>2011</v>
      </c>
      <c r="D381" s="2" t="s">
        <v>2016</v>
      </c>
      <c r="E381">
        <v>930.92</v>
      </c>
      <c r="F381">
        <v>56786.119999999995</v>
      </c>
      <c r="G381">
        <v>0</v>
      </c>
      <c r="H381">
        <v>0</v>
      </c>
      <c r="I381" s="2" t="s">
        <v>2021</v>
      </c>
      <c r="J381" s="2" t="s">
        <v>2026</v>
      </c>
      <c r="K381" s="2" t="s">
        <v>2632</v>
      </c>
      <c r="L381" s="2" t="s">
        <v>4035</v>
      </c>
      <c r="M381">
        <v>-930.92</v>
      </c>
      <c r="N381" s="2" t="s">
        <v>2016</v>
      </c>
      <c r="O381">
        <v>61</v>
      </c>
      <c r="P381">
        <v>-56786.119999999995</v>
      </c>
      <c r="Q381" t="b">
        <v>1</v>
      </c>
      <c r="R381" t="b">
        <v>0</v>
      </c>
      <c r="S381" t="b">
        <v>0</v>
      </c>
      <c r="T381" t="b">
        <v>0</v>
      </c>
      <c r="U381">
        <v>1</v>
      </c>
      <c r="V381" t="s">
        <v>4073</v>
      </c>
    </row>
    <row r="382" spans="1:22" hidden="1" x14ac:dyDescent="0.45">
      <c r="A382" s="2" t="s">
        <v>1800</v>
      </c>
      <c r="B382" s="11">
        <v>45150</v>
      </c>
      <c r="C382" s="2" t="s">
        <v>2013</v>
      </c>
      <c r="D382" s="2" t="s">
        <v>2018</v>
      </c>
      <c r="E382">
        <v>1294.49</v>
      </c>
      <c r="F382">
        <v>78963.89</v>
      </c>
      <c r="G382">
        <v>0</v>
      </c>
      <c r="H382">
        <v>0</v>
      </c>
      <c r="I382" s="2" t="s">
        <v>2021</v>
      </c>
      <c r="J382" s="2" t="s">
        <v>2030</v>
      </c>
      <c r="K382" s="2" t="s">
        <v>3821</v>
      </c>
      <c r="L382" s="2" t="s">
        <v>4035</v>
      </c>
      <c r="M382">
        <v>-1294.49</v>
      </c>
      <c r="N382" s="2" t="s">
        <v>4044</v>
      </c>
      <c r="O382">
        <v>61</v>
      </c>
      <c r="P382">
        <v>-78963.89</v>
      </c>
      <c r="Q382" t="b">
        <v>1</v>
      </c>
      <c r="R382" t="b">
        <v>0</v>
      </c>
      <c r="S382" t="b">
        <v>0</v>
      </c>
      <c r="T382" t="b">
        <v>0</v>
      </c>
      <c r="U382">
        <v>1</v>
      </c>
      <c r="V382" t="s">
        <v>4073</v>
      </c>
    </row>
    <row r="383" spans="1:22" hidden="1" x14ac:dyDescent="0.45">
      <c r="A383" s="2" t="s">
        <v>1080</v>
      </c>
      <c r="B383" s="11">
        <v>45018</v>
      </c>
      <c r="C383" s="2" t="s">
        <v>2012</v>
      </c>
      <c r="D383" s="2" t="s">
        <v>2017</v>
      </c>
      <c r="E383">
        <v>962.74</v>
      </c>
      <c r="F383">
        <v>78944.680000000008</v>
      </c>
      <c r="G383">
        <v>0</v>
      </c>
      <c r="H383">
        <v>0</v>
      </c>
      <c r="I383" s="2" t="s">
        <v>2021</v>
      </c>
      <c r="J383" s="2" t="s">
        <v>2030</v>
      </c>
      <c r="K383" s="2" t="s">
        <v>3101</v>
      </c>
      <c r="L383" s="2" t="s">
        <v>4034</v>
      </c>
      <c r="M383">
        <v>-962.74</v>
      </c>
      <c r="N383" s="2" t="s">
        <v>4044</v>
      </c>
      <c r="O383">
        <v>82</v>
      </c>
      <c r="P383">
        <v>-78944.680000000008</v>
      </c>
      <c r="Q383" t="b">
        <v>1</v>
      </c>
      <c r="R383" t="b">
        <v>0</v>
      </c>
      <c r="S383" t="b">
        <v>0</v>
      </c>
      <c r="T383" t="b">
        <v>0</v>
      </c>
      <c r="U383">
        <v>1</v>
      </c>
      <c r="V383" t="s">
        <v>4073</v>
      </c>
    </row>
    <row r="384" spans="1:22" hidden="1" x14ac:dyDescent="0.45">
      <c r="A384" s="2" t="s">
        <v>1235</v>
      </c>
      <c r="B384" s="11">
        <v>45298</v>
      </c>
      <c r="C384" s="2" t="s">
        <v>2012</v>
      </c>
      <c r="D384" s="2" t="s">
        <v>2017</v>
      </c>
      <c r="E384">
        <v>935.9</v>
      </c>
      <c r="F384">
        <v>57089.9</v>
      </c>
      <c r="G384">
        <v>0</v>
      </c>
      <c r="H384">
        <v>0</v>
      </c>
      <c r="I384" s="2" t="s">
        <v>2022</v>
      </c>
      <c r="J384" s="2" t="s">
        <v>2026</v>
      </c>
      <c r="K384" s="2" t="s">
        <v>3256</v>
      </c>
      <c r="L384" s="2" t="s">
        <v>4035</v>
      </c>
      <c r="M384">
        <v>-935.9</v>
      </c>
      <c r="N384" s="2" t="s">
        <v>4044</v>
      </c>
      <c r="O384">
        <v>61</v>
      </c>
      <c r="P384">
        <v>-57089.9</v>
      </c>
      <c r="Q384" t="b">
        <v>1</v>
      </c>
      <c r="R384" t="b">
        <v>0</v>
      </c>
      <c r="S384" t="b">
        <v>0</v>
      </c>
      <c r="T384" t="b">
        <v>0</v>
      </c>
      <c r="U384">
        <v>1</v>
      </c>
      <c r="V384" t="s">
        <v>4073</v>
      </c>
    </row>
    <row r="385" spans="1:22" hidden="1" x14ac:dyDescent="0.45">
      <c r="A385" s="2" t="s">
        <v>1261</v>
      </c>
      <c r="B385" s="11">
        <v>45598</v>
      </c>
      <c r="C385" s="2" t="s">
        <v>2011</v>
      </c>
      <c r="D385" s="2" t="s">
        <v>2016</v>
      </c>
      <c r="E385">
        <v>936.7</v>
      </c>
      <c r="F385">
        <v>57138.700000000004</v>
      </c>
      <c r="G385">
        <v>0</v>
      </c>
      <c r="H385">
        <v>0</v>
      </c>
      <c r="I385" s="2" t="s">
        <v>2024</v>
      </c>
      <c r="J385" s="2" t="s">
        <v>2030</v>
      </c>
      <c r="K385" s="2" t="s">
        <v>3282</v>
      </c>
      <c r="L385" s="2" t="s">
        <v>4035</v>
      </c>
      <c r="M385">
        <v>-936.7</v>
      </c>
      <c r="N385" s="2" t="s">
        <v>2016</v>
      </c>
      <c r="O385">
        <v>61</v>
      </c>
      <c r="P385">
        <v>-57138.700000000004</v>
      </c>
      <c r="Q385" t="b">
        <v>1</v>
      </c>
      <c r="R385" t="b">
        <v>0</v>
      </c>
      <c r="S385" t="b">
        <v>0</v>
      </c>
      <c r="T385" t="b">
        <v>0</v>
      </c>
      <c r="U385">
        <v>1</v>
      </c>
      <c r="V385" t="s">
        <v>4073</v>
      </c>
    </row>
    <row r="386" spans="1:22" hidden="1" x14ac:dyDescent="0.45">
      <c r="A386" s="2" t="s">
        <v>728</v>
      </c>
      <c r="B386" s="11">
        <v>45689</v>
      </c>
      <c r="C386" s="2" t="s">
        <v>2012</v>
      </c>
      <c r="D386" s="2" t="s">
        <v>2017</v>
      </c>
      <c r="E386">
        <v>958.28</v>
      </c>
      <c r="F386">
        <v>78578.959999999992</v>
      </c>
      <c r="G386">
        <v>0</v>
      </c>
      <c r="H386">
        <v>0</v>
      </c>
      <c r="I386" s="2" t="s">
        <v>2023</v>
      </c>
      <c r="J386" s="2" t="s">
        <v>2026</v>
      </c>
      <c r="K386" s="2" t="s">
        <v>2749</v>
      </c>
      <c r="L386" s="2" t="s">
        <v>4034</v>
      </c>
      <c r="M386">
        <v>-958.28</v>
      </c>
      <c r="N386" s="2" t="s">
        <v>4044</v>
      </c>
      <c r="O386">
        <v>82</v>
      </c>
      <c r="P386">
        <v>-78578.959999999992</v>
      </c>
      <c r="Q386" t="b">
        <v>1</v>
      </c>
      <c r="R386" t="b">
        <v>0</v>
      </c>
      <c r="S386" t="b">
        <v>0</v>
      </c>
      <c r="T386" t="b">
        <v>0</v>
      </c>
      <c r="U386">
        <v>1</v>
      </c>
      <c r="V386" t="s">
        <v>4073</v>
      </c>
    </row>
    <row r="387" spans="1:22" hidden="1" x14ac:dyDescent="0.45">
      <c r="A387" s="2" t="s">
        <v>391</v>
      </c>
      <c r="B387" s="11">
        <v>44956</v>
      </c>
      <c r="C387" s="2" t="s">
        <v>2013</v>
      </c>
      <c r="D387" s="2" t="s">
        <v>2018</v>
      </c>
      <c r="E387">
        <v>891.36</v>
      </c>
      <c r="F387">
        <v>78439.680000000008</v>
      </c>
      <c r="G387">
        <v>0</v>
      </c>
      <c r="H387">
        <v>0</v>
      </c>
      <c r="I387" s="2" t="s">
        <v>2023</v>
      </c>
      <c r="J387" s="2" t="s">
        <v>2028</v>
      </c>
      <c r="K387" s="2" t="s">
        <v>2412</v>
      </c>
      <c r="L387" s="2" t="s">
        <v>4032</v>
      </c>
      <c r="M387">
        <v>-891.36</v>
      </c>
      <c r="N387" s="2" t="s">
        <v>4044</v>
      </c>
      <c r="O387">
        <v>88</v>
      </c>
      <c r="P387">
        <v>-78439.680000000008</v>
      </c>
      <c r="Q387" t="b">
        <v>0</v>
      </c>
      <c r="R387" t="b">
        <v>1</v>
      </c>
      <c r="S387" t="b">
        <v>0</v>
      </c>
      <c r="T387" t="b">
        <v>0</v>
      </c>
      <c r="U387">
        <v>1</v>
      </c>
      <c r="V387" t="s">
        <v>4073</v>
      </c>
    </row>
    <row r="388" spans="1:22" hidden="1" x14ac:dyDescent="0.45">
      <c r="A388" s="2" t="s">
        <v>1479</v>
      </c>
      <c r="B388" s="11">
        <v>45641</v>
      </c>
      <c r="C388" s="2" t="s">
        <v>2011</v>
      </c>
      <c r="D388" s="2" t="s">
        <v>2016</v>
      </c>
      <c r="E388">
        <v>554.87</v>
      </c>
      <c r="F388">
        <v>57151.61</v>
      </c>
      <c r="G388">
        <v>0</v>
      </c>
      <c r="H388">
        <v>0</v>
      </c>
      <c r="I388" s="2" t="s">
        <v>2023</v>
      </c>
      <c r="J388" s="2" t="s">
        <v>2027</v>
      </c>
      <c r="K388" s="2" t="s">
        <v>3500</v>
      </c>
      <c r="L388" s="2" t="s">
        <v>4031</v>
      </c>
      <c r="M388">
        <v>-554.87</v>
      </c>
      <c r="N388" s="2" t="s">
        <v>2016</v>
      </c>
      <c r="O388">
        <v>103</v>
      </c>
      <c r="P388">
        <v>-57151.61</v>
      </c>
      <c r="Q388" t="b">
        <v>1</v>
      </c>
      <c r="R388" t="b">
        <v>0</v>
      </c>
      <c r="S388" t="b">
        <v>0</v>
      </c>
      <c r="T388" t="b">
        <v>0</v>
      </c>
      <c r="U388">
        <v>1</v>
      </c>
      <c r="V388" t="s">
        <v>4073</v>
      </c>
    </row>
    <row r="389" spans="1:22" hidden="1" x14ac:dyDescent="0.45">
      <c r="A389" s="2" t="s">
        <v>1903</v>
      </c>
      <c r="B389" s="11">
        <v>45304</v>
      </c>
      <c r="C389" s="2" t="s">
        <v>2013</v>
      </c>
      <c r="D389" s="2" t="s">
        <v>2018</v>
      </c>
      <c r="E389">
        <v>1283.57</v>
      </c>
      <c r="F389">
        <v>78297.76999999999</v>
      </c>
      <c r="G389">
        <v>0</v>
      </c>
      <c r="H389">
        <v>0</v>
      </c>
      <c r="I389" s="2" t="s">
        <v>2021</v>
      </c>
      <c r="J389" s="2" t="s">
        <v>2030</v>
      </c>
      <c r="K389" s="2" t="s">
        <v>3924</v>
      </c>
      <c r="L389" s="2" t="s">
        <v>4035</v>
      </c>
      <c r="M389">
        <v>-1283.57</v>
      </c>
      <c r="N389" s="2" t="s">
        <v>4044</v>
      </c>
      <c r="O389">
        <v>61</v>
      </c>
      <c r="P389">
        <v>-78297.76999999999</v>
      </c>
      <c r="Q389" t="b">
        <v>1</v>
      </c>
      <c r="R389" t="b">
        <v>0</v>
      </c>
      <c r="S389" t="b">
        <v>0</v>
      </c>
      <c r="T389" t="b">
        <v>0</v>
      </c>
      <c r="U389">
        <v>1</v>
      </c>
      <c r="V389" t="s">
        <v>4073</v>
      </c>
    </row>
    <row r="390" spans="1:22" hidden="1" x14ac:dyDescent="0.45">
      <c r="A390" s="2" t="s">
        <v>1718</v>
      </c>
      <c r="B390" s="11">
        <v>44956</v>
      </c>
      <c r="C390" s="2" t="s">
        <v>2010</v>
      </c>
      <c r="D390" s="2" t="s">
        <v>2015</v>
      </c>
      <c r="E390">
        <v>0</v>
      </c>
      <c r="F390">
        <v>0</v>
      </c>
      <c r="G390">
        <v>652.36</v>
      </c>
      <c r="H390">
        <v>57407.68</v>
      </c>
      <c r="I390" s="2" t="s">
        <v>2025</v>
      </c>
      <c r="J390" s="2" t="s">
        <v>2027</v>
      </c>
      <c r="K390" s="2" t="s">
        <v>3739</v>
      </c>
      <c r="L390" s="2" t="s">
        <v>4032</v>
      </c>
      <c r="M390">
        <v>652.36</v>
      </c>
      <c r="N390" s="2" t="s">
        <v>4042</v>
      </c>
      <c r="O390">
        <v>88</v>
      </c>
      <c r="P390">
        <v>57407.68</v>
      </c>
      <c r="Q390" t="b">
        <v>0</v>
      </c>
      <c r="R390" t="b">
        <v>1</v>
      </c>
      <c r="S390" t="b">
        <v>0</v>
      </c>
      <c r="T390" t="b">
        <v>0</v>
      </c>
      <c r="U390">
        <v>1</v>
      </c>
      <c r="V390" t="s">
        <v>4073</v>
      </c>
    </row>
    <row r="391" spans="1:22" hidden="1" x14ac:dyDescent="0.45">
      <c r="A391" s="2" t="s">
        <v>986</v>
      </c>
      <c r="B391" s="11">
        <v>45349</v>
      </c>
      <c r="C391" s="2" t="s">
        <v>2010</v>
      </c>
      <c r="D391" s="2" t="s">
        <v>2015</v>
      </c>
      <c r="E391">
        <v>0</v>
      </c>
      <c r="F391">
        <v>0</v>
      </c>
      <c r="G391">
        <v>1026.19</v>
      </c>
      <c r="H391">
        <v>57466.64</v>
      </c>
      <c r="I391" s="2" t="s">
        <v>2023</v>
      </c>
      <c r="J391" s="2" t="s">
        <v>2027</v>
      </c>
      <c r="K391" s="2" t="s">
        <v>3007</v>
      </c>
      <c r="L391" s="2" t="s">
        <v>4033</v>
      </c>
      <c r="M391">
        <v>1026.19</v>
      </c>
      <c r="N391" s="2" t="s">
        <v>4042</v>
      </c>
      <c r="O391">
        <v>56</v>
      </c>
      <c r="P391">
        <v>57466.64</v>
      </c>
      <c r="Q391" t="b">
        <v>0</v>
      </c>
      <c r="R391" t="b">
        <v>1</v>
      </c>
      <c r="S391" t="b">
        <v>0</v>
      </c>
      <c r="T391" t="b">
        <v>0</v>
      </c>
      <c r="U391">
        <v>1</v>
      </c>
      <c r="V391" t="s">
        <v>4073</v>
      </c>
    </row>
    <row r="392" spans="1:22" hidden="1" x14ac:dyDescent="0.45">
      <c r="A392" s="2" t="s">
        <v>39</v>
      </c>
      <c r="B392" s="11">
        <v>45377</v>
      </c>
      <c r="C392" s="2" t="s">
        <v>2013</v>
      </c>
      <c r="D392" s="2" t="s">
        <v>2018</v>
      </c>
      <c r="E392">
        <v>947.43</v>
      </c>
      <c r="F392">
        <v>57793.229999999996</v>
      </c>
      <c r="G392">
        <v>0</v>
      </c>
      <c r="H392">
        <v>0</v>
      </c>
      <c r="I392" s="2" t="s">
        <v>2020</v>
      </c>
      <c r="J392" s="2" t="s">
        <v>2027</v>
      </c>
      <c r="K392" s="2" t="s">
        <v>2060</v>
      </c>
      <c r="L392" s="2" t="s">
        <v>4035</v>
      </c>
      <c r="M392">
        <v>-947.43</v>
      </c>
      <c r="N392" s="2" t="s">
        <v>4044</v>
      </c>
      <c r="O392">
        <v>61</v>
      </c>
      <c r="P392">
        <v>-57793.229999999996</v>
      </c>
      <c r="Q392" t="b">
        <v>0</v>
      </c>
      <c r="R392" t="b">
        <v>1</v>
      </c>
      <c r="S392" t="b">
        <v>0</v>
      </c>
      <c r="T392" t="b">
        <v>0</v>
      </c>
      <c r="U392">
        <v>1</v>
      </c>
      <c r="V392" t="s">
        <v>4073</v>
      </c>
    </row>
    <row r="393" spans="1:22" hidden="1" x14ac:dyDescent="0.45">
      <c r="A393" s="2" t="s">
        <v>1695</v>
      </c>
      <c r="B393" s="11">
        <v>45016</v>
      </c>
      <c r="C393" s="2" t="s">
        <v>2014</v>
      </c>
      <c r="D393" s="2" t="s">
        <v>2019</v>
      </c>
      <c r="E393">
        <v>0</v>
      </c>
      <c r="F393">
        <v>0</v>
      </c>
      <c r="G393">
        <v>1032.3800000000001</v>
      </c>
      <c r="H393">
        <v>57813.280000000006</v>
      </c>
      <c r="I393" s="2" t="s">
        <v>2025</v>
      </c>
      <c r="J393" s="2" t="s">
        <v>2028</v>
      </c>
      <c r="K393" s="2" t="s">
        <v>3716</v>
      </c>
      <c r="L393" s="2" t="s">
        <v>4033</v>
      </c>
      <c r="M393">
        <v>1032.3800000000001</v>
      </c>
      <c r="N393" s="2" t="s">
        <v>4042</v>
      </c>
      <c r="O393">
        <v>56</v>
      </c>
      <c r="P393">
        <v>57813.280000000006</v>
      </c>
      <c r="Q393" t="b">
        <v>0</v>
      </c>
      <c r="R393" t="b">
        <v>1</v>
      </c>
      <c r="S393" t="b">
        <v>0</v>
      </c>
      <c r="T393" t="b">
        <v>0</v>
      </c>
      <c r="U393">
        <v>1</v>
      </c>
      <c r="V393" t="s">
        <v>4073</v>
      </c>
    </row>
    <row r="394" spans="1:22" hidden="1" x14ac:dyDescent="0.45">
      <c r="A394" s="2" t="s">
        <v>977</v>
      </c>
      <c r="B394" s="11">
        <v>45690</v>
      </c>
      <c r="C394" s="2" t="s">
        <v>2014</v>
      </c>
      <c r="D394" s="2" t="s">
        <v>2019</v>
      </c>
      <c r="E394">
        <v>0</v>
      </c>
      <c r="F394">
        <v>0</v>
      </c>
      <c r="G394">
        <v>705.16</v>
      </c>
      <c r="H394">
        <v>57823.119999999995</v>
      </c>
      <c r="I394" s="2" t="s">
        <v>2022</v>
      </c>
      <c r="J394" s="2" t="s">
        <v>2029</v>
      </c>
      <c r="K394" s="2" t="s">
        <v>2998</v>
      </c>
      <c r="L394" s="2" t="s">
        <v>4034</v>
      </c>
      <c r="M394">
        <v>705.16</v>
      </c>
      <c r="N394" s="2" t="s">
        <v>4042</v>
      </c>
      <c r="O394">
        <v>82</v>
      </c>
      <c r="P394">
        <v>57823.119999999995</v>
      </c>
      <c r="Q394" t="b">
        <v>1</v>
      </c>
      <c r="R394" t="b">
        <v>0</v>
      </c>
      <c r="S394" t="b">
        <v>0</v>
      </c>
      <c r="T394" t="b">
        <v>0</v>
      </c>
      <c r="U394">
        <v>1</v>
      </c>
      <c r="V394" t="s">
        <v>4073</v>
      </c>
    </row>
    <row r="395" spans="1:22" hidden="1" x14ac:dyDescent="0.45">
      <c r="A395" s="2" t="s">
        <v>1336</v>
      </c>
      <c r="B395" s="11">
        <v>45374</v>
      </c>
      <c r="C395" s="2" t="s">
        <v>2013</v>
      </c>
      <c r="D395" s="2" t="s">
        <v>2018</v>
      </c>
      <c r="E395">
        <v>1380.55</v>
      </c>
      <c r="F395">
        <v>77310.8</v>
      </c>
      <c r="G395">
        <v>0</v>
      </c>
      <c r="H395">
        <v>0</v>
      </c>
      <c r="I395" s="2" t="s">
        <v>2021</v>
      </c>
      <c r="J395" s="2" t="s">
        <v>2028</v>
      </c>
      <c r="K395" s="2" t="s">
        <v>3357</v>
      </c>
      <c r="L395" s="2" t="s">
        <v>4033</v>
      </c>
      <c r="M395">
        <v>-1380.55</v>
      </c>
      <c r="N395" s="2" t="s">
        <v>4044</v>
      </c>
      <c r="O395">
        <v>56</v>
      </c>
      <c r="P395">
        <v>-77310.8</v>
      </c>
      <c r="Q395" t="b">
        <v>1</v>
      </c>
      <c r="R395" t="b">
        <v>0</v>
      </c>
      <c r="S395" t="b">
        <v>0</v>
      </c>
      <c r="T395" t="b">
        <v>0</v>
      </c>
      <c r="U395">
        <v>1</v>
      </c>
      <c r="V395" t="s">
        <v>4073</v>
      </c>
    </row>
    <row r="396" spans="1:22" hidden="1" x14ac:dyDescent="0.45">
      <c r="A396" s="2" t="s">
        <v>1026</v>
      </c>
      <c r="B396" s="11">
        <v>45017</v>
      </c>
      <c r="C396" s="2" t="s">
        <v>2012</v>
      </c>
      <c r="D396" s="2" t="s">
        <v>2017</v>
      </c>
      <c r="E396">
        <v>988.94</v>
      </c>
      <c r="F396">
        <v>81093.08</v>
      </c>
      <c r="G396">
        <v>0</v>
      </c>
      <c r="H396">
        <v>0</v>
      </c>
      <c r="I396" s="2" t="s">
        <v>2025</v>
      </c>
      <c r="J396" s="2" t="s">
        <v>2029</v>
      </c>
      <c r="K396" s="2" t="s">
        <v>3047</v>
      </c>
      <c r="L396" s="2" t="s">
        <v>4034</v>
      </c>
      <c r="M396">
        <v>-988.94</v>
      </c>
      <c r="N396" s="2" t="s">
        <v>4044</v>
      </c>
      <c r="O396">
        <v>82</v>
      </c>
      <c r="P396">
        <v>-81093.08</v>
      </c>
      <c r="Q396" t="b">
        <v>1</v>
      </c>
      <c r="R396" t="b">
        <v>0</v>
      </c>
      <c r="S396" t="b">
        <v>0</v>
      </c>
      <c r="T396" t="b">
        <v>0</v>
      </c>
      <c r="U396">
        <v>1</v>
      </c>
      <c r="V396" t="s">
        <v>4073</v>
      </c>
    </row>
    <row r="397" spans="1:22" hidden="1" x14ac:dyDescent="0.45">
      <c r="A397" s="2" t="s">
        <v>721</v>
      </c>
      <c r="B397" s="11">
        <v>45803</v>
      </c>
      <c r="C397" s="2" t="s">
        <v>2013</v>
      </c>
      <c r="D397" s="2" t="s">
        <v>2018</v>
      </c>
      <c r="E397">
        <v>706.44</v>
      </c>
      <c r="F397">
        <v>57928.08</v>
      </c>
      <c r="G397">
        <v>0</v>
      </c>
      <c r="H397">
        <v>0</v>
      </c>
      <c r="I397" s="2" t="s">
        <v>2021</v>
      </c>
      <c r="J397" s="2" t="s">
        <v>2028</v>
      </c>
      <c r="K397" s="2" t="s">
        <v>2742</v>
      </c>
      <c r="L397" s="2" t="s">
        <v>4034</v>
      </c>
      <c r="M397">
        <v>-706.44</v>
      </c>
      <c r="N397" s="2" t="s">
        <v>4044</v>
      </c>
      <c r="O397">
        <v>82</v>
      </c>
      <c r="P397">
        <v>-57928.08</v>
      </c>
      <c r="Q397" t="b">
        <v>0</v>
      </c>
      <c r="R397" t="b">
        <v>1</v>
      </c>
      <c r="S397" t="b">
        <v>0</v>
      </c>
      <c r="T397" t="b">
        <v>0</v>
      </c>
      <c r="U397">
        <v>1</v>
      </c>
      <c r="V397" t="s">
        <v>4073</v>
      </c>
    </row>
    <row r="398" spans="1:22" hidden="1" x14ac:dyDescent="0.45">
      <c r="A398" s="2" t="s">
        <v>727</v>
      </c>
      <c r="B398" s="11">
        <v>45718</v>
      </c>
      <c r="C398" s="2" t="s">
        <v>2012</v>
      </c>
      <c r="D398" s="2" t="s">
        <v>2017</v>
      </c>
      <c r="E398">
        <v>682.74</v>
      </c>
      <c r="F398">
        <v>55984.68</v>
      </c>
      <c r="G398">
        <v>0</v>
      </c>
      <c r="H398">
        <v>0</v>
      </c>
      <c r="I398" s="2" t="s">
        <v>2020</v>
      </c>
      <c r="J398" s="2" t="s">
        <v>2029</v>
      </c>
      <c r="K398" s="2" t="s">
        <v>2748</v>
      </c>
      <c r="L398" s="2" t="s">
        <v>4034</v>
      </c>
      <c r="M398">
        <v>-682.74</v>
      </c>
      <c r="N398" s="2" t="s">
        <v>4044</v>
      </c>
      <c r="O398">
        <v>82</v>
      </c>
      <c r="P398">
        <v>-55984.68</v>
      </c>
      <c r="Q398" t="b">
        <v>1</v>
      </c>
      <c r="R398" t="b">
        <v>0</v>
      </c>
      <c r="S398" t="b">
        <v>0</v>
      </c>
      <c r="T398" t="b">
        <v>0</v>
      </c>
      <c r="U398">
        <v>1</v>
      </c>
      <c r="V398" t="s">
        <v>4073</v>
      </c>
    </row>
    <row r="399" spans="1:22" hidden="1" x14ac:dyDescent="0.45">
      <c r="A399" s="2" t="s">
        <v>1120</v>
      </c>
      <c r="B399" s="11">
        <v>45532</v>
      </c>
      <c r="C399" s="2" t="s">
        <v>2012</v>
      </c>
      <c r="D399" s="2" t="s">
        <v>2017</v>
      </c>
      <c r="E399">
        <v>1453.63</v>
      </c>
      <c r="F399">
        <v>81403.28</v>
      </c>
      <c r="G399">
        <v>0</v>
      </c>
      <c r="H399">
        <v>0</v>
      </c>
      <c r="I399" s="2" t="s">
        <v>2020</v>
      </c>
      <c r="J399" s="2" t="s">
        <v>2028</v>
      </c>
      <c r="K399" s="2" t="s">
        <v>3141</v>
      </c>
      <c r="L399" s="2" t="s">
        <v>4033</v>
      </c>
      <c r="M399">
        <v>-1453.63</v>
      </c>
      <c r="N399" s="2" t="s">
        <v>4044</v>
      </c>
      <c r="O399">
        <v>56</v>
      </c>
      <c r="P399">
        <v>-81403.28</v>
      </c>
      <c r="Q399" t="b">
        <v>0</v>
      </c>
      <c r="R399" t="b">
        <v>1</v>
      </c>
      <c r="S399" t="b">
        <v>0</v>
      </c>
      <c r="T399" t="b">
        <v>0</v>
      </c>
      <c r="U399">
        <v>1</v>
      </c>
      <c r="V399" t="s">
        <v>4073</v>
      </c>
    </row>
    <row r="400" spans="1:22" hidden="1" x14ac:dyDescent="0.45">
      <c r="A400" s="2" t="s">
        <v>1893</v>
      </c>
      <c r="B400" s="11">
        <v>45562</v>
      </c>
      <c r="C400" s="2" t="s">
        <v>2013</v>
      </c>
      <c r="D400" s="2" t="s">
        <v>2018</v>
      </c>
      <c r="E400">
        <v>1033.6199999999999</v>
      </c>
      <c r="F400">
        <v>84756.84</v>
      </c>
      <c r="G400">
        <v>0</v>
      </c>
      <c r="H400">
        <v>0</v>
      </c>
      <c r="I400" s="2" t="s">
        <v>2022</v>
      </c>
      <c r="J400" s="2" t="s">
        <v>2028</v>
      </c>
      <c r="K400" s="2" t="s">
        <v>3914</v>
      </c>
      <c r="L400" s="2" t="s">
        <v>4034</v>
      </c>
      <c r="M400">
        <v>-1033.6199999999999</v>
      </c>
      <c r="N400" s="2" t="s">
        <v>4044</v>
      </c>
      <c r="O400">
        <v>82</v>
      </c>
      <c r="P400">
        <v>-84756.84</v>
      </c>
      <c r="Q400" t="b">
        <v>0</v>
      </c>
      <c r="R400" t="b">
        <v>1</v>
      </c>
      <c r="S400" t="b">
        <v>0</v>
      </c>
      <c r="T400" t="b">
        <v>0</v>
      </c>
      <c r="U400">
        <v>1</v>
      </c>
      <c r="V400" t="s">
        <v>4073</v>
      </c>
    </row>
    <row r="401" spans="1:22" hidden="1" x14ac:dyDescent="0.45">
      <c r="A401" s="2" t="s">
        <v>208</v>
      </c>
      <c r="B401" s="11">
        <v>44997</v>
      </c>
      <c r="C401" s="2" t="s">
        <v>2014</v>
      </c>
      <c r="D401" s="2" t="s">
        <v>2019</v>
      </c>
      <c r="E401">
        <v>0</v>
      </c>
      <c r="F401">
        <v>0</v>
      </c>
      <c r="G401">
        <v>965.46</v>
      </c>
      <c r="H401">
        <v>54065.760000000002</v>
      </c>
      <c r="I401" s="2" t="s">
        <v>2022</v>
      </c>
      <c r="J401" s="2" t="s">
        <v>2030</v>
      </c>
      <c r="K401" s="2" t="s">
        <v>2229</v>
      </c>
      <c r="L401" s="2" t="s">
        <v>4033</v>
      </c>
      <c r="M401">
        <v>965.46</v>
      </c>
      <c r="N401" s="2" t="s">
        <v>4042</v>
      </c>
      <c r="O401">
        <v>56</v>
      </c>
      <c r="P401">
        <v>54065.760000000002</v>
      </c>
      <c r="Q401" t="b">
        <v>1</v>
      </c>
      <c r="R401" t="b">
        <v>0</v>
      </c>
      <c r="S401" t="b">
        <v>0</v>
      </c>
      <c r="T401" t="b">
        <v>0</v>
      </c>
      <c r="U401">
        <v>1</v>
      </c>
      <c r="V401" t="s">
        <v>4073</v>
      </c>
    </row>
    <row r="402" spans="1:22" hidden="1" x14ac:dyDescent="0.45">
      <c r="A402" s="2" t="s">
        <v>887</v>
      </c>
      <c r="B402" s="11">
        <v>45095</v>
      </c>
      <c r="C402" s="2" t="s">
        <v>2010</v>
      </c>
      <c r="D402" s="2" t="s">
        <v>2015</v>
      </c>
      <c r="E402">
        <v>0</v>
      </c>
      <c r="F402">
        <v>0</v>
      </c>
      <c r="G402">
        <v>525.34</v>
      </c>
      <c r="H402">
        <v>54110.020000000004</v>
      </c>
      <c r="I402" s="2" t="s">
        <v>2021</v>
      </c>
      <c r="J402" s="2" t="s">
        <v>2029</v>
      </c>
      <c r="K402" s="2" t="s">
        <v>2908</v>
      </c>
      <c r="L402" s="2" t="s">
        <v>4031</v>
      </c>
      <c r="M402">
        <v>525.34</v>
      </c>
      <c r="N402" s="2" t="s">
        <v>4042</v>
      </c>
      <c r="O402">
        <v>103</v>
      </c>
      <c r="P402">
        <v>54110.020000000004</v>
      </c>
      <c r="Q402" t="b">
        <v>1</v>
      </c>
      <c r="R402" t="b">
        <v>0</v>
      </c>
      <c r="S402" t="b">
        <v>0</v>
      </c>
      <c r="T402" t="b">
        <v>0</v>
      </c>
      <c r="U402">
        <v>1</v>
      </c>
      <c r="V402" t="s">
        <v>4073</v>
      </c>
    </row>
    <row r="403" spans="1:22" hidden="1" x14ac:dyDescent="0.45">
      <c r="A403" s="2" t="s">
        <v>627</v>
      </c>
      <c r="B403" s="11">
        <v>45781</v>
      </c>
      <c r="C403" s="2" t="s">
        <v>2012</v>
      </c>
      <c r="D403" s="2" t="s">
        <v>2017</v>
      </c>
      <c r="E403">
        <v>1030.46</v>
      </c>
      <c r="F403">
        <v>84497.72</v>
      </c>
      <c r="G403">
        <v>0</v>
      </c>
      <c r="H403">
        <v>0</v>
      </c>
      <c r="I403" s="2" t="s">
        <v>2022</v>
      </c>
      <c r="J403" s="2" t="s">
        <v>2026</v>
      </c>
      <c r="K403" s="2" t="s">
        <v>2648</v>
      </c>
      <c r="L403" s="2" t="s">
        <v>4034</v>
      </c>
      <c r="M403">
        <v>-1030.46</v>
      </c>
      <c r="N403" s="2" t="s">
        <v>4044</v>
      </c>
      <c r="O403">
        <v>82</v>
      </c>
      <c r="P403">
        <v>-84497.72</v>
      </c>
      <c r="Q403" t="b">
        <v>1</v>
      </c>
      <c r="R403" t="b">
        <v>0</v>
      </c>
      <c r="S403" t="b">
        <v>0</v>
      </c>
      <c r="T403" t="b">
        <v>0</v>
      </c>
      <c r="U403">
        <v>1</v>
      </c>
      <c r="V403" t="s">
        <v>4073</v>
      </c>
    </row>
    <row r="404" spans="1:22" hidden="1" x14ac:dyDescent="0.45">
      <c r="A404" s="2" t="s">
        <v>1609</v>
      </c>
      <c r="B404" s="11">
        <v>45408</v>
      </c>
      <c r="C404" s="2" t="s">
        <v>2012</v>
      </c>
      <c r="D404" s="2" t="s">
        <v>2017</v>
      </c>
      <c r="E404">
        <v>615.80999999999995</v>
      </c>
      <c r="F404">
        <v>54191.28</v>
      </c>
      <c r="G404">
        <v>0</v>
      </c>
      <c r="H404">
        <v>0</v>
      </c>
      <c r="I404" s="2" t="s">
        <v>2021</v>
      </c>
      <c r="J404" s="2" t="s">
        <v>2030</v>
      </c>
      <c r="K404" s="2" t="s">
        <v>3630</v>
      </c>
      <c r="L404" s="2" t="s">
        <v>4032</v>
      </c>
      <c r="M404">
        <v>-615.80999999999995</v>
      </c>
      <c r="N404" s="2" t="s">
        <v>4044</v>
      </c>
      <c r="O404">
        <v>88</v>
      </c>
      <c r="P404">
        <v>-54191.28</v>
      </c>
      <c r="Q404" t="b">
        <v>0</v>
      </c>
      <c r="R404" t="b">
        <v>1</v>
      </c>
      <c r="S404" t="b">
        <v>0</v>
      </c>
      <c r="T404" t="b">
        <v>0</v>
      </c>
      <c r="U404">
        <v>1</v>
      </c>
      <c r="V404" t="s">
        <v>4073</v>
      </c>
    </row>
    <row r="405" spans="1:22" hidden="1" x14ac:dyDescent="0.45">
      <c r="A405" s="2" t="s">
        <v>261</v>
      </c>
      <c r="B405" s="11">
        <v>45115</v>
      </c>
      <c r="C405" s="2" t="s">
        <v>2010</v>
      </c>
      <c r="D405" s="2" t="s">
        <v>2015</v>
      </c>
      <c r="E405">
        <v>0</v>
      </c>
      <c r="F405">
        <v>0</v>
      </c>
      <c r="G405">
        <v>889.23</v>
      </c>
      <c r="H405">
        <v>54243.03</v>
      </c>
      <c r="I405" s="2" t="s">
        <v>2022</v>
      </c>
      <c r="J405" s="2" t="s">
        <v>2028</v>
      </c>
      <c r="K405" s="2" t="s">
        <v>2282</v>
      </c>
      <c r="L405" s="2" t="s">
        <v>4035</v>
      </c>
      <c r="M405">
        <v>889.23</v>
      </c>
      <c r="N405" s="2" t="s">
        <v>4042</v>
      </c>
      <c r="O405">
        <v>61</v>
      </c>
      <c r="P405">
        <v>54243.03</v>
      </c>
      <c r="Q405" t="b">
        <v>1</v>
      </c>
      <c r="R405" t="b">
        <v>0</v>
      </c>
      <c r="S405" t="b">
        <v>0</v>
      </c>
      <c r="T405" t="b">
        <v>0</v>
      </c>
      <c r="U405">
        <v>1</v>
      </c>
      <c r="V405" t="s">
        <v>4073</v>
      </c>
    </row>
    <row r="406" spans="1:22" hidden="1" x14ac:dyDescent="0.45">
      <c r="A406" s="2" t="s">
        <v>885</v>
      </c>
      <c r="B406" s="11">
        <v>45138</v>
      </c>
      <c r="C406" s="2" t="s">
        <v>2010</v>
      </c>
      <c r="D406" s="2" t="s">
        <v>2015</v>
      </c>
      <c r="E406">
        <v>0</v>
      </c>
      <c r="F406">
        <v>0</v>
      </c>
      <c r="G406">
        <v>1379.98</v>
      </c>
      <c r="H406">
        <v>84178.78</v>
      </c>
      <c r="I406" s="2" t="s">
        <v>2023</v>
      </c>
      <c r="J406" s="2" t="s">
        <v>2028</v>
      </c>
      <c r="K406" s="2" t="s">
        <v>2906</v>
      </c>
      <c r="L406" s="2" t="s">
        <v>4035</v>
      </c>
      <c r="M406">
        <v>1379.98</v>
      </c>
      <c r="N406" s="2" t="s">
        <v>4042</v>
      </c>
      <c r="O406">
        <v>61</v>
      </c>
      <c r="P406">
        <v>84178.78</v>
      </c>
      <c r="Q406" t="b">
        <v>0</v>
      </c>
      <c r="R406" t="b">
        <v>1</v>
      </c>
      <c r="S406" t="b">
        <v>0</v>
      </c>
      <c r="T406" t="b">
        <v>0</v>
      </c>
      <c r="U406">
        <v>1</v>
      </c>
      <c r="V406" t="s">
        <v>4073</v>
      </c>
    </row>
    <row r="407" spans="1:22" hidden="1" x14ac:dyDescent="0.45">
      <c r="A407" s="2" t="s">
        <v>1537</v>
      </c>
      <c r="B407" s="11">
        <v>45747</v>
      </c>
      <c r="C407" s="2" t="s">
        <v>2010</v>
      </c>
      <c r="D407" s="2" t="s">
        <v>2015</v>
      </c>
      <c r="E407">
        <v>0</v>
      </c>
      <c r="F407">
        <v>0</v>
      </c>
      <c r="G407">
        <v>663.19</v>
      </c>
      <c r="H407">
        <v>54381.58</v>
      </c>
      <c r="I407" s="2" t="s">
        <v>2025</v>
      </c>
      <c r="J407" s="2" t="s">
        <v>2030</v>
      </c>
      <c r="K407" s="2" t="s">
        <v>3558</v>
      </c>
      <c r="L407" s="2" t="s">
        <v>4034</v>
      </c>
      <c r="M407">
        <v>663.19</v>
      </c>
      <c r="N407" s="2" t="s">
        <v>4042</v>
      </c>
      <c r="O407">
        <v>82</v>
      </c>
      <c r="P407">
        <v>54381.58</v>
      </c>
      <c r="Q407" t="b">
        <v>0</v>
      </c>
      <c r="R407" t="b">
        <v>1</v>
      </c>
      <c r="S407" t="b">
        <v>0</v>
      </c>
      <c r="T407" t="b">
        <v>0</v>
      </c>
      <c r="U407">
        <v>1</v>
      </c>
      <c r="V407" t="s">
        <v>4073</v>
      </c>
    </row>
    <row r="408" spans="1:22" hidden="1" x14ac:dyDescent="0.45">
      <c r="A408" s="2" t="s">
        <v>824</v>
      </c>
      <c r="B408" s="11">
        <v>45687</v>
      </c>
      <c r="C408" s="2" t="s">
        <v>2011</v>
      </c>
      <c r="D408" s="2" t="s">
        <v>2016</v>
      </c>
      <c r="E408">
        <v>892.42</v>
      </c>
      <c r="F408">
        <v>54437.619999999995</v>
      </c>
      <c r="G408">
        <v>0</v>
      </c>
      <c r="H408">
        <v>0</v>
      </c>
      <c r="I408" s="2" t="s">
        <v>2024</v>
      </c>
      <c r="J408" s="2" t="s">
        <v>2026</v>
      </c>
      <c r="K408" s="2" t="s">
        <v>2845</v>
      </c>
      <c r="L408" s="2" t="s">
        <v>4035</v>
      </c>
      <c r="M408">
        <v>-892.42</v>
      </c>
      <c r="N408" s="2" t="s">
        <v>2016</v>
      </c>
      <c r="O408">
        <v>61</v>
      </c>
      <c r="P408">
        <v>-54437.619999999995</v>
      </c>
      <c r="Q408" t="b">
        <v>0</v>
      </c>
      <c r="R408" t="b">
        <v>1</v>
      </c>
      <c r="S408" t="b">
        <v>0</v>
      </c>
      <c r="T408" t="b">
        <v>0</v>
      </c>
      <c r="U408">
        <v>1</v>
      </c>
      <c r="V408" t="s">
        <v>4073</v>
      </c>
    </row>
    <row r="409" spans="1:22" hidden="1" x14ac:dyDescent="0.45">
      <c r="A409" s="2" t="s">
        <v>283</v>
      </c>
      <c r="B409" s="11">
        <v>45389</v>
      </c>
      <c r="C409" s="2" t="s">
        <v>2011</v>
      </c>
      <c r="D409" s="2" t="s">
        <v>2016</v>
      </c>
      <c r="E409">
        <v>1499.52</v>
      </c>
      <c r="F409">
        <v>83973.119999999995</v>
      </c>
      <c r="G409">
        <v>0</v>
      </c>
      <c r="H409">
        <v>0</v>
      </c>
      <c r="I409" s="2" t="s">
        <v>2024</v>
      </c>
      <c r="J409" s="2" t="s">
        <v>2026</v>
      </c>
      <c r="K409" s="2" t="s">
        <v>2304</v>
      </c>
      <c r="L409" s="2" t="s">
        <v>4033</v>
      </c>
      <c r="M409">
        <v>-1499.52</v>
      </c>
      <c r="N409" s="2" t="s">
        <v>2016</v>
      </c>
      <c r="O409">
        <v>56</v>
      </c>
      <c r="P409">
        <v>-83973.119999999995</v>
      </c>
      <c r="Q409" t="b">
        <v>1</v>
      </c>
      <c r="R409" t="b">
        <v>0</v>
      </c>
      <c r="S409" t="b">
        <v>0</v>
      </c>
      <c r="T409" t="b">
        <v>0</v>
      </c>
      <c r="U409">
        <v>1</v>
      </c>
      <c r="V409" t="s">
        <v>4073</v>
      </c>
    </row>
    <row r="410" spans="1:22" hidden="1" x14ac:dyDescent="0.45">
      <c r="A410" s="2" t="s">
        <v>542</v>
      </c>
      <c r="B410" s="11">
        <v>45468</v>
      </c>
      <c r="C410" s="2" t="s">
        <v>2011</v>
      </c>
      <c r="D410" s="2" t="s">
        <v>2016</v>
      </c>
      <c r="E410">
        <v>1022.78</v>
      </c>
      <c r="F410">
        <v>83867.959999999992</v>
      </c>
      <c r="G410">
        <v>0</v>
      </c>
      <c r="H410">
        <v>0</v>
      </c>
      <c r="I410" s="2" t="s">
        <v>2020</v>
      </c>
      <c r="J410" s="2" t="s">
        <v>2026</v>
      </c>
      <c r="K410" s="2" t="s">
        <v>2563</v>
      </c>
      <c r="L410" s="2" t="s">
        <v>4034</v>
      </c>
      <c r="M410">
        <v>-1022.78</v>
      </c>
      <c r="N410" s="2" t="s">
        <v>2016</v>
      </c>
      <c r="O410">
        <v>82</v>
      </c>
      <c r="P410">
        <v>-83867.959999999992</v>
      </c>
      <c r="Q410" t="b">
        <v>0</v>
      </c>
      <c r="R410" t="b">
        <v>1</v>
      </c>
      <c r="S410" t="b">
        <v>0</v>
      </c>
      <c r="T410" t="b">
        <v>0</v>
      </c>
      <c r="U410">
        <v>1</v>
      </c>
      <c r="V410" t="s">
        <v>4073</v>
      </c>
    </row>
    <row r="411" spans="1:22" hidden="1" x14ac:dyDescent="0.45">
      <c r="A411" s="2" t="s">
        <v>264</v>
      </c>
      <c r="B411" s="11">
        <v>44948</v>
      </c>
      <c r="C411" s="2" t="s">
        <v>2012</v>
      </c>
      <c r="D411" s="2" t="s">
        <v>2017</v>
      </c>
      <c r="E411">
        <v>950.03</v>
      </c>
      <c r="F411">
        <v>83602.64</v>
      </c>
      <c r="G411">
        <v>0</v>
      </c>
      <c r="H411">
        <v>0</v>
      </c>
      <c r="I411" s="2" t="s">
        <v>2023</v>
      </c>
      <c r="J411" s="2" t="s">
        <v>2029</v>
      </c>
      <c r="K411" s="2" t="s">
        <v>2285</v>
      </c>
      <c r="L411" s="2" t="s">
        <v>4032</v>
      </c>
      <c r="M411">
        <v>-950.03</v>
      </c>
      <c r="N411" s="2" t="s">
        <v>4044</v>
      </c>
      <c r="O411">
        <v>88</v>
      </c>
      <c r="P411">
        <v>-83602.64</v>
      </c>
      <c r="Q411" t="b">
        <v>1</v>
      </c>
      <c r="R411" t="b">
        <v>0</v>
      </c>
      <c r="S411" t="b">
        <v>0</v>
      </c>
      <c r="T411" t="b">
        <v>0</v>
      </c>
      <c r="U411">
        <v>1</v>
      </c>
      <c r="V411" t="s">
        <v>4073</v>
      </c>
    </row>
    <row r="412" spans="1:22" hidden="1" x14ac:dyDescent="0.45">
      <c r="A412" s="2" t="s">
        <v>161</v>
      </c>
      <c r="B412" s="11">
        <v>45368</v>
      </c>
      <c r="C412" s="2" t="s">
        <v>2014</v>
      </c>
      <c r="D412" s="2" t="s">
        <v>2019</v>
      </c>
      <c r="E412">
        <v>0</v>
      </c>
      <c r="F412">
        <v>0</v>
      </c>
      <c r="G412">
        <v>978.34</v>
      </c>
      <c r="H412">
        <v>54787.040000000001</v>
      </c>
      <c r="I412" s="2" t="s">
        <v>2023</v>
      </c>
      <c r="J412" s="2" t="s">
        <v>2027</v>
      </c>
      <c r="K412" s="2" t="s">
        <v>2182</v>
      </c>
      <c r="L412" s="2" t="s">
        <v>4033</v>
      </c>
      <c r="M412">
        <v>978.34</v>
      </c>
      <c r="N412" s="2" t="s">
        <v>4042</v>
      </c>
      <c r="O412">
        <v>56</v>
      </c>
      <c r="P412">
        <v>54787.040000000001</v>
      </c>
      <c r="Q412" t="b">
        <v>1</v>
      </c>
      <c r="R412" t="b">
        <v>0</v>
      </c>
      <c r="S412" t="b">
        <v>0</v>
      </c>
      <c r="T412" t="b">
        <v>0</v>
      </c>
      <c r="U412">
        <v>1</v>
      </c>
      <c r="V412" t="s">
        <v>4073</v>
      </c>
    </row>
    <row r="413" spans="1:22" hidden="1" x14ac:dyDescent="0.45">
      <c r="A413" s="2" t="s">
        <v>1706</v>
      </c>
      <c r="B413" s="11">
        <v>45775</v>
      </c>
      <c r="C413" s="2" t="s">
        <v>2013</v>
      </c>
      <c r="D413" s="2" t="s">
        <v>2018</v>
      </c>
      <c r="E413">
        <v>808.72</v>
      </c>
      <c r="F413">
        <v>83298.16</v>
      </c>
      <c r="G413">
        <v>0</v>
      </c>
      <c r="H413">
        <v>0</v>
      </c>
      <c r="I413" s="2" t="s">
        <v>2022</v>
      </c>
      <c r="J413" s="2" t="s">
        <v>2030</v>
      </c>
      <c r="K413" s="2" t="s">
        <v>3727</v>
      </c>
      <c r="L413" s="2" t="s">
        <v>4031</v>
      </c>
      <c r="M413">
        <v>-808.72</v>
      </c>
      <c r="N413" s="2" t="s">
        <v>4044</v>
      </c>
      <c r="O413">
        <v>103</v>
      </c>
      <c r="P413">
        <v>-83298.16</v>
      </c>
      <c r="Q413" t="b">
        <v>0</v>
      </c>
      <c r="R413" t="b">
        <v>1</v>
      </c>
      <c r="S413" t="b">
        <v>0</v>
      </c>
      <c r="T413" t="b">
        <v>0</v>
      </c>
      <c r="U413">
        <v>1</v>
      </c>
      <c r="V413" t="s">
        <v>4073</v>
      </c>
    </row>
    <row r="414" spans="1:22" hidden="1" x14ac:dyDescent="0.45">
      <c r="A414" s="2" t="s">
        <v>1581</v>
      </c>
      <c r="B414" s="11">
        <v>45486</v>
      </c>
      <c r="C414" s="2" t="s">
        <v>2011</v>
      </c>
      <c r="D414" s="2" t="s">
        <v>2016</v>
      </c>
      <c r="E414">
        <v>532.65</v>
      </c>
      <c r="F414">
        <v>54862.95</v>
      </c>
      <c r="G414">
        <v>0</v>
      </c>
      <c r="H414">
        <v>0</v>
      </c>
      <c r="I414" s="2" t="s">
        <v>2022</v>
      </c>
      <c r="J414" s="2" t="s">
        <v>2028</v>
      </c>
      <c r="K414" s="2" t="s">
        <v>3602</v>
      </c>
      <c r="L414" s="2" t="s">
        <v>4031</v>
      </c>
      <c r="M414">
        <v>-532.65</v>
      </c>
      <c r="N414" s="2" t="s">
        <v>2016</v>
      </c>
      <c r="O414">
        <v>103</v>
      </c>
      <c r="P414">
        <v>-54862.95</v>
      </c>
      <c r="Q414" t="b">
        <v>1</v>
      </c>
      <c r="R414" t="b">
        <v>0</v>
      </c>
      <c r="S414" t="b">
        <v>0</v>
      </c>
      <c r="T414" t="b">
        <v>0</v>
      </c>
      <c r="U414">
        <v>1</v>
      </c>
      <c r="V414" t="s">
        <v>4073</v>
      </c>
    </row>
    <row r="415" spans="1:22" hidden="1" x14ac:dyDescent="0.45">
      <c r="A415" s="2" t="s">
        <v>932</v>
      </c>
      <c r="B415" s="11">
        <v>45332</v>
      </c>
      <c r="C415" s="2" t="s">
        <v>2013</v>
      </c>
      <c r="D415" s="2" t="s">
        <v>2018</v>
      </c>
      <c r="E415">
        <v>944.72</v>
      </c>
      <c r="F415">
        <v>83135.360000000001</v>
      </c>
      <c r="G415">
        <v>0</v>
      </c>
      <c r="H415">
        <v>0</v>
      </c>
      <c r="I415" s="2" t="s">
        <v>2022</v>
      </c>
      <c r="J415" s="2" t="s">
        <v>2030</v>
      </c>
      <c r="K415" s="2" t="s">
        <v>2953</v>
      </c>
      <c r="L415" s="2" t="s">
        <v>4032</v>
      </c>
      <c r="M415">
        <v>-944.72</v>
      </c>
      <c r="N415" s="2" t="s">
        <v>4044</v>
      </c>
      <c r="O415">
        <v>88</v>
      </c>
      <c r="P415">
        <v>-83135.360000000001</v>
      </c>
      <c r="Q415" t="b">
        <v>1</v>
      </c>
      <c r="R415" t="b">
        <v>0</v>
      </c>
      <c r="S415" t="b">
        <v>0</v>
      </c>
      <c r="T415" t="b">
        <v>0</v>
      </c>
      <c r="U415">
        <v>1</v>
      </c>
      <c r="V415" t="s">
        <v>4073</v>
      </c>
    </row>
    <row r="416" spans="1:22" hidden="1" x14ac:dyDescent="0.45">
      <c r="A416" s="2" t="s">
        <v>571</v>
      </c>
      <c r="B416" s="11">
        <v>45620</v>
      </c>
      <c r="C416" s="2" t="s">
        <v>2012</v>
      </c>
      <c r="D416" s="2" t="s">
        <v>2017</v>
      </c>
      <c r="E416">
        <v>1010.12</v>
      </c>
      <c r="F416">
        <v>82829.84</v>
      </c>
      <c r="G416">
        <v>0</v>
      </c>
      <c r="H416">
        <v>0</v>
      </c>
      <c r="I416" s="2" t="s">
        <v>2021</v>
      </c>
      <c r="J416" s="2" t="s">
        <v>2028</v>
      </c>
      <c r="K416" s="2" t="s">
        <v>2592</v>
      </c>
      <c r="L416" s="2" t="s">
        <v>4034</v>
      </c>
      <c r="M416">
        <v>-1010.12</v>
      </c>
      <c r="N416" s="2" t="s">
        <v>4044</v>
      </c>
      <c r="O416">
        <v>82</v>
      </c>
      <c r="P416">
        <v>-82829.84</v>
      </c>
      <c r="Q416" t="b">
        <v>1</v>
      </c>
      <c r="R416" t="b">
        <v>0</v>
      </c>
      <c r="S416" t="b">
        <v>0</v>
      </c>
      <c r="T416" t="b">
        <v>0</v>
      </c>
      <c r="U416">
        <v>1</v>
      </c>
      <c r="V416" t="s">
        <v>4073</v>
      </c>
    </row>
    <row r="417" spans="1:22" hidden="1" x14ac:dyDescent="0.45">
      <c r="A417" s="2" t="s">
        <v>1091</v>
      </c>
      <c r="B417" s="11">
        <v>45066</v>
      </c>
      <c r="C417" s="2" t="s">
        <v>2012</v>
      </c>
      <c r="D417" s="2" t="s">
        <v>2017</v>
      </c>
      <c r="E417">
        <v>1356.38</v>
      </c>
      <c r="F417">
        <v>82739.180000000008</v>
      </c>
      <c r="G417">
        <v>0</v>
      </c>
      <c r="H417">
        <v>0</v>
      </c>
      <c r="I417" s="2" t="s">
        <v>2024</v>
      </c>
      <c r="J417" s="2" t="s">
        <v>2029</v>
      </c>
      <c r="K417" s="2" t="s">
        <v>3112</v>
      </c>
      <c r="L417" s="2" t="s">
        <v>4035</v>
      </c>
      <c r="M417">
        <v>-1356.38</v>
      </c>
      <c r="N417" s="2" t="s">
        <v>4044</v>
      </c>
      <c r="O417">
        <v>61</v>
      </c>
      <c r="P417">
        <v>-82739.180000000008</v>
      </c>
      <c r="Q417" t="b">
        <v>1</v>
      </c>
      <c r="R417" t="b">
        <v>0</v>
      </c>
      <c r="S417" t="b">
        <v>0</v>
      </c>
      <c r="T417" t="b">
        <v>0</v>
      </c>
      <c r="U417">
        <v>1</v>
      </c>
      <c r="V417" t="s">
        <v>4073</v>
      </c>
    </row>
    <row r="418" spans="1:22" hidden="1" x14ac:dyDescent="0.45">
      <c r="A418" s="2" t="s">
        <v>1348</v>
      </c>
      <c r="B418" s="11">
        <v>44957</v>
      </c>
      <c r="C418" s="2" t="s">
        <v>2014</v>
      </c>
      <c r="D418" s="2" t="s">
        <v>2019</v>
      </c>
      <c r="E418">
        <v>0</v>
      </c>
      <c r="F418">
        <v>0</v>
      </c>
      <c r="G418">
        <v>1355.21</v>
      </c>
      <c r="H418">
        <v>82667.81</v>
      </c>
      <c r="I418" s="2" t="s">
        <v>2025</v>
      </c>
      <c r="J418" s="2" t="s">
        <v>2030</v>
      </c>
      <c r="K418" s="2" t="s">
        <v>3369</v>
      </c>
      <c r="L418" s="2" t="s">
        <v>4035</v>
      </c>
      <c r="M418">
        <v>1355.21</v>
      </c>
      <c r="N418" s="2" t="s">
        <v>4042</v>
      </c>
      <c r="O418">
        <v>61</v>
      </c>
      <c r="P418">
        <v>82667.81</v>
      </c>
      <c r="Q418" t="b">
        <v>0</v>
      </c>
      <c r="R418" t="b">
        <v>1</v>
      </c>
      <c r="S418" t="b">
        <v>0</v>
      </c>
      <c r="T418" t="b">
        <v>0</v>
      </c>
      <c r="U418">
        <v>1</v>
      </c>
      <c r="V418" t="s">
        <v>4073</v>
      </c>
    </row>
    <row r="419" spans="1:22" hidden="1" x14ac:dyDescent="0.45">
      <c r="A419" s="2" t="s">
        <v>392</v>
      </c>
      <c r="B419" s="11">
        <v>45042</v>
      </c>
      <c r="C419" s="2" t="s">
        <v>2013</v>
      </c>
      <c r="D419" s="2" t="s">
        <v>2018</v>
      </c>
      <c r="E419">
        <v>983.92</v>
      </c>
      <c r="F419">
        <v>55099.519999999997</v>
      </c>
      <c r="G419">
        <v>0</v>
      </c>
      <c r="H419">
        <v>0</v>
      </c>
      <c r="I419" s="2" t="s">
        <v>2024</v>
      </c>
      <c r="J419" s="2" t="s">
        <v>2029</v>
      </c>
      <c r="K419" s="2" t="s">
        <v>2413</v>
      </c>
      <c r="L419" s="2" t="s">
        <v>4033</v>
      </c>
      <c r="M419">
        <v>-983.92</v>
      </c>
      <c r="N419" s="2" t="s">
        <v>4044</v>
      </c>
      <c r="O419">
        <v>56</v>
      </c>
      <c r="P419">
        <v>-55099.519999999997</v>
      </c>
      <c r="Q419" t="b">
        <v>0</v>
      </c>
      <c r="R419" t="b">
        <v>1</v>
      </c>
      <c r="S419" t="b">
        <v>0</v>
      </c>
      <c r="T419" t="b">
        <v>0</v>
      </c>
      <c r="U419">
        <v>1</v>
      </c>
      <c r="V419" t="s">
        <v>4073</v>
      </c>
    </row>
    <row r="420" spans="1:22" hidden="1" x14ac:dyDescent="0.45">
      <c r="A420" s="2" t="s">
        <v>1260</v>
      </c>
      <c r="B420" s="11">
        <v>45412</v>
      </c>
      <c r="C420" s="2" t="s">
        <v>2013</v>
      </c>
      <c r="D420" s="2" t="s">
        <v>2018</v>
      </c>
      <c r="E420">
        <v>1352.97</v>
      </c>
      <c r="F420">
        <v>82531.17</v>
      </c>
      <c r="G420">
        <v>0</v>
      </c>
      <c r="H420">
        <v>0</v>
      </c>
      <c r="I420" s="2" t="s">
        <v>2023</v>
      </c>
      <c r="J420" s="2" t="s">
        <v>2026</v>
      </c>
      <c r="K420" s="2" t="s">
        <v>3281</v>
      </c>
      <c r="L420" s="2" t="s">
        <v>4035</v>
      </c>
      <c r="M420">
        <v>-1352.97</v>
      </c>
      <c r="N420" s="2" t="s">
        <v>4044</v>
      </c>
      <c r="O420">
        <v>61</v>
      </c>
      <c r="P420">
        <v>-82531.17</v>
      </c>
      <c r="Q420" t="b">
        <v>0</v>
      </c>
      <c r="R420" t="b">
        <v>1</v>
      </c>
      <c r="S420" t="b">
        <v>0</v>
      </c>
      <c r="T420" t="b">
        <v>0</v>
      </c>
      <c r="U420">
        <v>1</v>
      </c>
      <c r="V420" t="s">
        <v>4073</v>
      </c>
    </row>
    <row r="421" spans="1:22" hidden="1" x14ac:dyDescent="0.45">
      <c r="A421" s="2" t="s">
        <v>272</v>
      </c>
      <c r="B421" s="11">
        <v>45697</v>
      </c>
      <c r="C421" s="2" t="s">
        <v>2010</v>
      </c>
      <c r="D421" s="2" t="s">
        <v>2015</v>
      </c>
      <c r="E421">
        <v>0</v>
      </c>
      <c r="F421">
        <v>0</v>
      </c>
      <c r="G421">
        <v>799.77</v>
      </c>
      <c r="H421">
        <v>82376.31</v>
      </c>
      <c r="I421" s="2" t="s">
        <v>2025</v>
      </c>
      <c r="J421" s="2" t="s">
        <v>2027</v>
      </c>
      <c r="K421" s="2" t="s">
        <v>2293</v>
      </c>
      <c r="L421" s="2" t="s">
        <v>4031</v>
      </c>
      <c r="M421">
        <v>799.77</v>
      </c>
      <c r="N421" s="2" t="s">
        <v>4042</v>
      </c>
      <c r="O421">
        <v>103</v>
      </c>
      <c r="P421">
        <v>82376.31</v>
      </c>
      <c r="Q421" t="b">
        <v>1</v>
      </c>
      <c r="R421" t="b">
        <v>0</v>
      </c>
      <c r="S421" t="b">
        <v>0</v>
      </c>
      <c r="T421" t="b">
        <v>0</v>
      </c>
      <c r="U421">
        <v>1</v>
      </c>
      <c r="V421" t="s">
        <v>4073</v>
      </c>
    </row>
    <row r="422" spans="1:22" hidden="1" x14ac:dyDescent="0.45">
      <c r="A422" s="2" t="s">
        <v>1478</v>
      </c>
      <c r="B422" s="11">
        <v>44976</v>
      </c>
      <c r="C422" s="2" t="s">
        <v>2011</v>
      </c>
      <c r="D422" s="2" t="s">
        <v>2016</v>
      </c>
      <c r="E422">
        <v>537.51</v>
      </c>
      <c r="F422">
        <v>55363.53</v>
      </c>
      <c r="G422">
        <v>0</v>
      </c>
      <c r="H422">
        <v>0</v>
      </c>
      <c r="I422" s="2" t="s">
        <v>2024</v>
      </c>
      <c r="J422" s="2" t="s">
        <v>2028</v>
      </c>
      <c r="K422" s="2" t="s">
        <v>3499</v>
      </c>
      <c r="L422" s="2" t="s">
        <v>4031</v>
      </c>
      <c r="M422">
        <v>-537.51</v>
      </c>
      <c r="N422" s="2" t="s">
        <v>2016</v>
      </c>
      <c r="O422">
        <v>103</v>
      </c>
      <c r="P422">
        <v>-55363.53</v>
      </c>
      <c r="Q422" t="b">
        <v>1</v>
      </c>
      <c r="R422" t="b">
        <v>0</v>
      </c>
      <c r="S422" t="b">
        <v>0</v>
      </c>
      <c r="T422" t="b">
        <v>0</v>
      </c>
      <c r="U422">
        <v>1</v>
      </c>
      <c r="V422" t="s">
        <v>4073</v>
      </c>
    </row>
    <row r="423" spans="1:22" hidden="1" x14ac:dyDescent="0.45">
      <c r="A423" s="2" t="s">
        <v>576</v>
      </c>
      <c r="B423" s="11">
        <v>45625</v>
      </c>
      <c r="C423" s="2" t="s">
        <v>2013</v>
      </c>
      <c r="D423" s="2" t="s">
        <v>2018</v>
      </c>
      <c r="E423">
        <v>1458.37</v>
      </c>
      <c r="F423">
        <v>81668.72</v>
      </c>
      <c r="G423">
        <v>0</v>
      </c>
      <c r="H423">
        <v>0</v>
      </c>
      <c r="I423" s="2" t="s">
        <v>2022</v>
      </c>
      <c r="J423" s="2" t="s">
        <v>2026</v>
      </c>
      <c r="K423" s="2" t="s">
        <v>2597</v>
      </c>
      <c r="L423" s="2" t="s">
        <v>4033</v>
      </c>
      <c r="M423">
        <v>-1458.37</v>
      </c>
      <c r="N423" s="2" t="s">
        <v>4044</v>
      </c>
      <c r="O423">
        <v>56</v>
      </c>
      <c r="P423">
        <v>-81668.72</v>
      </c>
      <c r="Q423" t="b">
        <v>0</v>
      </c>
      <c r="R423" t="b">
        <v>1</v>
      </c>
      <c r="S423" t="b">
        <v>0</v>
      </c>
      <c r="T423" t="b">
        <v>0</v>
      </c>
      <c r="U423">
        <v>1</v>
      </c>
      <c r="V423" t="s">
        <v>4073</v>
      </c>
    </row>
    <row r="424" spans="1:22" hidden="1" x14ac:dyDescent="0.45">
      <c r="A424" s="2" t="s">
        <v>1007</v>
      </c>
      <c r="B424" s="11">
        <v>45725</v>
      </c>
      <c r="C424" s="2" t="s">
        <v>2013</v>
      </c>
      <c r="D424" s="2" t="s">
        <v>2018</v>
      </c>
      <c r="E424">
        <v>1336.12</v>
      </c>
      <c r="F424">
        <v>81503.319999999992</v>
      </c>
      <c r="G424">
        <v>0</v>
      </c>
      <c r="H424">
        <v>0</v>
      </c>
      <c r="I424" s="2" t="s">
        <v>2020</v>
      </c>
      <c r="J424" s="2" t="s">
        <v>2030</v>
      </c>
      <c r="K424" s="2" t="s">
        <v>3028</v>
      </c>
      <c r="L424" s="2" t="s">
        <v>4035</v>
      </c>
      <c r="M424">
        <v>-1336.12</v>
      </c>
      <c r="N424" s="2" t="s">
        <v>4044</v>
      </c>
      <c r="O424">
        <v>61</v>
      </c>
      <c r="P424">
        <v>-81503.319999999992</v>
      </c>
      <c r="Q424" t="b">
        <v>1</v>
      </c>
      <c r="R424" t="b">
        <v>0</v>
      </c>
      <c r="S424" t="b">
        <v>0</v>
      </c>
      <c r="T424" t="b">
        <v>0</v>
      </c>
      <c r="U424">
        <v>1</v>
      </c>
      <c r="V424" t="s">
        <v>4073</v>
      </c>
    </row>
    <row r="425" spans="1:22" hidden="1" x14ac:dyDescent="0.45">
      <c r="A425" s="2" t="s">
        <v>927</v>
      </c>
      <c r="B425" s="11">
        <v>45134</v>
      </c>
      <c r="C425" s="2" t="s">
        <v>2014</v>
      </c>
      <c r="D425" s="2" t="s">
        <v>2019</v>
      </c>
      <c r="E425">
        <v>0</v>
      </c>
      <c r="F425">
        <v>0</v>
      </c>
      <c r="G425">
        <v>542.16999999999996</v>
      </c>
      <c r="H425">
        <v>55843.509999999995</v>
      </c>
      <c r="I425" s="2" t="s">
        <v>2025</v>
      </c>
      <c r="J425" s="2" t="s">
        <v>2027</v>
      </c>
      <c r="K425" s="2" t="s">
        <v>2948</v>
      </c>
      <c r="L425" s="2" t="s">
        <v>4031</v>
      </c>
      <c r="M425">
        <v>542.16999999999996</v>
      </c>
      <c r="N425" s="2" t="s">
        <v>4042</v>
      </c>
      <c r="O425">
        <v>103</v>
      </c>
      <c r="P425">
        <v>55843.509999999995</v>
      </c>
      <c r="Q425" t="b">
        <v>0</v>
      </c>
      <c r="R425" t="b">
        <v>1</v>
      </c>
      <c r="S425" t="b">
        <v>0</v>
      </c>
      <c r="T425" t="b">
        <v>0</v>
      </c>
      <c r="U425">
        <v>1</v>
      </c>
      <c r="V425" t="s">
        <v>4073</v>
      </c>
    </row>
    <row r="426" spans="1:22" hidden="1" x14ac:dyDescent="0.45">
      <c r="A426" s="2" t="s">
        <v>389</v>
      </c>
      <c r="B426" s="11">
        <v>45549</v>
      </c>
      <c r="C426" s="2" t="s">
        <v>2012</v>
      </c>
      <c r="D426" s="2" t="s">
        <v>2017</v>
      </c>
      <c r="E426">
        <v>1033.93</v>
      </c>
      <c r="F426">
        <v>84782.260000000009</v>
      </c>
      <c r="G426">
        <v>0</v>
      </c>
      <c r="H426">
        <v>0</v>
      </c>
      <c r="I426" s="2" t="s">
        <v>2025</v>
      </c>
      <c r="J426" s="2" t="s">
        <v>2027</v>
      </c>
      <c r="K426" s="2" t="s">
        <v>2410</v>
      </c>
      <c r="L426" s="2" t="s">
        <v>4034</v>
      </c>
      <c r="M426">
        <v>-1033.93</v>
      </c>
      <c r="N426" s="2" t="s">
        <v>4044</v>
      </c>
      <c r="O426">
        <v>82</v>
      </c>
      <c r="P426">
        <v>-84782.260000000009</v>
      </c>
      <c r="Q426" t="b">
        <v>1</v>
      </c>
      <c r="R426" t="b">
        <v>0</v>
      </c>
      <c r="S426" t="b">
        <v>0</v>
      </c>
      <c r="T426" t="b">
        <v>0</v>
      </c>
      <c r="U426">
        <v>1</v>
      </c>
      <c r="V426" t="s">
        <v>4073</v>
      </c>
    </row>
    <row r="427" spans="1:22" hidden="1" x14ac:dyDescent="0.45">
      <c r="A427" s="2" t="s">
        <v>1324</v>
      </c>
      <c r="B427" s="11">
        <v>45834</v>
      </c>
      <c r="C427" s="2" t="s">
        <v>2011</v>
      </c>
      <c r="D427" s="2" t="s">
        <v>2016</v>
      </c>
      <c r="E427">
        <v>1378.77</v>
      </c>
      <c r="F427">
        <v>77211.12</v>
      </c>
      <c r="G427">
        <v>0</v>
      </c>
      <c r="H427">
        <v>0</v>
      </c>
      <c r="I427" s="2" t="s">
        <v>2024</v>
      </c>
      <c r="J427" s="2" t="s">
        <v>2026</v>
      </c>
      <c r="K427" s="2" t="s">
        <v>3345</v>
      </c>
      <c r="L427" s="2" t="s">
        <v>4033</v>
      </c>
      <c r="M427">
        <v>-1378.77</v>
      </c>
      <c r="N427" s="2" t="s">
        <v>2016</v>
      </c>
      <c r="O427">
        <v>56</v>
      </c>
      <c r="P427">
        <v>-77211.12</v>
      </c>
      <c r="Q427" t="b">
        <v>0</v>
      </c>
      <c r="R427" t="b">
        <v>1</v>
      </c>
      <c r="S427" t="b">
        <v>0</v>
      </c>
      <c r="T427" t="b">
        <v>0</v>
      </c>
      <c r="U427">
        <v>1</v>
      </c>
      <c r="V427" t="s">
        <v>4073</v>
      </c>
    </row>
    <row r="428" spans="1:22" hidden="1" x14ac:dyDescent="0.45">
      <c r="A428" s="2" t="s">
        <v>293</v>
      </c>
      <c r="B428" s="11">
        <v>45031</v>
      </c>
      <c r="C428" s="2" t="s">
        <v>2010</v>
      </c>
      <c r="D428" s="2" t="s">
        <v>2015</v>
      </c>
      <c r="E428">
        <v>0</v>
      </c>
      <c r="F428">
        <v>0</v>
      </c>
      <c r="G428">
        <v>873.53</v>
      </c>
      <c r="H428">
        <v>76870.64</v>
      </c>
      <c r="I428" s="2" t="s">
        <v>2022</v>
      </c>
      <c r="J428" s="2" t="s">
        <v>2029</v>
      </c>
      <c r="K428" s="2" t="s">
        <v>2314</v>
      </c>
      <c r="L428" s="2" t="s">
        <v>4032</v>
      </c>
      <c r="M428">
        <v>873.53</v>
      </c>
      <c r="N428" s="2" t="s">
        <v>4042</v>
      </c>
      <c r="O428">
        <v>88</v>
      </c>
      <c r="P428">
        <v>76870.64</v>
      </c>
      <c r="Q428" t="b">
        <v>1</v>
      </c>
      <c r="R428" t="b">
        <v>0</v>
      </c>
      <c r="S428" t="b">
        <v>0</v>
      </c>
      <c r="T428" t="b">
        <v>0</v>
      </c>
      <c r="U428">
        <v>1</v>
      </c>
      <c r="V428" t="s">
        <v>4073</v>
      </c>
    </row>
    <row r="429" spans="1:22" hidden="1" x14ac:dyDescent="0.45">
      <c r="A429" s="2" t="s">
        <v>1181</v>
      </c>
      <c r="B429" s="11">
        <v>45408</v>
      </c>
      <c r="C429" s="2" t="s">
        <v>2010</v>
      </c>
      <c r="D429" s="2" t="s">
        <v>2015</v>
      </c>
      <c r="E429">
        <v>0</v>
      </c>
      <c r="F429">
        <v>0</v>
      </c>
      <c r="G429">
        <v>815.4</v>
      </c>
      <c r="H429">
        <v>71755.199999999997</v>
      </c>
      <c r="I429" s="2" t="s">
        <v>2025</v>
      </c>
      <c r="J429" s="2" t="s">
        <v>2030</v>
      </c>
      <c r="K429" s="2" t="s">
        <v>3202</v>
      </c>
      <c r="L429" s="2" t="s">
        <v>4032</v>
      </c>
      <c r="M429">
        <v>815.4</v>
      </c>
      <c r="N429" s="2" t="s">
        <v>4042</v>
      </c>
      <c r="O429">
        <v>88</v>
      </c>
      <c r="P429">
        <v>71755.199999999997</v>
      </c>
      <c r="Q429" t="b">
        <v>0</v>
      </c>
      <c r="R429" t="b">
        <v>1</v>
      </c>
      <c r="S429" t="b">
        <v>0</v>
      </c>
      <c r="T429" t="b">
        <v>0</v>
      </c>
      <c r="U429">
        <v>1</v>
      </c>
      <c r="V429" t="s">
        <v>4073</v>
      </c>
    </row>
    <row r="430" spans="1:22" hidden="1" x14ac:dyDescent="0.45">
      <c r="A430" s="2" t="s">
        <v>822</v>
      </c>
      <c r="B430" s="11">
        <v>45775</v>
      </c>
      <c r="C430" s="2" t="s">
        <v>2012</v>
      </c>
      <c r="D430" s="2" t="s">
        <v>2017</v>
      </c>
      <c r="E430">
        <v>695.92</v>
      </c>
      <c r="F430">
        <v>71679.759999999995</v>
      </c>
      <c r="G430">
        <v>0</v>
      </c>
      <c r="H430">
        <v>0</v>
      </c>
      <c r="I430" s="2" t="s">
        <v>2021</v>
      </c>
      <c r="J430" s="2" t="s">
        <v>2028</v>
      </c>
      <c r="K430" s="2" t="s">
        <v>2843</v>
      </c>
      <c r="L430" s="2" t="s">
        <v>4031</v>
      </c>
      <c r="M430">
        <v>-695.92</v>
      </c>
      <c r="N430" s="2" t="s">
        <v>4044</v>
      </c>
      <c r="O430">
        <v>103</v>
      </c>
      <c r="P430">
        <v>-71679.759999999995</v>
      </c>
      <c r="Q430" t="b">
        <v>0</v>
      </c>
      <c r="R430" t="b">
        <v>1</v>
      </c>
      <c r="S430" t="b">
        <v>0</v>
      </c>
      <c r="T430" t="b">
        <v>0</v>
      </c>
      <c r="U430">
        <v>1</v>
      </c>
      <c r="V430" t="s">
        <v>4073</v>
      </c>
    </row>
    <row r="431" spans="1:22" hidden="1" x14ac:dyDescent="0.45">
      <c r="A431" s="2" t="s">
        <v>1870</v>
      </c>
      <c r="B431" s="11">
        <v>45270</v>
      </c>
      <c r="C431" s="2" t="s">
        <v>2014</v>
      </c>
      <c r="D431" s="2" t="s">
        <v>2019</v>
      </c>
      <c r="E431">
        <v>0</v>
      </c>
      <c r="F431">
        <v>0</v>
      </c>
      <c r="G431">
        <v>871.59</v>
      </c>
      <c r="H431">
        <v>71470.38</v>
      </c>
      <c r="I431" s="2" t="s">
        <v>2024</v>
      </c>
      <c r="J431" s="2" t="s">
        <v>2029</v>
      </c>
      <c r="K431" s="2" t="s">
        <v>3891</v>
      </c>
      <c r="L431" s="2" t="s">
        <v>4034</v>
      </c>
      <c r="M431">
        <v>871.59</v>
      </c>
      <c r="N431" s="2" t="s">
        <v>4042</v>
      </c>
      <c r="O431">
        <v>82</v>
      </c>
      <c r="P431">
        <v>71470.38</v>
      </c>
      <c r="Q431" t="b">
        <v>1</v>
      </c>
      <c r="R431" t="b">
        <v>0</v>
      </c>
      <c r="S431" t="b">
        <v>0</v>
      </c>
      <c r="T431" t="b">
        <v>0</v>
      </c>
      <c r="U431">
        <v>1</v>
      </c>
      <c r="V431" t="s">
        <v>4073</v>
      </c>
    </row>
    <row r="432" spans="1:22" hidden="1" x14ac:dyDescent="0.45">
      <c r="A432" s="2" t="s">
        <v>1787</v>
      </c>
      <c r="B432" s="11">
        <v>45442</v>
      </c>
      <c r="C432" s="2" t="s">
        <v>2012</v>
      </c>
      <c r="D432" s="2" t="s">
        <v>2017</v>
      </c>
      <c r="E432">
        <v>692.89</v>
      </c>
      <c r="F432">
        <v>71367.67</v>
      </c>
      <c r="G432">
        <v>0</v>
      </c>
      <c r="H432">
        <v>0</v>
      </c>
      <c r="I432" s="2" t="s">
        <v>2021</v>
      </c>
      <c r="J432" s="2" t="s">
        <v>2028</v>
      </c>
      <c r="K432" s="2" t="s">
        <v>3808</v>
      </c>
      <c r="L432" s="2" t="s">
        <v>4031</v>
      </c>
      <c r="M432">
        <v>-692.89</v>
      </c>
      <c r="N432" s="2" t="s">
        <v>4044</v>
      </c>
      <c r="O432">
        <v>103</v>
      </c>
      <c r="P432">
        <v>-71367.67</v>
      </c>
      <c r="Q432" t="b">
        <v>0</v>
      </c>
      <c r="R432" t="b">
        <v>1</v>
      </c>
      <c r="S432" t="b">
        <v>0</v>
      </c>
      <c r="T432" t="b">
        <v>0</v>
      </c>
      <c r="U432">
        <v>1</v>
      </c>
      <c r="V432" t="s">
        <v>4073</v>
      </c>
    </row>
    <row r="433" spans="1:22" hidden="1" x14ac:dyDescent="0.45">
      <c r="A433" s="2" t="s">
        <v>25</v>
      </c>
      <c r="B433" s="11">
        <v>45018</v>
      </c>
      <c r="C433" s="2" t="s">
        <v>2011</v>
      </c>
      <c r="D433" s="2" t="s">
        <v>2016</v>
      </c>
      <c r="E433">
        <v>1119.05</v>
      </c>
      <c r="F433">
        <v>62666.799999999996</v>
      </c>
      <c r="G433">
        <v>0</v>
      </c>
      <c r="H433">
        <v>0</v>
      </c>
      <c r="I433" s="2" t="s">
        <v>2021</v>
      </c>
      <c r="J433" s="2" t="s">
        <v>2030</v>
      </c>
      <c r="K433" s="2" t="s">
        <v>2046</v>
      </c>
      <c r="L433" s="2" t="s">
        <v>4033</v>
      </c>
      <c r="M433">
        <v>-1119.05</v>
      </c>
      <c r="N433" s="2" t="s">
        <v>2016</v>
      </c>
      <c r="O433">
        <v>56</v>
      </c>
      <c r="P433">
        <v>-62666.799999999996</v>
      </c>
      <c r="Q433" t="b">
        <v>1</v>
      </c>
      <c r="R433" t="b">
        <v>0</v>
      </c>
      <c r="S433" t="b">
        <v>0</v>
      </c>
      <c r="T433" t="b">
        <v>0</v>
      </c>
      <c r="U433">
        <v>1</v>
      </c>
      <c r="V433" t="s">
        <v>4073</v>
      </c>
    </row>
    <row r="434" spans="1:22" hidden="1" x14ac:dyDescent="0.45">
      <c r="A434" s="2" t="s">
        <v>1683</v>
      </c>
      <c r="B434" s="11">
        <v>44984</v>
      </c>
      <c r="C434" s="2" t="s">
        <v>2014</v>
      </c>
      <c r="D434" s="2" t="s">
        <v>2019</v>
      </c>
      <c r="E434">
        <v>0</v>
      </c>
      <c r="F434">
        <v>0</v>
      </c>
      <c r="G434">
        <v>1027.73</v>
      </c>
      <c r="H434">
        <v>62691.53</v>
      </c>
      <c r="I434" s="2" t="s">
        <v>2022</v>
      </c>
      <c r="J434" s="2" t="s">
        <v>2029</v>
      </c>
      <c r="K434" s="2" t="s">
        <v>3704</v>
      </c>
      <c r="L434" s="2" t="s">
        <v>4035</v>
      </c>
      <c r="M434">
        <v>1027.73</v>
      </c>
      <c r="N434" s="2" t="s">
        <v>4042</v>
      </c>
      <c r="O434">
        <v>61</v>
      </c>
      <c r="P434">
        <v>62691.53</v>
      </c>
      <c r="Q434" t="b">
        <v>0</v>
      </c>
      <c r="R434" t="b">
        <v>1</v>
      </c>
      <c r="S434" t="b">
        <v>0</v>
      </c>
      <c r="T434" t="b">
        <v>0</v>
      </c>
      <c r="U434">
        <v>1</v>
      </c>
      <c r="V434" t="s">
        <v>4073</v>
      </c>
    </row>
    <row r="435" spans="1:22" hidden="1" x14ac:dyDescent="0.45">
      <c r="A435" s="2" t="s">
        <v>382</v>
      </c>
      <c r="B435" s="11">
        <v>45718</v>
      </c>
      <c r="C435" s="2" t="s">
        <v>2011</v>
      </c>
      <c r="D435" s="2" t="s">
        <v>2016</v>
      </c>
      <c r="E435">
        <v>1027.96</v>
      </c>
      <c r="F435">
        <v>62705.560000000005</v>
      </c>
      <c r="G435">
        <v>0</v>
      </c>
      <c r="H435">
        <v>0</v>
      </c>
      <c r="I435" s="2" t="s">
        <v>2021</v>
      </c>
      <c r="J435" s="2" t="s">
        <v>2029</v>
      </c>
      <c r="K435" s="2" t="s">
        <v>2403</v>
      </c>
      <c r="L435" s="2" t="s">
        <v>4035</v>
      </c>
      <c r="M435">
        <v>-1027.96</v>
      </c>
      <c r="N435" s="2" t="s">
        <v>2016</v>
      </c>
      <c r="O435">
        <v>61</v>
      </c>
      <c r="P435">
        <v>-62705.560000000005</v>
      </c>
      <c r="Q435" t="b">
        <v>1</v>
      </c>
      <c r="R435" t="b">
        <v>0</v>
      </c>
      <c r="S435" t="b">
        <v>0</v>
      </c>
      <c r="T435" t="b">
        <v>0</v>
      </c>
      <c r="U435">
        <v>1</v>
      </c>
      <c r="V435" t="s">
        <v>4073</v>
      </c>
    </row>
    <row r="436" spans="1:22" hidden="1" x14ac:dyDescent="0.45">
      <c r="A436" s="2" t="s">
        <v>1436</v>
      </c>
      <c r="B436" s="11">
        <v>45621</v>
      </c>
      <c r="C436" s="2" t="s">
        <v>2013</v>
      </c>
      <c r="D436" s="2" t="s">
        <v>2018</v>
      </c>
      <c r="E436">
        <v>1162.76</v>
      </c>
      <c r="F436">
        <v>70928.36</v>
      </c>
      <c r="G436">
        <v>0</v>
      </c>
      <c r="H436">
        <v>0</v>
      </c>
      <c r="I436" s="2" t="s">
        <v>2025</v>
      </c>
      <c r="J436" s="2" t="s">
        <v>2029</v>
      </c>
      <c r="K436" s="2" t="s">
        <v>3457</v>
      </c>
      <c r="L436" s="2" t="s">
        <v>4035</v>
      </c>
      <c r="M436">
        <v>-1162.76</v>
      </c>
      <c r="N436" s="2" t="s">
        <v>4044</v>
      </c>
      <c r="O436">
        <v>61</v>
      </c>
      <c r="P436">
        <v>-70928.36</v>
      </c>
      <c r="Q436" t="b">
        <v>0</v>
      </c>
      <c r="R436" t="b">
        <v>1</v>
      </c>
      <c r="S436" t="b">
        <v>0</v>
      </c>
      <c r="T436" t="b">
        <v>0</v>
      </c>
      <c r="U436">
        <v>1</v>
      </c>
      <c r="V436" t="s">
        <v>4073</v>
      </c>
    </row>
    <row r="437" spans="1:22" hidden="1" x14ac:dyDescent="0.45">
      <c r="A437" s="2" t="s">
        <v>1138</v>
      </c>
      <c r="B437" s="11">
        <v>45060</v>
      </c>
      <c r="C437" s="2" t="s">
        <v>2013</v>
      </c>
      <c r="D437" s="2" t="s">
        <v>2018</v>
      </c>
      <c r="E437">
        <v>682.65</v>
      </c>
      <c r="F437">
        <v>70312.95</v>
      </c>
      <c r="G437">
        <v>0</v>
      </c>
      <c r="H437">
        <v>0</v>
      </c>
      <c r="I437" s="2" t="s">
        <v>2020</v>
      </c>
      <c r="J437" s="2" t="s">
        <v>2028</v>
      </c>
      <c r="K437" s="2" t="s">
        <v>3159</v>
      </c>
      <c r="L437" s="2" t="s">
        <v>4031</v>
      </c>
      <c r="M437">
        <v>-682.65</v>
      </c>
      <c r="N437" s="2" t="s">
        <v>4044</v>
      </c>
      <c r="O437">
        <v>103</v>
      </c>
      <c r="P437">
        <v>-70312.95</v>
      </c>
      <c r="Q437" t="b">
        <v>1</v>
      </c>
      <c r="R437" t="b">
        <v>0</v>
      </c>
      <c r="S437" t="b">
        <v>0</v>
      </c>
      <c r="T437" t="b">
        <v>0</v>
      </c>
      <c r="U437">
        <v>1</v>
      </c>
      <c r="V437" t="s">
        <v>4073</v>
      </c>
    </row>
    <row r="438" spans="1:22" hidden="1" x14ac:dyDescent="0.45">
      <c r="A438" s="2" t="s">
        <v>680</v>
      </c>
      <c r="B438" s="11">
        <v>45402</v>
      </c>
      <c r="C438" s="2" t="s">
        <v>2011</v>
      </c>
      <c r="D438" s="2" t="s">
        <v>2016</v>
      </c>
      <c r="E438">
        <v>793.98</v>
      </c>
      <c r="F438">
        <v>69870.240000000005</v>
      </c>
      <c r="G438">
        <v>0</v>
      </c>
      <c r="H438">
        <v>0</v>
      </c>
      <c r="I438" s="2" t="s">
        <v>2022</v>
      </c>
      <c r="J438" s="2" t="s">
        <v>2029</v>
      </c>
      <c r="K438" s="2" t="s">
        <v>2701</v>
      </c>
      <c r="L438" s="2" t="s">
        <v>4032</v>
      </c>
      <c r="M438">
        <v>-793.98</v>
      </c>
      <c r="N438" s="2" t="s">
        <v>2016</v>
      </c>
      <c r="O438">
        <v>88</v>
      </c>
      <c r="P438">
        <v>-69870.240000000005</v>
      </c>
      <c r="Q438" t="b">
        <v>1</v>
      </c>
      <c r="R438" t="b">
        <v>0</v>
      </c>
      <c r="S438" t="b">
        <v>0</v>
      </c>
      <c r="T438" t="b">
        <v>0</v>
      </c>
      <c r="U438">
        <v>1</v>
      </c>
      <c r="V438" t="s">
        <v>4073</v>
      </c>
    </row>
    <row r="439" spans="1:22" hidden="1" x14ac:dyDescent="0.45">
      <c r="A439" s="2" t="s">
        <v>1840</v>
      </c>
      <c r="B439" s="11">
        <v>45596</v>
      </c>
      <c r="C439" s="2" t="s">
        <v>2011</v>
      </c>
      <c r="D439" s="2" t="s">
        <v>2016</v>
      </c>
      <c r="E439">
        <v>1247.49</v>
      </c>
      <c r="F439">
        <v>69859.44</v>
      </c>
      <c r="G439">
        <v>0</v>
      </c>
      <c r="H439">
        <v>0</v>
      </c>
      <c r="I439" s="2" t="s">
        <v>2024</v>
      </c>
      <c r="J439" s="2" t="s">
        <v>2028</v>
      </c>
      <c r="K439" s="2" t="s">
        <v>3861</v>
      </c>
      <c r="L439" s="2" t="s">
        <v>4033</v>
      </c>
      <c r="M439">
        <v>-1247.49</v>
      </c>
      <c r="N439" s="2" t="s">
        <v>2016</v>
      </c>
      <c r="O439">
        <v>56</v>
      </c>
      <c r="P439">
        <v>-69859.44</v>
      </c>
      <c r="Q439" t="b">
        <v>0</v>
      </c>
      <c r="R439" t="b">
        <v>1</v>
      </c>
      <c r="S439" t="b">
        <v>0</v>
      </c>
      <c r="T439" t="b">
        <v>0</v>
      </c>
      <c r="U439">
        <v>1</v>
      </c>
      <c r="V439" t="s">
        <v>4073</v>
      </c>
    </row>
    <row r="440" spans="1:22" hidden="1" x14ac:dyDescent="0.45">
      <c r="A440" s="2" t="s">
        <v>1090</v>
      </c>
      <c r="B440" s="11">
        <v>44968</v>
      </c>
      <c r="C440" s="2" t="s">
        <v>2011</v>
      </c>
      <c r="D440" s="2" t="s">
        <v>2016</v>
      </c>
      <c r="E440">
        <v>1138.3599999999999</v>
      </c>
      <c r="F440">
        <v>69439.959999999992</v>
      </c>
      <c r="G440">
        <v>0</v>
      </c>
      <c r="H440">
        <v>0</v>
      </c>
      <c r="I440" s="2" t="s">
        <v>2025</v>
      </c>
      <c r="J440" s="2" t="s">
        <v>2028</v>
      </c>
      <c r="K440" s="2" t="s">
        <v>3111</v>
      </c>
      <c r="L440" s="2" t="s">
        <v>4035</v>
      </c>
      <c r="M440">
        <v>-1138.3599999999999</v>
      </c>
      <c r="N440" s="2" t="s">
        <v>2016</v>
      </c>
      <c r="O440">
        <v>61</v>
      </c>
      <c r="P440">
        <v>-69439.959999999992</v>
      </c>
      <c r="Q440" t="b">
        <v>1</v>
      </c>
      <c r="R440" t="b">
        <v>0</v>
      </c>
      <c r="S440" t="b">
        <v>0</v>
      </c>
      <c r="T440" t="b">
        <v>0</v>
      </c>
      <c r="U440">
        <v>1</v>
      </c>
      <c r="V440" t="s">
        <v>4073</v>
      </c>
    </row>
    <row r="441" spans="1:22" hidden="1" x14ac:dyDescent="0.45">
      <c r="A441" s="2" t="s">
        <v>302</v>
      </c>
      <c r="B441" s="11">
        <v>45351</v>
      </c>
      <c r="C441" s="2" t="s">
        <v>2013</v>
      </c>
      <c r="D441" s="2" t="s">
        <v>2018</v>
      </c>
      <c r="E441">
        <v>788.28</v>
      </c>
      <c r="F441">
        <v>69368.639999999999</v>
      </c>
      <c r="G441">
        <v>0</v>
      </c>
      <c r="H441">
        <v>0</v>
      </c>
      <c r="I441" s="2" t="s">
        <v>2021</v>
      </c>
      <c r="J441" s="2" t="s">
        <v>2026</v>
      </c>
      <c r="K441" s="2" t="s">
        <v>2323</v>
      </c>
      <c r="L441" s="2" t="s">
        <v>4032</v>
      </c>
      <c r="M441">
        <v>-788.28</v>
      </c>
      <c r="N441" s="2" t="s">
        <v>4044</v>
      </c>
      <c r="O441">
        <v>88</v>
      </c>
      <c r="P441">
        <v>-69368.639999999999</v>
      </c>
      <c r="Q441" t="b">
        <v>0</v>
      </c>
      <c r="R441" t="b">
        <v>1</v>
      </c>
      <c r="S441" t="b">
        <v>0</v>
      </c>
      <c r="T441" t="b">
        <v>0</v>
      </c>
      <c r="U441">
        <v>1</v>
      </c>
      <c r="V441" t="s">
        <v>4073</v>
      </c>
    </row>
    <row r="442" spans="1:22" hidden="1" x14ac:dyDescent="0.45">
      <c r="A442" s="2" t="s">
        <v>1585</v>
      </c>
      <c r="B442" s="11">
        <v>45038</v>
      </c>
      <c r="C442" s="2" t="s">
        <v>2012</v>
      </c>
      <c r="D442" s="2" t="s">
        <v>2017</v>
      </c>
      <c r="E442">
        <v>1120.92</v>
      </c>
      <c r="F442">
        <v>68376.12000000001</v>
      </c>
      <c r="G442">
        <v>0</v>
      </c>
      <c r="H442">
        <v>0</v>
      </c>
      <c r="I442" s="2" t="s">
        <v>2024</v>
      </c>
      <c r="J442" s="2" t="s">
        <v>2027</v>
      </c>
      <c r="K442" s="2" t="s">
        <v>3606</v>
      </c>
      <c r="L442" s="2" t="s">
        <v>4035</v>
      </c>
      <c r="M442">
        <v>-1120.92</v>
      </c>
      <c r="N442" s="2" t="s">
        <v>4044</v>
      </c>
      <c r="O442">
        <v>61</v>
      </c>
      <c r="P442">
        <v>-68376.12000000001</v>
      </c>
      <c r="Q442" t="b">
        <v>1</v>
      </c>
      <c r="R442" t="b">
        <v>0</v>
      </c>
      <c r="S442" t="b">
        <v>0</v>
      </c>
      <c r="T442" t="b">
        <v>0</v>
      </c>
      <c r="U442">
        <v>1</v>
      </c>
      <c r="V442" t="s">
        <v>4073</v>
      </c>
    </row>
    <row r="443" spans="1:22" hidden="1" x14ac:dyDescent="0.45">
      <c r="A443" s="2" t="s">
        <v>291</v>
      </c>
      <c r="B443" s="11">
        <v>45662</v>
      </c>
      <c r="C443" s="2" t="s">
        <v>2012</v>
      </c>
      <c r="D443" s="2" t="s">
        <v>2017</v>
      </c>
      <c r="E443">
        <v>1039.56</v>
      </c>
      <c r="F443">
        <v>63413.159999999996</v>
      </c>
      <c r="G443">
        <v>0</v>
      </c>
      <c r="H443">
        <v>0</v>
      </c>
      <c r="I443" s="2" t="s">
        <v>2020</v>
      </c>
      <c r="J443" s="2" t="s">
        <v>2029</v>
      </c>
      <c r="K443" s="2" t="s">
        <v>2312</v>
      </c>
      <c r="L443" s="2" t="s">
        <v>4035</v>
      </c>
      <c r="M443">
        <v>-1039.56</v>
      </c>
      <c r="N443" s="2" t="s">
        <v>4044</v>
      </c>
      <c r="O443">
        <v>61</v>
      </c>
      <c r="P443">
        <v>-63413.159999999996</v>
      </c>
      <c r="Q443" t="b">
        <v>1</v>
      </c>
      <c r="R443" t="b">
        <v>0</v>
      </c>
      <c r="S443" t="b">
        <v>0</v>
      </c>
      <c r="T443" t="b">
        <v>0</v>
      </c>
      <c r="U443">
        <v>1</v>
      </c>
      <c r="V443" t="s">
        <v>4073</v>
      </c>
    </row>
    <row r="444" spans="1:22" hidden="1" x14ac:dyDescent="0.45">
      <c r="A444" s="2" t="s">
        <v>1488</v>
      </c>
      <c r="B444" s="11">
        <v>45578</v>
      </c>
      <c r="C444" s="2" t="s">
        <v>2013</v>
      </c>
      <c r="D444" s="2" t="s">
        <v>2018</v>
      </c>
      <c r="E444">
        <v>658.13</v>
      </c>
      <c r="F444">
        <v>67787.39</v>
      </c>
      <c r="G444">
        <v>0</v>
      </c>
      <c r="H444">
        <v>0</v>
      </c>
      <c r="I444" s="2" t="s">
        <v>2022</v>
      </c>
      <c r="J444" s="2" t="s">
        <v>2026</v>
      </c>
      <c r="K444" s="2" t="s">
        <v>3509</v>
      </c>
      <c r="L444" s="2" t="s">
        <v>4031</v>
      </c>
      <c r="M444">
        <v>-658.13</v>
      </c>
      <c r="N444" s="2" t="s">
        <v>4044</v>
      </c>
      <c r="O444">
        <v>103</v>
      </c>
      <c r="P444">
        <v>-67787.39</v>
      </c>
      <c r="Q444" t="b">
        <v>1</v>
      </c>
      <c r="R444" t="b">
        <v>0</v>
      </c>
      <c r="S444" t="b">
        <v>0</v>
      </c>
      <c r="T444" t="b">
        <v>0</v>
      </c>
      <c r="U444">
        <v>1</v>
      </c>
      <c r="V444" t="s">
        <v>4073</v>
      </c>
    </row>
    <row r="445" spans="1:22" hidden="1" x14ac:dyDescent="0.45">
      <c r="A445" s="2" t="s">
        <v>345</v>
      </c>
      <c r="B445" s="11">
        <v>45316</v>
      </c>
      <c r="C445" s="2" t="s">
        <v>2011</v>
      </c>
      <c r="D445" s="2" t="s">
        <v>2016</v>
      </c>
      <c r="E445">
        <v>822.42</v>
      </c>
      <c r="F445">
        <v>67438.44</v>
      </c>
      <c r="G445">
        <v>0</v>
      </c>
      <c r="H445">
        <v>0</v>
      </c>
      <c r="I445" s="2" t="s">
        <v>2024</v>
      </c>
      <c r="J445" s="2" t="s">
        <v>2028</v>
      </c>
      <c r="K445" s="2" t="s">
        <v>2366</v>
      </c>
      <c r="L445" s="2" t="s">
        <v>4034</v>
      </c>
      <c r="M445">
        <v>-822.42</v>
      </c>
      <c r="N445" s="2" t="s">
        <v>2016</v>
      </c>
      <c r="O445">
        <v>82</v>
      </c>
      <c r="P445">
        <v>-67438.44</v>
      </c>
      <c r="Q445" t="b">
        <v>0</v>
      </c>
      <c r="R445" t="b">
        <v>1</v>
      </c>
      <c r="S445" t="b">
        <v>0</v>
      </c>
      <c r="T445" t="b">
        <v>0</v>
      </c>
      <c r="U445">
        <v>1</v>
      </c>
      <c r="V445" t="s">
        <v>4073</v>
      </c>
    </row>
    <row r="446" spans="1:22" hidden="1" x14ac:dyDescent="0.45">
      <c r="A446" s="2" t="s">
        <v>584</v>
      </c>
      <c r="B446" s="11">
        <v>45594</v>
      </c>
      <c r="C446" s="2" t="s">
        <v>2013</v>
      </c>
      <c r="D446" s="2" t="s">
        <v>2018</v>
      </c>
      <c r="E446">
        <v>649.71</v>
      </c>
      <c r="F446">
        <v>66920.13</v>
      </c>
      <c r="G446">
        <v>0</v>
      </c>
      <c r="H446">
        <v>0</v>
      </c>
      <c r="I446" s="2" t="s">
        <v>2020</v>
      </c>
      <c r="J446" s="2" t="s">
        <v>2028</v>
      </c>
      <c r="K446" s="2" t="s">
        <v>2605</v>
      </c>
      <c r="L446" s="2" t="s">
        <v>4031</v>
      </c>
      <c r="M446">
        <v>-649.71</v>
      </c>
      <c r="N446" s="2" t="s">
        <v>4044</v>
      </c>
      <c r="O446">
        <v>103</v>
      </c>
      <c r="P446">
        <v>-66920.13</v>
      </c>
      <c r="Q446" t="b">
        <v>0</v>
      </c>
      <c r="R446" t="b">
        <v>1</v>
      </c>
      <c r="S446" t="b">
        <v>0</v>
      </c>
      <c r="T446" t="b">
        <v>0</v>
      </c>
      <c r="U446">
        <v>1</v>
      </c>
      <c r="V446" t="s">
        <v>4073</v>
      </c>
    </row>
    <row r="447" spans="1:22" hidden="1" x14ac:dyDescent="0.45">
      <c r="A447" s="2" t="s">
        <v>615</v>
      </c>
      <c r="B447" s="11">
        <v>45194</v>
      </c>
      <c r="C447" s="2" t="s">
        <v>2013</v>
      </c>
      <c r="D447" s="2" t="s">
        <v>2018</v>
      </c>
      <c r="E447">
        <v>622.09</v>
      </c>
      <c r="F447">
        <v>64075.270000000004</v>
      </c>
      <c r="G447">
        <v>0</v>
      </c>
      <c r="H447">
        <v>0</v>
      </c>
      <c r="I447" s="2" t="s">
        <v>2025</v>
      </c>
      <c r="J447" s="2" t="s">
        <v>2030</v>
      </c>
      <c r="K447" s="2" t="s">
        <v>2636</v>
      </c>
      <c r="L447" s="2" t="s">
        <v>4031</v>
      </c>
      <c r="M447">
        <v>-622.09</v>
      </c>
      <c r="N447" s="2" t="s">
        <v>4044</v>
      </c>
      <c r="O447">
        <v>103</v>
      </c>
      <c r="P447">
        <v>-64075.270000000004</v>
      </c>
      <c r="Q447" t="b">
        <v>0</v>
      </c>
      <c r="R447" t="b">
        <v>1</v>
      </c>
      <c r="S447" t="b">
        <v>0</v>
      </c>
      <c r="T447" t="b">
        <v>0</v>
      </c>
      <c r="U447">
        <v>1</v>
      </c>
      <c r="V447" t="s">
        <v>4073</v>
      </c>
    </row>
    <row r="448" spans="1:22" hidden="1" x14ac:dyDescent="0.45">
      <c r="A448" s="2" t="s">
        <v>1647</v>
      </c>
      <c r="B448" s="11">
        <v>45377</v>
      </c>
      <c r="C448" s="2" t="s">
        <v>2010</v>
      </c>
      <c r="D448" s="2" t="s">
        <v>2015</v>
      </c>
      <c r="E448">
        <v>0</v>
      </c>
      <c r="F448">
        <v>0</v>
      </c>
      <c r="G448">
        <v>1184.05</v>
      </c>
      <c r="H448">
        <v>66306.8</v>
      </c>
      <c r="I448" s="2" t="s">
        <v>2025</v>
      </c>
      <c r="J448" s="2" t="s">
        <v>2028</v>
      </c>
      <c r="K448" s="2" t="s">
        <v>3668</v>
      </c>
      <c r="L448" s="2" t="s">
        <v>4033</v>
      </c>
      <c r="M448">
        <v>1184.05</v>
      </c>
      <c r="N448" s="2" t="s">
        <v>4042</v>
      </c>
      <c r="O448">
        <v>56</v>
      </c>
      <c r="P448">
        <v>66306.8</v>
      </c>
      <c r="Q448" t="b">
        <v>0</v>
      </c>
      <c r="R448" t="b">
        <v>1</v>
      </c>
      <c r="S448" t="b">
        <v>0</v>
      </c>
      <c r="T448" t="b">
        <v>0</v>
      </c>
      <c r="U448">
        <v>1</v>
      </c>
      <c r="V448" t="s">
        <v>4073</v>
      </c>
    </row>
    <row r="449" spans="1:22" hidden="1" x14ac:dyDescent="0.45">
      <c r="A449" s="2" t="s">
        <v>618</v>
      </c>
      <c r="B449" s="11">
        <v>45224</v>
      </c>
      <c r="C449" s="2" t="s">
        <v>2010</v>
      </c>
      <c r="D449" s="2" t="s">
        <v>2015</v>
      </c>
      <c r="E449">
        <v>0</v>
      </c>
      <c r="F449">
        <v>0</v>
      </c>
      <c r="G449">
        <v>1178.75</v>
      </c>
      <c r="H449">
        <v>66010</v>
      </c>
      <c r="I449" s="2" t="s">
        <v>2020</v>
      </c>
      <c r="J449" s="2" t="s">
        <v>2030</v>
      </c>
      <c r="K449" s="2" t="s">
        <v>2639</v>
      </c>
      <c r="L449" s="2" t="s">
        <v>4033</v>
      </c>
      <c r="M449">
        <v>1178.75</v>
      </c>
      <c r="N449" s="2" t="s">
        <v>4042</v>
      </c>
      <c r="O449">
        <v>56</v>
      </c>
      <c r="P449">
        <v>66010</v>
      </c>
      <c r="Q449" t="b">
        <v>0</v>
      </c>
      <c r="R449" t="b">
        <v>1</v>
      </c>
      <c r="S449" t="b">
        <v>0</v>
      </c>
      <c r="T449" t="b">
        <v>0</v>
      </c>
      <c r="U449">
        <v>1</v>
      </c>
      <c r="V449" t="s">
        <v>4073</v>
      </c>
    </row>
    <row r="450" spans="1:22" hidden="1" x14ac:dyDescent="0.45">
      <c r="A450" s="2" t="s">
        <v>1351</v>
      </c>
      <c r="B450" s="11">
        <v>45620</v>
      </c>
      <c r="C450" s="2" t="s">
        <v>2013</v>
      </c>
      <c r="D450" s="2" t="s">
        <v>2018</v>
      </c>
      <c r="E450">
        <v>733.3</v>
      </c>
      <c r="F450">
        <v>64530.399999999994</v>
      </c>
      <c r="G450">
        <v>0</v>
      </c>
      <c r="H450">
        <v>0</v>
      </c>
      <c r="I450" s="2" t="s">
        <v>2021</v>
      </c>
      <c r="J450" s="2" t="s">
        <v>2027</v>
      </c>
      <c r="K450" s="2" t="s">
        <v>3372</v>
      </c>
      <c r="L450" s="2" t="s">
        <v>4032</v>
      </c>
      <c r="M450">
        <v>-733.3</v>
      </c>
      <c r="N450" s="2" t="s">
        <v>4044</v>
      </c>
      <c r="O450">
        <v>88</v>
      </c>
      <c r="P450">
        <v>-64530.399999999994</v>
      </c>
      <c r="Q450" t="b">
        <v>1</v>
      </c>
      <c r="R450" t="b">
        <v>0</v>
      </c>
      <c r="S450" t="b">
        <v>0</v>
      </c>
      <c r="T450" t="b">
        <v>0</v>
      </c>
      <c r="U450">
        <v>1</v>
      </c>
      <c r="V450" t="s">
        <v>4073</v>
      </c>
    </row>
    <row r="451" spans="1:22" hidden="1" x14ac:dyDescent="0.45">
      <c r="A451" s="2" t="s">
        <v>768</v>
      </c>
      <c r="B451" s="11">
        <v>45533</v>
      </c>
      <c r="C451" s="2" t="s">
        <v>2012</v>
      </c>
      <c r="D451" s="2" t="s">
        <v>2017</v>
      </c>
      <c r="E451">
        <v>787.73</v>
      </c>
      <c r="F451">
        <v>64593.86</v>
      </c>
      <c r="G451">
        <v>0</v>
      </c>
      <c r="H451">
        <v>0</v>
      </c>
      <c r="I451" s="2" t="s">
        <v>2020</v>
      </c>
      <c r="J451" s="2" t="s">
        <v>2027</v>
      </c>
      <c r="K451" s="2" t="s">
        <v>2789</v>
      </c>
      <c r="L451" s="2" t="s">
        <v>4034</v>
      </c>
      <c r="M451">
        <v>-787.73</v>
      </c>
      <c r="N451" s="2" t="s">
        <v>4044</v>
      </c>
      <c r="O451">
        <v>82</v>
      </c>
      <c r="P451">
        <v>-64593.86</v>
      </c>
      <c r="Q451" t="b">
        <v>0</v>
      </c>
      <c r="R451" t="b">
        <v>1</v>
      </c>
      <c r="S451" t="b">
        <v>0</v>
      </c>
      <c r="T451" t="b">
        <v>0</v>
      </c>
      <c r="U451">
        <v>1</v>
      </c>
      <c r="V451" t="s">
        <v>4073</v>
      </c>
    </row>
    <row r="452" spans="1:22" hidden="1" x14ac:dyDescent="0.45">
      <c r="A452" s="2" t="s">
        <v>1148</v>
      </c>
      <c r="B452" s="11">
        <v>44953</v>
      </c>
      <c r="C452" s="2" t="s">
        <v>2012</v>
      </c>
      <c r="D452" s="2" t="s">
        <v>2017</v>
      </c>
      <c r="E452">
        <v>1069.23</v>
      </c>
      <c r="F452">
        <v>65223.03</v>
      </c>
      <c r="G452">
        <v>0</v>
      </c>
      <c r="H452">
        <v>0</v>
      </c>
      <c r="I452" s="2" t="s">
        <v>2025</v>
      </c>
      <c r="J452" s="2" t="s">
        <v>2028</v>
      </c>
      <c r="K452" s="2" t="s">
        <v>3169</v>
      </c>
      <c r="L452" s="2" t="s">
        <v>4035</v>
      </c>
      <c r="M452">
        <v>-1069.23</v>
      </c>
      <c r="N452" s="2" t="s">
        <v>4044</v>
      </c>
      <c r="O452">
        <v>61</v>
      </c>
      <c r="P452">
        <v>-65223.03</v>
      </c>
      <c r="Q452" t="b">
        <v>0</v>
      </c>
      <c r="R452" t="b">
        <v>1</v>
      </c>
      <c r="S452" t="b">
        <v>0</v>
      </c>
      <c r="T452" t="b">
        <v>0</v>
      </c>
      <c r="U452">
        <v>1</v>
      </c>
      <c r="V452" t="s">
        <v>4073</v>
      </c>
    </row>
    <row r="453" spans="1:22" hidden="1" x14ac:dyDescent="0.45">
      <c r="A453" s="2" t="s">
        <v>116</v>
      </c>
      <c r="B453" s="11">
        <v>45107</v>
      </c>
      <c r="C453" s="2" t="s">
        <v>2011</v>
      </c>
      <c r="D453" s="2" t="s">
        <v>2016</v>
      </c>
      <c r="E453">
        <v>1157.81</v>
      </c>
      <c r="F453">
        <v>64837.36</v>
      </c>
      <c r="G453">
        <v>0</v>
      </c>
      <c r="H453">
        <v>0</v>
      </c>
      <c r="I453" s="2" t="s">
        <v>2023</v>
      </c>
      <c r="J453" s="2" t="s">
        <v>2028</v>
      </c>
      <c r="K453" s="2" t="s">
        <v>2137</v>
      </c>
      <c r="L453" s="2" t="s">
        <v>4033</v>
      </c>
      <c r="M453">
        <v>-1157.81</v>
      </c>
      <c r="N453" s="2" t="s">
        <v>2016</v>
      </c>
      <c r="O453">
        <v>56</v>
      </c>
      <c r="P453">
        <v>-64837.36</v>
      </c>
      <c r="Q453" t="b">
        <v>0</v>
      </c>
      <c r="R453" t="b">
        <v>1</v>
      </c>
      <c r="S453" t="b">
        <v>0</v>
      </c>
      <c r="T453" t="b">
        <v>0</v>
      </c>
      <c r="U453">
        <v>1</v>
      </c>
      <c r="V453" t="s">
        <v>4073</v>
      </c>
    </row>
    <row r="454" spans="1:22" hidden="1" x14ac:dyDescent="0.45">
      <c r="A454" s="2" t="s">
        <v>1729</v>
      </c>
      <c r="B454" s="11">
        <v>45311</v>
      </c>
      <c r="C454" s="2" t="s">
        <v>2011</v>
      </c>
      <c r="D454" s="2" t="s">
        <v>2016</v>
      </c>
      <c r="E454">
        <v>816.6</v>
      </c>
      <c r="F454">
        <v>71860.800000000003</v>
      </c>
      <c r="G454">
        <v>0</v>
      </c>
      <c r="H454">
        <v>0</v>
      </c>
      <c r="I454" s="2" t="s">
        <v>2025</v>
      </c>
      <c r="J454" s="2" t="s">
        <v>2030</v>
      </c>
      <c r="K454" s="2" t="s">
        <v>3750</v>
      </c>
      <c r="L454" s="2" t="s">
        <v>4032</v>
      </c>
      <c r="M454">
        <v>-816.6</v>
      </c>
      <c r="N454" s="2" t="s">
        <v>2016</v>
      </c>
      <c r="O454">
        <v>88</v>
      </c>
      <c r="P454">
        <v>-71860.800000000003</v>
      </c>
      <c r="Q454" t="b">
        <v>1</v>
      </c>
      <c r="R454" t="b">
        <v>0</v>
      </c>
      <c r="S454" t="b">
        <v>0</v>
      </c>
      <c r="T454" t="b">
        <v>0</v>
      </c>
      <c r="U454">
        <v>1</v>
      </c>
      <c r="V454" t="s">
        <v>4073</v>
      </c>
    </row>
    <row r="455" spans="1:22" hidden="1" x14ac:dyDescent="0.45">
      <c r="A455" s="2" t="s">
        <v>432</v>
      </c>
      <c r="B455" s="11">
        <v>45249</v>
      </c>
      <c r="C455" s="2" t="s">
        <v>2013</v>
      </c>
      <c r="D455" s="2" t="s">
        <v>2018</v>
      </c>
      <c r="E455">
        <v>707.53</v>
      </c>
      <c r="F455">
        <v>58017.46</v>
      </c>
      <c r="G455">
        <v>0</v>
      </c>
      <c r="H455">
        <v>0</v>
      </c>
      <c r="I455" s="2" t="s">
        <v>2021</v>
      </c>
      <c r="J455" s="2" t="s">
        <v>2028</v>
      </c>
      <c r="K455" s="2" t="s">
        <v>2453</v>
      </c>
      <c r="L455" s="2" t="s">
        <v>4034</v>
      </c>
      <c r="M455">
        <v>-707.53</v>
      </c>
      <c r="N455" s="2" t="s">
        <v>4044</v>
      </c>
      <c r="O455">
        <v>82</v>
      </c>
      <c r="P455">
        <v>-58017.46</v>
      </c>
      <c r="Q455" t="b">
        <v>1</v>
      </c>
      <c r="R455" t="b">
        <v>0</v>
      </c>
      <c r="S455" t="b">
        <v>0</v>
      </c>
      <c r="T455" t="b">
        <v>0</v>
      </c>
      <c r="U455">
        <v>1</v>
      </c>
      <c r="V455" t="s">
        <v>4073</v>
      </c>
    </row>
    <row r="456" spans="1:22" hidden="1" x14ac:dyDescent="0.45">
      <c r="A456" s="2" t="s">
        <v>1272</v>
      </c>
      <c r="B456" s="11">
        <v>44953</v>
      </c>
      <c r="C456" s="2" t="s">
        <v>2011</v>
      </c>
      <c r="D456" s="2" t="s">
        <v>2016</v>
      </c>
      <c r="E456">
        <v>816.81</v>
      </c>
      <c r="F456">
        <v>71879.28</v>
      </c>
      <c r="G456">
        <v>0</v>
      </c>
      <c r="H456">
        <v>0</v>
      </c>
      <c r="I456" s="2" t="s">
        <v>2021</v>
      </c>
      <c r="J456" s="2" t="s">
        <v>2027</v>
      </c>
      <c r="K456" s="2" t="s">
        <v>3293</v>
      </c>
      <c r="L456" s="2" t="s">
        <v>4032</v>
      </c>
      <c r="M456">
        <v>-816.81</v>
      </c>
      <c r="N456" s="2" t="s">
        <v>2016</v>
      </c>
      <c r="O456">
        <v>88</v>
      </c>
      <c r="P456">
        <v>-71879.28</v>
      </c>
      <c r="Q456" t="b">
        <v>0</v>
      </c>
      <c r="R456" t="b">
        <v>1</v>
      </c>
      <c r="S456" t="b">
        <v>0</v>
      </c>
      <c r="T456" t="b">
        <v>0</v>
      </c>
      <c r="U456">
        <v>1</v>
      </c>
      <c r="V456" t="s">
        <v>4073</v>
      </c>
    </row>
    <row r="457" spans="1:22" hidden="1" x14ac:dyDescent="0.45">
      <c r="A457" s="2" t="s">
        <v>931</v>
      </c>
      <c r="B457" s="11">
        <v>45440</v>
      </c>
      <c r="C457" s="2" t="s">
        <v>2012</v>
      </c>
      <c r="D457" s="2" t="s">
        <v>2017</v>
      </c>
      <c r="E457">
        <v>1181.06</v>
      </c>
      <c r="F457">
        <v>72044.66</v>
      </c>
      <c r="G457">
        <v>0</v>
      </c>
      <c r="H457">
        <v>0</v>
      </c>
      <c r="I457" s="2" t="s">
        <v>2020</v>
      </c>
      <c r="J457" s="2" t="s">
        <v>2028</v>
      </c>
      <c r="K457" s="2" t="s">
        <v>2952</v>
      </c>
      <c r="L457" s="2" t="s">
        <v>4035</v>
      </c>
      <c r="M457">
        <v>-1181.06</v>
      </c>
      <c r="N457" s="2" t="s">
        <v>4044</v>
      </c>
      <c r="O457">
        <v>61</v>
      </c>
      <c r="P457">
        <v>-72044.66</v>
      </c>
      <c r="Q457" t="b">
        <v>0</v>
      </c>
      <c r="R457" t="b">
        <v>1</v>
      </c>
      <c r="S457" t="b">
        <v>0</v>
      </c>
      <c r="T457" t="b">
        <v>0</v>
      </c>
      <c r="U457">
        <v>1</v>
      </c>
      <c r="V457" t="s">
        <v>4073</v>
      </c>
    </row>
    <row r="458" spans="1:22" hidden="1" x14ac:dyDescent="0.45">
      <c r="A458" s="2" t="s">
        <v>1881</v>
      </c>
      <c r="B458" s="11">
        <v>45795</v>
      </c>
      <c r="C458" s="2" t="s">
        <v>2013</v>
      </c>
      <c r="D458" s="2" t="s">
        <v>2018</v>
      </c>
      <c r="E458">
        <v>1370.81</v>
      </c>
      <c r="F458">
        <v>76765.36</v>
      </c>
      <c r="G458">
        <v>0</v>
      </c>
      <c r="H458">
        <v>0</v>
      </c>
      <c r="I458" s="2" t="s">
        <v>2024</v>
      </c>
      <c r="J458" s="2" t="s">
        <v>2026</v>
      </c>
      <c r="K458" s="2" t="s">
        <v>3902</v>
      </c>
      <c r="L458" s="2" t="s">
        <v>4033</v>
      </c>
      <c r="M458">
        <v>-1370.81</v>
      </c>
      <c r="N458" s="2" t="s">
        <v>4044</v>
      </c>
      <c r="O458">
        <v>56</v>
      </c>
      <c r="P458">
        <v>-76765.36</v>
      </c>
      <c r="Q458" t="b">
        <v>1</v>
      </c>
      <c r="R458" t="b">
        <v>0</v>
      </c>
      <c r="S458" t="b">
        <v>0</v>
      </c>
      <c r="T458" t="b">
        <v>0</v>
      </c>
      <c r="U458">
        <v>1</v>
      </c>
      <c r="V458" t="s">
        <v>4073</v>
      </c>
    </row>
    <row r="459" spans="1:22" hidden="1" x14ac:dyDescent="0.45">
      <c r="A459" s="2" t="s">
        <v>1545</v>
      </c>
      <c r="B459" s="11">
        <v>45459</v>
      </c>
      <c r="C459" s="2" t="s">
        <v>2013</v>
      </c>
      <c r="D459" s="2" t="s">
        <v>2018</v>
      </c>
      <c r="E459">
        <v>665.47</v>
      </c>
      <c r="F459">
        <v>58561.36</v>
      </c>
      <c r="G459">
        <v>0</v>
      </c>
      <c r="H459">
        <v>0</v>
      </c>
      <c r="I459" s="2" t="s">
        <v>2022</v>
      </c>
      <c r="J459" s="2" t="s">
        <v>2026</v>
      </c>
      <c r="K459" s="2" t="s">
        <v>3566</v>
      </c>
      <c r="L459" s="2" t="s">
        <v>4032</v>
      </c>
      <c r="M459">
        <v>-665.47</v>
      </c>
      <c r="N459" s="2" t="s">
        <v>4044</v>
      </c>
      <c r="O459">
        <v>88</v>
      </c>
      <c r="P459">
        <v>-58561.36</v>
      </c>
      <c r="Q459" t="b">
        <v>1</v>
      </c>
      <c r="R459" t="b">
        <v>0</v>
      </c>
      <c r="S459" t="b">
        <v>0</v>
      </c>
      <c r="T459" t="b">
        <v>0</v>
      </c>
      <c r="U459">
        <v>1</v>
      </c>
      <c r="V459" t="s">
        <v>4073</v>
      </c>
    </row>
    <row r="460" spans="1:22" hidden="1" x14ac:dyDescent="0.45">
      <c r="A460" s="2" t="s">
        <v>1539</v>
      </c>
      <c r="B460" s="11">
        <v>45534</v>
      </c>
      <c r="C460" s="2" t="s">
        <v>2011</v>
      </c>
      <c r="D460" s="2" t="s">
        <v>2016</v>
      </c>
      <c r="E460">
        <v>741.28</v>
      </c>
      <c r="F460">
        <v>76351.839999999997</v>
      </c>
      <c r="G460">
        <v>0</v>
      </c>
      <c r="H460">
        <v>0</v>
      </c>
      <c r="I460" s="2" t="s">
        <v>2021</v>
      </c>
      <c r="J460" s="2" t="s">
        <v>2029</v>
      </c>
      <c r="K460" s="2" t="s">
        <v>3560</v>
      </c>
      <c r="L460" s="2" t="s">
        <v>4031</v>
      </c>
      <c r="M460">
        <v>-741.28</v>
      </c>
      <c r="N460" s="2" t="s">
        <v>2016</v>
      </c>
      <c r="O460">
        <v>103</v>
      </c>
      <c r="P460">
        <v>-76351.839999999997</v>
      </c>
      <c r="Q460" t="b">
        <v>0</v>
      </c>
      <c r="R460" t="b">
        <v>1</v>
      </c>
      <c r="S460" t="b">
        <v>0</v>
      </c>
      <c r="T460" t="b">
        <v>0</v>
      </c>
      <c r="U460">
        <v>1</v>
      </c>
      <c r="V460" t="s">
        <v>4073</v>
      </c>
    </row>
    <row r="461" spans="1:22" hidden="1" x14ac:dyDescent="0.45">
      <c r="A461" s="2" t="s">
        <v>1084</v>
      </c>
      <c r="B461" s="11">
        <v>45360</v>
      </c>
      <c r="C461" s="2" t="s">
        <v>2011</v>
      </c>
      <c r="D461" s="2" t="s">
        <v>2016</v>
      </c>
      <c r="E461">
        <v>1049.23</v>
      </c>
      <c r="F461">
        <v>58756.880000000005</v>
      </c>
      <c r="G461">
        <v>0</v>
      </c>
      <c r="H461">
        <v>0</v>
      </c>
      <c r="I461" s="2" t="s">
        <v>2020</v>
      </c>
      <c r="J461" s="2" t="s">
        <v>2026</v>
      </c>
      <c r="K461" s="2" t="s">
        <v>3105</v>
      </c>
      <c r="L461" s="2" t="s">
        <v>4033</v>
      </c>
      <c r="M461">
        <v>-1049.23</v>
      </c>
      <c r="N461" s="2" t="s">
        <v>2016</v>
      </c>
      <c r="O461">
        <v>56</v>
      </c>
      <c r="P461">
        <v>-58756.880000000005</v>
      </c>
      <c r="Q461" t="b">
        <v>1</v>
      </c>
      <c r="R461" t="b">
        <v>0</v>
      </c>
      <c r="S461" t="b">
        <v>0</v>
      </c>
      <c r="T461" t="b">
        <v>0</v>
      </c>
      <c r="U461">
        <v>1</v>
      </c>
      <c r="V461" t="s">
        <v>4073</v>
      </c>
    </row>
    <row r="462" spans="1:22" hidden="1" x14ac:dyDescent="0.45">
      <c r="A462" s="2" t="s">
        <v>262</v>
      </c>
      <c r="B462" s="11">
        <v>45451</v>
      </c>
      <c r="C462" s="2" t="s">
        <v>2012</v>
      </c>
      <c r="D462" s="2" t="s">
        <v>2017</v>
      </c>
      <c r="E462">
        <v>734.75</v>
      </c>
      <c r="F462">
        <v>75679.25</v>
      </c>
      <c r="G462">
        <v>0</v>
      </c>
      <c r="H462">
        <v>0</v>
      </c>
      <c r="I462" s="2" t="s">
        <v>2023</v>
      </c>
      <c r="J462" s="2" t="s">
        <v>2029</v>
      </c>
      <c r="K462" s="2" t="s">
        <v>2283</v>
      </c>
      <c r="L462" s="2" t="s">
        <v>4031</v>
      </c>
      <c r="M462">
        <v>-734.75</v>
      </c>
      <c r="N462" s="2" t="s">
        <v>4044</v>
      </c>
      <c r="O462">
        <v>103</v>
      </c>
      <c r="P462">
        <v>-75679.25</v>
      </c>
      <c r="Q462" t="b">
        <v>1</v>
      </c>
      <c r="R462" t="b">
        <v>0</v>
      </c>
      <c r="S462" t="b">
        <v>0</v>
      </c>
      <c r="T462" t="b">
        <v>0</v>
      </c>
      <c r="U462">
        <v>1</v>
      </c>
      <c r="V462" t="s">
        <v>4073</v>
      </c>
    </row>
    <row r="463" spans="1:22" hidden="1" x14ac:dyDescent="0.45">
      <c r="A463" s="2" t="s">
        <v>454</v>
      </c>
      <c r="B463" s="11">
        <v>45718</v>
      </c>
      <c r="C463" s="2" t="s">
        <v>2013</v>
      </c>
      <c r="D463" s="2" t="s">
        <v>2018</v>
      </c>
      <c r="E463">
        <v>1240.1400000000001</v>
      </c>
      <c r="F463">
        <v>75648.540000000008</v>
      </c>
      <c r="G463">
        <v>0</v>
      </c>
      <c r="H463">
        <v>0</v>
      </c>
      <c r="I463" s="2" t="s">
        <v>2023</v>
      </c>
      <c r="J463" s="2" t="s">
        <v>2026</v>
      </c>
      <c r="K463" s="2" t="s">
        <v>2475</v>
      </c>
      <c r="L463" s="2" t="s">
        <v>4035</v>
      </c>
      <c r="M463">
        <v>-1240.1400000000001</v>
      </c>
      <c r="N463" s="2" t="s">
        <v>4044</v>
      </c>
      <c r="O463">
        <v>61</v>
      </c>
      <c r="P463">
        <v>-75648.540000000008</v>
      </c>
      <c r="Q463" t="b">
        <v>1</v>
      </c>
      <c r="R463" t="b">
        <v>0</v>
      </c>
      <c r="S463" t="b">
        <v>0</v>
      </c>
      <c r="T463" t="b">
        <v>0</v>
      </c>
      <c r="U463">
        <v>1</v>
      </c>
      <c r="V463" t="s">
        <v>4073</v>
      </c>
    </row>
    <row r="464" spans="1:22" hidden="1" x14ac:dyDescent="0.45">
      <c r="A464" s="2" t="s">
        <v>529</v>
      </c>
      <c r="B464" s="11">
        <v>45571</v>
      </c>
      <c r="C464" s="2" t="s">
        <v>2011</v>
      </c>
      <c r="D464" s="2" t="s">
        <v>2016</v>
      </c>
      <c r="E464">
        <v>922.15</v>
      </c>
      <c r="F464">
        <v>75616.3</v>
      </c>
      <c r="G464">
        <v>0</v>
      </c>
      <c r="H464">
        <v>0</v>
      </c>
      <c r="I464" s="2" t="s">
        <v>2023</v>
      </c>
      <c r="J464" s="2" t="s">
        <v>2029</v>
      </c>
      <c r="K464" s="2" t="s">
        <v>2550</v>
      </c>
      <c r="L464" s="2" t="s">
        <v>4034</v>
      </c>
      <c r="M464">
        <v>-922.15</v>
      </c>
      <c r="N464" s="2" t="s">
        <v>2016</v>
      </c>
      <c r="O464">
        <v>82</v>
      </c>
      <c r="P464">
        <v>-75616.3</v>
      </c>
      <c r="Q464" t="b">
        <v>1</v>
      </c>
      <c r="R464" t="b">
        <v>0</v>
      </c>
      <c r="S464" t="b">
        <v>0</v>
      </c>
      <c r="T464" t="b">
        <v>0</v>
      </c>
      <c r="U464">
        <v>1</v>
      </c>
      <c r="V464" t="s">
        <v>4073</v>
      </c>
    </row>
    <row r="465" spans="1:22" hidden="1" x14ac:dyDescent="0.45">
      <c r="A465" s="2" t="s">
        <v>1933</v>
      </c>
      <c r="B465" s="11">
        <v>45320</v>
      </c>
      <c r="C465" s="2" t="s">
        <v>2011</v>
      </c>
      <c r="D465" s="2" t="s">
        <v>2016</v>
      </c>
      <c r="E465">
        <v>726.03</v>
      </c>
      <c r="F465">
        <v>59534.46</v>
      </c>
      <c r="G465">
        <v>0</v>
      </c>
      <c r="H465">
        <v>0</v>
      </c>
      <c r="I465" s="2" t="s">
        <v>2021</v>
      </c>
      <c r="J465" s="2" t="s">
        <v>2030</v>
      </c>
      <c r="K465" s="2" t="s">
        <v>3954</v>
      </c>
      <c r="L465" s="2" t="s">
        <v>4034</v>
      </c>
      <c r="M465">
        <v>-726.03</v>
      </c>
      <c r="N465" s="2" t="s">
        <v>2016</v>
      </c>
      <c r="O465">
        <v>82</v>
      </c>
      <c r="P465">
        <v>-59534.46</v>
      </c>
      <c r="Q465" t="b">
        <v>0</v>
      </c>
      <c r="R465" t="b">
        <v>1</v>
      </c>
      <c r="S465" t="b">
        <v>0</v>
      </c>
      <c r="T465" t="b">
        <v>0</v>
      </c>
      <c r="U465">
        <v>1</v>
      </c>
      <c r="V465" t="s">
        <v>4073</v>
      </c>
    </row>
    <row r="466" spans="1:22" hidden="1" x14ac:dyDescent="0.45">
      <c r="A466" s="2" t="s">
        <v>471</v>
      </c>
      <c r="B466" s="11">
        <v>45439</v>
      </c>
      <c r="C466" s="2" t="s">
        <v>2013</v>
      </c>
      <c r="D466" s="2" t="s">
        <v>2018</v>
      </c>
      <c r="E466">
        <v>579</v>
      </c>
      <c r="F466">
        <v>59637</v>
      </c>
      <c r="G466">
        <v>0</v>
      </c>
      <c r="H466">
        <v>0</v>
      </c>
      <c r="I466" s="2" t="s">
        <v>2024</v>
      </c>
      <c r="J466" s="2" t="s">
        <v>2028</v>
      </c>
      <c r="K466" s="2" t="s">
        <v>2492</v>
      </c>
      <c r="L466" s="2" t="s">
        <v>4031</v>
      </c>
      <c r="M466">
        <v>-579</v>
      </c>
      <c r="N466" s="2" t="s">
        <v>4044</v>
      </c>
      <c r="O466">
        <v>103</v>
      </c>
      <c r="P466">
        <v>-59637</v>
      </c>
      <c r="Q466" t="b">
        <v>0</v>
      </c>
      <c r="R466" t="b">
        <v>1</v>
      </c>
      <c r="S466" t="b">
        <v>0</v>
      </c>
      <c r="T466" t="b">
        <v>0</v>
      </c>
      <c r="U466">
        <v>1</v>
      </c>
      <c r="V466" t="s">
        <v>4073</v>
      </c>
    </row>
    <row r="467" spans="1:22" hidden="1" x14ac:dyDescent="0.45">
      <c r="A467" s="2" t="s">
        <v>1443</v>
      </c>
      <c r="B467" s="11">
        <v>45676</v>
      </c>
      <c r="C467" s="2" t="s">
        <v>2011</v>
      </c>
      <c r="D467" s="2" t="s">
        <v>2016</v>
      </c>
      <c r="E467">
        <v>726.79</v>
      </c>
      <c r="F467">
        <v>74859.37</v>
      </c>
      <c r="G467">
        <v>0</v>
      </c>
      <c r="H467">
        <v>0</v>
      </c>
      <c r="I467" s="2" t="s">
        <v>2025</v>
      </c>
      <c r="J467" s="2" t="s">
        <v>2027</v>
      </c>
      <c r="K467" s="2" t="s">
        <v>3464</v>
      </c>
      <c r="L467" s="2" t="s">
        <v>4031</v>
      </c>
      <c r="M467">
        <v>-726.79</v>
      </c>
      <c r="N467" s="2" t="s">
        <v>2016</v>
      </c>
      <c r="O467">
        <v>103</v>
      </c>
      <c r="P467">
        <v>-74859.37</v>
      </c>
      <c r="Q467" t="b">
        <v>1</v>
      </c>
      <c r="R467" t="b">
        <v>0</v>
      </c>
      <c r="S467" t="b">
        <v>0</v>
      </c>
      <c r="T467" t="b">
        <v>0</v>
      </c>
      <c r="U467">
        <v>1</v>
      </c>
      <c r="V467" t="s">
        <v>4073</v>
      </c>
    </row>
    <row r="468" spans="1:22" hidden="1" x14ac:dyDescent="0.45">
      <c r="A468" s="2" t="s">
        <v>1936</v>
      </c>
      <c r="B468" s="11">
        <v>45561</v>
      </c>
      <c r="C468" s="2" t="s">
        <v>2013</v>
      </c>
      <c r="D468" s="2" t="s">
        <v>2018</v>
      </c>
      <c r="E468">
        <v>1336.28</v>
      </c>
      <c r="F468">
        <v>74831.679999999993</v>
      </c>
      <c r="G468">
        <v>0</v>
      </c>
      <c r="H468">
        <v>0</v>
      </c>
      <c r="I468" s="2" t="s">
        <v>2022</v>
      </c>
      <c r="J468" s="2" t="s">
        <v>2027</v>
      </c>
      <c r="K468" s="2" t="s">
        <v>3957</v>
      </c>
      <c r="L468" s="2" t="s">
        <v>4033</v>
      </c>
      <c r="M468">
        <v>-1336.28</v>
      </c>
      <c r="N468" s="2" t="s">
        <v>4044</v>
      </c>
      <c r="O468">
        <v>56</v>
      </c>
      <c r="P468">
        <v>-74831.679999999993</v>
      </c>
      <c r="Q468" t="b">
        <v>0</v>
      </c>
      <c r="R468" t="b">
        <v>1</v>
      </c>
      <c r="S468" t="b">
        <v>0</v>
      </c>
      <c r="T468" t="b">
        <v>0</v>
      </c>
      <c r="U468">
        <v>1</v>
      </c>
      <c r="V468" t="s">
        <v>4073</v>
      </c>
    </row>
    <row r="469" spans="1:22" hidden="1" x14ac:dyDescent="0.45">
      <c r="A469" s="2" t="s">
        <v>467</v>
      </c>
      <c r="B469" s="11">
        <v>45443</v>
      </c>
      <c r="C469" s="2" t="s">
        <v>2013</v>
      </c>
      <c r="D469" s="2" t="s">
        <v>2018</v>
      </c>
      <c r="E469">
        <v>911.05</v>
      </c>
      <c r="F469">
        <v>74706.099999999991</v>
      </c>
      <c r="G469">
        <v>0</v>
      </c>
      <c r="H469">
        <v>0</v>
      </c>
      <c r="I469" s="2" t="s">
        <v>2023</v>
      </c>
      <c r="J469" s="2" t="s">
        <v>2028</v>
      </c>
      <c r="K469" s="2" t="s">
        <v>2488</v>
      </c>
      <c r="L469" s="2" t="s">
        <v>4034</v>
      </c>
      <c r="M469">
        <v>-911.05</v>
      </c>
      <c r="N469" s="2" t="s">
        <v>4044</v>
      </c>
      <c r="O469">
        <v>82</v>
      </c>
      <c r="P469">
        <v>-74706.099999999991</v>
      </c>
      <c r="Q469" t="b">
        <v>0</v>
      </c>
      <c r="R469" t="b">
        <v>1</v>
      </c>
      <c r="S469" t="b">
        <v>0</v>
      </c>
      <c r="T469" t="b">
        <v>0</v>
      </c>
      <c r="U469">
        <v>1</v>
      </c>
      <c r="V469" t="s">
        <v>4073</v>
      </c>
    </row>
    <row r="470" spans="1:22" hidden="1" x14ac:dyDescent="0.45">
      <c r="A470" s="2" t="s">
        <v>1221</v>
      </c>
      <c r="B470" s="11">
        <v>45143</v>
      </c>
      <c r="C470" s="2" t="s">
        <v>2010</v>
      </c>
      <c r="D470" s="2" t="s">
        <v>2015</v>
      </c>
      <c r="E470">
        <v>0</v>
      </c>
      <c r="F470">
        <v>0</v>
      </c>
      <c r="G470">
        <v>1330.12</v>
      </c>
      <c r="H470">
        <v>74486.720000000001</v>
      </c>
      <c r="I470" s="2" t="s">
        <v>2023</v>
      </c>
      <c r="J470" s="2" t="s">
        <v>2028</v>
      </c>
      <c r="K470" s="2" t="s">
        <v>3242</v>
      </c>
      <c r="L470" s="2" t="s">
        <v>4033</v>
      </c>
      <c r="M470">
        <v>1330.12</v>
      </c>
      <c r="N470" s="2" t="s">
        <v>4042</v>
      </c>
      <c r="O470">
        <v>56</v>
      </c>
      <c r="P470">
        <v>74486.720000000001</v>
      </c>
      <c r="Q470" t="b">
        <v>1</v>
      </c>
      <c r="R470" t="b">
        <v>0</v>
      </c>
      <c r="S470" t="b">
        <v>0</v>
      </c>
      <c r="T470" t="b">
        <v>0</v>
      </c>
      <c r="U470">
        <v>1</v>
      </c>
      <c r="V470" t="s">
        <v>4073</v>
      </c>
    </row>
    <row r="471" spans="1:22" hidden="1" x14ac:dyDescent="0.45">
      <c r="A471" s="2" t="s">
        <v>1699</v>
      </c>
      <c r="B471" s="11">
        <v>45725</v>
      </c>
      <c r="C471" s="2" t="s">
        <v>2013</v>
      </c>
      <c r="D471" s="2" t="s">
        <v>2018</v>
      </c>
      <c r="E471">
        <v>692.19</v>
      </c>
      <c r="F471">
        <v>60912.72</v>
      </c>
      <c r="G471">
        <v>0</v>
      </c>
      <c r="H471">
        <v>0</v>
      </c>
      <c r="I471" s="2" t="s">
        <v>2025</v>
      </c>
      <c r="J471" s="2" t="s">
        <v>2027</v>
      </c>
      <c r="K471" s="2" t="s">
        <v>3720</v>
      </c>
      <c r="L471" s="2" t="s">
        <v>4032</v>
      </c>
      <c r="M471">
        <v>-692.19</v>
      </c>
      <c r="N471" s="2" t="s">
        <v>4044</v>
      </c>
      <c r="O471">
        <v>88</v>
      </c>
      <c r="P471">
        <v>-60912.72</v>
      </c>
      <c r="Q471" t="b">
        <v>1</v>
      </c>
      <c r="R471" t="b">
        <v>0</v>
      </c>
      <c r="S471" t="b">
        <v>0</v>
      </c>
      <c r="T471" t="b">
        <v>0</v>
      </c>
      <c r="U471">
        <v>1</v>
      </c>
      <c r="V471" t="s">
        <v>4073</v>
      </c>
    </row>
    <row r="472" spans="1:22" hidden="1" x14ac:dyDescent="0.45">
      <c r="A472" s="2" t="s">
        <v>1734</v>
      </c>
      <c r="B472" s="11">
        <v>45439</v>
      </c>
      <c r="C472" s="2" t="s">
        <v>2012</v>
      </c>
      <c r="D472" s="2" t="s">
        <v>2017</v>
      </c>
      <c r="E472">
        <v>1093.3800000000001</v>
      </c>
      <c r="F472">
        <v>61229.280000000006</v>
      </c>
      <c r="G472">
        <v>0</v>
      </c>
      <c r="H472">
        <v>0</v>
      </c>
      <c r="I472" s="2" t="s">
        <v>2022</v>
      </c>
      <c r="J472" s="2" t="s">
        <v>2027</v>
      </c>
      <c r="K472" s="2" t="s">
        <v>3755</v>
      </c>
      <c r="L472" s="2" t="s">
        <v>4033</v>
      </c>
      <c r="M472">
        <v>-1093.3800000000001</v>
      </c>
      <c r="N472" s="2" t="s">
        <v>4044</v>
      </c>
      <c r="O472">
        <v>56</v>
      </c>
      <c r="P472">
        <v>-61229.280000000006</v>
      </c>
      <c r="Q472" t="b">
        <v>0</v>
      </c>
      <c r="R472" t="b">
        <v>1</v>
      </c>
      <c r="S472" t="b">
        <v>0</v>
      </c>
      <c r="T472" t="b">
        <v>0</v>
      </c>
      <c r="U472">
        <v>1</v>
      </c>
      <c r="V472" t="s">
        <v>4073</v>
      </c>
    </row>
    <row r="473" spans="1:22" hidden="1" x14ac:dyDescent="0.45">
      <c r="A473" s="2" t="s">
        <v>1892</v>
      </c>
      <c r="B473" s="11">
        <v>45225</v>
      </c>
      <c r="C473" s="2" t="s">
        <v>2012</v>
      </c>
      <c r="D473" s="2" t="s">
        <v>2017</v>
      </c>
      <c r="E473">
        <v>701.14</v>
      </c>
      <c r="F473">
        <v>61700.32</v>
      </c>
      <c r="G473">
        <v>0</v>
      </c>
      <c r="H473">
        <v>0</v>
      </c>
      <c r="I473" s="2" t="s">
        <v>2020</v>
      </c>
      <c r="J473" s="2" t="s">
        <v>2028</v>
      </c>
      <c r="K473" s="2" t="s">
        <v>3913</v>
      </c>
      <c r="L473" s="2" t="s">
        <v>4032</v>
      </c>
      <c r="M473">
        <v>-701.14</v>
      </c>
      <c r="N473" s="2" t="s">
        <v>4044</v>
      </c>
      <c r="O473">
        <v>88</v>
      </c>
      <c r="P473">
        <v>-61700.32</v>
      </c>
      <c r="Q473" t="b">
        <v>0</v>
      </c>
      <c r="R473" t="b">
        <v>1</v>
      </c>
      <c r="S473" t="b">
        <v>0</v>
      </c>
      <c r="T473" t="b">
        <v>0</v>
      </c>
      <c r="U473">
        <v>1</v>
      </c>
      <c r="V473" t="s">
        <v>4073</v>
      </c>
    </row>
    <row r="474" spans="1:22" hidden="1" x14ac:dyDescent="0.45">
      <c r="A474" s="2" t="s">
        <v>1087</v>
      </c>
      <c r="B474" s="11">
        <v>45134</v>
      </c>
      <c r="C474" s="2" t="s">
        <v>2013</v>
      </c>
      <c r="D474" s="2" t="s">
        <v>2018</v>
      </c>
      <c r="E474">
        <v>833.9</v>
      </c>
      <c r="F474">
        <v>73383.199999999997</v>
      </c>
      <c r="G474">
        <v>0</v>
      </c>
      <c r="H474">
        <v>0</v>
      </c>
      <c r="I474" s="2" t="s">
        <v>2020</v>
      </c>
      <c r="J474" s="2" t="s">
        <v>2028</v>
      </c>
      <c r="K474" s="2" t="s">
        <v>3108</v>
      </c>
      <c r="L474" s="2" t="s">
        <v>4032</v>
      </c>
      <c r="M474">
        <v>-833.9</v>
      </c>
      <c r="N474" s="2" t="s">
        <v>4044</v>
      </c>
      <c r="O474">
        <v>88</v>
      </c>
      <c r="P474">
        <v>-73383.199999999997</v>
      </c>
      <c r="Q474" t="b">
        <v>0</v>
      </c>
      <c r="R474" t="b">
        <v>1</v>
      </c>
      <c r="S474" t="b">
        <v>0</v>
      </c>
      <c r="T474" t="b">
        <v>0</v>
      </c>
      <c r="U474">
        <v>1</v>
      </c>
      <c r="V474" t="s">
        <v>4073</v>
      </c>
    </row>
    <row r="475" spans="1:22" hidden="1" x14ac:dyDescent="0.45">
      <c r="A475" s="2" t="s">
        <v>1025</v>
      </c>
      <c r="B475" s="11">
        <v>45087</v>
      </c>
      <c r="C475" s="2" t="s">
        <v>2012</v>
      </c>
      <c r="D475" s="2" t="s">
        <v>2017</v>
      </c>
      <c r="E475">
        <v>1309.76</v>
      </c>
      <c r="F475">
        <v>73346.559999999998</v>
      </c>
      <c r="G475">
        <v>0</v>
      </c>
      <c r="H475">
        <v>0</v>
      </c>
      <c r="I475" s="2" t="s">
        <v>2021</v>
      </c>
      <c r="J475" s="2" t="s">
        <v>2026</v>
      </c>
      <c r="K475" s="2" t="s">
        <v>3046</v>
      </c>
      <c r="L475" s="2" t="s">
        <v>4033</v>
      </c>
      <c r="M475">
        <v>-1309.76</v>
      </c>
      <c r="N475" s="2" t="s">
        <v>4044</v>
      </c>
      <c r="O475">
        <v>56</v>
      </c>
      <c r="P475">
        <v>-73346.559999999998</v>
      </c>
      <c r="Q475" t="b">
        <v>1</v>
      </c>
      <c r="R475" t="b">
        <v>0</v>
      </c>
      <c r="S475" t="b">
        <v>0</v>
      </c>
      <c r="T475" t="b">
        <v>0</v>
      </c>
      <c r="U475">
        <v>1</v>
      </c>
      <c r="V475" t="s">
        <v>4073</v>
      </c>
    </row>
    <row r="476" spans="1:22" hidden="1" x14ac:dyDescent="0.45">
      <c r="A476" s="2" t="s">
        <v>926</v>
      </c>
      <c r="B476" s="11">
        <v>45594</v>
      </c>
      <c r="C476" s="2" t="s">
        <v>2011</v>
      </c>
      <c r="D476" s="2" t="s">
        <v>2016</v>
      </c>
      <c r="E476">
        <v>1012.53</v>
      </c>
      <c r="F476">
        <v>61764.33</v>
      </c>
      <c r="G476">
        <v>0</v>
      </c>
      <c r="H476">
        <v>0</v>
      </c>
      <c r="I476" s="2" t="s">
        <v>2021</v>
      </c>
      <c r="J476" s="2" t="s">
        <v>2028</v>
      </c>
      <c r="K476" s="2" t="s">
        <v>2947</v>
      </c>
      <c r="L476" s="2" t="s">
        <v>4035</v>
      </c>
      <c r="M476">
        <v>-1012.53</v>
      </c>
      <c r="N476" s="2" t="s">
        <v>2016</v>
      </c>
      <c r="O476">
        <v>61</v>
      </c>
      <c r="P476">
        <v>-61764.33</v>
      </c>
      <c r="Q476" t="b">
        <v>0</v>
      </c>
      <c r="R476" t="b">
        <v>1</v>
      </c>
      <c r="S476" t="b">
        <v>0</v>
      </c>
      <c r="T476" t="b">
        <v>0</v>
      </c>
      <c r="U476">
        <v>1</v>
      </c>
      <c r="V476" t="s">
        <v>4073</v>
      </c>
    </row>
    <row r="477" spans="1:22" hidden="1" x14ac:dyDescent="0.45">
      <c r="A477" s="2" t="s">
        <v>1210</v>
      </c>
      <c r="B477" s="11">
        <v>45004</v>
      </c>
      <c r="C477" s="2" t="s">
        <v>2010</v>
      </c>
      <c r="D477" s="2" t="s">
        <v>2015</v>
      </c>
      <c r="E477">
        <v>0</v>
      </c>
      <c r="F477">
        <v>0</v>
      </c>
      <c r="G477">
        <v>1105.3800000000001</v>
      </c>
      <c r="H477">
        <v>61901.280000000006</v>
      </c>
      <c r="I477" s="2" t="s">
        <v>2020</v>
      </c>
      <c r="J477" s="2" t="s">
        <v>2027</v>
      </c>
      <c r="K477" s="2" t="s">
        <v>3231</v>
      </c>
      <c r="L477" s="2" t="s">
        <v>4033</v>
      </c>
      <c r="M477">
        <v>1105.3800000000001</v>
      </c>
      <c r="N477" s="2" t="s">
        <v>4042</v>
      </c>
      <c r="O477">
        <v>56</v>
      </c>
      <c r="P477">
        <v>61901.280000000006</v>
      </c>
      <c r="Q477" t="b">
        <v>1</v>
      </c>
      <c r="R477" t="b">
        <v>0</v>
      </c>
      <c r="S477" t="b">
        <v>0</v>
      </c>
      <c r="T477" t="b">
        <v>0</v>
      </c>
      <c r="U477">
        <v>1</v>
      </c>
      <c r="V477" t="s">
        <v>4073</v>
      </c>
    </row>
    <row r="478" spans="1:22" hidden="1" x14ac:dyDescent="0.45">
      <c r="A478" s="2" t="s">
        <v>92</v>
      </c>
      <c r="B478" s="11">
        <v>45284</v>
      </c>
      <c r="C478" s="2" t="s">
        <v>2013</v>
      </c>
      <c r="D478" s="2" t="s">
        <v>2018</v>
      </c>
      <c r="E478">
        <v>1105.6300000000001</v>
      </c>
      <c r="F478">
        <v>61915.280000000006</v>
      </c>
      <c r="G478">
        <v>0</v>
      </c>
      <c r="H478">
        <v>0</v>
      </c>
      <c r="I478" s="2" t="s">
        <v>2020</v>
      </c>
      <c r="J478" s="2" t="s">
        <v>2027</v>
      </c>
      <c r="K478" s="2" t="s">
        <v>2113</v>
      </c>
      <c r="L478" s="2" t="s">
        <v>4033</v>
      </c>
      <c r="M478">
        <v>-1105.6300000000001</v>
      </c>
      <c r="N478" s="2" t="s">
        <v>4044</v>
      </c>
      <c r="O478">
        <v>56</v>
      </c>
      <c r="P478">
        <v>-61915.280000000006</v>
      </c>
      <c r="Q478" t="b">
        <v>1</v>
      </c>
      <c r="R478" t="b">
        <v>0</v>
      </c>
      <c r="S478" t="b">
        <v>0</v>
      </c>
      <c r="T478" t="b">
        <v>0</v>
      </c>
      <c r="U478">
        <v>1</v>
      </c>
      <c r="V478" t="s">
        <v>4073</v>
      </c>
    </row>
    <row r="479" spans="1:22" hidden="1" x14ac:dyDescent="0.45">
      <c r="A479" s="2" t="s">
        <v>1502</v>
      </c>
      <c r="B479" s="11">
        <v>44941</v>
      </c>
      <c r="C479" s="2" t="s">
        <v>2013</v>
      </c>
      <c r="D479" s="2" t="s">
        <v>2018</v>
      </c>
      <c r="E479">
        <v>1106.6600000000001</v>
      </c>
      <c r="F479">
        <v>61972.960000000006</v>
      </c>
      <c r="G479">
        <v>0</v>
      </c>
      <c r="H479">
        <v>0</v>
      </c>
      <c r="I479" s="2" t="s">
        <v>2022</v>
      </c>
      <c r="J479" s="2" t="s">
        <v>2026</v>
      </c>
      <c r="K479" s="2" t="s">
        <v>3523</v>
      </c>
      <c r="L479" s="2" t="s">
        <v>4033</v>
      </c>
      <c r="M479">
        <v>-1106.6600000000001</v>
      </c>
      <c r="N479" s="2" t="s">
        <v>4044</v>
      </c>
      <c r="O479">
        <v>56</v>
      </c>
      <c r="P479">
        <v>-61972.960000000006</v>
      </c>
      <c r="Q479" t="b">
        <v>1</v>
      </c>
      <c r="R479" t="b">
        <v>0</v>
      </c>
      <c r="S479" t="b">
        <v>0</v>
      </c>
      <c r="T479" t="b">
        <v>0</v>
      </c>
      <c r="U479">
        <v>1</v>
      </c>
      <c r="V479" t="s">
        <v>4073</v>
      </c>
    </row>
    <row r="480" spans="1:22" hidden="1" x14ac:dyDescent="0.45">
      <c r="A480" s="2" t="s">
        <v>746</v>
      </c>
      <c r="B480" s="11">
        <v>45403</v>
      </c>
      <c r="C480" s="2" t="s">
        <v>2013</v>
      </c>
      <c r="D480" s="2" t="s">
        <v>2018</v>
      </c>
      <c r="E480">
        <v>1296.07</v>
      </c>
      <c r="F480">
        <v>72579.92</v>
      </c>
      <c r="G480">
        <v>0</v>
      </c>
      <c r="H480">
        <v>0</v>
      </c>
      <c r="I480" s="2" t="s">
        <v>2021</v>
      </c>
      <c r="J480" s="2" t="s">
        <v>2030</v>
      </c>
      <c r="K480" s="2" t="s">
        <v>2767</v>
      </c>
      <c r="L480" s="2" t="s">
        <v>4033</v>
      </c>
      <c r="M480">
        <v>-1296.07</v>
      </c>
      <c r="N480" s="2" t="s">
        <v>4044</v>
      </c>
      <c r="O480">
        <v>56</v>
      </c>
      <c r="P480">
        <v>-72579.92</v>
      </c>
      <c r="Q480" t="b">
        <v>1</v>
      </c>
      <c r="R480" t="b">
        <v>0</v>
      </c>
      <c r="S480" t="b">
        <v>0</v>
      </c>
      <c r="T480" t="b">
        <v>0</v>
      </c>
      <c r="U480">
        <v>1</v>
      </c>
      <c r="V480" t="s">
        <v>4073</v>
      </c>
    </row>
    <row r="481" spans="1:22" hidden="1" x14ac:dyDescent="0.45">
      <c r="A481" s="2" t="s">
        <v>143</v>
      </c>
      <c r="B481" s="11">
        <v>45710</v>
      </c>
      <c r="C481" s="2" t="s">
        <v>2010</v>
      </c>
      <c r="D481" s="2" t="s">
        <v>2015</v>
      </c>
      <c r="E481">
        <v>0</v>
      </c>
      <c r="F481">
        <v>0</v>
      </c>
      <c r="G481">
        <v>703.6</v>
      </c>
      <c r="H481">
        <v>72470.8</v>
      </c>
      <c r="I481" s="2" t="s">
        <v>2023</v>
      </c>
      <c r="J481" s="2" t="s">
        <v>2030</v>
      </c>
      <c r="K481" s="2" t="s">
        <v>2164</v>
      </c>
      <c r="L481" s="2" t="s">
        <v>4031</v>
      </c>
      <c r="M481">
        <v>703.6</v>
      </c>
      <c r="N481" s="2" t="s">
        <v>4042</v>
      </c>
      <c r="O481">
        <v>103</v>
      </c>
      <c r="P481">
        <v>72470.8</v>
      </c>
      <c r="Q481" t="b">
        <v>1</v>
      </c>
      <c r="R481" t="b">
        <v>0</v>
      </c>
      <c r="S481" t="b">
        <v>0</v>
      </c>
      <c r="T481" t="b">
        <v>0</v>
      </c>
      <c r="U481">
        <v>1</v>
      </c>
      <c r="V481" t="s">
        <v>4073</v>
      </c>
    </row>
    <row r="482" spans="1:22" hidden="1" x14ac:dyDescent="0.45">
      <c r="A482" s="2" t="s">
        <v>510</v>
      </c>
      <c r="B482" s="11">
        <v>45408</v>
      </c>
      <c r="C482" s="2" t="s">
        <v>2013</v>
      </c>
      <c r="D482" s="2" t="s">
        <v>2018</v>
      </c>
      <c r="E482">
        <v>701.01</v>
      </c>
      <c r="F482">
        <v>72204.03</v>
      </c>
      <c r="G482">
        <v>0</v>
      </c>
      <c r="H482">
        <v>0</v>
      </c>
      <c r="I482" s="2" t="s">
        <v>2023</v>
      </c>
      <c r="J482" s="2" t="s">
        <v>2030</v>
      </c>
      <c r="K482" s="2" t="s">
        <v>2531</v>
      </c>
      <c r="L482" s="2" t="s">
        <v>4031</v>
      </c>
      <c r="M482">
        <v>-701.01</v>
      </c>
      <c r="N482" s="2" t="s">
        <v>4044</v>
      </c>
      <c r="O482">
        <v>103</v>
      </c>
      <c r="P482">
        <v>-72204.03</v>
      </c>
      <c r="Q482" t="b">
        <v>0</v>
      </c>
      <c r="R482" t="b">
        <v>1</v>
      </c>
      <c r="S482" t="b">
        <v>0</v>
      </c>
      <c r="T482" t="b">
        <v>0</v>
      </c>
      <c r="U482">
        <v>1</v>
      </c>
      <c r="V482" t="s">
        <v>4073</v>
      </c>
    </row>
    <row r="483" spans="1:22" hidden="1" x14ac:dyDescent="0.45">
      <c r="A483" s="2" t="s">
        <v>1100</v>
      </c>
      <c r="B483" s="11">
        <v>45025</v>
      </c>
      <c r="C483" s="2" t="s">
        <v>2013</v>
      </c>
      <c r="D483" s="2" t="s">
        <v>2018</v>
      </c>
      <c r="E483">
        <v>1178.57</v>
      </c>
      <c r="F483">
        <v>71892.76999999999</v>
      </c>
      <c r="G483">
        <v>0</v>
      </c>
      <c r="H483">
        <v>0</v>
      </c>
      <c r="I483" s="2" t="s">
        <v>2022</v>
      </c>
      <c r="J483" s="2" t="s">
        <v>2030</v>
      </c>
      <c r="K483" s="2" t="s">
        <v>3121</v>
      </c>
      <c r="L483" s="2" t="s">
        <v>4035</v>
      </c>
      <c r="M483">
        <v>-1178.57</v>
      </c>
      <c r="N483" s="2" t="s">
        <v>4044</v>
      </c>
      <c r="O483">
        <v>61</v>
      </c>
      <c r="P483">
        <v>-71892.76999999999</v>
      </c>
      <c r="Q483" t="b">
        <v>1</v>
      </c>
      <c r="R483" t="b">
        <v>0</v>
      </c>
      <c r="S483" t="b">
        <v>0</v>
      </c>
      <c r="T483" t="b">
        <v>0</v>
      </c>
      <c r="U483">
        <v>1</v>
      </c>
      <c r="V483" t="s">
        <v>4073</v>
      </c>
    </row>
    <row r="484" spans="1:22" hidden="1" x14ac:dyDescent="0.45">
      <c r="A484" s="2" t="s">
        <v>1326</v>
      </c>
      <c r="B484" s="11">
        <v>45130</v>
      </c>
      <c r="C484" s="2" t="s">
        <v>2011</v>
      </c>
      <c r="D484" s="2" t="s">
        <v>2016</v>
      </c>
      <c r="E484">
        <v>710.78</v>
      </c>
      <c r="F484">
        <v>43357.58</v>
      </c>
      <c r="G484">
        <v>0</v>
      </c>
      <c r="H484">
        <v>0</v>
      </c>
      <c r="I484" s="2" t="s">
        <v>2024</v>
      </c>
      <c r="J484" s="2" t="s">
        <v>2026</v>
      </c>
      <c r="K484" s="2" t="s">
        <v>3347</v>
      </c>
      <c r="L484" s="2" t="s">
        <v>4035</v>
      </c>
      <c r="M484">
        <v>-710.78</v>
      </c>
      <c r="N484" s="2" t="s">
        <v>2016</v>
      </c>
      <c r="O484">
        <v>61</v>
      </c>
      <c r="P484">
        <v>-43357.58</v>
      </c>
      <c r="Q484" t="b">
        <v>1</v>
      </c>
      <c r="R484" t="b">
        <v>0</v>
      </c>
      <c r="S484" t="b">
        <v>0</v>
      </c>
      <c r="T484" t="b">
        <v>0</v>
      </c>
      <c r="U484">
        <v>1</v>
      </c>
      <c r="V484" t="s">
        <v>4073</v>
      </c>
    </row>
    <row r="485" spans="1:22" hidden="1" x14ac:dyDescent="0.45">
      <c r="A485" s="2" t="s">
        <v>796</v>
      </c>
      <c r="B485" s="11">
        <v>45226</v>
      </c>
      <c r="C485" s="2" t="s">
        <v>2013</v>
      </c>
      <c r="D485" s="2" t="s">
        <v>2018</v>
      </c>
      <c r="E485">
        <v>882.11</v>
      </c>
      <c r="F485">
        <v>53808.71</v>
      </c>
      <c r="G485">
        <v>0</v>
      </c>
      <c r="H485">
        <v>0</v>
      </c>
      <c r="I485" s="2" t="s">
        <v>2025</v>
      </c>
      <c r="J485" s="2" t="s">
        <v>2029</v>
      </c>
      <c r="K485" s="2" t="s">
        <v>2817</v>
      </c>
      <c r="L485" s="2" t="s">
        <v>4035</v>
      </c>
      <c r="M485">
        <v>-882.11</v>
      </c>
      <c r="N485" s="2" t="s">
        <v>4044</v>
      </c>
      <c r="O485">
        <v>61</v>
      </c>
      <c r="P485">
        <v>-53808.71</v>
      </c>
      <c r="Q485" t="b">
        <v>0</v>
      </c>
      <c r="R485" t="b">
        <v>1</v>
      </c>
      <c r="S485" t="b">
        <v>0</v>
      </c>
      <c r="T485" t="b">
        <v>0</v>
      </c>
      <c r="U485">
        <v>1</v>
      </c>
      <c r="V485" t="s">
        <v>4073</v>
      </c>
    </row>
    <row r="486" spans="1:22" hidden="1" x14ac:dyDescent="0.45">
      <c r="A486" s="2" t="s">
        <v>788</v>
      </c>
      <c r="B486" s="11">
        <v>45367</v>
      </c>
      <c r="C486" s="2" t="s">
        <v>2010</v>
      </c>
      <c r="D486" s="2" t="s">
        <v>2015</v>
      </c>
      <c r="E486">
        <v>0</v>
      </c>
      <c r="F486">
        <v>0</v>
      </c>
      <c r="G486">
        <v>1518.24</v>
      </c>
      <c r="H486">
        <v>85021.440000000002</v>
      </c>
      <c r="I486" s="2" t="s">
        <v>2023</v>
      </c>
      <c r="J486" s="2" t="s">
        <v>2029</v>
      </c>
      <c r="K486" s="2" t="s">
        <v>2809</v>
      </c>
      <c r="L486" s="2" t="s">
        <v>4033</v>
      </c>
      <c r="M486">
        <v>1518.24</v>
      </c>
      <c r="N486" s="2" t="s">
        <v>4042</v>
      </c>
      <c r="O486">
        <v>56</v>
      </c>
      <c r="P486">
        <v>85021.440000000002</v>
      </c>
      <c r="Q486" t="b">
        <v>1</v>
      </c>
      <c r="R486" t="b">
        <v>0</v>
      </c>
      <c r="S486" t="b">
        <v>0</v>
      </c>
      <c r="T486" t="b">
        <v>0</v>
      </c>
      <c r="U486">
        <v>1</v>
      </c>
      <c r="V486" t="s">
        <v>4073</v>
      </c>
    </row>
    <row r="487" spans="1:22" hidden="1" x14ac:dyDescent="0.45">
      <c r="A487" s="2" t="s">
        <v>1329</v>
      </c>
      <c r="B487" s="11">
        <v>45321</v>
      </c>
      <c r="C487" s="2" t="s">
        <v>2011</v>
      </c>
      <c r="D487" s="2" t="s">
        <v>2016</v>
      </c>
      <c r="E487">
        <v>955.82</v>
      </c>
      <c r="F487">
        <v>98449.46</v>
      </c>
      <c r="G487">
        <v>0</v>
      </c>
      <c r="H487">
        <v>0</v>
      </c>
      <c r="I487" s="2" t="s">
        <v>2022</v>
      </c>
      <c r="J487" s="2" t="s">
        <v>2028</v>
      </c>
      <c r="K487" s="2" t="s">
        <v>3350</v>
      </c>
      <c r="L487" s="2" t="s">
        <v>4031</v>
      </c>
      <c r="M487">
        <v>-955.82</v>
      </c>
      <c r="N487" s="2" t="s">
        <v>2016</v>
      </c>
      <c r="O487">
        <v>103</v>
      </c>
      <c r="P487">
        <v>-98449.46</v>
      </c>
      <c r="Q487" t="b">
        <v>0</v>
      </c>
      <c r="R487" t="b">
        <v>1</v>
      </c>
      <c r="S487" t="b">
        <v>0</v>
      </c>
      <c r="T487" t="b">
        <v>0</v>
      </c>
      <c r="U487">
        <v>1</v>
      </c>
      <c r="V487" t="s">
        <v>4073</v>
      </c>
    </row>
    <row r="488" spans="1:22" hidden="1" x14ac:dyDescent="0.45">
      <c r="A488" s="2" t="s">
        <v>2001</v>
      </c>
      <c r="B488" s="11">
        <v>45530</v>
      </c>
      <c r="C488" s="2" t="s">
        <v>2012</v>
      </c>
      <c r="D488" s="2" t="s">
        <v>2017</v>
      </c>
      <c r="E488">
        <v>1196.93</v>
      </c>
      <c r="F488">
        <v>98148.260000000009</v>
      </c>
      <c r="G488">
        <v>0</v>
      </c>
      <c r="H488">
        <v>0</v>
      </c>
      <c r="I488" s="2" t="s">
        <v>2023</v>
      </c>
      <c r="J488" s="2" t="s">
        <v>2027</v>
      </c>
      <c r="K488" s="2" t="s">
        <v>4022</v>
      </c>
      <c r="L488" s="2" t="s">
        <v>4034</v>
      </c>
      <c r="M488">
        <v>-1196.93</v>
      </c>
      <c r="N488" s="2" t="s">
        <v>4044</v>
      </c>
      <c r="O488">
        <v>82</v>
      </c>
      <c r="P488">
        <v>-98148.260000000009</v>
      </c>
      <c r="Q488" t="b">
        <v>0</v>
      </c>
      <c r="R488" t="b">
        <v>1</v>
      </c>
      <c r="S488" t="b">
        <v>0</v>
      </c>
      <c r="T488" t="b">
        <v>0</v>
      </c>
      <c r="U488">
        <v>1</v>
      </c>
      <c r="V488" t="s">
        <v>4073</v>
      </c>
    </row>
    <row r="489" spans="1:22" hidden="1" x14ac:dyDescent="0.45">
      <c r="A489" s="2" t="s">
        <v>674</v>
      </c>
      <c r="B489" s="11">
        <v>45367</v>
      </c>
      <c r="C489" s="2" t="s">
        <v>2012</v>
      </c>
      <c r="D489" s="2" t="s">
        <v>2017</v>
      </c>
      <c r="E489">
        <v>832.19</v>
      </c>
      <c r="F489">
        <v>46602.64</v>
      </c>
      <c r="G489">
        <v>0</v>
      </c>
      <c r="H489">
        <v>0</v>
      </c>
      <c r="I489" s="2" t="s">
        <v>2022</v>
      </c>
      <c r="J489" s="2" t="s">
        <v>2026</v>
      </c>
      <c r="K489" s="2" t="s">
        <v>2695</v>
      </c>
      <c r="L489" s="2" t="s">
        <v>4033</v>
      </c>
      <c r="M489">
        <v>-832.19</v>
      </c>
      <c r="N489" s="2" t="s">
        <v>4044</v>
      </c>
      <c r="O489">
        <v>56</v>
      </c>
      <c r="P489">
        <v>-46602.64</v>
      </c>
      <c r="Q489" t="b">
        <v>1</v>
      </c>
      <c r="R489" t="b">
        <v>0</v>
      </c>
      <c r="S489" t="b">
        <v>0</v>
      </c>
      <c r="T489" t="b">
        <v>0</v>
      </c>
      <c r="U489">
        <v>1</v>
      </c>
      <c r="V489" t="s">
        <v>4073</v>
      </c>
    </row>
    <row r="490" spans="1:22" hidden="1" x14ac:dyDescent="0.45">
      <c r="A490" s="2" t="s">
        <v>319</v>
      </c>
      <c r="B490" s="11">
        <v>45442</v>
      </c>
      <c r="C490" s="2" t="s">
        <v>2012</v>
      </c>
      <c r="D490" s="2" t="s">
        <v>2017</v>
      </c>
      <c r="E490">
        <v>1604.44</v>
      </c>
      <c r="F490">
        <v>97870.84</v>
      </c>
      <c r="G490">
        <v>0</v>
      </c>
      <c r="H490">
        <v>0</v>
      </c>
      <c r="I490" s="2" t="s">
        <v>2022</v>
      </c>
      <c r="J490" s="2" t="s">
        <v>2026</v>
      </c>
      <c r="K490" s="2" t="s">
        <v>2340</v>
      </c>
      <c r="L490" s="2" t="s">
        <v>4035</v>
      </c>
      <c r="M490">
        <v>-1604.44</v>
      </c>
      <c r="N490" s="2" t="s">
        <v>4044</v>
      </c>
      <c r="O490">
        <v>61</v>
      </c>
      <c r="P490">
        <v>-97870.84</v>
      </c>
      <c r="Q490" t="b">
        <v>0</v>
      </c>
      <c r="R490" t="b">
        <v>1</v>
      </c>
      <c r="S490" t="b">
        <v>0</v>
      </c>
      <c r="T490" t="b">
        <v>0</v>
      </c>
      <c r="U490">
        <v>1</v>
      </c>
      <c r="V490" t="s">
        <v>4073</v>
      </c>
    </row>
    <row r="491" spans="1:22" hidden="1" x14ac:dyDescent="0.45">
      <c r="A491" s="2" t="s">
        <v>1438</v>
      </c>
      <c r="B491" s="11">
        <v>45340</v>
      </c>
      <c r="C491" s="2" t="s">
        <v>2013</v>
      </c>
      <c r="D491" s="2" t="s">
        <v>2018</v>
      </c>
      <c r="E491">
        <v>949.79</v>
      </c>
      <c r="F491">
        <v>97828.37</v>
      </c>
      <c r="G491">
        <v>0</v>
      </c>
      <c r="H491">
        <v>0</v>
      </c>
      <c r="I491" s="2" t="s">
        <v>2020</v>
      </c>
      <c r="J491" s="2" t="s">
        <v>2030</v>
      </c>
      <c r="K491" s="2" t="s">
        <v>3459</v>
      </c>
      <c r="L491" s="2" t="s">
        <v>4031</v>
      </c>
      <c r="M491">
        <v>-949.79</v>
      </c>
      <c r="N491" s="2" t="s">
        <v>4044</v>
      </c>
      <c r="O491">
        <v>103</v>
      </c>
      <c r="P491">
        <v>-97828.37</v>
      </c>
      <c r="Q491" t="b">
        <v>1</v>
      </c>
      <c r="R491" t="b">
        <v>0</v>
      </c>
      <c r="S491" t="b">
        <v>0</v>
      </c>
      <c r="T491" t="b">
        <v>0</v>
      </c>
      <c r="U491">
        <v>1</v>
      </c>
      <c r="V491" t="s">
        <v>4073</v>
      </c>
    </row>
    <row r="492" spans="1:22" hidden="1" x14ac:dyDescent="0.45">
      <c r="A492" s="2" t="s">
        <v>1569</v>
      </c>
      <c r="B492" s="11">
        <v>45284</v>
      </c>
      <c r="C492" s="2" t="s">
        <v>2014</v>
      </c>
      <c r="D492" s="2" t="s">
        <v>2019</v>
      </c>
      <c r="E492">
        <v>0</v>
      </c>
      <c r="F492">
        <v>0</v>
      </c>
      <c r="G492">
        <v>573.51</v>
      </c>
      <c r="H492">
        <v>47027.82</v>
      </c>
      <c r="I492" s="2" t="s">
        <v>2024</v>
      </c>
      <c r="J492" s="2" t="s">
        <v>2026</v>
      </c>
      <c r="K492" s="2" t="s">
        <v>3590</v>
      </c>
      <c r="L492" s="2" t="s">
        <v>4034</v>
      </c>
      <c r="M492">
        <v>573.51</v>
      </c>
      <c r="N492" s="2" t="s">
        <v>4042</v>
      </c>
      <c r="O492">
        <v>82</v>
      </c>
      <c r="P492">
        <v>47027.82</v>
      </c>
      <c r="Q492" t="b">
        <v>1</v>
      </c>
      <c r="R492" t="b">
        <v>0</v>
      </c>
      <c r="S492" t="b">
        <v>0</v>
      </c>
      <c r="T492" t="b">
        <v>0</v>
      </c>
      <c r="U492">
        <v>1</v>
      </c>
      <c r="V492" t="s">
        <v>4073</v>
      </c>
    </row>
    <row r="493" spans="1:22" hidden="1" x14ac:dyDescent="0.45">
      <c r="A493" s="2" t="s">
        <v>1610</v>
      </c>
      <c r="B493" s="11">
        <v>45224</v>
      </c>
      <c r="C493" s="2" t="s">
        <v>2013</v>
      </c>
      <c r="D493" s="2" t="s">
        <v>2018</v>
      </c>
      <c r="E493">
        <v>1182.17</v>
      </c>
      <c r="F493">
        <v>96937.94</v>
      </c>
      <c r="G493">
        <v>0</v>
      </c>
      <c r="H493">
        <v>0</v>
      </c>
      <c r="I493" s="2" t="s">
        <v>2024</v>
      </c>
      <c r="J493" s="2" t="s">
        <v>2028</v>
      </c>
      <c r="K493" s="2" t="s">
        <v>3631</v>
      </c>
      <c r="L493" s="2" t="s">
        <v>4034</v>
      </c>
      <c r="M493">
        <v>-1182.17</v>
      </c>
      <c r="N493" s="2" t="s">
        <v>4044</v>
      </c>
      <c r="O493">
        <v>82</v>
      </c>
      <c r="P493">
        <v>-96937.94</v>
      </c>
      <c r="Q493" t="b">
        <v>0</v>
      </c>
      <c r="R493" t="b">
        <v>1</v>
      </c>
      <c r="S493" t="b">
        <v>0</v>
      </c>
      <c r="T493" t="b">
        <v>0</v>
      </c>
      <c r="U493">
        <v>1</v>
      </c>
      <c r="V493" t="s">
        <v>4073</v>
      </c>
    </row>
    <row r="494" spans="1:22" hidden="1" x14ac:dyDescent="0.45">
      <c r="A494" s="2" t="s">
        <v>1183</v>
      </c>
      <c r="B494" s="11">
        <v>45781</v>
      </c>
      <c r="C494" s="2" t="s">
        <v>2012</v>
      </c>
      <c r="D494" s="2" t="s">
        <v>2017</v>
      </c>
      <c r="E494">
        <v>1726.68</v>
      </c>
      <c r="F494">
        <v>96694.080000000002</v>
      </c>
      <c r="G494">
        <v>0</v>
      </c>
      <c r="H494">
        <v>0</v>
      </c>
      <c r="I494" s="2" t="s">
        <v>2024</v>
      </c>
      <c r="J494" s="2" t="s">
        <v>2027</v>
      </c>
      <c r="K494" s="2" t="s">
        <v>3204</v>
      </c>
      <c r="L494" s="2" t="s">
        <v>4033</v>
      </c>
      <c r="M494">
        <v>-1726.68</v>
      </c>
      <c r="N494" s="2" t="s">
        <v>4044</v>
      </c>
      <c r="O494">
        <v>56</v>
      </c>
      <c r="P494">
        <v>-96694.080000000002</v>
      </c>
      <c r="Q494" t="b">
        <v>1</v>
      </c>
      <c r="R494" t="b">
        <v>0</v>
      </c>
      <c r="S494" t="b">
        <v>0</v>
      </c>
      <c r="T494" t="b">
        <v>0</v>
      </c>
      <c r="U494">
        <v>1</v>
      </c>
      <c r="V494" t="s">
        <v>4073</v>
      </c>
    </row>
    <row r="495" spans="1:22" hidden="1" x14ac:dyDescent="0.45">
      <c r="A495" s="2" t="s">
        <v>238</v>
      </c>
      <c r="B495" s="11">
        <v>45822</v>
      </c>
      <c r="C495" s="2" t="s">
        <v>2013</v>
      </c>
      <c r="D495" s="2" t="s">
        <v>2018</v>
      </c>
      <c r="E495">
        <v>581.82000000000005</v>
      </c>
      <c r="F495">
        <v>47709.240000000005</v>
      </c>
      <c r="G495">
        <v>0</v>
      </c>
      <c r="H495">
        <v>0</v>
      </c>
      <c r="I495" s="2" t="s">
        <v>2023</v>
      </c>
      <c r="J495" s="2" t="s">
        <v>2029</v>
      </c>
      <c r="K495" s="2" t="s">
        <v>2259</v>
      </c>
      <c r="L495" s="2" t="s">
        <v>4034</v>
      </c>
      <c r="M495">
        <v>-581.82000000000005</v>
      </c>
      <c r="N495" s="2" t="s">
        <v>4044</v>
      </c>
      <c r="O495">
        <v>82</v>
      </c>
      <c r="P495">
        <v>-47709.240000000005</v>
      </c>
      <c r="Q495" t="b">
        <v>1</v>
      </c>
      <c r="R495" t="b">
        <v>0</v>
      </c>
      <c r="S495" t="b">
        <v>0</v>
      </c>
      <c r="T495" t="b">
        <v>0</v>
      </c>
      <c r="U495">
        <v>1</v>
      </c>
      <c r="V495" t="s">
        <v>4073</v>
      </c>
    </row>
    <row r="496" spans="1:22" hidden="1" x14ac:dyDescent="0.45">
      <c r="A496" s="2" t="s">
        <v>781</v>
      </c>
      <c r="B496" s="11">
        <v>45571</v>
      </c>
      <c r="C496" s="2" t="s">
        <v>2013</v>
      </c>
      <c r="D496" s="2" t="s">
        <v>2018</v>
      </c>
      <c r="E496">
        <v>788.46</v>
      </c>
      <c r="F496">
        <v>48096.060000000005</v>
      </c>
      <c r="G496">
        <v>0</v>
      </c>
      <c r="H496">
        <v>0</v>
      </c>
      <c r="I496" s="2" t="s">
        <v>2024</v>
      </c>
      <c r="J496" s="2" t="s">
        <v>2029</v>
      </c>
      <c r="K496" s="2" t="s">
        <v>2802</v>
      </c>
      <c r="L496" s="2" t="s">
        <v>4035</v>
      </c>
      <c r="M496">
        <v>-788.46</v>
      </c>
      <c r="N496" s="2" t="s">
        <v>4044</v>
      </c>
      <c r="O496">
        <v>61</v>
      </c>
      <c r="P496">
        <v>-48096.060000000005</v>
      </c>
      <c r="Q496" t="b">
        <v>1</v>
      </c>
      <c r="R496" t="b">
        <v>0</v>
      </c>
      <c r="S496" t="b">
        <v>0</v>
      </c>
      <c r="T496" t="b">
        <v>0</v>
      </c>
      <c r="U496">
        <v>1</v>
      </c>
      <c r="V496" t="s">
        <v>4073</v>
      </c>
    </row>
    <row r="497" spans="1:22" hidden="1" x14ac:dyDescent="0.45">
      <c r="A497" s="2" t="s">
        <v>982</v>
      </c>
      <c r="B497" s="11">
        <v>45403</v>
      </c>
      <c r="C497" s="2" t="s">
        <v>2014</v>
      </c>
      <c r="D497" s="2" t="s">
        <v>2019</v>
      </c>
      <c r="E497">
        <v>0</v>
      </c>
      <c r="F497">
        <v>0</v>
      </c>
      <c r="G497">
        <v>546.70000000000005</v>
      </c>
      <c r="H497">
        <v>48109.600000000006</v>
      </c>
      <c r="I497" s="2" t="s">
        <v>2020</v>
      </c>
      <c r="J497" s="2" t="s">
        <v>2030</v>
      </c>
      <c r="K497" s="2" t="s">
        <v>3003</v>
      </c>
      <c r="L497" s="2" t="s">
        <v>4032</v>
      </c>
      <c r="M497">
        <v>546.70000000000005</v>
      </c>
      <c r="N497" s="2" t="s">
        <v>4042</v>
      </c>
      <c r="O497">
        <v>88</v>
      </c>
      <c r="P497">
        <v>48109.600000000006</v>
      </c>
      <c r="Q497" t="b">
        <v>1</v>
      </c>
      <c r="R497" t="b">
        <v>0</v>
      </c>
      <c r="S497" t="b">
        <v>0</v>
      </c>
      <c r="T497" t="b">
        <v>0</v>
      </c>
      <c r="U497">
        <v>1</v>
      </c>
      <c r="V497" t="s">
        <v>4073</v>
      </c>
    </row>
    <row r="498" spans="1:22" hidden="1" x14ac:dyDescent="0.45">
      <c r="A498" s="2" t="s">
        <v>949</v>
      </c>
      <c r="B498" s="11">
        <v>45116</v>
      </c>
      <c r="C498" s="2" t="s">
        <v>2011</v>
      </c>
      <c r="D498" s="2" t="s">
        <v>2016</v>
      </c>
      <c r="E498">
        <v>547.15</v>
      </c>
      <c r="F498">
        <v>48149.2</v>
      </c>
      <c r="G498">
        <v>0</v>
      </c>
      <c r="H498">
        <v>0</v>
      </c>
      <c r="I498" s="2" t="s">
        <v>2020</v>
      </c>
      <c r="J498" s="2" t="s">
        <v>2026</v>
      </c>
      <c r="K498" s="2" t="s">
        <v>2970</v>
      </c>
      <c r="L498" s="2" t="s">
        <v>4032</v>
      </c>
      <c r="M498">
        <v>-547.15</v>
      </c>
      <c r="N498" s="2" t="s">
        <v>2016</v>
      </c>
      <c r="O498">
        <v>88</v>
      </c>
      <c r="P498">
        <v>-48149.2</v>
      </c>
      <c r="Q498" t="b">
        <v>1</v>
      </c>
      <c r="R498" t="b">
        <v>0</v>
      </c>
      <c r="S498" t="b">
        <v>0</v>
      </c>
      <c r="T498" t="b">
        <v>0</v>
      </c>
      <c r="U498">
        <v>1</v>
      </c>
      <c r="V498" t="s">
        <v>4073</v>
      </c>
    </row>
    <row r="499" spans="1:22" hidden="1" x14ac:dyDescent="0.45">
      <c r="A499" s="2" t="s">
        <v>332</v>
      </c>
      <c r="B499" s="11">
        <v>45317</v>
      </c>
      <c r="C499" s="2" t="s">
        <v>2012</v>
      </c>
      <c r="D499" s="2" t="s">
        <v>2017</v>
      </c>
      <c r="E499">
        <v>791.64</v>
      </c>
      <c r="F499">
        <v>48290.04</v>
      </c>
      <c r="G499">
        <v>0</v>
      </c>
      <c r="H499">
        <v>0</v>
      </c>
      <c r="I499" s="2" t="s">
        <v>2024</v>
      </c>
      <c r="J499" s="2" t="s">
        <v>2029</v>
      </c>
      <c r="K499" s="2" t="s">
        <v>2353</v>
      </c>
      <c r="L499" s="2" t="s">
        <v>4035</v>
      </c>
      <c r="M499">
        <v>-791.64</v>
      </c>
      <c r="N499" s="2" t="s">
        <v>4044</v>
      </c>
      <c r="O499">
        <v>61</v>
      </c>
      <c r="P499">
        <v>-48290.04</v>
      </c>
      <c r="Q499" t="b">
        <v>0</v>
      </c>
      <c r="R499" t="b">
        <v>1</v>
      </c>
      <c r="S499" t="b">
        <v>0</v>
      </c>
      <c r="T499" t="b">
        <v>0</v>
      </c>
      <c r="U499">
        <v>1</v>
      </c>
      <c r="V499" t="s">
        <v>4073</v>
      </c>
    </row>
    <row r="500" spans="1:22" hidden="1" x14ac:dyDescent="0.45">
      <c r="A500" s="2" t="s">
        <v>1050</v>
      </c>
      <c r="B500" s="11">
        <v>45195</v>
      </c>
      <c r="C500" s="2" t="s">
        <v>2013</v>
      </c>
      <c r="D500" s="2" t="s">
        <v>2018</v>
      </c>
      <c r="E500">
        <v>1713</v>
      </c>
      <c r="F500">
        <v>95928</v>
      </c>
      <c r="G500">
        <v>0</v>
      </c>
      <c r="H500">
        <v>0</v>
      </c>
      <c r="I500" s="2" t="s">
        <v>2024</v>
      </c>
      <c r="J500" s="2" t="s">
        <v>2029</v>
      </c>
      <c r="K500" s="2" t="s">
        <v>3071</v>
      </c>
      <c r="L500" s="2" t="s">
        <v>4033</v>
      </c>
      <c r="M500">
        <v>-1713</v>
      </c>
      <c r="N500" s="2" t="s">
        <v>4044</v>
      </c>
      <c r="O500">
        <v>56</v>
      </c>
      <c r="P500">
        <v>-95928</v>
      </c>
      <c r="Q500" t="b">
        <v>0</v>
      </c>
      <c r="R500" t="b">
        <v>1</v>
      </c>
      <c r="S500" t="b">
        <v>0</v>
      </c>
      <c r="T500" t="b">
        <v>0</v>
      </c>
      <c r="U500">
        <v>1</v>
      </c>
      <c r="V500" t="s">
        <v>4073</v>
      </c>
    </row>
    <row r="501" spans="1:22" hidden="1" x14ac:dyDescent="0.45">
      <c r="A501" s="2" t="s">
        <v>1771</v>
      </c>
      <c r="B501" s="11">
        <v>45115</v>
      </c>
      <c r="C501" s="2" t="s">
        <v>2011</v>
      </c>
      <c r="D501" s="2" t="s">
        <v>2016</v>
      </c>
      <c r="E501">
        <v>1712.78</v>
      </c>
      <c r="F501">
        <v>95915.68</v>
      </c>
      <c r="G501">
        <v>0</v>
      </c>
      <c r="H501">
        <v>0</v>
      </c>
      <c r="I501" s="2" t="s">
        <v>2022</v>
      </c>
      <c r="J501" s="2" t="s">
        <v>2030</v>
      </c>
      <c r="K501" s="2" t="s">
        <v>3792</v>
      </c>
      <c r="L501" s="2" t="s">
        <v>4033</v>
      </c>
      <c r="M501">
        <v>-1712.78</v>
      </c>
      <c r="N501" s="2" t="s">
        <v>2016</v>
      </c>
      <c r="O501">
        <v>56</v>
      </c>
      <c r="P501">
        <v>-95915.68</v>
      </c>
      <c r="Q501" t="b">
        <v>1</v>
      </c>
      <c r="R501" t="b">
        <v>0</v>
      </c>
      <c r="S501" t="b">
        <v>0</v>
      </c>
      <c r="T501" t="b">
        <v>0</v>
      </c>
      <c r="U501">
        <v>1</v>
      </c>
      <c r="V501" t="s">
        <v>4073</v>
      </c>
    </row>
    <row r="502" spans="1:22" hidden="1" x14ac:dyDescent="0.45">
      <c r="A502" s="2" t="s">
        <v>74</v>
      </c>
      <c r="B502" s="11">
        <v>45172</v>
      </c>
      <c r="C502" s="2" t="s">
        <v>2013</v>
      </c>
      <c r="D502" s="2" t="s">
        <v>2018</v>
      </c>
      <c r="E502">
        <v>793.01</v>
      </c>
      <c r="F502">
        <v>48373.61</v>
      </c>
      <c r="G502">
        <v>0</v>
      </c>
      <c r="H502">
        <v>0</v>
      </c>
      <c r="I502" s="2" t="s">
        <v>2022</v>
      </c>
      <c r="J502" s="2" t="s">
        <v>2030</v>
      </c>
      <c r="K502" s="2" t="s">
        <v>2095</v>
      </c>
      <c r="L502" s="2" t="s">
        <v>4035</v>
      </c>
      <c r="M502">
        <v>-793.01</v>
      </c>
      <c r="N502" s="2" t="s">
        <v>4044</v>
      </c>
      <c r="O502">
        <v>61</v>
      </c>
      <c r="P502">
        <v>-48373.61</v>
      </c>
      <c r="Q502" t="b">
        <v>1</v>
      </c>
      <c r="R502" t="b">
        <v>0</v>
      </c>
      <c r="S502" t="b">
        <v>0</v>
      </c>
      <c r="T502" t="b">
        <v>0</v>
      </c>
      <c r="U502">
        <v>1</v>
      </c>
      <c r="V502" t="s">
        <v>4073</v>
      </c>
    </row>
    <row r="503" spans="1:22" hidden="1" x14ac:dyDescent="0.45">
      <c r="A503" s="2" t="s">
        <v>42</v>
      </c>
      <c r="B503" s="11">
        <v>44941</v>
      </c>
      <c r="C503" s="2" t="s">
        <v>2014</v>
      </c>
      <c r="D503" s="2" t="s">
        <v>2019</v>
      </c>
      <c r="E503">
        <v>0</v>
      </c>
      <c r="F503">
        <v>0</v>
      </c>
      <c r="G503">
        <v>867.61</v>
      </c>
      <c r="H503">
        <v>48586.16</v>
      </c>
      <c r="I503" s="2" t="s">
        <v>2022</v>
      </c>
      <c r="J503" s="2" t="s">
        <v>2026</v>
      </c>
      <c r="K503" s="2" t="s">
        <v>2063</v>
      </c>
      <c r="L503" s="2" t="s">
        <v>4033</v>
      </c>
      <c r="M503">
        <v>867.61</v>
      </c>
      <c r="N503" s="2" t="s">
        <v>4042</v>
      </c>
      <c r="O503">
        <v>56</v>
      </c>
      <c r="P503">
        <v>48586.16</v>
      </c>
      <c r="Q503" t="b">
        <v>1</v>
      </c>
      <c r="R503" t="b">
        <v>0</v>
      </c>
      <c r="S503" t="b">
        <v>0</v>
      </c>
      <c r="T503" t="b">
        <v>0</v>
      </c>
      <c r="U503">
        <v>1</v>
      </c>
      <c r="V503" t="s">
        <v>4073</v>
      </c>
    </row>
    <row r="504" spans="1:22" hidden="1" x14ac:dyDescent="0.45">
      <c r="A504" s="2" t="s">
        <v>71</v>
      </c>
      <c r="B504" s="11">
        <v>45465</v>
      </c>
      <c r="C504" s="2" t="s">
        <v>2012</v>
      </c>
      <c r="D504" s="2" t="s">
        <v>2017</v>
      </c>
      <c r="E504">
        <v>1704.76</v>
      </c>
      <c r="F504">
        <v>95466.559999999998</v>
      </c>
      <c r="G504">
        <v>0</v>
      </c>
      <c r="H504">
        <v>0</v>
      </c>
      <c r="I504" s="2" t="s">
        <v>2023</v>
      </c>
      <c r="J504" s="2" t="s">
        <v>2027</v>
      </c>
      <c r="K504" s="2" t="s">
        <v>2092</v>
      </c>
      <c r="L504" s="2" t="s">
        <v>4033</v>
      </c>
      <c r="M504">
        <v>-1704.76</v>
      </c>
      <c r="N504" s="2" t="s">
        <v>4044</v>
      </c>
      <c r="O504">
        <v>56</v>
      </c>
      <c r="P504">
        <v>-95466.559999999998</v>
      </c>
      <c r="Q504" t="b">
        <v>1</v>
      </c>
      <c r="R504" t="b">
        <v>0</v>
      </c>
      <c r="S504" t="b">
        <v>0</v>
      </c>
      <c r="T504" t="b">
        <v>0</v>
      </c>
      <c r="U504">
        <v>1</v>
      </c>
      <c r="V504" t="s">
        <v>4073</v>
      </c>
    </row>
    <row r="505" spans="1:22" hidden="1" x14ac:dyDescent="0.45">
      <c r="A505" s="2" t="s">
        <v>1789</v>
      </c>
      <c r="B505" s="11">
        <v>45542</v>
      </c>
      <c r="C505" s="2" t="s">
        <v>2012</v>
      </c>
      <c r="D505" s="2" t="s">
        <v>2017</v>
      </c>
      <c r="E505">
        <v>1164.05</v>
      </c>
      <c r="F505">
        <v>95452.099999999991</v>
      </c>
      <c r="G505">
        <v>0</v>
      </c>
      <c r="H505">
        <v>0</v>
      </c>
      <c r="I505" s="2" t="s">
        <v>2025</v>
      </c>
      <c r="J505" s="2" t="s">
        <v>2026</v>
      </c>
      <c r="K505" s="2" t="s">
        <v>3810</v>
      </c>
      <c r="L505" s="2" t="s">
        <v>4034</v>
      </c>
      <c r="M505">
        <v>-1164.05</v>
      </c>
      <c r="N505" s="2" t="s">
        <v>4044</v>
      </c>
      <c r="O505">
        <v>82</v>
      </c>
      <c r="P505">
        <v>-95452.099999999991</v>
      </c>
      <c r="Q505" t="b">
        <v>1</v>
      </c>
      <c r="R505" t="b">
        <v>0</v>
      </c>
      <c r="S505" t="b">
        <v>0</v>
      </c>
      <c r="T505" t="b">
        <v>0</v>
      </c>
      <c r="U505">
        <v>1</v>
      </c>
      <c r="V505" t="s">
        <v>4073</v>
      </c>
    </row>
    <row r="506" spans="1:22" hidden="1" x14ac:dyDescent="0.45">
      <c r="A506" s="2" t="s">
        <v>1364</v>
      </c>
      <c r="B506" s="11">
        <v>45795</v>
      </c>
      <c r="C506" s="2" t="s">
        <v>2013</v>
      </c>
      <c r="D506" s="2" t="s">
        <v>2018</v>
      </c>
      <c r="E506">
        <v>1564.19</v>
      </c>
      <c r="F506">
        <v>95415.59</v>
      </c>
      <c r="G506">
        <v>0</v>
      </c>
      <c r="H506">
        <v>0</v>
      </c>
      <c r="I506" s="2" t="s">
        <v>2020</v>
      </c>
      <c r="J506" s="2" t="s">
        <v>2029</v>
      </c>
      <c r="K506" s="2" t="s">
        <v>3385</v>
      </c>
      <c r="L506" s="2" t="s">
        <v>4035</v>
      </c>
      <c r="M506">
        <v>-1564.19</v>
      </c>
      <c r="N506" s="2" t="s">
        <v>4044</v>
      </c>
      <c r="O506">
        <v>61</v>
      </c>
      <c r="P506">
        <v>-95415.59</v>
      </c>
      <c r="Q506" t="b">
        <v>1</v>
      </c>
      <c r="R506" t="b">
        <v>0</v>
      </c>
      <c r="S506" t="b">
        <v>0</v>
      </c>
      <c r="T506" t="b">
        <v>0</v>
      </c>
      <c r="U506">
        <v>1</v>
      </c>
      <c r="V506" t="s">
        <v>4073</v>
      </c>
    </row>
    <row r="507" spans="1:22" hidden="1" x14ac:dyDescent="0.45">
      <c r="A507" s="2" t="s">
        <v>1997</v>
      </c>
      <c r="B507" s="11">
        <v>45747</v>
      </c>
      <c r="C507" s="2" t="s">
        <v>2011</v>
      </c>
      <c r="D507" s="2" t="s">
        <v>2016</v>
      </c>
      <c r="E507">
        <v>798.68</v>
      </c>
      <c r="F507">
        <v>48719.479999999996</v>
      </c>
      <c r="G507">
        <v>0</v>
      </c>
      <c r="H507">
        <v>0</v>
      </c>
      <c r="I507" s="2" t="s">
        <v>2023</v>
      </c>
      <c r="J507" s="2" t="s">
        <v>2026</v>
      </c>
      <c r="K507" s="2" t="s">
        <v>4018</v>
      </c>
      <c r="L507" s="2" t="s">
        <v>4035</v>
      </c>
      <c r="M507">
        <v>-798.68</v>
      </c>
      <c r="N507" s="2" t="s">
        <v>2016</v>
      </c>
      <c r="O507">
        <v>61</v>
      </c>
      <c r="P507">
        <v>-48719.479999999996</v>
      </c>
      <c r="Q507" t="b">
        <v>0</v>
      </c>
      <c r="R507" t="b">
        <v>1</v>
      </c>
      <c r="S507" t="b">
        <v>0</v>
      </c>
      <c r="T507" t="b">
        <v>0</v>
      </c>
      <c r="U507">
        <v>1</v>
      </c>
      <c r="V507" t="s">
        <v>4073</v>
      </c>
    </row>
    <row r="508" spans="1:22" hidden="1" x14ac:dyDescent="0.45">
      <c r="A508" s="2" t="s">
        <v>1363</v>
      </c>
      <c r="B508" s="11">
        <v>45838</v>
      </c>
      <c r="C508" s="2" t="s">
        <v>2013</v>
      </c>
      <c r="D508" s="2" t="s">
        <v>2018</v>
      </c>
      <c r="E508">
        <v>803.03</v>
      </c>
      <c r="F508">
        <v>48984.83</v>
      </c>
      <c r="G508">
        <v>0</v>
      </c>
      <c r="H508">
        <v>0</v>
      </c>
      <c r="I508" s="2" t="s">
        <v>2024</v>
      </c>
      <c r="J508" s="2" t="s">
        <v>2029</v>
      </c>
      <c r="K508" s="2" t="s">
        <v>3384</v>
      </c>
      <c r="L508" s="2" t="s">
        <v>4035</v>
      </c>
      <c r="M508">
        <v>-803.03</v>
      </c>
      <c r="N508" s="2" t="s">
        <v>4044</v>
      </c>
      <c r="O508">
        <v>61</v>
      </c>
      <c r="P508">
        <v>-48984.83</v>
      </c>
      <c r="Q508" t="b">
        <v>0</v>
      </c>
      <c r="R508" t="b">
        <v>1</v>
      </c>
      <c r="S508" t="b">
        <v>0</v>
      </c>
      <c r="T508" t="b">
        <v>0</v>
      </c>
      <c r="U508">
        <v>1</v>
      </c>
      <c r="V508" t="s">
        <v>4073</v>
      </c>
    </row>
    <row r="509" spans="1:22" hidden="1" x14ac:dyDescent="0.45">
      <c r="A509" s="2" t="s">
        <v>837</v>
      </c>
      <c r="B509" s="11">
        <v>45016</v>
      </c>
      <c r="C509" s="2" t="s">
        <v>2010</v>
      </c>
      <c r="D509" s="2" t="s">
        <v>2015</v>
      </c>
      <c r="E509">
        <v>0</v>
      </c>
      <c r="F509">
        <v>0</v>
      </c>
      <c r="G509">
        <v>1067.43</v>
      </c>
      <c r="H509">
        <v>93933.840000000011</v>
      </c>
      <c r="I509" s="2" t="s">
        <v>2025</v>
      </c>
      <c r="J509" s="2" t="s">
        <v>2026</v>
      </c>
      <c r="K509" s="2" t="s">
        <v>2858</v>
      </c>
      <c r="L509" s="2" t="s">
        <v>4032</v>
      </c>
      <c r="M509">
        <v>1067.43</v>
      </c>
      <c r="N509" s="2" t="s">
        <v>4042</v>
      </c>
      <c r="O509">
        <v>88</v>
      </c>
      <c r="P509">
        <v>93933.840000000011</v>
      </c>
      <c r="Q509" t="b">
        <v>0</v>
      </c>
      <c r="R509" t="b">
        <v>1</v>
      </c>
      <c r="S509" t="b">
        <v>0</v>
      </c>
      <c r="T509" t="b">
        <v>0</v>
      </c>
      <c r="U509">
        <v>1</v>
      </c>
      <c r="V509" t="s">
        <v>4073</v>
      </c>
    </row>
    <row r="510" spans="1:22" hidden="1" x14ac:dyDescent="0.45">
      <c r="A510" s="2" t="s">
        <v>1711</v>
      </c>
      <c r="B510" s="11">
        <v>45657</v>
      </c>
      <c r="C510" s="2" t="s">
        <v>2011</v>
      </c>
      <c r="D510" s="2" t="s">
        <v>2016</v>
      </c>
      <c r="E510">
        <v>1143.22</v>
      </c>
      <c r="F510">
        <v>93744.040000000008</v>
      </c>
      <c r="G510">
        <v>0</v>
      </c>
      <c r="H510">
        <v>0</v>
      </c>
      <c r="I510" s="2" t="s">
        <v>2022</v>
      </c>
      <c r="J510" s="2" t="s">
        <v>2029</v>
      </c>
      <c r="K510" s="2" t="s">
        <v>3732</v>
      </c>
      <c r="L510" s="2" t="s">
        <v>4034</v>
      </c>
      <c r="M510">
        <v>-1143.22</v>
      </c>
      <c r="N510" s="2" t="s">
        <v>2016</v>
      </c>
      <c r="O510">
        <v>82</v>
      </c>
      <c r="P510">
        <v>-93744.040000000008</v>
      </c>
      <c r="Q510" t="b">
        <v>0</v>
      </c>
      <c r="R510" t="b">
        <v>1</v>
      </c>
      <c r="S510" t="b">
        <v>0</v>
      </c>
      <c r="T510" t="b">
        <v>0</v>
      </c>
      <c r="U510">
        <v>1</v>
      </c>
      <c r="V510" t="s">
        <v>4073</v>
      </c>
    </row>
    <row r="511" spans="1:22" hidden="1" x14ac:dyDescent="0.45">
      <c r="A511" s="2" t="s">
        <v>1482</v>
      </c>
      <c r="B511" s="11">
        <v>45234</v>
      </c>
      <c r="C511" s="2" t="s">
        <v>2010</v>
      </c>
      <c r="D511" s="2" t="s">
        <v>2015</v>
      </c>
      <c r="E511">
        <v>0</v>
      </c>
      <c r="F511">
        <v>0</v>
      </c>
      <c r="G511">
        <v>1063.56</v>
      </c>
      <c r="H511">
        <v>93593.279999999999</v>
      </c>
      <c r="I511" s="2" t="s">
        <v>2024</v>
      </c>
      <c r="J511" s="2" t="s">
        <v>2030</v>
      </c>
      <c r="K511" s="2" t="s">
        <v>3503</v>
      </c>
      <c r="L511" s="2" t="s">
        <v>4032</v>
      </c>
      <c r="M511">
        <v>1063.56</v>
      </c>
      <c r="N511" s="2" t="s">
        <v>4042</v>
      </c>
      <c r="O511">
        <v>88</v>
      </c>
      <c r="P511">
        <v>93593.279999999999</v>
      </c>
      <c r="Q511" t="b">
        <v>1</v>
      </c>
      <c r="R511" t="b">
        <v>0</v>
      </c>
      <c r="S511" t="b">
        <v>0</v>
      </c>
      <c r="T511" t="b">
        <v>0</v>
      </c>
      <c r="U511">
        <v>1</v>
      </c>
      <c r="V511" t="s">
        <v>4073</v>
      </c>
    </row>
    <row r="512" spans="1:22" hidden="1" x14ac:dyDescent="0.45">
      <c r="A512" s="2" t="s">
        <v>1489</v>
      </c>
      <c r="B512" s="11">
        <v>45794</v>
      </c>
      <c r="C512" s="2" t="s">
        <v>2012</v>
      </c>
      <c r="D512" s="2" t="s">
        <v>2017</v>
      </c>
      <c r="E512">
        <v>1615.35</v>
      </c>
      <c r="F512">
        <v>98536.349999999991</v>
      </c>
      <c r="G512">
        <v>0</v>
      </c>
      <c r="H512">
        <v>0</v>
      </c>
      <c r="I512" s="2" t="s">
        <v>2022</v>
      </c>
      <c r="J512" s="2" t="s">
        <v>2026</v>
      </c>
      <c r="K512" s="2" t="s">
        <v>3510</v>
      </c>
      <c r="L512" s="2" t="s">
        <v>4035</v>
      </c>
      <c r="M512">
        <v>-1615.35</v>
      </c>
      <c r="N512" s="2" t="s">
        <v>4044</v>
      </c>
      <c r="O512">
        <v>61</v>
      </c>
      <c r="P512">
        <v>-98536.349999999991</v>
      </c>
      <c r="Q512" t="b">
        <v>1</v>
      </c>
      <c r="R512" t="b">
        <v>0</v>
      </c>
      <c r="S512" t="b">
        <v>0</v>
      </c>
      <c r="T512" t="b">
        <v>0</v>
      </c>
      <c r="U512">
        <v>1</v>
      </c>
      <c r="V512" t="s">
        <v>4073</v>
      </c>
    </row>
    <row r="513" spans="1:22" hidden="1" x14ac:dyDescent="0.45">
      <c r="A513" s="2" t="s">
        <v>1643</v>
      </c>
      <c r="B513" s="11">
        <v>44952</v>
      </c>
      <c r="C513" s="2" t="s">
        <v>2012</v>
      </c>
      <c r="D513" s="2" t="s">
        <v>2017</v>
      </c>
      <c r="E513">
        <v>882.2</v>
      </c>
      <c r="F513">
        <v>49403.200000000004</v>
      </c>
      <c r="G513">
        <v>0</v>
      </c>
      <c r="H513">
        <v>0</v>
      </c>
      <c r="I513" s="2" t="s">
        <v>2023</v>
      </c>
      <c r="J513" s="2" t="s">
        <v>2030</v>
      </c>
      <c r="K513" s="2" t="s">
        <v>3664</v>
      </c>
      <c r="L513" s="2" t="s">
        <v>4033</v>
      </c>
      <c r="M513">
        <v>-882.2</v>
      </c>
      <c r="N513" s="2" t="s">
        <v>4044</v>
      </c>
      <c r="O513">
        <v>56</v>
      </c>
      <c r="P513">
        <v>-49403.200000000004</v>
      </c>
      <c r="Q513" t="b">
        <v>0</v>
      </c>
      <c r="R513" t="b">
        <v>1</v>
      </c>
      <c r="S513" t="b">
        <v>0</v>
      </c>
      <c r="T513" t="b">
        <v>0</v>
      </c>
      <c r="U513">
        <v>1</v>
      </c>
      <c r="V513" t="s">
        <v>4073</v>
      </c>
    </row>
    <row r="514" spans="1:22" hidden="1" x14ac:dyDescent="0.45">
      <c r="A514" s="2" t="s">
        <v>502</v>
      </c>
      <c r="B514" s="11">
        <v>45741</v>
      </c>
      <c r="C514" s="2" t="s">
        <v>2010</v>
      </c>
      <c r="D514" s="2" t="s">
        <v>2015</v>
      </c>
      <c r="E514">
        <v>0</v>
      </c>
      <c r="F514">
        <v>0</v>
      </c>
      <c r="G514">
        <v>1615.42</v>
      </c>
      <c r="H514">
        <v>98540.62000000001</v>
      </c>
      <c r="I514" s="2" t="s">
        <v>2023</v>
      </c>
      <c r="J514" s="2" t="s">
        <v>2027</v>
      </c>
      <c r="K514" s="2" t="s">
        <v>2523</v>
      </c>
      <c r="L514" s="2" t="s">
        <v>4035</v>
      </c>
      <c r="M514">
        <v>1615.42</v>
      </c>
      <c r="N514" s="2" t="s">
        <v>4042</v>
      </c>
      <c r="O514">
        <v>61</v>
      </c>
      <c r="P514">
        <v>98540.62000000001</v>
      </c>
      <c r="Q514" t="b">
        <v>0</v>
      </c>
      <c r="R514" t="b">
        <v>1</v>
      </c>
      <c r="S514" t="b">
        <v>0</v>
      </c>
      <c r="T514" t="b">
        <v>0</v>
      </c>
      <c r="U514">
        <v>1</v>
      </c>
      <c r="V514" t="s">
        <v>4073</v>
      </c>
    </row>
    <row r="515" spans="1:22" hidden="1" x14ac:dyDescent="0.45">
      <c r="A515" s="2" t="s">
        <v>1132</v>
      </c>
      <c r="B515" s="11">
        <v>45122</v>
      </c>
      <c r="C515" s="2" t="s">
        <v>2014</v>
      </c>
      <c r="D515" s="2" t="s">
        <v>2019</v>
      </c>
      <c r="E515">
        <v>0</v>
      </c>
      <c r="F515">
        <v>0</v>
      </c>
      <c r="G515">
        <v>760.5</v>
      </c>
      <c r="H515">
        <v>46390.5</v>
      </c>
      <c r="I515" s="2" t="s">
        <v>2023</v>
      </c>
      <c r="J515" s="2" t="s">
        <v>2028</v>
      </c>
      <c r="K515" s="2" t="s">
        <v>3153</v>
      </c>
      <c r="L515" s="2" t="s">
        <v>4035</v>
      </c>
      <c r="M515">
        <v>760.5</v>
      </c>
      <c r="N515" s="2" t="s">
        <v>4042</v>
      </c>
      <c r="O515">
        <v>61</v>
      </c>
      <c r="P515">
        <v>46390.5</v>
      </c>
      <c r="Q515" t="b">
        <v>1</v>
      </c>
      <c r="R515" t="b">
        <v>0</v>
      </c>
      <c r="S515" t="b">
        <v>0</v>
      </c>
      <c r="T515" t="b">
        <v>0</v>
      </c>
      <c r="U515">
        <v>1</v>
      </c>
      <c r="V515" t="s">
        <v>4073</v>
      </c>
    </row>
    <row r="516" spans="1:22" hidden="1" x14ac:dyDescent="0.45">
      <c r="A516" s="2" t="s">
        <v>499</v>
      </c>
      <c r="B516" s="11">
        <v>45132</v>
      </c>
      <c r="C516" s="2" t="s">
        <v>2012</v>
      </c>
      <c r="D516" s="2" t="s">
        <v>2017</v>
      </c>
      <c r="E516">
        <v>1840.05</v>
      </c>
      <c r="F516">
        <v>103042.8</v>
      </c>
      <c r="G516">
        <v>0</v>
      </c>
      <c r="H516">
        <v>0</v>
      </c>
      <c r="I516" s="2" t="s">
        <v>2020</v>
      </c>
      <c r="J516" s="2" t="s">
        <v>2026</v>
      </c>
      <c r="K516" s="2" t="s">
        <v>2520</v>
      </c>
      <c r="L516" s="2" t="s">
        <v>4033</v>
      </c>
      <c r="M516">
        <v>-1840.05</v>
      </c>
      <c r="N516" s="2" t="s">
        <v>4044</v>
      </c>
      <c r="O516">
        <v>56</v>
      </c>
      <c r="P516">
        <v>-103042.8</v>
      </c>
      <c r="Q516" t="b">
        <v>0</v>
      </c>
      <c r="R516" t="b">
        <v>1</v>
      </c>
      <c r="S516" t="b">
        <v>0</v>
      </c>
      <c r="T516" t="b">
        <v>0</v>
      </c>
      <c r="U516">
        <v>1</v>
      </c>
      <c r="V516" t="s">
        <v>4073</v>
      </c>
    </row>
    <row r="517" spans="1:22" hidden="1" x14ac:dyDescent="0.45">
      <c r="A517" s="2" t="s">
        <v>1129</v>
      </c>
      <c r="B517" s="11">
        <v>45135</v>
      </c>
      <c r="C517" s="2" t="s">
        <v>2013</v>
      </c>
      <c r="D517" s="2" t="s">
        <v>2018</v>
      </c>
      <c r="E517">
        <v>1687.08</v>
      </c>
      <c r="F517">
        <v>102911.87999999999</v>
      </c>
      <c r="G517">
        <v>0</v>
      </c>
      <c r="H517">
        <v>0</v>
      </c>
      <c r="I517" s="2" t="s">
        <v>2025</v>
      </c>
      <c r="J517" s="2" t="s">
        <v>2029</v>
      </c>
      <c r="K517" s="2" t="s">
        <v>3150</v>
      </c>
      <c r="L517" s="2" t="s">
        <v>4035</v>
      </c>
      <c r="M517">
        <v>-1687.08</v>
      </c>
      <c r="N517" s="2" t="s">
        <v>4044</v>
      </c>
      <c r="O517">
        <v>61</v>
      </c>
      <c r="P517">
        <v>-102911.87999999999</v>
      </c>
      <c r="Q517" t="b">
        <v>0</v>
      </c>
      <c r="R517" t="b">
        <v>1</v>
      </c>
      <c r="S517" t="b">
        <v>0</v>
      </c>
      <c r="T517" t="b">
        <v>0</v>
      </c>
      <c r="U517">
        <v>1</v>
      </c>
      <c r="V517" t="s">
        <v>4073</v>
      </c>
    </row>
    <row r="518" spans="1:22" hidden="1" x14ac:dyDescent="0.45">
      <c r="A518" s="2" t="s">
        <v>841</v>
      </c>
      <c r="B518" s="11">
        <v>45134</v>
      </c>
      <c r="C518" s="2" t="s">
        <v>2011</v>
      </c>
      <c r="D518" s="2" t="s">
        <v>2016</v>
      </c>
      <c r="E518">
        <v>543</v>
      </c>
      <c r="F518">
        <v>44526</v>
      </c>
      <c r="G518">
        <v>0</v>
      </c>
      <c r="H518">
        <v>0</v>
      </c>
      <c r="I518" s="2" t="s">
        <v>2022</v>
      </c>
      <c r="J518" s="2" t="s">
        <v>2027</v>
      </c>
      <c r="K518" s="2" t="s">
        <v>2862</v>
      </c>
      <c r="L518" s="2" t="s">
        <v>4034</v>
      </c>
      <c r="M518">
        <v>-543</v>
      </c>
      <c r="N518" s="2" t="s">
        <v>2016</v>
      </c>
      <c r="O518">
        <v>82</v>
      </c>
      <c r="P518">
        <v>-44526</v>
      </c>
      <c r="Q518" t="b">
        <v>0</v>
      </c>
      <c r="R518" t="b">
        <v>1</v>
      </c>
      <c r="S518" t="b">
        <v>0</v>
      </c>
      <c r="T518" t="b">
        <v>0</v>
      </c>
      <c r="U518">
        <v>1</v>
      </c>
      <c r="V518" t="s">
        <v>4073</v>
      </c>
    </row>
    <row r="519" spans="1:22" hidden="1" x14ac:dyDescent="0.45">
      <c r="A519" s="2" t="s">
        <v>28</v>
      </c>
      <c r="B519" s="11">
        <v>44953</v>
      </c>
      <c r="C519" s="2" t="s">
        <v>2013</v>
      </c>
      <c r="D519" s="2" t="s">
        <v>2018</v>
      </c>
      <c r="E519">
        <v>735.45</v>
      </c>
      <c r="F519">
        <v>44862.450000000004</v>
      </c>
      <c r="G519">
        <v>0</v>
      </c>
      <c r="H519">
        <v>0</v>
      </c>
      <c r="I519" s="2" t="s">
        <v>2022</v>
      </c>
      <c r="J519" s="2" t="s">
        <v>2030</v>
      </c>
      <c r="K519" s="2" t="s">
        <v>2049</v>
      </c>
      <c r="L519" s="2" t="s">
        <v>4035</v>
      </c>
      <c r="M519">
        <v>-735.45</v>
      </c>
      <c r="N519" s="2" t="s">
        <v>4044</v>
      </c>
      <c r="O519">
        <v>61</v>
      </c>
      <c r="P519">
        <v>-44862.450000000004</v>
      </c>
      <c r="Q519" t="b">
        <v>0</v>
      </c>
      <c r="R519" t="b">
        <v>1</v>
      </c>
      <c r="S519" t="b">
        <v>0</v>
      </c>
      <c r="T519" t="b">
        <v>0</v>
      </c>
      <c r="U519">
        <v>1</v>
      </c>
      <c r="V519" t="s">
        <v>4073</v>
      </c>
    </row>
    <row r="520" spans="1:22" hidden="1" x14ac:dyDescent="0.45">
      <c r="A520" s="2" t="s">
        <v>378</v>
      </c>
      <c r="B520" s="11">
        <v>44934</v>
      </c>
      <c r="C520" s="2" t="s">
        <v>2010</v>
      </c>
      <c r="D520" s="2" t="s">
        <v>2015</v>
      </c>
      <c r="E520">
        <v>0</v>
      </c>
      <c r="F520">
        <v>0</v>
      </c>
      <c r="G520">
        <v>1158.73</v>
      </c>
      <c r="H520">
        <v>101968.24</v>
      </c>
      <c r="I520" s="2" t="s">
        <v>2025</v>
      </c>
      <c r="J520" s="2" t="s">
        <v>2026</v>
      </c>
      <c r="K520" s="2" t="s">
        <v>2399</v>
      </c>
      <c r="L520" s="2" t="s">
        <v>4032</v>
      </c>
      <c r="M520">
        <v>1158.73</v>
      </c>
      <c r="N520" s="2" t="s">
        <v>4042</v>
      </c>
      <c r="O520">
        <v>88</v>
      </c>
      <c r="P520">
        <v>101968.24</v>
      </c>
      <c r="Q520" t="b">
        <v>1</v>
      </c>
      <c r="R520" t="b">
        <v>0</v>
      </c>
      <c r="S520" t="b">
        <v>0</v>
      </c>
      <c r="T520" t="b">
        <v>0</v>
      </c>
      <c r="U520">
        <v>1</v>
      </c>
      <c r="V520" t="s">
        <v>4073</v>
      </c>
    </row>
    <row r="521" spans="1:22" hidden="1" x14ac:dyDescent="0.45">
      <c r="A521" s="2" t="s">
        <v>1237</v>
      </c>
      <c r="B521" s="11">
        <v>45690</v>
      </c>
      <c r="C521" s="2" t="s">
        <v>2011</v>
      </c>
      <c r="D521" s="2" t="s">
        <v>2016</v>
      </c>
      <c r="E521">
        <v>1242.6500000000001</v>
      </c>
      <c r="F521">
        <v>101897.3</v>
      </c>
      <c r="G521">
        <v>0</v>
      </c>
      <c r="H521">
        <v>0</v>
      </c>
      <c r="I521" s="2" t="s">
        <v>2024</v>
      </c>
      <c r="J521" s="2" t="s">
        <v>2029</v>
      </c>
      <c r="K521" s="2" t="s">
        <v>3258</v>
      </c>
      <c r="L521" s="2" t="s">
        <v>4034</v>
      </c>
      <c r="M521">
        <v>-1242.6500000000001</v>
      </c>
      <c r="N521" s="2" t="s">
        <v>2016</v>
      </c>
      <c r="O521">
        <v>82</v>
      </c>
      <c r="P521">
        <v>-101897.3</v>
      </c>
      <c r="Q521" t="b">
        <v>1</v>
      </c>
      <c r="R521" t="b">
        <v>0</v>
      </c>
      <c r="S521" t="b">
        <v>0</v>
      </c>
      <c r="T521" t="b">
        <v>0</v>
      </c>
      <c r="U521">
        <v>1</v>
      </c>
      <c r="V521" t="s">
        <v>4073</v>
      </c>
    </row>
    <row r="522" spans="1:22" hidden="1" x14ac:dyDescent="0.45">
      <c r="A522" s="2" t="s">
        <v>1546</v>
      </c>
      <c r="B522" s="11">
        <v>45465</v>
      </c>
      <c r="C522" s="2" t="s">
        <v>2011</v>
      </c>
      <c r="D522" s="2" t="s">
        <v>2016</v>
      </c>
      <c r="E522">
        <v>982.03</v>
      </c>
      <c r="F522">
        <v>101149.09</v>
      </c>
      <c r="G522">
        <v>0</v>
      </c>
      <c r="H522">
        <v>0</v>
      </c>
      <c r="I522" s="2" t="s">
        <v>2024</v>
      </c>
      <c r="J522" s="2" t="s">
        <v>2030</v>
      </c>
      <c r="K522" s="2" t="s">
        <v>3567</v>
      </c>
      <c r="L522" s="2" t="s">
        <v>4031</v>
      </c>
      <c r="M522">
        <v>-982.03</v>
      </c>
      <c r="N522" s="2" t="s">
        <v>2016</v>
      </c>
      <c r="O522">
        <v>103</v>
      </c>
      <c r="P522">
        <v>-101149.09</v>
      </c>
      <c r="Q522" t="b">
        <v>1</v>
      </c>
      <c r="R522" t="b">
        <v>0</v>
      </c>
      <c r="S522" t="b">
        <v>0</v>
      </c>
      <c r="T522" t="b">
        <v>0</v>
      </c>
      <c r="U522">
        <v>1</v>
      </c>
      <c r="V522" t="s">
        <v>4073</v>
      </c>
    </row>
    <row r="523" spans="1:22" hidden="1" x14ac:dyDescent="0.45">
      <c r="A523" s="2" t="s">
        <v>1756</v>
      </c>
      <c r="B523" s="11">
        <v>45066</v>
      </c>
      <c r="C523" s="2" t="s">
        <v>2014</v>
      </c>
      <c r="D523" s="2" t="s">
        <v>2019</v>
      </c>
      <c r="E523">
        <v>0</v>
      </c>
      <c r="F523">
        <v>0</v>
      </c>
      <c r="G523">
        <v>1658.15</v>
      </c>
      <c r="H523">
        <v>101147.15000000001</v>
      </c>
      <c r="I523" s="2" t="s">
        <v>2025</v>
      </c>
      <c r="J523" s="2" t="s">
        <v>2028</v>
      </c>
      <c r="K523" s="2" t="s">
        <v>3777</v>
      </c>
      <c r="L523" s="2" t="s">
        <v>4035</v>
      </c>
      <c r="M523">
        <v>1658.15</v>
      </c>
      <c r="N523" s="2" t="s">
        <v>4042</v>
      </c>
      <c r="O523">
        <v>61</v>
      </c>
      <c r="P523">
        <v>101147.15000000001</v>
      </c>
      <c r="Q523" t="b">
        <v>1</v>
      </c>
      <c r="R523" t="b">
        <v>0</v>
      </c>
      <c r="S523" t="b">
        <v>0</v>
      </c>
      <c r="T523" t="b">
        <v>0</v>
      </c>
      <c r="U523">
        <v>1</v>
      </c>
      <c r="V523" t="s">
        <v>4073</v>
      </c>
    </row>
    <row r="524" spans="1:22" hidden="1" x14ac:dyDescent="0.45">
      <c r="A524" s="2" t="s">
        <v>326</v>
      </c>
      <c r="B524" s="11">
        <v>45263</v>
      </c>
      <c r="C524" s="2" t="s">
        <v>2010</v>
      </c>
      <c r="D524" s="2" t="s">
        <v>2015</v>
      </c>
      <c r="E524">
        <v>0</v>
      </c>
      <c r="F524">
        <v>0</v>
      </c>
      <c r="G524">
        <v>1228</v>
      </c>
      <c r="H524">
        <v>100696</v>
      </c>
      <c r="I524" s="2" t="s">
        <v>2024</v>
      </c>
      <c r="J524" s="2" t="s">
        <v>2026</v>
      </c>
      <c r="K524" s="2" t="s">
        <v>2347</v>
      </c>
      <c r="L524" s="2" t="s">
        <v>4034</v>
      </c>
      <c r="M524">
        <v>1228</v>
      </c>
      <c r="N524" s="2" t="s">
        <v>4042</v>
      </c>
      <c r="O524">
        <v>82</v>
      </c>
      <c r="P524">
        <v>100696</v>
      </c>
      <c r="Q524" t="b">
        <v>1</v>
      </c>
      <c r="R524" t="b">
        <v>0</v>
      </c>
      <c r="S524" t="b">
        <v>0</v>
      </c>
      <c r="T524" t="b">
        <v>0</v>
      </c>
      <c r="U524">
        <v>1</v>
      </c>
      <c r="V524" t="s">
        <v>4073</v>
      </c>
    </row>
    <row r="525" spans="1:22" hidden="1" x14ac:dyDescent="0.45">
      <c r="A525" s="2" t="s">
        <v>151</v>
      </c>
      <c r="B525" s="11">
        <v>45285</v>
      </c>
      <c r="C525" s="2" t="s">
        <v>2013</v>
      </c>
      <c r="D525" s="2" t="s">
        <v>2018</v>
      </c>
      <c r="E525">
        <v>1650.46</v>
      </c>
      <c r="F525">
        <v>100678.06</v>
      </c>
      <c r="G525">
        <v>0</v>
      </c>
      <c r="H525">
        <v>0</v>
      </c>
      <c r="I525" s="2" t="s">
        <v>2023</v>
      </c>
      <c r="J525" s="2" t="s">
        <v>2030</v>
      </c>
      <c r="K525" s="2" t="s">
        <v>2172</v>
      </c>
      <c r="L525" s="2" t="s">
        <v>4035</v>
      </c>
      <c r="M525">
        <v>-1650.46</v>
      </c>
      <c r="N525" s="2" t="s">
        <v>4044</v>
      </c>
      <c r="O525">
        <v>61</v>
      </c>
      <c r="P525">
        <v>-100678.06</v>
      </c>
      <c r="Q525" t="b">
        <v>0</v>
      </c>
      <c r="R525" t="b">
        <v>1</v>
      </c>
      <c r="S525" t="b">
        <v>0</v>
      </c>
      <c r="T525" t="b">
        <v>0</v>
      </c>
      <c r="U525">
        <v>1</v>
      </c>
      <c r="V525" t="s">
        <v>4073</v>
      </c>
    </row>
    <row r="526" spans="1:22" hidden="1" x14ac:dyDescent="0.45">
      <c r="A526" s="2" t="s">
        <v>259</v>
      </c>
      <c r="B526" s="11">
        <v>45743</v>
      </c>
      <c r="C526" s="2" t="s">
        <v>2013</v>
      </c>
      <c r="D526" s="2" t="s">
        <v>2018</v>
      </c>
      <c r="E526">
        <v>1226.52</v>
      </c>
      <c r="F526">
        <v>100574.64</v>
      </c>
      <c r="G526">
        <v>0</v>
      </c>
      <c r="H526">
        <v>0</v>
      </c>
      <c r="I526" s="2" t="s">
        <v>2025</v>
      </c>
      <c r="J526" s="2" t="s">
        <v>2029</v>
      </c>
      <c r="K526" s="2" t="s">
        <v>2280</v>
      </c>
      <c r="L526" s="2" t="s">
        <v>4034</v>
      </c>
      <c r="M526">
        <v>-1226.52</v>
      </c>
      <c r="N526" s="2" t="s">
        <v>4044</v>
      </c>
      <c r="O526">
        <v>82</v>
      </c>
      <c r="P526">
        <v>-100574.64</v>
      </c>
      <c r="Q526" t="b">
        <v>0</v>
      </c>
      <c r="R526" t="b">
        <v>1</v>
      </c>
      <c r="S526" t="b">
        <v>0</v>
      </c>
      <c r="T526" t="b">
        <v>0</v>
      </c>
      <c r="U526">
        <v>1</v>
      </c>
      <c r="V526" t="s">
        <v>4073</v>
      </c>
    </row>
    <row r="527" spans="1:22" hidden="1" x14ac:dyDescent="0.45">
      <c r="A527" s="2" t="s">
        <v>519</v>
      </c>
      <c r="B527" s="11">
        <v>45647</v>
      </c>
      <c r="C527" s="2" t="s">
        <v>2013</v>
      </c>
      <c r="D527" s="2" t="s">
        <v>2018</v>
      </c>
      <c r="E527">
        <v>1648.77</v>
      </c>
      <c r="F527">
        <v>100574.97</v>
      </c>
      <c r="G527">
        <v>0</v>
      </c>
      <c r="H527">
        <v>0</v>
      </c>
      <c r="I527" s="2" t="s">
        <v>2025</v>
      </c>
      <c r="J527" s="2" t="s">
        <v>2030</v>
      </c>
      <c r="K527" s="2" t="s">
        <v>2540</v>
      </c>
      <c r="L527" s="2" t="s">
        <v>4035</v>
      </c>
      <c r="M527">
        <v>-1648.77</v>
      </c>
      <c r="N527" s="2" t="s">
        <v>4044</v>
      </c>
      <c r="O527">
        <v>61</v>
      </c>
      <c r="P527">
        <v>-100574.97</v>
      </c>
      <c r="Q527" t="b">
        <v>1</v>
      </c>
      <c r="R527" t="b">
        <v>0</v>
      </c>
      <c r="S527" t="b">
        <v>0</v>
      </c>
      <c r="T527" t="b">
        <v>0</v>
      </c>
      <c r="U527">
        <v>1</v>
      </c>
      <c r="V527" t="s">
        <v>4073</v>
      </c>
    </row>
    <row r="528" spans="1:22" hidden="1" x14ac:dyDescent="0.45">
      <c r="A528" s="2" t="s">
        <v>646</v>
      </c>
      <c r="B528" s="11">
        <v>44989</v>
      </c>
      <c r="C528" s="2" t="s">
        <v>2010</v>
      </c>
      <c r="D528" s="2" t="s">
        <v>2015</v>
      </c>
      <c r="E528">
        <v>0</v>
      </c>
      <c r="F528">
        <v>0</v>
      </c>
      <c r="G528">
        <v>1141.46</v>
      </c>
      <c r="H528">
        <v>100448.48000000001</v>
      </c>
      <c r="I528" s="2" t="s">
        <v>2024</v>
      </c>
      <c r="J528" s="2" t="s">
        <v>2030</v>
      </c>
      <c r="K528" s="2" t="s">
        <v>2667</v>
      </c>
      <c r="L528" s="2" t="s">
        <v>4032</v>
      </c>
      <c r="M528">
        <v>1141.46</v>
      </c>
      <c r="N528" s="2" t="s">
        <v>4042</v>
      </c>
      <c r="O528">
        <v>88</v>
      </c>
      <c r="P528">
        <v>100448.48000000001</v>
      </c>
      <c r="Q528" t="b">
        <v>1</v>
      </c>
      <c r="R528" t="b">
        <v>0</v>
      </c>
      <c r="S528" t="b">
        <v>0</v>
      </c>
      <c r="T528" t="b">
        <v>0</v>
      </c>
      <c r="U528">
        <v>1</v>
      </c>
      <c r="V528" t="s">
        <v>4073</v>
      </c>
    </row>
    <row r="529" spans="1:22" hidden="1" x14ac:dyDescent="0.45">
      <c r="A529" s="2" t="s">
        <v>1083</v>
      </c>
      <c r="B529" s="11">
        <v>45213</v>
      </c>
      <c r="C529" s="2" t="s">
        <v>2014</v>
      </c>
      <c r="D529" s="2" t="s">
        <v>2019</v>
      </c>
      <c r="E529">
        <v>0</v>
      </c>
      <c r="F529">
        <v>0</v>
      </c>
      <c r="G529">
        <v>1644.76</v>
      </c>
      <c r="H529">
        <v>100330.36</v>
      </c>
      <c r="I529" s="2" t="s">
        <v>2021</v>
      </c>
      <c r="J529" s="2" t="s">
        <v>2026</v>
      </c>
      <c r="K529" s="2" t="s">
        <v>3104</v>
      </c>
      <c r="L529" s="2" t="s">
        <v>4035</v>
      </c>
      <c r="M529">
        <v>1644.76</v>
      </c>
      <c r="N529" s="2" t="s">
        <v>4042</v>
      </c>
      <c r="O529">
        <v>61</v>
      </c>
      <c r="P529">
        <v>100330.36</v>
      </c>
      <c r="Q529" t="b">
        <v>1</v>
      </c>
      <c r="R529" t="b">
        <v>0</v>
      </c>
      <c r="S529" t="b">
        <v>0</v>
      </c>
      <c r="T529" t="b">
        <v>0</v>
      </c>
      <c r="U529">
        <v>1</v>
      </c>
      <c r="V529" t="s">
        <v>4073</v>
      </c>
    </row>
    <row r="530" spans="1:22" hidden="1" x14ac:dyDescent="0.45">
      <c r="A530" s="2" t="s">
        <v>80</v>
      </c>
      <c r="B530" s="11">
        <v>45430</v>
      </c>
      <c r="C530" s="2" t="s">
        <v>2012</v>
      </c>
      <c r="D530" s="2" t="s">
        <v>2017</v>
      </c>
      <c r="E530">
        <v>553.17999999999995</v>
      </c>
      <c r="F530">
        <v>45360.759999999995</v>
      </c>
      <c r="G530">
        <v>0</v>
      </c>
      <c r="H530">
        <v>0</v>
      </c>
      <c r="I530" s="2" t="s">
        <v>2022</v>
      </c>
      <c r="J530" s="2" t="s">
        <v>2027</v>
      </c>
      <c r="K530" s="2" t="s">
        <v>2101</v>
      </c>
      <c r="L530" s="2" t="s">
        <v>4034</v>
      </c>
      <c r="M530">
        <v>-553.17999999999995</v>
      </c>
      <c r="N530" s="2" t="s">
        <v>4044</v>
      </c>
      <c r="O530">
        <v>82</v>
      </c>
      <c r="P530">
        <v>-45360.759999999995</v>
      </c>
      <c r="Q530" t="b">
        <v>1</v>
      </c>
      <c r="R530" t="b">
        <v>0</v>
      </c>
      <c r="S530" t="b">
        <v>0</v>
      </c>
      <c r="T530" t="b">
        <v>0</v>
      </c>
      <c r="U530">
        <v>1</v>
      </c>
      <c r="V530" t="s">
        <v>4073</v>
      </c>
    </row>
    <row r="531" spans="1:22" hidden="1" x14ac:dyDescent="0.45">
      <c r="A531" s="2" t="s">
        <v>1373</v>
      </c>
      <c r="B531" s="11">
        <v>45498</v>
      </c>
      <c r="C531" s="2" t="s">
        <v>2011</v>
      </c>
      <c r="D531" s="2" t="s">
        <v>2016</v>
      </c>
      <c r="E531">
        <v>517.6</v>
      </c>
      <c r="F531">
        <v>45548.800000000003</v>
      </c>
      <c r="G531">
        <v>0</v>
      </c>
      <c r="H531">
        <v>0</v>
      </c>
      <c r="I531" s="2" t="s">
        <v>2021</v>
      </c>
      <c r="J531" s="2" t="s">
        <v>2028</v>
      </c>
      <c r="K531" s="2" t="s">
        <v>3394</v>
      </c>
      <c r="L531" s="2" t="s">
        <v>4032</v>
      </c>
      <c r="M531">
        <v>-517.6</v>
      </c>
      <c r="N531" s="2" t="s">
        <v>2016</v>
      </c>
      <c r="O531">
        <v>88</v>
      </c>
      <c r="P531">
        <v>-45548.800000000003</v>
      </c>
      <c r="Q531" t="b">
        <v>0</v>
      </c>
      <c r="R531" t="b">
        <v>1</v>
      </c>
      <c r="S531" t="b">
        <v>0</v>
      </c>
      <c r="T531" t="b">
        <v>0</v>
      </c>
      <c r="U531">
        <v>1</v>
      </c>
      <c r="V531" t="s">
        <v>4073</v>
      </c>
    </row>
    <row r="532" spans="1:22" hidden="1" x14ac:dyDescent="0.45">
      <c r="A532" s="2" t="s">
        <v>671</v>
      </c>
      <c r="B532" s="11">
        <v>45777</v>
      </c>
      <c r="C532" s="2" t="s">
        <v>2012</v>
      </c>
      <c r="D532" s="2" t="s">
        <v>2017</v>
      </c>
      <c r="E532">
        <v>1220.3</v>
      </c>
      <c r="F532">
        <v>100064.59999999999</v>
      </c>
      <c r="G532">
        <v>0</v>
      </c>
      <c r="H532">
        <v>0</v>
      </c>
      <c r="I532" s="2" t="s">
        <v>2022</v>
      </c>
      <c r="J532" s="2" t="s">
        <v>2027</v>
      </c>
      <c r="K532" s="2" t="s">
        <v>2692</v>
      </c>
      <c r="L532" s="2" t="s">
        <v>4034</v>
      </c>
      <c r="M532">
        <v>-1220.3</v>
      </c>
      <c r="N532" s="2" t="s">
        <v>4044</v>
      </c>
      <c r="O532">
        <v>82</v>
      </c>
      <c r="P532">
        <v>-100064.59999999999</v>
      </c>
      <c r="Q532" t="b">
        <v>0</v>
      </c>
      <c r="R532" t="b">
        <v>1</v>
      </c>
      <c r="S532" t="b">
        <v>0</v>
      </c>
      <c r="T532" t="b">
        <v>0</v>
      </c>
      <c r="U532">
        <v>1</v>
      </c>
      <c r="V532" t="s">
        <v>4073</v>
      </c>
    </row>
    <row r="533" spans="1:22" hidden="1" x14ac:dyDescent="0.45">
      <c r="A533" s="2" t="s">
        <v>527</v>
      </c>
      <c r="B533" s="11">
        <v>45739</v>
      </c>
      <c r="C533" s="2" t="s">
        <v>2011</v>
      </c>
      <c r="D533" s="2" t="s">
        <v>2016</v>
      </c>
      <c r="E533">
        <v>1785.9</v>
      </c>
      <c r="F533">
        <v>100010.40000000001</v>
      </c>
      <c r="G533">
        <v>0</v>
      </c>
      <c r="H533">
        <v>0</v>
      </c>
      <c r="I533" s="2" t="s">
        <v>2024</v>
      </c>
      <c r="J533" s="2" t="s">
        <v>2026</v>
      </c>
      <c r="K533" s="2" t="s">
        <v>2548</v>
      </c>
      <c r="L533" s="2" t="s">
        <v>4033</v>
      </c>
      <c r="M533">
        <v>-1785.9</v>
      </c>
      <c r="N533" s="2" t="s">
        <v>2016</v>
      </c>
      <c r="O533">
        <v>56</v>
      </c>
      <c r="P533">
        <v>-100010.40000000001</v>
      </c>
      <c r="Q533" t="b">
        <v>1</v>
      </c>
      <c r="R533" t="b">
        <v>0</v>
      </c>
      <c r="S533" t="b">
        <v>0</v>
      </c>
      <c r="T533" t="b">
        <v>0</v>
      </c>
      <c r="U533">
        <v>1</v>
      </c>
      <c r="V533" t="s">
        <v>4073</v>
      </c>
    </row>
    <row r="534" spans="1:22" hidden="1" x14ac:dyDescent="0.45">
      <c r="A534" s="2" t="s">
        <v>412</v>
      </c>
      <c r="B534" s="11">
        <v>45647</v>
      </c>
      <c r="C534" s="2" t="s">
        <v>2013</v>
      </c>
      <c r="D534" s="2" t="s">
        <v>2018</v>
      </c>
      <c r="E534">
        <v>750.55</v>
      </c>
      <c r="F534">
        <v>45783.549999999996</v>
      </c>
      <c r="G534">
        <v>0</v>
      </c>
      <c r="H534">
        <v>0</v>
      </c>
      <c r="I534" s="2" t="s">
        <v>2021</v>
      </c>
      <c r="J534" s="2" t="s">
        <v>2028</v>
      </c>
      <c r="K534" s="2" t="s">
        <v>2433</v>
      </c>
      <c r="L534" s="2" t="s">
        <v>4035</v>
      </c>
      <c r="M534">
        <v>-750.55</v>
      </c>
      <c r="N534" s="2" t="s">
        <v>4044</v>
      </c>
      <c r="O534">
        <v>61</v>
      </c>
      <c r="P534">
        <v>-45783.549999999996</v>
      </c>
      <c r="Q534" t="b">
        <v>1</v>
      </c>
      <c r="R534" t="b">
        <v>0</v>
      </c>
      <c r="S534" t="b">
        <v>0</v>
      </c>
      <c r="T534" t="b">
        <v>0</v>
      </c>
      <c r="U534">
        <v>1</v>
      </c>
      <c r="V534" t="s">
        <v>4073</v>
      </c>
    </row>
    <row r="535" spans="1:22" hidden="1" x14ac:dyDescent="0.45">
      <c r="A535" s="2" t="s">
        <v>1988</v>
      </c>
      <c r="B535" s="11">
        <v>45408</v>
      </c>
      <c r="C535" s="2" t="s">
        <v>2012</v>
      </c>
      <c r="D535" s="2" t="s">
        <v>2017</v>
      </c>
      <c r="E535">
        <v>559.39</v>
      </c>
      <c r="F535">
        <v>45869.979999999996</v>
      </c>
      <c r="G535">
        <v>0</v>
      </c>
      <c r="H535">
        <v>0</v>
      </c>
      <c r="I535" s="2" t="s">
        <v>2023</v>
      </c>
      <c r="J535" s="2" t="s">
        <v>2030</v>
      </c>
      <c r="K535" s="2" t="s">
        <v>4009</v>
      </c>
      <c r="L535" s="2" t="s">
        <v>4034</v>
      </c>
      <c r="M535">
        <v>-559.39</v>
      </c>
      <c r="N535" s="2" t="s">
        <v>4044</v>
      </c>
      <c r="O535">
        <v>82</v>
      </c>
      <c r="P535">
        <v>-45869.979999999996</v>
      </c>
      <c r="Q535" t="b">
        <v>0</v>
      </c>
      <c r="R535" t="b">
        <v>1</v>
      </c>
      <c r="S535" t="b">
        <v>0</v>
      </c>
      <c r="T535" t="b">
        <v>0</v>
      </c>
      <c r="U535">
        <v>1</v>
      </c>
      <c r="V535" t="s">
        <v>4073</v>
      </c>
    </row>
    <row r="536" spans="1:22" hidden="1" x14ac:dyDescent="0.45">
      <c r="A536" s="2" t="s">
        <v>31</v>
      </c>
      <c r="B536" s="11">
        <v>45108</v>
      </c>
      <c r="C536" s="2" t="s">
        <v>2014</v>
      </c>
      <c r="D536" s="2" t="s">
        <v>2019</v>
      </c>
      <c r="E536">
        <v>0</v>
      </c>
      <c r="F536">
        <v>0</v>
      </c>
      <c r="G536">
        <v>1632.86</v>
      </c>
      <c r="H536">
        <v>99604.459999999992</v>
      </c>
      <c r="I536" s="2" t="s">
        <v>2022</v>
      </c>
      <c r="J536" s="2" t="s">
        <v>2026</v>
      </c>
      <c r="K536" s="2" t="s">
        <v>2052</v>
      </c>
      <c r="L536" s="2" t="s">
        <v>4035</v>
      </c>
      <c r="M536">
        <v>1632.86</v>
      </c>
      <c r="N536" s="2" t="s">
        <v>4042</v>
      </c>
      <c r="O536">
        <v>61</v>
      </c>
      <c r="P536">
        <v>99604.459999999992</v>
      </c>
      <c r="Q536" t="b">
        <v>1</v>
      </c>
      <c r="R536" t="b">
        <v>0</v>
      </c>
      <c r="S536" t="b">
        <v>0</v>
      </c>
      <c r="T536" t="b">
        <v>0</v>
      </c>
      <c r="U536">
        <v>1</v>
      </c>
      <c r="V536" t="s">
        <v>4073</v>
      </c>
    </row>
    <row r="537" spans="1:22" hidden="1" x14ac:dyDescent="0.45">
      <c r="A537" s="2" t="s">
        <v>484</v>
      </c>
      <c r="B537" s="11">
        <v>45662</v>
      </c>
      <c r="C537" s="2" t="s">
        <v>2012</v>
      </c>
      <c r="D537" s="2" t="s">
        <v>2017</v>
      </c>
      <c r="E537">
        <v>445.53</v>
      </c>
      <c r="F537">
        <v>45889.59</v>
      </c>
      <c r="G537">
        <v>0</v>
      </c>
      <c r="H537">
        <v>0</v>
      </c>
      <c r="I537" s="2" t="s">
        <v>2022</v>
      </c>
      <c r="J537" s="2" t="s">
        <v>2030</v>
      </c>
      <c r="K537" s="2" t="s">
        <v>2505</v>
      </c>
      <c r="L537" s="2" t="s">
        <v>4031</v>
      </c>
      <c r="M537">
        <v>-445.53</v>
      </c>
      <c r="N537" s="2" t="s">
        <v>4044</v>
      </c>
      <c r="O537">
        <v>103</v>
      </c>
      <c r="P537">
        <v>-45889.59</v>
      </c>
      <c r="Q537" t="b">
        <v>1</v>
      </c>
      <c r="R537" t="b">
        <v>0</v>
      </c>
      <c r="S537" t="b">
        <v>0</v>
      </c>
      <c r="T537" t="b">
        <v>0</v>
      </c>
      <c r="U537">
        <v>1</v>
      </c>
      <c r="V537" t="s">
        <v>4073</v>
      </c>
    </row>
    <row r="538" spans="1:22" hidden="1" x14ac:dyDescent="0.45">
      <c r="A538" s="2" t="s">
        <v>324</v>
      </c>
      <c r="B538" s="11">
        <v>45829</v>
      </c>
      <c r="C538" s="2" t="s">
        <v>2014</v>
      </c>
      <c r="D538" s="2" t="s">
        <v>2019</v>
      </c>
      <c r="E538">
        <v>0</v>
      </c>
      <c r="F538">
        <v>0</v>
      </c>
      <c r="G538">
        <v>963.96</v>
      </c>
      <c r="H538">
        <v>99287.88</v>
      </c>
      <c r="I538" s="2" t="s">
        <v>2022</v>
      </c>
      <c r="J538" s="2" t="s">
        <v>2028</v>
      </c>
      <c r="K538" s="2" t="s">
        <v>2345</v>
      </c>
      <c r="L538" s="2" t="s">
        <v>4031</v>
      </c>
      <c r="M538">
        <v>963.96</v>
      </c>
      <c r="N538" s="2" t="s">
        <v>4042</v>
      </c>
      <c r="O538">
        <v>103</v>
      </c>
      <c r="P538">
        <v>99287.88</v>
      </c>
      <c r="Q538" t="b">
        <v>1</v>
      </c>
      <c r="R538" t="b">
        <v>0</v>
      </c>
      <c r="S538" t="b">
        <v>0</v>
      </c>
      <c r="T538" t="b">
        <v>0</v>
      </c>
      <c r="U538">
        <v>1</v>
      </c>
      <c r="V538" t="s">
        <v>4073</v>
      </c>
    </row>
    <row r="539" spans="1:22" hidden="1" x14ac:dyDescent="0.45">
      <c r="A539" s="2" t="s">
        <v>300</v>
      </c>
      <c r="B539" s="11">
        <v>45690</v>
      </c>
      <c r="C539" s="2" t="s">
        <v>2011</v>
      </c>
      <c r="D539" s="2" t="s">
        <v>2016</v>
      </c>
      <c r="E539">
        <v>1765.16</v>
      </c>
      <c r="F539">
        <v>98848.960000000006</v>
      </c>
      <c r="G539">
        <v>0</v>
      </c>
      <c r="H539">
        <v>0</v>
      </c>
      <c r="I539" s="2" t="s">
        <v>2023</v>
      </c>
      <c r="J539" s="2" t="s">
        <v>2029</v>
      </c>
      <c r="K539" s="2" t="s">
        <v>2321</v>
      </c>
      <c r="L539" s="2" t="s">
        <v>4033</v>
      </c>
      <c r="M539">
        <v>-1765.16</v>
      </c>
      <c r="N539" s="2" t="s">
        <v>2016</v>
      </c>
      <c r="O539">
        <v>56</v>
      </c>
      <c r="P539">
        <v>-98848.960000000006</v>
      </c>
      <c r="Q539" t="b">
        <v>1</v>
      </c>
      <c r="R539" t="b">
        <v>0</v>
      </c>
      <c r="S539" t="b">
        <v>0</v>
      </c>
      <c r="T539" t="b">
        <v>0</v>
      </c>
      <c r="U539">
        <v>1</v>
      </c>
      <c r="V539" t="s">
        <v>4073</v>
      </c>
    </row>
    <row r="540" spans="1:22" hidden="1" x14ac:dyDescent="0.45">
      <c r="A540" s="2" t="s">
        <v>1139</v>
      </c>
      <c r="B540" s="11">
        <v>45039</v>
      </c>
      <c r="C540" s="2" t="s">
        <v>2011</v>
      </c>
      <c r="D540" s="2" t="s">
        <v>2016</v>
      </c>
      <c r="E540">
        <v>959.31</v>
      </c>
      <c r="F540">
        <v>98808.93</v>
      </c>
      <c r="G540">
        <v>0</v>
      </c>
      <c r="H540">
        <v>0</v>
      </c>
      <c r="I540" s="2" t="s">
        <v>2020</v>
      </c>
      <c r="J540" s="2" t="s">
        <v>2027</v>
      </c>
      <c r="K540" s="2" t="s">
        <v>3160</v>
      </c>
      <c r="L540" s="2" t="s">
        <v>4031</v>
      </c>
      <c r="M540">
        <v>-959.31</v>
      </c>
      <c r="N540" s="2" t="s">
        <v>2016</v>
      </c>
      <c r="O540">
        <v>103</v>
      </c>
      <c r="P540">
        <v>-98808.93</v>
      </c>
      <c r="Q540" t="b">
        <v>1</v>
      </c>
      <c r="R540" t="b">
        <v>0</v>
      </c>
      <c r="S540" t="b">
        <v>0</v>
      </c>
      <c r="T540" t="b">
        <v>0</v>
      </c>
      <c r="U540">
        <v>1</v>
      </c>
      <c r="V540" t="s">
        <v>4073</v>
      </c>
    </row>
    <row r="541" spans="1:22" hidden="1" x14ac:dyDescent="0.45">
      <c r="A541" s="2" t="s">
        <v>1604</v>
      </c>
      <c r="B541" s="11">
        <v>45595</v>
      </c>
      <c r="C541" s="2" t="s">
        <v>2012</v>
      </c>
      <c r="D541" s="2" t="s">
        <v>2017</v>
      </c>
      <c r="E541">
        <v>1203.3399999999999</v>
      </c>
      <c r="F541">
        <v>98673.87999999999</v>
      </c>
      <c r="G541">
        <v>0</v>
      </c>
      <c r="H541">
        <v>0</v>
      </c>
      <c r="I541" s="2" t="s">
        <v>2023</v>
      </c>
      <c r="J541" s="2" t="s">
        <v>2028</v>
      </c>
      <c r="K541" s="2" t="s">
        <v>3625</v>
      </c>
      <c r="L541" s="2" t="s">
        <v>4034</v>
      </c>
      <c r="M541">
        <v>-1203.3399999999999</v>
      </c>
      <c r="N541" s="2" t="s">
        <v>4044</v>
      </c>
      <c r="O541">
        <v>82</v>
      </c>
      <c r="P541">
        <v>-98673.87999999999</v>
      </c>
      <c r="Q541" t="b">
        <v>0</v>
      </c>
      <c r="R541" t="b">
        <v>1</v>
      </c>
      <c r="S541" t="b">
        <v>0</v>
      </c>
      <c r="T541" t="b">
        <v>0</v>
      </c>
      <c r="U541">
        <v>1</v>
      </c>
      <c r="V541" t="s">
        <v>4073</v>
      </c>
    </row>
    <row r="542" spans="1:22" hidden="1" x14ac:dyDescent="0.45">
      <c r="A542" s="2" t="s">
        <v>909</v>
      </c>
      <c r="B542" s="11">
        <v>44934</v>
      </c>
      <c r="C542" s="2" t="s">
        <v>2012</v>
      </c>
      <c r="D542" s="2" t="s">
        <v>2017</v>
      </c>
      <c r="E542">
        <v>958.53</v>
      </c>
      <c r="F542">
        <v>53677.68</v>
      </c>
      <c r="G542">
        <v>0</v>
      </c>
      <c r="H542">
        <v>0</v>
      </c>
      <c r="I542" s="2" t="s">
        <v>2025</v>
      </c>
      <c r="J542" s="2" t="s">
        <v>2027</v>
      </c>
      <c r="K542" s="2" t="s">
        <v>2930</v>
      </c>
      <c r="L542" s="2" t="s">
        <v>4033</v>
      </c>
      <c r="M542">
        <v>-958.53</v>
      </c>
      <c r="N542" s="2" t="s">
        <v>4044</v>
      </c>
      <c r="O542">
        <v>56</v>
      </c>
      <c r="P542">
        <v>-53677.68</v>
      </c>
      <c r="Q542" t="b">
        <v>1</v>
      </c>
      <c r="R542" t="b">
        <v>0</v>
      </c>
      <c r="S542" t="b">
        <v>0</v>
      </c>
      <c r="T542" t="b">
        <v>0</v>
      </c>
      <c r="U542">
        <v>1</v>
      </c>
      <c r="V542" t="s">
        <v>4073</v>
      </c>
    </row>
    <row r="543" spans="1:22" hidden="1" x14ac:dyDescent="0.45">
      <c r="A543" s="2" t="s">
        <v>878</v>
      </c>
      <c r="B543" s="11">
        <v>45556</v>
      </c>
      <c r="C543" s="2" t="s">
        <v>2013</v>
      </c>
      <c r="D543" s="2" t="s">
        <v>2018</v>
      </c>
      <c r="E543">
        <v>882.8</v>
      </c>
      <c r="F543">
        <v>49436.799999999996</v>
      </c>
      <c r="G543">
        <v>0</v>
      </c>
      <c r="H543">
        <v>0</v>
      </c>
      <c r="I543" s="2" t="s">
        <v>2025</v>
      </c>
      <c r="J543" s="2" t="s">
        <v>2028</v>
      </c>
      <c r="K543" s="2" t="s">
        <v>2899</v>
      </c>
      <c r="L543" s="2" t="s">
        <v>4033</v>
      </c>
      <c r="M543">
        <v>-882.8</v>
      </c>
      <c r="N543" s="2" t="s">
        <v>4044</v>
      </c>
      <c r="O543">
        <v>56</v>
      </c>
      <c r="P543">
        <v>-49436.799999999996</v>
      </c>
      <c r="Q543" t="b">
        <v>1</v>
      </c>
      <c r="R543" t="b">
        <v>0</v>
      </c>
      <c r="S543" t="b">
        <v>0</v>
      </c>
      <c r="T543" t="b">
        <v>0</v>
      </c>
      <c r="U543">
        <v>1</v>
      </c>
      <c r="V543" t="s">
        <v>4073</v>
      </c>
    </row>
    <row r="544" spans="1:22" hidden="1" x14ac:dyDescent="0.45">
      <c r="A544" s="2" t="s">
        <v>1744</v>
      </c>
      <c r="B544" s="11">
        <v>45375</v>
      </c>
      <c r="C544" s="2" t="s">
        <v>2010</v>
      </c>
      <c r="D544" s="2" t="s">
        <v>2015</v>
      </c>
      <c r="E544">
        <v>0</v>
      </c>
      <c r="F544">
        <v>0</v>
      </c>
      <c r="G544">
        <v>1651.12</v>
      </c>
      <c r="H544">
        <v>92462.720000000001</v>
      </c>
      <c r="I544" s="2" t="s">
        <v>2023</v>
      </c>
      <c r="J544" s="2" t="s">
        <v>2026</v>
      </c>
      <c r="K544" s="2" t="s">
        <v>3765</v>
      </c>
      <c r="L544" s="2" t="s">
        <v>4033</v>
      </c>
      <c r="M544">
        <v>1651.12</v>
      </c>
      <c r="N544" s="2" t="s">
        <v>4042</v>
      </c>
      <c r="O544">
        <v>56</v>
      </c>
      <c r="P544">
        <v>92462.720000000001</v>
      </c>
      <c r="Q544" t="b">
        <v>1</v>
      </c>
      <c r="R544" t="b">
        <v>0</v>
      </c>
      <c r="S544" t="b">
        <v>0</v>
      </c>
      <c r="T544" t="b">
        <v>0</v>
      </c>
      <c r="U544">
        <v>1</v>
      </c>
      <c r="V544" t="s">
        <v>4073</v>
      </c>
    </row>
    <row r="545" spans="1:22" hidden="1" x14ac:dyDescent="0.45">
      <c r="A545" s="2" t="s">
        <v>370</v>
      </c>
      <c r="B545" s="11">
        <v>45806</v>
      </c>
      <c r="C545" s="2" t="s">
        <v>2012</v>
      </c>
      <c r="D545" s="2" t="s">
        <v>2017</v>
      </c>
      <c r="E545">
        <v>1071.7</v>
      </c>
      <c r="F545">
        <v>87879.400000000009</v>
      </c>
      <c r="G545">
        <v>0</v>
      </c>
      <c r="H545">
        <v>0</v>
      </c>
      <c r="I545" s="2" t="s">
        <v>2023</v>
      </c>
      <c r="J545" s="2" t="s">
        <v>2029</v>
      </c>
      <c r="K545" s="2" t="s">
        <v>2391</v>
      </c>
      <c r="L545" s="2" t="s">
        <v>4034</v>
      </c>
      <c r="M545">
        <v>-1071.7</v>
      </c>
      <c r="N545" s="2" t="s">
        <v>4044</v>
      </c>
      <c r="O545">
        <v>82</v>
      </c>
      <c r="P545">
        <v>-87879.400000000009</v>
      </c>
      <c r="Q545" t="b">
        <v>0</v>
      </c>
      <c r="R545" t="b">
        <v>1</v>
      </c>
      <c r="S545" t="b">
        <v>0</v>
      </c>
      <c r="T545" t="b">
        <v>0</v>
      </c>
      <c r="U545">
        <v>1</v>
      </c>
      <c r="V545" t="s">
        <v>4073</v>
      </c>
    </row>
    <row r="546" spans="1:22" hidden="1" x14ac:dyDescent="0.45">
      <c r="A546" s="2" t="s">
        <v>1495</v>
      </c>
      <c r="B546" s="11">
        <v>45285</v>
      </c>
      <c r="C546" s="2" t="s">
        <v>2010</v>
      </c>
      <c r="D546" s="2" t="s">
        <v>2015</v>
      </c>
      <c r="E546">
        <v>0</v>
      </c>
      <c r="F546">
        <v>0</v>
      </c>
      <c r="G546">
        <v>1071.33</v>
      </c>
      <c r="H546">
        <v>87849.06</v>
      </c>
      <c r="I546" s="2" t="s">
        <v>2024</v>
      </c>
      <c r="J546" s="2" t="s">
        <v>2030</v>
      </c>
      <c r="K546" s="2" t="s">
        <v>3516</v>
      </c>
      <c r="L546" s="2" t="s">
        <v>4034</v>
      </c>
      <c r="M546">
        <v>1071.33</v>
      </c>
      <c r="N546" s="2" t="s">
        <v>4042</v>
      </c>
      <c r="O546">
        <v>82</v>
      </c>
      <c r="P546">
        <v>87849.06</v>
      </c>
      <c r="Q546" t="b">
        <v>0</v>
      </c>
      <c r="R546" t="b">
        <v>1</v>
      </c>
      <c r="S546" t="b">
        <v>0</v>
      </c>
      <c r="T546" t="b">
        <v>0</v>
      </c>
      <c r="U546">
        <v>1</v>
      </c>
      <c r="V546" t="s">
        <v>4073</v>
      </c>
    </row>
    <row r="547" spans="1:22" hidden="1" x14ac:dyDescent="0.45">
      <c r="A547" s="2" t="s">
        <v>1058</v>
      </c>
      <c r="B547" s="11">
        <v>45059</v>
      </c>
      <c r="C547" s="2" t="s">
        <v>2014</v>
      </c>
      <c r="D547" s="2" t="s">
        <v>2019</v>
      </c>
      <c r="E547">
        <v>0</v>
      </c>
      <c r="F547">
        <v>0</v>
      </c>
      <c r="G547">
        <v>1071.1300000000001</v>
      </c>
      <c r="H547">
        <v>87832.66</v>
      </c>
      <c r="I547" s="2" t="s">
        <v>2021</v>
      </c>
      <c r="J547" s="2" t="s">
        <v>2029</v>
      </c>
      <c r="K547" s="2" t="s">
        <v>3079</v>
      </c>
      <c r="L547" s="2" t="s">
        <v>4034</v>
      </c>
      <c r="M547">
        <v>1071.1300000000001</v>
      </c>
      <c r="N547" s="2" t="s">
        <v>4042</v>
      </c>
      <c r="O547">
        <v>82</v>
      </c>
      <c r="P547">
        <v>87832.66</v>
      </c>
      <c r="Q547" t="b">
        <v>1</v>
      </c>
      <c r="R547" t="b">
        <v>0</v>
      </c>
      <c r="S547" t="b">
        <v>0</v>
      </c>
      <c r="T547" t="b">
        <v>0</v>
      </c>
      <c r="U547">
        <v>1</v>
      </c>
      <c r="V547" t="s">
        <v>4073</v>
      </c>
    </row>
    <row r="548" spans="1:22" hidden="1" x14ac:dyDescent="0.45">
      <c r="A548" s="2" t="s">
        <v>645</v>
      </c>
      <c r="B548" s="11">
        <v>45104</v>
      </c>
      <c r="C548" s="2" t="s">
        <v>2012</v>
      </c>
      <c r="D548" s="2" t="s">
        <v>2017</v>
      </c>
      <c r="E548">
        <v>1438.43</v>
      </c>
      <c r="F548">
        <v>87744.23000000001</v>
      </c>
      <c r="G548">
        <v>0</v>
      </c>
      <c r="H548">
        <v>0</v>
      </c>
      <c r="I548" s="2" t="s">
        <v>2021</v>
      </c>
      <c r="J548" s="2" t="s">
        <v>2028</v>
      </c>
      <c r="K548" s="2" t="s">
        <v>2666</v>
      </c>
      <c r="L548" s="2" t="s">
        <v>4035</v>
      </c>
      <c r="M548">
        <v>-1438.43</v>
      </c>
      <c r="N548" s="2" t="s">
        <v>4044</v>
      </c>
      <c r="O548">
        <v>61</v>
      </c>
      <c r="P548">
        <v>-87744.23000000001</v>
      </c>
      <c r="Q548" t="b">
        <v>0</v>
      </c>
      <c r="R548" t="b">
        <v>1</v>
      </c>
      <c r="S548" t="b">
        <v>0</v>
      </c>
      <c r="T548" t="b">
        <v>0</v>
      </c>
      <c r="U548">
        <v>1</v>
      </c>
      <c r="V548" t="s">
        <v>4073</v>
      </c>
    </row>
    <row r="549" spans="1:22" hidden="1" x14ac:dyDescent="0.45">
      <c r="A549" s="2" t="s">
        <v>1081</v>
      </c>
      <c r="B549" s="11">
        <v>45389</v>
      </c>
      <c r="C549" s="2" t="s">
        <v>2012</v>
      </c>
      <c r="D549" s="2" t="s">
        <v>2017</v>
      </c>
      <c r="E549">
        <v>996.08</v>
      </c>
      <c r="F549">
        <v>87655.040000000008</v>
      </c>
      <c r="G549">
        <v>0</v>
      </c>
      <c r="H549">
        <v>0</v>
      </c>
      <c r="I549" s="2" t="s">
        <v>2021</v>
      </c>
      <c r="J549" s="2" t="s">
        <v>2030</v>
      </c>
      <c r="K549" s="2" t="s">
        <v>3102</v>
      </c>
      <c r="L549" s="2" t="s">
        <v>4032</v>
      </c>
      <c r="M549">
        <v>-996.08</v>
      </c>
      <c r="N549" s="2" t="s">
        <v>4044</v>
      </c>
      <c r="O549">
        <v>88</v>
      </c>
      <c r="P549">
        <v>-87655.040000000008</v>
      </c>
      <c r="Q549" t="b">
        <v>1</v>
      </c>
      <c r="R549" t="b">
        <v>0</v>
      </c>
      <c r="S549" t="b">
        <v>0</v>
      </c>
      <c r="T549" t="b">
        <v>0</v>
      </c>
      <c r="U549">
        <v>1</v>
      </c>
      <c r="V549" t="s">
        <v>4073</v>
      </c>
    </row>
    <row r="550" spans="1:22" hidden="1" x14ac:dyDescent="0.45">
      <c r="A550" s="2" t="s">
        <v>1708</v>
      </c>
      <c r="B550" s="11">
        <v>45389</v>
      </c>
      <c r="C550" s="2" t="s">
        <v>2013</v>
      </c>
      <c r="D550" s="2" t="s">
        <v>2018</v>
      </c>
      <c r="E550">
        <v>1433.85</v>
      </c>
      <c r="F550">
        <v>87464.849999999991</v>
      </c>
      <c r="G550">
        <v>0</v>
      </c>
      <c r="H550">
        <v>0</v>
      </c>
      <c r="I550" s="2" t="s">
        <v>2025</v>
      </c>
      <c r="J550" s="2" t="s">
        <v>2030</v>
      </c>
      <c r="K550" s="2" t="s">
        <v>3729</v>
      </c>
      <c r="L550" s="2" t="s">
        <v>4035</v>
      </c>
      <c r="M550">
        <v>-1433.85</v>
      </c>
      <c r="N550" s="2" t="s">
        <v>4044</v>
      </c>
      <c r="O550">
        <v>61</v>
      </c>
      <c r="P550">
        <v>-87464.849999999991</v>
      </c>
      <c r="Q550" t="b">
        <v>1</v>
      </c>
      <c r="R550" t="b">
        <v>0</v>
      </c>
      <c r="S550" t="b">
        <v>0</v>
      </c>
      <c r="T550" t="b">
        <v>0</v>
      </c>
      <c r="U550">
        <v>1</v>
      </c>
      <c r="V550" t="s">
        <v>4073</v>
      </c>
    </row>
    <row r="551" spans="1:22" hidden="1" x14ac:dyDescent="0.45">
      <c r="A551" s="2" t="s">
        <v>1353</v>
      </c>
      <c r="B551" s="11">
        <v>45197</v>
      </c>
      <c r="C551" s="2" t="s">
        <v>2010</v>
      </c>
      <c r="D551" s="2" t="s">
        <v>2015</v>
      </c>
      <c r="E551">
        <v>0</v>
      </c>
      <c r="F551">
        <v>0</v>
      </c>
      <c r="G551">
        <v>599.19000000000005</v>
      </c>
      <c r="H551">
        <v>52728.72</v>
      </c>
      <c r="I551" s="2" t="s">
        <v>2020</v>
      </c>
      <c r="J551" s="2" t="s">
        <v>2030</v>
      </c>
      <c r="K551" s="2" t="s">
        <v>3374</v>
      </c>
      <c r="L551" s="2" t="s">
        <v>4032</v>
      </c>
      <c r="M551">
        <v>599.19000000000005</v>
      </c>
      <c r="N551" s="2" t="s">
        <v>4042</v>
      </c>
      <c r="O551">
        <v>88</v>
      </c>
      <c r="P551">
        <v>52728.72</v>
      </c>
      <c r="Q551" t="b">
        <v>0</v>
      </c>
      <c r="R551" t="b">
        <v>1</v>
      </c>
      <c r="S551" t="b">
        <v>0</v>
      </c>
      <c r="T551" t="b">
        <v>0</v>
      </c>
      <c r="U551">
        <v>1</v>
      </c>
      <c r="V551" t="s">
        <v>4073</v>
      </c>
    </row>
    <row r="552" spans="1:22" hidden="1" x14ac:dyDescent="0.45">
      <c r="A552" s="2" t="s">
        <v>1753</v>
      </c>
      <c r="B552" s="11">
        <v>45590</v>
      </c>
      <c r="C552" s="2" t="s">
        <v>2011</v>
      </c>
      <c r="D552" s="2" t="s">
        <v>2016</v>
      </c>
      <c r="E552">
        <v>847.09</v>
      </c>
      <c r="F552">
        <v>87250.27</v>
      </c>
      <c r="G552">
        <v>0</v>
      </c>
      <c r="H552">
        <v>0</v>
      </c>
      <c r="I552" s="2" t="s">
        <v>2024</v>
      </c>
      <c r="J552" s="2" t="s">
        <v>2029</v>
      </c>
      <c r="K552" s="2" t="s">
        <v>3774</v>
      </c>
      <c r="L552" s="2" t="s">
        <v>4031</v>
      </c>
      <c r="M552">
        <v>-847.09</v>
      </c>
      <c r="N552" s="2" t="s">
        <v>2016</v>
      </c>
      <c r="O552">
        <v>103</v>
      </c>
      <c r="P552">
        <v>-87250.27</v>
      </c>
      <c r="Q552" t="b">
        <v>0</v>
      </c>
      <c r="R552" t="b">
        <v>1</v>
      </c>
      <c r="S552" t="b">
        <v>0</v>
      </c>
      <c r="T552" t="b">
        <v>0</v>
      </c>
      <c r="U552">
        <v>1</v>
      </c>
      <c r="V552" t="s">
        <v>4073</v>
      </c>
    </row>
    <row r="553" spans="1:22" hidden="1" x14ac:dyDescent="0.45">
      <c r="A553" s="2" t="s">
        <v>1361</v>
      </c>
      <c r="B553" s="11">
        <v>45562</v>
      </c>
      <c r="C553" s="2" t="s">
        <v>2012</v>
      </c>
      <c r="D553" s="2" t="s">
        <v>2017</v>
      </c>
      <c r="E553">
        <v>1554.18</v>
      </c>
      <c r="F553">
        <v>87034.08</v>
      </c>
      <c r="G553">
        <v>0</v>
      </c>
      <c r="H553">
        <v>0</v>
      </c>
      <c r="I553" s="2" t="s">
        <v>2025</v>
      </c>
      <c r="J553" s="2" t="s">
        <v>2027</v>
      </c>
      <c r="K553" s="2" t="s">
        <v>3382</v>
      </c>
      <c r="L553" s="2" t="s">
        <v>4033</v>
      </c>
      <c r="M553">
        <v>-1554.18</v>
      </c>
      <c r="N553" s="2" t="s">
        <v>4044</v>
      </c>
      <c r="O553">
        <v>56</v>
      </c>
      <c r="P553">
        <v>-87034.08</v>
      </c>
      <c r="Q553" t="b">
        <v>0</v>
      </c>
      <c r="R553" t="b">
        <v>1</v>
      </c>
      <c r="S553" t="b">
        <v>0</v>
      </c>
      <c r="T553" t="b">
        <v>0</v>
      </c>
      <c r="U553">
        <v>1</v>
      </c>
      <c r="V553" t="s">
        <v>4073</v>
      </c>
    </row>
    <row r="554" spans="1:22" hidden="1" x14ac:dyDescent="0.45">
      <c r="A554" s="2" t="s">
        <v>465</v>
      </c>
      <c r="B554" s="11">
        <v>45443</v>
      </c>
      <c r="C554" s="2" t="s">
        <v>2013</v>
      </c>
      <c r="D554" s="2" t="s">
        <v>2018</v>
      </c>
      <c r="E554">
        <v>1060.6500000000001</v>
      </c>
      <c r="F554">
        <v>86973.3</v>
      </c>
      <c r="G554">
        <v>0</v>
      </c>
      <c r="H554">
        <v>0</v>
      </c>
      <c r="I554" s="2" t="s">
        <v>2021</v>
      </c>
      <c r="J554" s="2" t="s">
        <v>2030</v>
      </c>
      <c r="K554" s="2" t="s">
        <v>2486</v>
      </c>
      <c r="L554" s="2" t="s">
        <v>4034</v>
      </c>
      <c r="M554">
        <v>-1060.6500000000001</v>
      </c>
      <c r="N554" s="2" t="s">
        <v>4044</v>
      </c>
      <c r="O554">
        <v>82</v>
      </c>
      <c r="P554">
        <v>-86973.3</v>
      </c>
      <c r="Q554" t="b">
        <v>0</v>
      </c>
      <c r="R554" t="b">
        <v>1</v>
      </c>
      <c r="S554" t="b">
        <v>0</v>
      </c>
      <c r="T554" t="b">
        <v>0</v>
      </c>
      <c r="U554">
        <v>1</v>
      </c>
      <c r="V554" t="s">
        <v>4073</v>
      </c>
    </row>
    <row r="555" spans="1:22" hidden="1" x14ac:dyDescent="0.45">
      <c r="A555" s="2" t="s">
        <v>723</v>
      </c>
      <c r="B555" s="11">
        <v>45752</v>
      </c>
      <c r="C555" s="2" t="s">
        <v>2013</v>
      </c>
      <c r="D555" s="2" t="s">
        <v>2018</v>
      </c>
      <c r="E555">
        <v>1551.77</v>
      </c>
      <c r="F555">
        <v>86899.12</v>
      </c>
      <c r="G555">
        <v>0</v>
      </c>
      <c r="H555">
        <v>0</v>
      </c>
      <c r="I555" s="2" t="s">
        <v>2020</v>
      </c>
      <c r="J555" s="2" t="s">
        <v>2028</v>
      </c>
      <c r="K555" s="2" t="s">
        <v>2744</v>
      </c>
      <c r="L555" s="2" t="s">
        <v>4033</v>
      </c>
      <c r="M555">
        <v>-1551.77</v>
      </c>
      <c r="N555" s="2" t="s">
        <v>4044</v>
      </c>
      <c r="O555">
        <v>56</v>
      </c>
      <c r="P555">
        <v>-86899.12</v>
      </c>
      <c r="Q555" t="b">
        <v>1</v>
      </c>
      <c r="R555" t="b">
        <v>0</v>
      </c>
      <c r="S555" t="b">
        <v>0</v>
      </c>
      <c r="T555" t="b">
        <v>0</v>
      </c>
      <c r="U555">
        <v>1</v>
      </c>
      <c r="V555" t="s">
        <v>4073</v>
      </c>
    </row>
    <row r="556" spans="1:22" hidden="1" x14ac:dyDescent="0.45">
      <c r="A556" s="2" t="s">
        <v>371</v>
      </c>
      <c r="B556" s="11">
        <v>45444</v>
      </c>
      <c r="C556" s="2" t="s">
        <v>2011</v>
      </c>
      <c r="D556" s="2" t="s">
        <v>2016</v>
      </c>
      <c r="E556">
        <v>842.82</v>
      </c>
      <c r="F556">
        <v>86810.46</v>
      </c>
      <c r="G556">
        <v>0</v>
      </c>
      <c r="H556">
        <v>0</v>
      </c>
      <c r="I556" s="2" t="s">
        <v>2022</v>
      </c>
      <c r="J556" s="2" t="s">
        <v>2029</v>
      </c>
      <c r="K556" s="2" t="s">
        <v>2392</v>
      </c>
      <c r="L556" s="2" t="s">
        <v>4031</v>
      </c>
      <c r="M556">
        <v>-842.82</v>
      </c>
      <c r="N556" s="2" t="s">
        <v>2016</v>
      </c>
      <c r="O556">
        <v>103</v>
      </c>
      <c r="P556">
        <v>-86810.46</v>
      </c>
      <c r="Q556" t="b">
        <v>1</v>
      </c>
      <c r="R556" t="b">
        <v>0</v>
      </c>
      <c r="S556" t="b">
        <v>0</v>
      </c>
      <c r="T556" t="b">
        <v>0</v>
      </c>
      <c r="U556">
        <v>1</v>
      </c>
      <c r="V556" t="s">
        <v>4073</v>
      </c>
    </row>
    <row r="557" spans="1:22" hidden="1" x14ac:dyDescent="0.45">
      <c r="A557" s="2" t="s">
        <v>1812</v>
      </c>
      <c r="B557" s="11">
        <v>45172</v>
      </c>
      <c r="C557" s="2" t="s">
        <v>2012</v>
      </c>
      <c r="D557" s="2" t="s">
        <v>2017</v>
      </c>
      <c r="E557">
        <v>870.1</v>
      </c>
      <c r="F557">
        <v>53076.1</v>
      </c>
      <c r="G557">
        <v>0</v>
      </c>
      <c r="H557">
        <v>0</v>
      </c>
      <c r="I557" s="2" t="s">
        <v>2024</v>
      </c>
      <c r="J557" s="2" t="s">
        <v>2028</v>
      </c>
      <c r="K557" s="2" t="s">
        <v>3833</v>
      </c>
      <c r="L557" s="2" t="s">
        <v>4035</v>
      </c>
      <c r="M557">
        <v>-870.1</v>
      </c>
      <c r="N557" s="2" t="s">
        <v>4044</v>
      </c>
      <c r="O557">
        <v>61</v>
      </c>
      <c r="P557">
        <v>-53076.1</v>
      </c>
      <c r="Q557" t="b">
        <v>1</v>
      </c>
      <c r="R557" t="b">
        <v>0</v>
      </c>
      <c r="S557" t="b">
        <v>0</v>
      </c>
      <c r="T557" t="b">
        <v>0</v>
      </c>
      <c r="U557">
        <v>1</v>
      </c>
      <c r="V557" t="s">
        <v>4073</v>
      </c>
    </row>
    <row r="558" spans="1:22" hidden="1" x14ac:dyDescent="0.45">
      <c r="A558" s="2" t="s">
        <v>653</v>
      </c>
      <c r="B558" s="11">
        <v>44956</v>
      </c>
      <c r="C558" s="2" t="s">
        <v>2011</v>
      </c>
      <c r="D558" s="2" t="s">
        <v>2016</v>
      </c>
      <c r="E558">
        <v>1057.3599999999999</v>
      </c>
      <c r="F558">
        <v>86703.51999999999</v>
      </c>
      <c r="G558">
        <v>0</v>
      </c>
      <c r="H558">
        <v>0</v>
      </c>
      <c r="I558" s="2" t="s">
        <v>2020</v>
      </c>
      <c r="J558" s="2" t="s">
        <v>2027</v>
      </c>
      <c r="K558" s="2" t="s">
        <v>2674</v>
      </c>
      <c r="L558" s="2" t="s">
        <v>4034</v>
      </c>
      <c r="M558">
        <v>-1057.3599999999999</v>
      </c>
      <c r="N558" s="2" t="s">
        <v>2016</v>
      </c>
      <c r="O558">
        <v>82</v>
      </c>
      <c r="P558">
        <v>-86703.51999999999</v>
      </c>
      <c r="Q558" t="b">
        <v>0</v>
      </c>
      <c r="R558" t="b">
        <v>1</v>
      </c>
      <c r="S558" t="b">
        <v>0</v>
      </c>
      <c r="T558" t="b">
        <v>0</v>
      </c>
      <c r="U558">
        <v>1</v>
      </c>
      <c r="V558" t="s">
        <v>4073</v>
      </c>
    </row>
    <row r="559" spans="1:22" hidden="1" x14ac:dyDescent="0.45">
      <c r="A559" s="2" t="s">
        <v>242</v>
      </c>
      <c r="B559" s="11">
        <v>45150</v>
      </c>
      <c r="C559" s="2" t="s">
        <v>2013</v>
      </c>
      <c r="D559" s="2" t="s">
        <v>2018</v>
      </c>
      <c r="E559">
        <v>871.28</v>
      </c>
      <c r="F559">
        <v>53148.08</v>
      </c>
      <c r="G559">
        <v>0</v>
      </c>
      <c r="H559">
        <v>0</v>
      </c>
      <c r="I559" s="2" t="s">
        <v>2022</v>
      </c>
      <c r="J559" s="2" t="s">
        <v>2027</v>
      </c>
      <c r="K559" s="2" t="s">
        <v>2263</v>
      </c>
      <c r="L559" s="2" t="s">
        <v>4035</v>
      </c>
      <c r="M559">
        <v>-871.28</v>
      </c>
      <c r="N559" s="2" t="s">
        <v>4044</v>
      </c>
      <c r="O559">
        <v>61</v>
      </c>
      <c r="P559">
        <v>-53148.08</v>
      </c>
      <c r="Q559" t="b">
        <v>1</v>
      </c>
      <c r="R559" t="b">
        <v>0</v>
      </c>
      <c r="S559" t="b">
        <v>0</v>
      </c>
      <c r="T559" t="b">
        <v>0</v>
      </c>
      <c r="U559">
        <v>1</v>
      </c>
      <c r="V559" t="s">
        <v>4073</v>
      </c>
    </row>
    <row r="560" spans="1:22" hidden="1" x14ac:dyDescent="0.45">
      <c r="A560" s="2" t="s">
        <v>49</v>
      </c>
      <c r="B560" s="11">
        <v>45325</v>
      </c>
      <c r="C560" s="2" t="s">
        <v>2013</v>
      </c>
      <c r="D560" s="2" t="s">
        <v>2018</v>
      </c>
      <c r="E560">
        <v>1416.63</v>
      </c>
      <c r="F560">
        <v>86414.430000000008</v>
      </c>
      <c r="G560">
        <v>0</v>
      </c>
      <c r="H560">
        <v>0</v>
      </c>
      <c r="I560" s="2" t="s">
        <v>2022</v>
      </c>
      <c r="J560" s="2" t="s">
        <v>2028</v>
      </c>
      <c r="K560" s="2" t="s">
        <v>2070</v>
      </c>
      <c r="L560" s="2" t="s">
        <v>4035</v>
      </c>
      <c r="M560">
        <v>-1416.63</v>
      </c>
      <c r="N560" s="2" t="s">
        <v>4044</v>
      </c>
      <c r="O560">
        <v>61</v>
      </c>
      <c r="P560">
        <v>-86414.430000000008</v>
      </c>
      <c r="Q560" t="b">
        <v>1</v>
      </c>
      <c r="R560" t="b">
        <v>0</v>
      </c>
      <c r="S560" t="b">
        <v>0</v>
      </c>
      <c r="T560" t="b">
        <v>0</v>
      </c>
      <c r="U560">
        <v>1</v>
      </c>
      <c r="V560" t="s">
        <v>4073</v>
      </c>
    </row>
    <row r="561" spans="1:22" hidden="1" x14ac:dyDescent="0.45">
      <c r="A561" s="2" t="s">
        <v>880</v>
      </c>
      <c r="B561" s="11">
        <v>45662</v>
      </c>
      <c r="C561" s="2" t="s">
        <v>2012</v>
      </c>
      <c r="D561" s="2" t="s">
        <v>2017</v>
      </c>
      <c r="E561">
        <v>981.76</v>
      </c>
      <c r="F561">
        <v>86394.880000000005</v>
      </c>
      <c r="G561">
        <v>0</v>
      </c>
      <c r="H561">
        <v>0</v>
      </c>
      <c r="I561" s="2" t="s">
        <v>2024</v>
      </c>
      <c r="J561" s="2" t="s">
        <v>2029</v>
      </c>
      <c r="K561" s="2" t="s">
        <v>2901</v>
      </c>
      <c r="L561" s="2" t="s">
        <v>4032</v>
      </c>
      <c r="M561">
        <v>-981.76</v>
      </c>
      <c r="N561" s="2" t="s">
        <v>4044</v>
      </c>
      <c r="O561">
        <v>88</v>
      </c>
      <c r="P561">
        <v>-86394.880000000005</v>
      </c>
      <c r="Q561" t="b">
        <v>1</v>
      </c>
      <c r="R561" t="b">
        <v>0</v>
      </c>
      <c r="S561" t="b">
        <v>0</v>
      </c>
      <c r="T561" t="b">
        <v>0</v>
      </c>
      <c r="U561">
        <v>1</v>
      </c>
      <c r="V561" t="s">
        <v>4073</v>
      </c>
    </row>
    <row r="562" spans="1:22" hidden="1" x14ac:dyDescent="0.45">
      <c r="A562" s="2" t="s">
        <v>780</v>
      </c>
      <c r="B562" s="11">
        <v>45624</v>
      </c>
      <c r="C562" s="2" t="s">
        <v>2013</v>
      </c>
      <c r="D562" s="2" t="s">
        <v>2018</v>
      </c>
      <c r="E562">
        <v>604.27</v>
      </c>
      <c r="F562">
        <v>53175.759999999995</v>
      </c>
      <c r="G562">
        <v>0</v>
      </c>
      <c r="H562">
        <v>0</v>
      </c>
      <c r="I562" s="2" t="s">
        <v>2025</v>
      </c>
      <c r="J562" s="2" t="s">
        <v>2029</v>
      </c>
      <c r="K562" s="2" t="s">
        <v>2801</v>
      </c>
      <c r="L562" s="2" t="s">
        <v>4032</v>
      </c>
      <c r="M562">
        <v>-604.27</v>
      </c>
      <c r="N562" s="2" t="s">
        <v>4044</v>
      </c>
      <c r="O562">
        <v>88</v>
      </c>
      <c r="P562">
        <v>-53175.759999999995</v>
      </c>
      <c r="Q562" t="b">
        <v>0</v>
      </c>
      <c r="R562" t="b">
        <v>1</v>
      </c>
      <c r="S562" t="b">
        <v>0</v>
      </c>
      <c r="T562" t="b">
        <v>0</v>
      </c>
      <c r="U562">
        <v>1</v>
      </c>
      <c r="V562" t="s">
        <v>4073</v>
      </c>
    </row>
    <row r="563" spans="1:22" hidden="1" x14ac:dyDescent="0.45">
      <c r="A563" s="2" t="s">
        <v>1543</v>
      </c>
      <c r="B563" s="11">
        <v>45759</v>
      </c>
      <c r="C563" s="2" t="s">
        <v>2013</v>
      </c>
      <c r="D563" s="2" t="s">
        <v>2018</v>
      </c>
      <c r="E563">
        <v>980.89</v>
      </c>
      <c r="F563">
        <v>86318.319999999992</v>
      </c>
      <c r="G563">
        <v>0</v>
      </c>
      <c r="H563">
        <v>0</v>
      </c>
      <c r="I563" s="2" t="s">
        <v>2025</v>
      </c>
      <c r="J563" s="2" t="s">
        <v>2026</v>
      </c>
      <c r="K563" s="2" t="s">
        <v>3564</v>
      </c>
      <c r="L563" s="2" t="s">
        <v>4032</v>
      </c>
      <c r="M563">
        <v>-980.89</v>
      </c>
      <c r="N563" s="2" t="s">
        <v>4044</v>
      </c>
      <c r="O563">
        <v>88</v>
      </c>
      <c r="P563">
        <v>-86318.319999999992</v>
      </c>
      <c r="Q563" t="b">
        <v>1</v>
      </c>
      <c r="R563" t="b">
        <v>0</v>
      </c>
      <c r="S563" t="b">
        <v>0</v>
      </c>
      <c r="T563" t="b">
        <v>0</v>
      </c>
      <c r="U563">
        <v>1</v>
      </c>
      <c r="V563" t="s">
        <v>4073</v>
      </c>
    </row>
    <row r="564" spans="1:22" hidden="1" x14ac:dyDescent="0.45">
      <c r="A564" s="2" t="s">
        <v>1391</v>
      </c>
      <c r="B564" s="11">
        <v>45744</v>
      </c>
      <c r="C564" s="2" t="s">
        <v>2012</v>
      </c>
      <c r="D564" s="2" t="s">
        <v>2017</v>
      </c>
      <c r="E564">
        <v>1047.53</v>
      </c>
      <c r="F564">
        <v>85897.459999999992</v>
      </c>
      <c r="G564">
        <v>0</v>
      </c>
      <c r="H564">
        <v>0</v>
      </c>
      <c r="I564" s="2" t="s">
        <v>2024</v>
      </c>
      <c r="J564" s="2" t="s">
        <v>2029</v>
      </c>
      <c r="K564" s="2" t="s">
        <v>3412</v>
      </c>
      <c r="L564" s="2" t="s">
        <v>4034</v>
      </c>
      <c r="M564">
        <v>-1047.53</v>
      </c>
      <c r="N564" s="2" t="s">
        <v>4044</v>
      </c>
      <c r="O564">
        <v>82</v>
      </c>
      <c r="P564">
        <v>-85897.459999999992</v>
      </c>
      <c r="Q564" t="b">
        <v>0</v>
      </c>
      <c r="R564" t="b">
        <v>1</v>
      </c>
      <c r="S564" t="b">
        <v>0</v>
      </c>
      <c r="T564" t="b">
        <v>0</v>
      </c>
      <c r="U564">
        <v>1</v>
      </c>
      <c r="V564" t="s">
        <v>4073</v>
      </c>
    </row>
    <row r="565" spans="1:22" hidden="1" x14ac:dyDescent="0.45">
      <c r="A565" s="2" t="s">
        <v>58</v>
      </c>
      <c r="B565" s="11">
        <v>45788</v>
      </c>
      <c r="C565" s="2" t="s">
        <v>2012</v>
      </c>
      <c r="D565" s="2" t="s">
        <v>2017</v>
      </c>
      <c r="E565">
        <v>1408.09</v>
      </c>
      <c r="F565">
        <v>85893.489999999991</v>
      </c>
      <c r="G565">
        <v>0</v>
      </c>
      <c r="H565">
        <v>0</v>
      </c>
      <c r="I565" s="2" t="s">
        <v>2022</v>
      </c>
      <c r="J565" s="2" t="s">
        <v>2028</v>
      </c>
      <c r="K565" s="2" t="s">
        <v>2079</v>
      </c>
      <c r="L565" s="2" t="s">
        <v>4035</v>
      </c>
      <c r="M565">
        <v>-1408.09</v>
      </c>
      <c r="N565" s="2" t="s">
        <v>4044</v>
      </c>
      <c r="O565">
        <v>61</v>
      </c>
      <c r="P565">
        <v>-85893.489999999991</v>
      </c>
      <c r="Q565" t="b">
        <v>1</v>
      </c>
      <c r="R565" t="b">
        <v>0</v>
      </c>
      <c r="S565" t="b">
        <v>0</v>
      </c>
      <c r="T565" t="b">
        <v>0</v>
      </c>
      <c r="U565">
        <v>1</v>
      </c>
      <c r="V565" t="s">
        <v>4073</v>
      </c>
    </row>
    <row r="566" spans="1:22" hidden="1" x14ac:dyDescent="0.45">
      <c r="A566" s="2" t="s">
        <v>1981</v>
      </c>
      <c r="B566" s="11">
        <v>45443</v>
      </c>
      <c r="C566" s="2" t="s">
        <v>2014</v>
      </c>
      <c r="D566" s="2" t="s">
        <v>2019</v>
      </c>
      <c r="E566">
        <v>0</v>
      </c>
      <c r="F566">
        <v>0</v>
      </c>
      <c r="G566">
        <v>876.89</v>
      </c>
      <c r="H566">
        <v>53490.29</v>
      </c>
      <c r="I566" s="2" t="s">
        <v>2022</v>
      </c>
      <c r="J566" s="2" t="s">
        <v>2029</v>
      </c>
      <c r="K566" s="2" t="s">
        <v>4002</v>
      </c>
      <c r="L566" s="2" t="s">
        <v>4035</v>
      </c>
      <c r="M566">
        <v>876.89</v>
      </c>
      <c r="N566" s="2" t="s">
        <v>4042</v>
      </c>
      <c r="O566">
        <v>61</v>
      </c>
      <c r="P566">
        <v>53490.29</v>
      </c>
      <c r="Q566" t="b">
        <v>0</v>
      </c>
      <c r="R566" t="b">
        <v>1</v>
      </c>
      <c r="S566" t="b">
        <v>0</v>
      </c>
      <c r="T566" t="b">
        <v>0</v>
      </c>
      <c r="U566">
        <v>1</v>
      </c>
      <c r="V566" t="s">
        <v>4073</v>
      </c>
    </row>
    <row r="567" spans="1:22" hidden="1" x14ac:dyDescent="0.45">
      <c r="A567" s="2" t="s">
        <v>1894</v>
      </c>
      <c r="B567" s="11">
        <v>45787</v>
      </c>
      <c r="C567" s="2" t="s">
        <v>2012</v>
      </c>
      <c r="D567" s="2" t="s">
        <v>2017</v>
      </c>
      <c r="E567">
        <v>652.77</v>
      </c>
      <c r="F567">
        <v>53527.14</v>
      </c>
      <c r="G567">
        <v>0</v>
      </c>
      <c r="H567">
        <v>0</v>
      </c>
      <c r="I567" s="2" t="s">
        <v>2024</v>
      </c>
      <c r="J567" s="2" t="s">
        <v>2027</v>
      </c>
      <c r="K567" s="2" t="s">
        <v>3915</v>
      </c>
      <c r="L567" s="2" t="s">
        <v>4034</v>
      </c>
      <c r="M567">
        <v>-652.77</v>
      </c>
      <c r="N567" s="2" t="s">
        <v>4044</v>
      </c>
      <c r="O567">
        <v>82</v>
      </c>
      <c r="P567">
        <v>-53527.14</v>
      </c>
      <c r="Q567" t="b">
        <v>1</v>
      </c>
      <c r="R567" t="b">
        <v>0</v>
      </c>
      <c r="S567" t="b">
        <v>0</v>
      </c>
      <c r="T567" t="b">
        <v>0</v>
      </c>
      <c r="U567">
        <v>1</v>
      </c>
      <c r="V567" t="s">
        <v>4073</v>
      </c>
    </row>
    <row r="568" spans="1:22" hidden="1" x14ac:dyDescent="0.45">
      <c r="A568" s="2" t="s">
        <v>1642</v>
      </c>
      <c r="B568" s="11">
        <v>45284</v>
      </c>
      <c r="C568" s="2" t="s">
        <v>2012</v>
      </c>
      <c r="D568" s="2" t="s">
        <v>2017</v>
      </c>
      <c r="E568">
        <v>826.92</v>
      </c>
      <c r="F568">
        <v>85172.76</v>
      </c>
      <c r="G568">
        <v>0</v>
      </c>
      <c r="H568">
        <v>0</v>
      </c>
      <c r="I568" s="2" t="s">
        <v>2020</v>
      </c>
      <c r="J568" s="2" t="s">
        <v>2028</v>
      </c>
      <c r="K568" s="2" t="s">
        <v>3663</v>
      </c>
      <c r="L568" s="2" t="s">
        <v>4031</v>
      </c>
      <c r="M568">
        <v>-826.92</v>
      </c>
      <c r="N568" s="2" t="s">
        <v>4044</v>
      </c>
      <c r="O568">
        <v>103</v>
      </c>
      <c r="P568">
        <v>-85172.76</v>
      </c>
      <c r="Q568" t="b">
        <v>1</v>
      </c>
      <c r="R568" t="b">
        <v>0</v>
      </c>
      <c r="S568" t="b">
        <v>0</v>
      </c>
      <c r="T568" t="b">
        <v>0</v>
      </c>
      <c r="U568">
        <v>1</v>
      </c>
      <c r="V568" t="s">
        <v>4073</v>
      </c>
    </row>
    <row r="569" spans="1:22" hidden="1" x14ac:dyDescent="0.45">
      <c r="A569" s="2" t="s">
        <v>922</v>
      </c>
      <c r="B569" s="11">
        <v>45549</v>
      </c>
      <c r="C569" s="2" t="s">
        <v>2013</v>
      </c>
      <c r="D569" s="2" t="s">
        <v>2018</v>
      </c>
      <c r="E569">
        <v>608.52</v>
      </c>
      <c r="F569">
        <v>53549.759999999995</v>
      </c>
      <c r="G569">
        <v>0</v>
      </c>
      <c r="H569">
        <v>0</v>
      </c>
      <c r="I569" s="2" t="s">
        <v>2020</v>
      </c>
      <c r="J569" s="2" t="s">
        <v>2027</v>
      </c>
      <c r="K569" s="2" t="s">
        <v>2943</v>
      </c>
      <c r="L569" s="2" t="s">
        <v>4032</v>
      </c>
      <c r="M569">
        <v>-608.52</v>
      </c>
      <c r="N569" s="2" t="s">
        <v>4044</v>
      </c>
      <c r="O569">
        <v>88</v>
      </c>
      <c r="P569">
        <v>-53549.759999999995</v>
      </c>
      <c r="Q569" t="b">
        <v>1</v>
      </c>
      <c r="R569" t="b">
        <v>0</v>
      </c>
      <c r="S569" t="b">
        <v>0</v>
      </c>
      <c r="T569" t="b">
        <v>0</v>
      </c>
      <c r="U569">
        <v>1</v>
      </c>
      <c r="V569" t="s">
        <v>4073</v>
      </c>
    </row>
    <row r="570" spans="1:22" hidden="1" x14ac:dyDescent="0.45">
      <c r="A570" s="2" t="s">
        <v>101</v>
      </c>
      <c r="B570" s="11">
        <v>45620</v>
      </c>
      <c r="C570" s="2" t="s">
        <v>2010</v>
      </c>
      <c r="D570" s="2" t="s">
        <v>2015</v>
      </c>
      <c r="E570">
        <v>0</v>
      </c>
      <c r="F570">
        <v>0</v>
      </c>
      <c r="G570">
        <v>1071.73</v>
      </c>
      <c r="H570">
        <v>87881.86</v>
      </c>
      <c r="I570" s="2" t="s">
        <v>2025</v>
      </c>
      <c r="J570" s="2" t="s">
        <v>2028</v>
      </c>
      <c r="K570" s="2" t="s">
        <v>2122</v>
      </c>
      <c r="L570" s="2" t="s">
        <v>4034</v>
      </c>
      <c r="M570">
        <v>1071.73</v>
      </c>
      <c r="N570" s="2" t="s">
        <v>4042</v>
      </c>
      <c r="O570">
        <v>82</v>
      </c>
      <c r="P570">
        <v>87881.86</v>
      </c>
      <c r="Q570" t="b">
        <v>1</v>
      </c>
      <c r="R570" t="b">
        <v>0</v>
      </c>
      <c r="S570" t="b">
        <v>0</v>
      </c>
      <c r="T570" t="b">
        <v>0</v>
      </c>
      <c r="U570">
        <v>1</v>
      </c>
      <c r="V570" t="s">
        <v>4073</v>
      </c>
    </row>
    <row r="571" spans="1:22" hidden="1" x14ac:dyDescent="0.45">
      <c r="A571" s="2" t="s">
        <v>1205</v>
      </c>
      <c r="B571" s="11">
        <v>45452</v>
      </c>
      <c r="C571" s="2" t="s">
        <v>2013</v>
      </c>
      <c r="D571" s="2" t="s">
        <v>2018</v>
      </c>
      <c r="E571">
        <v>811.62</v>
      </c>
      <c r="F571">
        <v>49508.82</v>
      </c>
      <c r="G571">
        <v>0</v>
      </c>
      <c r="H571">
        <v>0</v>
      </c>
      <c r="I571" s="2" t="s">
        <v>2021</v>
      </c>
      <c r="J571" s="2" t="s">
        <v>2027</v>
      </c>
      <c r="K571" s="2" t="s">
        <v>3226</v>
      </c>
      <c r="L571" s="2" t="s">
        <v>4035</v>
      </c>
      <c r="M571">
        <v>-811.62</v>
      </c>
      <c r="N571" s="2" t="s">
        <v>4044</v>
      </c>
      <c r="O571">
        <v>61</v>
      </c>
      <c r="P571">
        <v>-49508.82</v>
      </c>
      <c r="Q571" t="b">
        <v>1</v>
      </c>
      <c r="R571" t="b">
        <v>0</v>
      </c>
      <c r="S571" t="b">
        <v>0</v>
      </c>
      <c r="T571" t="b">
        <v>0</v>
      </c>
      <c r="U571">
        <v>1</v>
      </c>
      <c r="V571" t="s">
        <v>4073</v>
      </c>
    </row>
    <row r="572" spans="1:22" hidden="1" x14ac:dyDescent="0.45">
      <c r="A572" s="2" t="s">
        <v>1970</v>
      </c>
      <c r="B572" s="11">
        <v>45641</v>
      </c>
      <c r="C572" s="2" t="s">
        <v>2013</v>
      </c>
      <c r="D572" s="2" t="s">
        <v>2018</v>
      </c>
      <c r="E572">
        <v>852.05</v>
      </c>
      <c r="F572">
        <v>51975.049999999996</v>
      </c>
      <c r="G572">
        <v>0</v>
      </c>
      <c r="H572">
        <v>0</v>
      </c>
      <c r="I572" s="2" t="s">
        <v>2022</v>
      </c>
      <c r="J572" s="2" t="s">
        <v>2027</v>
      </c>
      <c r="K572" s="2" t="s">
        <v>3991</v>
      </c>
      <c r="L572" s="2" t="s">
        <v>4035</v>
      </c>
      <c r="M572">
        <v>-852.05</v>
      </c>
      <c r="N572" s="2" t="s">
        <v>4044</v>
      </c>
      <c r="O572">
        <v>61</v>
      </c>
      <c r="P572">
        <v>-51975.049999999996</v>
      </c>
      <c r="Q572" t="b">
        <v>1</v>
      </c>
      <c r="R572" t="b">
        <v>0</v>
      </c>
      <c r="S572" t="b">
        <v>0</v>
      </c>
      <c r="T572" t="b">
        <v>0</v>
      </c>
      <c r="U572">
        <v>1</v>
      </c>
      <c r="V572" t="s">
        <v>4073</v>
      </c>
    </row>
    <row r="573" spans="1:22" hidden="1" x14ac:dyDescent="0.45">
      <c r="A573" s="2" t="s">
        <v>1504</v>
      </c>
      <c r="B573" s="11">
        <v>45039</v>
      </c>
      <c r="C573" s="2" t="s">
        <v>2012</v>
      </c>
      <c r="D573" s="2" t="s">
        <v>2017</v>
      </c>
      <c r="E573">
        <v>850.43</v>
      </c>
      <c r="F573">
        <v>51876.229999999996</v>
      </c>
      <c r="G573">
        <v>0</v>
      </c>
      <c r="H573">
        <v>0</v>
      </c>
      <c r="I573" s="2" t="s">
        <v>2020</v>
      </c>
      <c r="J573" s="2" t="s">
        <v>2028</v>
      </c>
      <c r="K573" s="2" t="s">
        <v>3525</v>
      </c>
      <c r="L573" s="2" t="s">
        <v>4035</v>
      </c>
      <c r="M573">
        <v>-850.43</v>
      </c>
      <c r="N573" s="2" t="s">
        <v>4044</v>
      </c>
      <c r="O573">
        <v>61</v>
      </c>
      <c r="P573">
        <v>-51876.229999999996</v>
      </c>
      <c r="Q573" t="b">
        <v>1</v>
      </c>
      <c r="R573" t="b">
        <v>0</v>
      </c>
      <c r="S573" t="b">
        <v>0</v>
      </c>
      <c r="T573" t="b">
        <v>0</v>
      </c>
      <c r="U573">
        <v>1</v>
      </c>
      <c r="V573" t="s">
        <v>4073</v>
      </c>
    </row>
    <row r="574" spans="1:22" hidden="1" x14ac:dyDescent="0.45">
      <c r="A574" s="2" t="s">
        <v>568</v>
      </c>
      <c r="B574" s="11">
        <v>45776</v>
      </c>
      <c r="C574" s="2" t="s">
        <v>2012</v>
      </c>
      <c r="D574" s="2" t="s">
        <v>2017</v>
      </c>
      <c r="E574">
        <v>1649.25</v>
      </c>
      <c r="F574">
        <v>92358</v>
      </c>
      <c r="G574">
        <v>0</v>
      </c>
      <c r="H574">
        <v>0</v>
      </c>
      <c r="I574" s="2" t="s">
        <v>2023</v>
      </c>
      <c r="J574" s="2" t="s">
        <v>2027</v>
      </c>
      <c r="K574" s="2" t="s">
        <v>2589</v>
      </c>
      <c r="L574" s="2" t="s">
        <v>4033</v>
      </c>
      <c r="M574">
        <v>-1649.25</v>
      </c>
      <c r="N574" s="2" t="s">
        <v>4044</v>
      </c>
      <c r="O574">
        <v>56</v>
      </c>
      <c r="P574">
        <v>-92358</v>
      </c>
      <c r="Q574" t="b">
        <v>0</v>
      </c>
      <c r="R574" t="b">
        <v>1</v>
      </c>
      <c r="S574" t="b">
        <v>0</v>
      </c>
      <c r="T574" t="b">
        <v>0</v>
      </c>
      <c r="U574">
        <v>1</v>
      </c>
      <c r="V574" t="s">
        <v>4073</v>
      </c>
    </row>
    <row r="575" spans="1:22" hidden="1" x14ac:dyDescent="0.45">
      <c r="A575" s="2" t="s">
        <v>1459</v>
      </c>
      <c r="B575" s="11">
        <v>45431</v>
      </c>
      <c r="C575" s="2" t="s">
        <v>2012</v>
      </c>
      <c r="D575" s="2" t="s">
        <v>2017</v>
      </c>
      <c r="E575">
        <v>1648.82</v>
      </c>
      <c r="F575">
        <v>92333.92</v>
      </c>
      <c r="G575">
        <v>0</v>
      </c>
      <c r="H575">
        <v>0</v>
      </c>
      <c r="I575" s="2" t="s">
        <v>2022</v>
      </c>
      <c r="J575" s="2" t="s">
        <v>2030</v>
      </c>
      <c r="K575" s="2" t="s">
        <v>3480</v>
      </c>
      <c r="L575" s="2" t="s">
        <v>4033</v>
      </c>
      <c r="M575">
        <v>-1648.82</v>
      </c>
      <c r="N575" s="2" t="s">
        <v>4044</v>
      </c>
      <c r="O575">
        <v>56</v>
      </c>
      <c r="P575">
        <v>-92333.92</v>
      </c>
      <c r="Q575" t="b">
        <v>1</v>
      </c>
      <c r="R575" t="b">
        <v>0</v>
      </c>
      <c r="S575" t="b">
        <v>0</v>
      </c>
      <c r="T575" t="b">
        <v>0</v>
      </c>
      <c r="U575">
        <v>1</v>
      </c>
      <c r="V575" t="s">
        <v>4073</v>
      </c>
    </row>
    <row r="576" spans="1:22" hidden="1" x14ac:dyDescent="0.45">
      <c r="A576" s="2" t="s">
        <v>1806</v>
      </c>
      <c r="B576" s="11">
        <v>45494</v>
      </c>
      <c r="C576" s="2" t="s">
        <v>2010</v>
      </c>
      <c r="D576" s="2" t="s">
        <v>2015</v>
      </c>
      <c r="E576">
        <v>0</v>
      </c>
      <c r="F576">
        <v>0</v>
      </c>
      <c r="G576">
        <v>1122.51</v>
      </c>
      <c r="H576">
        <v>92045.819999999992</v>
      </c>
      <c r="I576" s="2" t="s">
        <v>2023</v>
      </c>
      <c r="J576" s="2" t="s">
        <v>2030</v>
      </c>
      <c r="K576" s="2" t="s">
        <v>3827</v>
      </c>
      <c r="L576" s="2" t="s">
        <v>4034</v>
      </c>
      <c r="M576">
        <v>1122.51</v>
      </c>
      <c r="N576" s="2" t="s">
        <v>4042</v>
      </c>
      <c r="O576">
        <v>82</v>
      </c>
      <c r="P576">
        <v>92045.819999999992</v>
      </c>
      <c r="Q576" t="b">
        <v>1</v>
      </c>
      <c r="R576" t="b">
        <v>0</v>
      </c>
      <c r="S576" t="b">
        <v>0</v>
      </c>
      <c r="T576" t="b">
        <v>0</v>
      </c>
      <c r="U576">
        <v>1</v>
      </c>
      <c r="V576" t="s">
        <v>4073</v>
      </c>
    </row>
    <row r="577" spans="1:22" hidden="1" x14ac:dyDescent="0.45">
      <c r="A577" s="2" t="s">
        <v>455</v>
      </c>
      <c r="B577" s="11">
        <v>45688</v>
      </c>
      <c r="C577" s="2" t="s">
        <v>2013</v>
      </c>
      <c r="D577" s="2" t="s">
        <v>2018</v>
      </c>
      <c r="E577">
        <v>889.94</v>
      </c>
      <c r="F577">
        <v>49836.639999999999</v>
      </c>
      <c r="G577">
        <v>0</v>
      </c>
      <c r="H577">
        <v>0</v>
      </c>
      <c r="I577" s="2" t="s">
        <v>2022</v>
      </c>
      <c r="J577" s="2" t="s">
        <v>2027</v>
      </c>
      <c r="K577" s="2" t="s">
        <v>2476</v>
      </c>
      <c r="L577" s="2" t="s">
        <v>4033</v>
      </c>
      <c r="M577">
        <v>-889.94</v>
      </c>
      <c r="N577" s="2" t="s">
        <v>4044</v>
      </c>
      <c r="O577">
        <v>56</v>
      </c>
      <c r="P577">
        <v>-49836.639999999999</v>
      </c>
      <c r="Q577" t="b">
        <v>0</v>
      </c>
      <c r="R577" t="b">
        <v>1</v>
      </c>
      <c r="S577" t="b">
        <v>0</v>
      </c>
      <c r="T577" t="b">
        <v>0</v>
      </c>
      <c r="U577">
        <v>1</v>
      </c>
      <c r="V577" t="s">
        <v>4073</v>
      </c>
    </row>
    <row r="578" spans="1:22" hidden="1" x14ac:dyDescent="0.45">
      <c r="A578" s="2" t="s">
        <v>1380</v>
      </c>
      <c r="B578" s="11">
        <v>45804</v>
      </c>
      <c r="C578" s="2" t="s">
        <v>2013</v>
      </c>
      <c r="D578" s="2" t="s">
        <v>2018</v>
      </c>
      <c r="E578">
        <v>485.53</v>
      </c>
      <c r="F578">
        <v>50009.59</v>
      </c>
      <c r="G578">
        <v>0</v>
      </c>
      <c r="H578">
        <v>0</v>
      </c>
      <c r="I578" s="2" t="s">
        <v>2023</v>
      </c>
      <c r="J578" s="2" t="s">
        <v>2026</v>
      </c>
      <c r="K578" s="2" t="s">
        <v>3401</v>
      </c>
      <c r="L578" s="2" t="s">
        <v>4031</v>
      </c>
      <c r="M578">
        <v>-485.53</v>
      </c>
      <c r="N578" s="2" t="s">
        <v>4044</v>
      </c>
      <c r="O578">
        <v>103</v>
      </c>
      <c r="P578">
        <v>-50009.59</v>
      </c>
      <c r="Q578" t="b">
        <v>0</v>
      </c>
      <c r="R578" t="b">
        <v>1</v>
      </c>
      <c r="S578" t="b">
        <v>0</v>
      </c>
      <c r="T578" t="b">
        <v>0</v>
      </c>
      <c r="U578">
        <v>1</v>
      </c>
      <c r="V578" t="s">
        <v>4073</v>
      </c>
    </row>
    <row r="579" spans="1:22" hidden="1" x14ac:dyDescent="0.45">
      <c r="A579" s="2" t="s">
        <v>1212</v>
      </c>
      <c r="B579" s="11">
        <v>45556</v>
      </c>
      <c r="C579" s="2" t="s">
        <v>2014</v>
      </c>
      <c r="D579" s="2" t="s">
        <v>2019</v>
      </c>
      <c r="E579">
        <v>0</v>
      </c>
      <c r="F579">
        <v>0</v>
      </c>
      <c r="G579">
        <v>1634.89</v>
      </c>
      <c r="H579">
        <v>91553.840000000011</v>
      </c>
      <c r="I579" s="2" t="s">
        <v>2024</v>
      </c>
      <c r="J579" s="2" t="s">
        <v>2030</v>
      </c>
      <c r="K579" s="2" t="s">
        <v>3233</v>
      </c>
      <c r="L579" s="2" t="s">
        <v>4033</v>
      </c>
      <c r="M579">
        <v>1634.89</v>
      </c>
      <c r="N579" s="2" t="s">
        <v>4042</v>
      </c>
      <c r="O579">
        <v>56</v>
      </c>
      <c r="P579">
        <v>91553.840000000011</v>
      </c>
      <c r="Q579" t="b">
        <v>1</v>
      </c>
      <c r="R579" t="b">
        <v>0</v>
      </c>
      <c r="S579" t="b">
        <v>0</v>
      </c>
      <c r="T579" t="b">
        <v>0</v>
      </c>
      <c r="U579">
        <v>1</v>
      </c>
      <c r="V579" t="s">
        <v>4073</v>
      </c>
    </row>
    <row r="580" spans="1:22" hidden="1" x14ac:dyDescent="0.45">
      <c r="A580" s="2" t="s">
        <v>1033</v>
      </c>
      <c r="B580" s="11">
        <v>45584</v>
      </c>
      <c r="C580" s="2" t="s">
        <v>2011</v>
      </c>
      <c r="D580" s="2" t="s">
        <v>2016</v>
      </c>
      <c r="E580">
        <v>1493.77</v>
      </c>
      <c r="F580">
        <v>91119.97</v>
      </c>
      <c r="G580">
        <v>0</v>
      </c>
      <c r="H580">
        <v>0</v>
      </c>
      <c r="I580" s="2" t="s">
        <v>2021</v>
      </c>
      <c r="J580" s="2" t="s">
        <v>2029</v>
      </c>
      <c r="K580" s="2" t="s">
        <v>3054</v>
      </c>
      <c r="L580" s="2" t="s">
        <v>4035</v>
      </c>
      <c r="M580">
        <v>-1493.77</v>
      </c>
      <c r="N580" s="2" t="s">
        <v>2016</v>
      </c>
      <c r="O580">
        <v>61</v>
      </c>
      <c r="P580">
        <v>-91119.97</v>
      </c>
      <c r="Q580" t="b">
        <v>1</v>
      </c>
      <c r="R580" t="b">
        <v>0</v>
      </c>
      <c r="S580" t="b">
        <v>0</v>
      </c>
      <c r="T580" t="b">
        <v>0</v>
      </c>
      <c r="U580">
        <v>1</v>
      </c>
      <c r="V580" t="s">
        <v>4073</v>
      </c>
    </row>
    <row r="581" spans="1:22" hidden="1" x14ac:dyDescent="0.45">
      <c r="A581" s="2" t="s">
        <v>1730</v>
      </c>
      <c r="B581" s="11">
        <v>45015</v>
      </c>
      <c r="C581" s="2" t="s">
        <v>2014</v>
      </c>
      <c r="D581" s="2" t="s">
        <v>2019</v>
      </c>
      <c r="E581">
        <v>0</v>
      </c>
      <c r="F581">
        <v>0</v>
      </c>
      <c r="G581">
        <v>1623.32</v>
      </c>
      <c r="H581">
        <v>90905.919999999998</v>
      </c>
      <c r="I581" s="2" t="s">
        <v>2025</v>
      </c>
      <c r="J581" s="2" t="s">
        <v>2026</v>
      </c>
      <c r="K581" s="2" t="s">
        <v>3751</v>
      </c>
      <c r="L581" s="2" t="s">
        <v>4033</v>
      </c>
      <c r="M581">
        <v>1623.32</v>
      </c>
      <c r="N581" s="2" t="s">
        <v>4042</v>
      </c>
      <c r="O581">
        <v>56</v>
      </c>
      <c r="P581">
        <v>90905.919999999998</v>
      </c>
      <c r="Q581" t="b">
        <v>0</v>
      </c>
      <c r="R581" t="b">
        <v>1</v>
      </c>
      <c r="S581" t="b">
        <v>0</v>
      </c>
      <c r="T581" t="b">
        <v>0</v>
      </c>
      <c r="U581">
        <v>1</v>
      </c>
      <c r="V581" t="s">
        <v>4073</v>
      </c>
    </row>
    <row r="582" spans="1:22" hidden="1" x14ac:dyDescent="0.45">
      <c r="A582" s="2" t="s">
        <v>1263</v>
      </c>
      <c r="B582" s="11">
        <v>45395</v>
      </c>
      <c r="C582" s="2" t="s">
        <v>2012</v>
      </c>
      <c r="D582" s="2" t="s">
        <v>2017</v>
      </c>
      <c r="E582">
        <v>574.09</v>
      </c>
      <c r="F582">
        <v>50519.920000000006</v>
      </c>
      <c r="G582">
        <v>0</v>
      </c>
      <c r="H582">
        <v>0</v>
      </c>
      <c r="I582" s="2" t="s">
        <v>2023</v>
      </c>
      <c r="J582" s="2" t="s">
        <v>2029</v>
      </c>
      <c r="K582" s="2" t="s">
        <v>3284</v>
      </c>
      <c r="L582" s="2" t="s">
        <v>4032</v>
      </c>
      <c r="M582">
        <v>-574.09</v>
      </c>
      <c r="N582" s="2" t="s">
        <v>4044</v>
      </c>
      <c r="O582">
        <v>88</v>
      </c>
      <c r="P582">
        <v>-50519.920000000006</v>
      </c>
      <c r="Q582" t="b">
        <v>1</v>
      </c>
      <c r="R582" t="b">
        <v>0</v>
      </c>
      <c r="S582" t="b">
        <v>0</v>
      </c>
      <c r="T582" t="b">
        <v>0</v>
      </c>
      <c r="U582">
        <v>1</v>
      </c>
      <c r="V582" t="s">
        <v>4073</v>
      </c>
    </row>
    <row r="583" spans="1:22" hidden="1" x14ac:dyDescent="0.45">
      <c r="A583" s="2" t="s">
        <v>1909</v>
      </c>
      <c r="B583" s="11">
        <v>45480</v>
      </c>
      <c r="C583" s="2" t="s">
        <v>2011</v>
      </c>
      <c r="D583" s="2" t="s">
        <v>2016</v>
      </c>
      <c r="E583">
        <v>1619.31</v>
      </c>
      <c r="F583">
        <v>90681.36</v>
      </c>
      <c r="G583">
        <v>0</v>
      </c>
      <c r="H583">
        <v>0</v>
      </c>
      <c r="I583" s="2" t="s">
        <v>2023</v>
      </c>
      <c r="J583" s="2" t="s">
        <v>2027</v>
      </c>
      <c r="K583" s="2" t="s">
        <v>3930</v>
      </c>
      <c r="L583" s="2" t="s">
        <v>4033</v>
      </c>
      <c r="M583">
        <v>-1619.31</v>
      </c>
      <c r="N583" s="2" t="s">
        <v>2016</v>
      </c>
      <c r="O583">
        <v>56</v>
      </c>
      <c r="P583">
        <v>-90681.36</v>
      </c>
      <c r="Q583" t="b">
        <v>1</v>
      </c>
      <c r="R583" t="b">
        <v>0</v>
      </c>
      <c r="S583" t="b">
        <v>0</v>
      </c>
      <c r="T583" t="b">
        <v>0</v>
      </c>
      <c r="U583">
        <v>1</v>
      </c>
      <c r="V583" t="s">
        <v>4073</v>
      </c>
    </row>
    <row r="584" spans="1:22" hidden="1" x14ac:dyDescent="0.45">
      <c r="A584" s="2" t="s">
        <v>1798</v>
      </c>
      <c r="B584" s="11">
        <v>45014</v>
      </c>
      <c r="C584" s="2" t="s">
        <v>2011</v>
      </c>
      <c r="D584" s="2" t="s">
        <v>2016</v>
      </c>
      <c r="E584">
        <v>1098.3699999999999</v>
      </c>
      <c r="F584">
        <v>90066.34</v>
      </c>
      <c r="G584">
        <v>0</v>
      </c>
      <c r="H584">
        <v>0</v>
      </c>
      <c r="I584" s="2" t="s">
        <v>2024</v>
      </c>
      <c r="J584" s="2" t="s">
        <v>2030</v>
      </c>
      <c r="K584" s="2" t="s">
        <v>3819</v>
      </c>
      <c r="L584" s="2" t="s">
        <v>4034</v>
      </c>
      <c r="M584">
        <v>-1098.3699999999999</v>
      </c>
      <c r="N584" s="2" t="s">
        <v>2016</v>
      </c>
      <c r="O584">
        <v>82</v>
      </c>
      <c r="P584">
        <v>-90066.34</v>
      </c>
      <c r="Q584" t="b">
        <v>0</v>
      </c>
      <c r="R584" t="b">
        <v>1</v>
      </c>
      <c r="S584" t="b">
        <v>0</v>
      </c>
      <c r="T584" t="b">
        <v>0</v>
      </c>
      <c r="U584">
        <v>1</v>
      </c>
      <c r="V584" t="s">
        <v>4073</v>
      </c>
    </row>
    <row r="585" spans="1:22" hidden="1" x14ac:dyDescent="0.45">
      <c r="A585" s="2" t="s">
        <v>678</v>
      </c>
      <c r="B585" s="11">
        <v>45724</v>
      </c>
      <c r="C585" s="2" t="s">
        <v>2013</v>
      </c>
      <c r="D585" s="2" t="s">
        <v>2018</v>
      </c>
      <c r="E585">
        <v>873.19</v>
      </c>
      <c r="F585">
        <v>89938.57</v>
      </c>
      <c r="G585">
        <v>0</v>
      </c>
      <c r="H585">
        <v>0</v>
      </c>
      <c r="I585" s="2" t="s">
        <v>2022</v>
      </c>
      <c r="J585" s="2" t="s">
        <v>2027</v>
      </c>
      <c r="K585" s="2" t="s">
        <v>2699</v>
      </c>
      <c r="L585" s="2" t="s">
        <v>4031</v>
      </c>
      <c r="M585">
        <v>-873.19</v>
      </c>
      <c r="N585" s="2" t="s">
        <v>4044</v>
      </c>
      <c r="O585">
        <v>103</v>
      </c>
      <c r="P585">
        <v>-89938.57</v>
      </c>
      <c r="Q585" t="b">
        <v>1</v>
      </c>
      <c r="R585" t="b">
        <v>0</v>
      </c>
      <c r="S585" t="b">
        <v>0</v>
      </c>
      <c r="T585" t="b">
        <v>0</v>
      </c>
      <c r="U585">
        <v>1</v>
      </c>
      <c r="V585" t="s">
        <v>4073</v>
      </c>
    </row>
    <row r="586" spans="1:22" hidden="1" x14ac:dyDescent="0.45">
      <c r="A586" s="2" t="s">
        <v>1814</v>
      </c>
      <c r="B586" s="11">
        <v>45060</v>
      </c>
      <c r="C586" s="2" t="s">
        <v>2014</v>
      </c>
      <c r="D586" s="2" t="s">
        <v>2019</v>
      </c>
      <c r="E586">
        <v>0</v>
      </c>
      <c r="F586">
        <v>0</v>
      </c>
      <c r="G586">
        <v>905.45</v>
      </c>
      <c r="H586">
        <v>50705.200000000004</v>
      </c>
      <c r="I586" s="2" t="s">
        <v>2020</v>
      </c>
      <c r="J586" s="2" t="s">
        <v>2026</v>
      </c>
      <c r="K586" s="2" t="s">
        <v>3835</v>
      </c>
      <c r="L586" s="2" t="s">
        <v>4033</v>
      </c>
      <c r="M586">
        <v>905.45</v>
      </c>
      <c r="N586" s="2" t="s">
        <v>4042</v>
      </c>
      <c r="O586">
        <v>56</v>
      </c>
      <c r="P586">
        <v>50705.200000000004</v>
      </c>
      <c r="Q586" t="b">
        <v>1</v>
      </c>
      <c r="R586" t="b">
        <v>0</v>
      </c>
      <c r="S586" t="b">
        <v>0</v>
      </c>
      <c r="T586" t="b">
        <v>0</v>
      </c>
      <c r="U586">
        <v>1</v>
      </c>
      <c r="V586" t="s">
        <v>4073</v>
      </c>
    </row>
    <row r="587" spans="1:22" hidden="1" x14ac:dyDescent="0.45">
      <c r="A587" s="2" t="s">
        <v>851</v>
      </c>
      <c r="B587" s="11">
        <v>45052</v>
      </c>
      <c r="C587" s="2" t="s">
        <v>2014</v>
      </c>
      <c r="D587" s="2" t="s">
        <v>2019</v>
      </c>
      <c r="E587">
        <v>0</v>
      </c>
      <c r="F587">
        <v>0</v>
      </c>
      <c r="G587">
        <v>872.06</v>
      </c>
      <c r="H587">
        <v>89822.18</v>
      </c>
      <c r="I587" s="2" t="s">
        <v>2021</v>
      </c>
      <c r="J587" s="2" t="s">
        <v>2026</v>
      </c>
      <c r="K587" s="2" t="s">
        <v>2872</v>
      </c>
      <c r="L587" s="2" t="s">
        <v>4031</v>
      </c>
      <c r="M587">
        <v>872.06</v>
      </c>
      <c r="N587" s="2" t="s">
        <v>4042</v>
      </c>
      <c r="O587">
        <v>103</v>
      </c>
      <c r="P587">
        <v>89822.18</v>
      </c>
      <c r="Q587" t="b">
        <v>1</v>
      </c>
      <c r="R587" t="b">
        <v>0</v>
      </c>
      <c r="S587" t="b">
        <v>0</v>
      </c>
      <c r="T587" t="b">
        <v>0</v>
      </c>
      <c r="U587">
        <v>1</v>
      </c>
      <c r="V587" t="s">
        <v>4073</v>
      </c>
    </row>
    <row r="588" spans="1:22" hidden="1" x14ac:dyDescent="0.45">
      <c r="A588" s="2" t="s">
        <v>1114</v>
      </c>
      <c r="B588" s="11">
        <v>45167</v>
      </c>
      <c r="C588" s="2" t="s">
        <v>2013</v>
      </c>
      <c r="D588" s="2" t="s">
        <v>2018</v>
      </c>
      <c r="E588">
        <v>831.33</v>
      </c>
      <c r="F588">
        <v>50711.130000000005</v>
      </c>
      <c r="G588">
        <v>0</v>
      </c>
      <c r="H588">
        <v>0</v>
      </c>
      <c r="I588" s="2" t="s">
        <v>2025</v>
      </c>
      <c r="J588" s="2" t="s">
        <v>2029</v>
      </c>
      <c r="K588" s="2" t="s">
        <v>3135</v>
      </c>
      <c r="L588" s="2" t="s">
        <v>4035</v>
      </c>
      <c r="M588">
        <v>-831.33</v>
      </c>
      <c r="N588" s="2" t="s">
        <v>4044</v>
      </c>
      <c r="O588">
        <v>61</v>
      </c>
      <c r="P588">
        <v>-50711.130000000005</v>
      </c>
      <c r="Q588" t="b">
        <v>0</v>
      </c>
      <c r="R588" t="b">
        <v>1</v>
      </c>
      <c r="S588" t="b">
        <v>0</v>
      </c>
      <c r="T588" t="b">
        <v>0</v>
      </c>
      <c r="U588">
        <v>1</v>
      </c>
      <c r="V588" t="s">
        <v>4073</v>
      </c>
    </row>
    <row r="589" spans="1:22" hidden="1" x14ac:dyDescent="0.45">
      <c r="A589" s="2" t="s">
        <v>403</v>
      </c>
      <c r="B589" s="11">
        <v>45690</v>
      </c>
      <c r="C589" s="2" t="s">
        <v>2011</v>
      </c>
      <c r="D589" s="2" t="s">
        <v>2016</v>
      </c>
      <c r="E589">
        <v>618.6</v>
      </c>
      <c r="F589">
        <v>50725.200000000004</v>
      </c>
      <c r="G589">
        <v>0</v>
      </c>
      <c r="H589">
        <v>0</v>
      </c>
      <c r="I589" s="2" t="s">
        <v>2024</v>
      </c>
      <c r="J589" s="2" t="s">
        <v>2026</v>
      </c>
      <c r="K589" s="2" t="s">
        <v>2424</v>
      </c>
      <c r="L589" s="2" t="s">
        <v>4034</v>
      </c>
      <c r="M589">
        <v>-618.6</v>
      </c>
      <c r="N589" s="2" t="s">
        <v>2016</v>
      </c>
      <c r="O589">
        <v>82</v>
      </c>
      <c r="P589">
        <v>-50725.200000000004</v>
      </c>
      <c r="Q589" t="b">
        <v>1</v>
      </c>
      <c r="R589" t="b">
        <v>0</v>
      </c>
      <c r="S589" t="b">
        <v>0</v>
      </c>
      <c r="T589" t="b">
        <v>0</v>
      </c>
      <c r="U589">
        <v>1</v>
      </c>
      <c r="V589" t="s">
        <v>4073</v>
      </c>
    </row>
    <row r="590" spans="1:22" hidden="1" x14ac:dyDescent="0.45">
      <c r="A590" s="2" t="s">
        <v>1469</v>
      </c>
      <c r="B590" s="11">
        <v>45452</v>
      </c>
      <c r="C590" s="2" t="s">
        <v>2013</v>
      </c>
      <c r="D590" s="2" t="s">
        <v>2018</v>
      </c>
      <c r="E590">
        <v>1093.1300000000001</v>
      </c>
      <c r="F590">
        <v>89636.66</v>
      </c>
      <c r="G590">
        <v>0</v>
      </c>
      <c r="H590">
        <v>0</v>
      </c>
      <c r="I590" s="2" t="s">
        <v>2022</v>
      </c>
      <c r="J590" s="2" t="s">
        <v>2029</v>
      </c>
      <c r="K590" s="2" t="s">
        <v>3490</v>
      </c>
      <c r="L590" s="2" t="s">
        <v>4034</v>
      </c>
      <c r="M590">
        <v>-1093.1300000000001</v>
      </c>
      <c r="N590" s="2" t="s">
        <v>4044</v>
      </c>
      <c r="O590">
        <v>82</v>
      </c>
      <c r="P590">
        <v>-89636.66</v>
      </c>
      <c r="Q590" t="b">
        <v>1</v>
      </c>
      <c r="R590" t="b">
        <v>0</v>
      </c>
      <c r="S590" t="b">
        <v>0</v>
      </c>
      <c r="T590" t="b">
        <v>0</v>
      </c>
      <c r="U590">
        <v>1</v>
      </c>
      <c r="V590" t="s">
        <v>4073</v>
      </c>
    </row>
    <row r="591" spans="1:22" hidden="1" x14ac:dyDescent="0.45">
      <c r="A591" s="2" t="s">
        <v>1315</v>
      </c>
      <c r="B591" s="11">
        <v>45585</v>
      </c>
      <c r="C591" s="2" t="s">
        <v>2013</v>
      </c>
      <c r="D591" s="2" t="s">
        <v>2018</v>
      </c>
      <c r="E591">
        <v>1463.55</v>
      </c>
      <c r="F591">
        <v>89276.55</v>
      </c>
      <c r="G591">
        <v>0</v>
      </c>
      <c r="H591">
        <v>0</v>
      </c>
      <c r="I591" s="2" t="s">
        <v>2023</v>
      </c>
      <c r="J591" s="2" t="s">
        <v>2026</v>
      </c>
      <c r="K591" s="2" t="s">
        <v>3336</v>
      </c>
      <c r="L591" s="2" t="s">
        <v>4035</v>
      </c>
      <c r="M591">
        <v>-1463.55</v>
      </c>
      <c r="N591" s="2" t="s">
        <v>4044</v>
      </c>
      <c r="O591">
        <v>61</v>
      </c>
      <c r="P591">
        <v>-89276.55</v>
      </c>
      <c r="Q591" t="b">
        <v>1</v>
      </c>
      <c r="R591" t="b">
        <v>0</v>
      </c>
      <c r="S591" t="b">
        <v>0</v>
      </c>
      <c r="T591" t="b">
        <v>0</v>
      </c>
      <c r="U591">
        <v>1</v>
      </c>
      <c r="V591" t="s">
        <v>4073</v>
      </c>
    </row>
    <row r="592" spans="1:22" hidden="1" x14ac:dyDescent="0.45">
      <c r="A592" s="2" t="s">
        <v>866</v>
      </c>
      <c r="B592" s="11">
        <v>45038</v>
      </c>
      <c r="C592" s="2" t="s">
        <v>2011</v>
      </c>
      <c r="D592" s="2" t="s">
        <v>2016</v>
      </c>
      <c r="E592">
        <v>1083.5899999999999</v>
      </c>
      <c r="F592">
        <v>88854.37999999999</v>
      </c>
      <c r="G592">
        <v>0</v>
      </c>
      <c r="H592">
        <v>0</v>
      </c>
      <c r="I592" s="2" t="s">
        <v>2020</v>
      </c>
      <c r="J592" s="2" t="s">
        <v>2027</v>
      </c>
      <c r="K592" s="2" t="s">
        <v>2887</v>
      </c>
      <c r="L592" s="2" t="s">
        <v>4034</v>
      </c>
      <c r="M592">
        <v>-1083.5899999999999</v>
      </c>
      <c r="N592" s="2" t="s">
        <v>2016</v>
      </c>
      <c r="O592">
        <v>82</v>
      </c>
      <c r="P592">
        <v>-88854.37999999999</v>
      </c>
      <c r="Q592" t="b">
        <v>1</v>
      </c>
      <c r="R592" t="b">
        <v>0</v>
      </c>
      <c r="S592" t="b">
        <v>0</v>
      </c>
      <c r="T592" t="b">
        <v>0</v>
      </c>
      <c r="U592">
        <v>1</v>
      </c>
      <c r="V592" t="s">
        <v>4073</v>
      </c>
    </row>
    <row r="593" spans="1:22" hidden="1" x14ac:dyDescent="0.45">
      <c r="A593" s="2" t="s">
        <v>928</v>
      </c>
      <c r="B593" s="11">
        <v>45739</v>
      </c>
      <c r="C593" s="2" t="s">
        <v>2013</v>
      </c>
      <c r="D593" s="2" t="s">
        <v>2018</v>
      </c>
      <c r="E593">
        <v>580.21</v>
      </c>
      <c r="F593">
        <v>51058.48</v>
      </c>
      <c r="G593">
        <v>0</v>
      </c>
      <c r="H593">
        <v>0</v>
      </c>
      <c r="I593" s="2" t="s">
        <v>2020</v>
      </c>
      <c r="J593" s="2" t="s">
        <v>2030</v>
      </c>
      <c r="K593" s="2" t="s">
        <v>2949</v>
      </c>
      <c r="L593" s="2" t="s">
        <v>4032</v>
      </c>
      <c r="M593">
        <v>-580.21</v>
      </c>
      <c r="N593" s="2" t="s">
        <v>4044</v>
      </c>
      <c r="O593">
        <v>88</v>
      </c>
      <c r="P593">
        <v>-51058.48</v>
      </c>
      <c r="Q593" t="b">
        <v>1</v>
      </c>
      <c r="R593" t="b">
        <v>0</v>
      </c>
      <c r="S593" t="b">
        <v>0</v>
      </c>
      <c r="T593" t="b">
        <v>0</v>
      </c>
      <c r="U593">
        <v>1</v>
      </c>
      <c r="V593" t="s">
        <v>4073</v>
      </c>
    </row>
    <row r="594" spans="1:22" hidden="1" x14ac:dyDescent="0.45">
      <c r="A594" s="2" t="s">
        <v>1859</v>
      </c>
      <c r="B594" s="11">
        <v>45714</v>
      </c>
      <c r="C594" s="2" t="s">
        <v>2012</v>
      </c>
      <c r="D594" s="2" t="s">
        <v>2017</v>
      </c>
      <c r="E594">
        <v>622.67999999999995</v>
      </c>
      <c r="F594">
        <v>51059.759999999995</v>
      </c>
      <c r="G594">
        <v>0</v>
      </c>
      <c r="H594">
        <v>0</v>
      </c>
      <c r="I594" s="2" t="s">
        <v>2021</v>
      </c>
      <c r="J594" s="2" t="s">
        <v>2029</v>
      </c>
      <c r="K594" s="2" t="s">
        <v>3880</v>
      </c>
      <c r="L594" s="2" t="s">
        <v>4034</v>
      </c>
      <c r="M594">
        <v>-622.67999999999995</v>
      </c>
      <c r="N594" s="2" t="s">
        <v>4044</v>
      </c>
      <c r="O594">
        <v>82</v>
      </c>
      <c r="P594">
        <v>-51059.759999999995</v>
      </c>
      <c r="Q594" t="b">
        <v>0</v>
      </c>
      <c r="R594" t="b">
        <v>1</v>
      </c>
      <c r="S594" t="b">
        <v>0</v>
      </c>
      <c r="T594" t="b">
        <v>0</v>
      </c>
      <c r="U594">
        <v>1</v>
      </c>
      <c r="V594" t="s">
        <v>4073</v>
      </c>
    </row>
    <row r="595" spans="1:22" hidden="1" x14ac:dyDescent="0.45">
      <c r="A595" s="2" t="s">
        <v>99</v>
      </c>
      <c r="B595" s="11">
        <v>45135</v>
      </c>
      <c r="C595" s="2" t="s">
        <v>2012</v>
      </c>
      <c r="D595" s="2" t="s">
        <v>2017</v>
      </c>
      <c r="E595">
        <v>1448.69</v>
      </c>
      <c r="F595">
        <v>88370.09</v>
      </c>
      <c r="G595">
        <v>0</v>
      </c>
      <c r="H595">
        <v>0</v>
      </c>
      <c r="I595" s="2" t="s">
        <v>2023</v>
      </c>
      <c r="J595" s="2" t="s">
        <v>2027</v>
      </c>
      <c r="K595" s="2" t="s">
        <v>2120</v>
      </c>
      <c r="L595" s="2" t="s">
        <v>4035</v>
      </c>
      <c r="M595">
        <v>-1448.69</v>
      </c>
      <c r="N595" s="2" t="s">
        <v>4044</v>
      </c>
      <c r="O595">
        <v>61</v>
      </c>
      <c r="P595">
        <v>-88370.09</v>
      </c>
      <c r="Q595" t="b">
        <v>0</v>
      </c>
      <c r="R595" t="b">
        <v>1</v>
      </c>
      <c r="S595" t="b">
        <v>0</v>
      </c>
      <c r="T595" t="b">
        <v>0</v>
      </c>
      <c r="U595">
        <v>1</v>
      </c>
      <c r="V595" t="s">
        <v>4073</v>
      </c>
    </row>
    <row r="596" spans="1:22" hidden="1" x14ac:dyDescent="0.45">
      <c r="A596" s="2" t="s">
        <v>1323</v>
      </c>
      <c r="B596" s="11">
        <v>45150</v>
      </c>
      <c r="C596" s="2" t="s">
        <v>2011</v>
      </c>
      <c r="D596" s="2" t="s">
        <v>2016</v>
      </c>
      <c r="E596">
        <v>916.64</v>
      </c>
      <c r="F596">
        <v>51331.839999999997</v>
      </c>
      <c r="G596">
        <v>0</v>
      </c>
      <c r="H596">
        <v>0</v>
      </c>
      <c r="I596" s="2" t="s">
        <v>2022</v>
      </c>
      <c r="J596" s="2" t="s">
        <v>2026</v>
      </c>
      <c r="K596" s="2" t="s">
        <v>3344</v>
      </c>
      <c r="L596" s="2" t="s">
        <v>4033</v>
      </c>
      <c r="M596">
        <v>-916.64</v>
      </c>
      <c r="N596" s="2" t="s">
        <v>2016</v>
      </c>
      <c r="O596">
        <v>56</v>
      </c>
      <c r="P596">
        <v>-51331.839999999997</v>
      </c>
      <c r="Q596" t="b">
        <v>1</v>
      </c>
      <c r="R596" t="b">
        <v>0</v>
      </c>
      <c r="S596" t="b">
        <v>0</v>
      </c>
      <c r="T596" t="b">
        <v>0</v>
      </c>
      <c r="U596">
        <v>1</v>
      </c>
      <c r="V596" t="s">
        <v>4073</v>
      </c>
    </row>
    <row r="597" spans="1:22" hidden="1" x14ac:dyDescent="0.45">
      <c r="A597" s="2" t="s">
        <v>1161</v>
      </c>
      <c r="B597" s="11">
        <v>44962</v>
      </c>
      <c r="C597" s="2" t="s">
        <v>2012</v>
      </c>
      <c r="D597" s="2" t="s">
        <v>2017</v>
      </c>
      <c r="E597">
        <v>584.9</v>
      </c>
      <c r="F597">
        <v>51471.199999999997</v>
      </c>
      <c r="G597">
        <v>0</v>
      </c>
      <c r="H597">
        <v>0</v>
      </c>
      <c r="I597" s="2" t="s">
        <v>2022</v>
      </c>
      <c r="J597" s="2" t="s">
        <v>2028</v>
      </c>
      <c r="K597" s="2" t="s">
        <v>3182</v>
      </c>
      <c r="L597" s="2" t="s">
        <v>4032</v>
      </c>
      <c r="M597">
        <v>-584.9</v>
      </c>
      <c r="N597" s="2" t="s">
        <v>4044</v>
      </c>
      <c r="O597">
        <v>88</v>
      </c>
      <c r="P597">
        <v>-51471.199999999997</v>
      </c>
      <c r="Q597" t="b">
        <v>1</v>
      </c>
      <c r="R597" t="b">
        <v>0</v>
      </c>
      <c r="S597" t="b">
        <v>0</v>
      </c>
      <c r="T597" t="b">
        <v>0</v>
      </c>
      <c r="U597">
        <v>1</v>
      </c>
      <c r="V597" t="s">
        <v>4073</v>
      </c>
    </row>
    <row r="598" spans="1:22" hidden="1" x14ac:dyDescent="0.45">
      <c r="A598" s="2" t="s">
        <v>1381</v>
      </c>
      <c r="B598" s="11">
        <v>45360</v>
      </c>
      <c r="C598" s="2" t="s">
        <v>2014</v>
      </c>
      <c r="D598" s="2" t="s">
        <v>2019</v>
      </c>
      <c r="E598">
        <v>0</v>
      </c>
      <c r="F598">
        <v>0</v>
      </c>
      <c r="G598">
        <v>586.21</v>
      </c>
      <c r="H598">
        <v>51586.48</v>
      </c>
      <c r="I598" s="2" t="s">
        <v>2023</v>
      </c>
      <c r="J598" s="2" t="s">
        <v>2028</v>
      </c>
      <c r="K598" s="2" t="s">
        <v>3402</v>
      </c>
      <c r="L598" s="2" t="s">
        <v>4032</v>
      </c>
      <c r="M598">
        <v>586.21</v>
      </c>
      <c r="N598" s="2" t="s">
        <v>4042</v>
      </c>
      <c r="O598">
        <v>88</v>
      </c>
      <c r="P598">
        <v>51586.48</v>
      </c>
      <c r="Q598" t="b">
        <v>1</v>
      </c>
      <c r="R598" t="b">
        <v>0</v>
      </c>
      <c r="S598" t="b">
        <v>0</v>
      </c>
      <c r="T598" t="b">
        <v>0</v>
      </c>
      <c r="U598">
        <v>1</v>
      </c>
      <c r="V598" t="s">
        <v>4073</v>
      </c>
    </row>
    <row r="599" spans="1:22" hidden="1" x14ac:dyDescent="0.45">
      <c r="A599" s="2" t="s">
        <v>1599</v>
      </c>
      <c r="B599" s="11">
        <v>45743</v>
      </c>
      <c r="C599" s="2" t="s">
        <v>2012</v>
      </c>
      <c r="D599" s="2" t="s">
        <v>2017</v>
      </c>
      <c r="E599">
        <v>1072.1199999999999</v>
      </c>
      <c r="F599">
        <v>87913.84</v>
      </c>
      <c r="G599">
        <v>0</v>
      </c>
      <c r="H599">
        <v>0</v>
      </c>
      <c r="I599" s="2" t="s">
        <v>2023</v>
      </c>
      <c r="J599" s="2" t="s">
        <v>2030</v>
      </c>
      <c r="K599" s="2" t="s">
        <v>3620</v>
      </c>
      <c r="L599" s="2" t="s">
        <v>4034</v>
      </c>
      <c r="M599">
        <v>-1072.1199999999999</v>
      </c>
      <c r="N599" s="2" t="s">
        <v>4044</v>
      </c>
      <c r="O599">
        <v>82</v>
      </c>
      <c r="P599">
        <v>-87913.84</v>
      </c>
      <c r="Q599" t="b">
        <v>0</v>
      </c>
      <c r="R599" t="b">
        <v>1</v>
      </c>
      <c r="S599" t="b">
        <v>0</v>
      </c>
      <c r="T599" t="b">
        <v>0</v>
      </c>
      <c r="U599">
        <v>1</v>
      </c>
      <c r="V599" t="s">
        <v>4073</v>
      </c>
    </row>
    <row r="600" spans="1:22" hidden="1" x14ac:dyDescent="0.45">
      <c r="A600" s="2" t="s">
        <v>1833</v>
      </c>
      <c r="B600" s="11">
        <v>45374</v>
      </c>
      <c r="C600" s="2" t="s">
        <v>2011</v>
      </c>
      <c r="D600" s="2" t="s">
        <v>2016</v>
      </c>
      <c r="E600">
        <v>1625.93</v>
      </c>
      <c r="F600">
        <v>143081.84</v>
      </c>
      <c r="G600">
        <v>0</v>
      </c>
      <c r="H600">
        <v>0</v>
      </c>
      <c r="I600" s="2" t="s">
        <v>2023</v>
      </c>
      <c r="J600" s="2" t="s">
        <v>2026</v>
      </c>
      <c r="K600" s="2" t="s">
        <v>3854</v>
      </c>
      <c r="L600" s="2" t="s">
        <v>4032</v>
      </c>
      <c r="M600">
        <v>-1625.93</v>
      </c>
      <c r="N600" s="2" t="s">
        <v>2016</v>
      </c>
      <c r="O600">
        <v>88</v>
      </c>
      <c r="P600">
        <v>-143081.84</v>
      </c>
      <c r="Q600" t="b">
        <v>1</v>
      </c>
      <c r="R600" t="b">
        <v>0</v>
      </c>
      <c r="S600" t="b">
        <v>0</v>
      </c>
      <c r="T600" t="b">
        <v>0</v>
      </c>
      <c r="U600">
        <v>1</v>
      </c>
      <c r="V600" t="s">
        <v>4073</v>
      </c>
    </row>
    <row r="601" spans="1:22" hidden="1" x14ac:dyDescent="0.45">
      <c r="A601" s="2" t="s">
        <v>1431</v>
      </c>
      <c r="B601" s="11">
        <v>45169</v>
      </c>
      <c r="C601" s="2" t="s">
        <v>2012</v>
      </c>
      <c r="D601" s="2" t="s">
        <v>2017</v>
      </c>
      <c r="E601">
        <v>500.5</v>
      </c>
      <c r="F601">
        <v>30530.5</v>
      </c>
      <c r="G601">
        <v>0</v>
      </c>
      <c r="H601">
        <v>0</v>
      </c>
      <c r="I601" s="2" t="s">
        <v>2020</v>
      </c>
      <c r="J601" s="2" t="s">
        <v>2026</v>
      </c>
      <c r="K601" s="2" t="s">
        <v>3452</v>
      </c>
      <c r="L601" s="2" t="s">
        <v>4035</v>
      </c>
      <c r="M601">
        <v>-500.5</v>
      </c>
      <c r="N601" s="2" t="s">
        <v>4044</v>
      </c>
      <c r="O601">
        <v>61</v>
      </c>
      <c r="P601">
        <v>-30530.5</v>
      </c>
      <c r="Q601" t="b">
        <v>0</v>
      </c>
      <c r="R601" t="b">
        <v>1</v>
      </c>
      <c r="S601" t="b">
        <v>0</v>
      </c>
      <c r="T601" t="b">
        <v>0</v>
      </c>
      <c r="U601">
        <v>1</v>
      </c>
      <c r="V601" t="s">
        <v>4073</v>
      </c>
    </row>
    <row r="602" spans="1:22" hidden="1" x14ac:dyDescent="0.45">
      <c r="A602" s="2" t="s">
        <v>614</v>
      </c>
      <c r="B602" s="11">
        <v>45059</v>
      </c>
      <c r="C602" s="2" t="s">
        <v>2014</v>
      </c>
      <c r="D602" s="2" t="s">
        <v>2019</v>
      </c>
      <c r="E602">
        <v>0</v>
      </c>
      <c r="F602">
        <v>0</v>
      </c>
      <c r="G602">
        <v>1161.8599999999999</v>
      </c>
      <c r="H602">
        <v>65064.159999999996</v>
      </c>
      <c r="I602" s="2" t="s">
        <v>2023</v>
      </c>
      <c r="J602" s="2" t="s">
        <v>2028</v>
      </c>
      <c r="K602" s="2" t="s">
        <v>2635</v>
      </c>
      <c r="L602" s="2" t="s">
        <v>4033</v>
      </c>
      <c r="M602">
        <v>1161.8599999999999</v>
      </c>
      <c r="N602" s="2" t="s">
        <v>4042</v>
      </c>
      <c r="O602">
        <v>56</v>
      </c>
      <c r="P602">
        <v>65064.159999999996</v>
      </c>
      <c r="Q602" t="b">
        <v>1</v>
      </c>
      <c r="R602" t="b">
        <v>0</v>
      </c>
      <c r="S602" t="b">
        <v>0</v>
      </c>
      <c r="T602" t="b">
        <v>0</v>
      </c>
      <c r="U602">
        <v>1</v>
      </c>
      <c r="V602" t="s">
        <v>4073</v>
      </c>
    </row>
    <row r="603" spans="1:22" hidden="1" x14ac:dyDescent="0.45">
      <c r="A603" s="2" t="s">
        <v>621</v>
      </c>
      <c r="B603" s="11">
        <v>44943</v>
      </c>
      <c r="C603" s="2" t="s">
        <v>2010</v>
      </c>
      <c r="D603" s="2" t="s">
        <v>2015</v>
      </c>
      <c r="E603">
        <v>0</v>
      </c>
      <c r="F603">
        <v>0</v>
      </c>
      <c r="G603">
        <v>3317.75</v>
      </c>
      <c r="H603">
        <v>291962</v>
      </c>
      <c r="I603" s="2" t="s">
        <v>2020</v>
      </c>
      <c r="J603" s="2" t="s">
        <v>2027</v>
      </c>
      <c r="K603" s="2" t="s">
        <v>2642</v>
      </c>
      <c r="L603" s="2" t="s">
        <v>4032</v>
      </c>
      <c r="M603">
        <v>3317.75</v>
      </c>
      <c r="N603" s="2" t="s">
        <v>4042</v>
      </c>
      <c r="O603">
        <v>88</v>
      </c>
      <c r="P603">
        <v>291962</v>
      </c>
      <c r="Q603" t="b">
        <v>0</v>
      </c>
      <c r="R603" t="b">
        <v>0</v>
      </c>
      <c r="S603" t="b">
        <v>0</v>
      </c>
      <c r="T603" t="b">
        <v>1</v>
      </c>
      <c r="U603">
        <v>1</v>
      </c>
      <c r="V603" t="s">
        <v>4073</v>
      </c>
    </row>
    <row r="604" spans="1:22" hidden="1" x14ac:dyDescent="0.45">
      <c r="A604" s="2" t="s">
        <v>62</v>
      </c>
      <c r="B604" s="11">
        <v>45817</v>
      </c>
      <c r="C604" s="2" t="s">
        <v>2010</v>
      </c>
      <c r="D604" s="2" t="s">
        <v>2015</v>
      </c>
      <c r="E604">
        <v>0</v>
      </c>
      <c r="F604">
        <v>0</v>
      </c>
      <c r="G604">
        <v>4800.28</v>
      </c>
      <c r="H604">
        <v>292817.07999999996</v>
      </c>
      <c r="I604" s="2" t="s">
        <v>2025</v>
      </c>
      <c r="J604" s="2" t="s">
        <v>2028</v>
      </c>
      <c r="K604" s="2" t="s">
        <v>2083</v>
      </c>
      <c r="L604" s="2" t="s">
        <v>4035</v>
      </c>
      <c r="M604">
        <v>4800.28</v>
      </c>
      <c r="N604" s="2" t="s">
        <v>4042</v>
      </c>
      <c r="O604">
        <v>61</v>
      </c>
      <c r="P604">
        <v>292817.07999999996</v>
      </c>
      <c r="Q604" t="b">
        <v>0</v>
      </c>
      <c r="R604" t="b">
        <v>0</v>
      </c>
      <c r="S604" t="b">
        <v>0</v>
      </c>
      <c r="T604" t="b">
        <v>1</v>
      </c>
      <c r="U604">
        <v>1</v>
      </c>
      <c r="V604" t="s">
        <v>4073</v>
      </c>
    </row>
    <row r="605" spans="1:22" hidden="1" x14ac:dyDescent="0.45">
      <c r="A605" s="2" t="s">
        <v>1191</v>
      </c>
      <c r="B605" s="11">
        <v>45030</v>
      </c>
      <c r="C605" s="2" t="s">
        <v>2010</v>
      </c>
      <c r="D605" s="2" t="s">
        <v>2015</v>
      </c>
      <c r="E605">
        <v>0</v>
      </c>
      <c r="F605">
        <v>0</v>
      </c>
      <c r="G605">
        <v>2858.3</v>
      </c>
      <c r="H605">
        <v>294404.90000000002</v>
      </c>
      <c r="I605" s="2" t="s">
        <v>2021</v>
      </c>
      <c r="J605" s="2" t="s">
        <v>2030</v>
      </c>
      <c r="K605" s="2" t="s">
        <v>3212</v>
      </c>
      <c r="L605" s="2" t="s">
        <v>4031</v>
      </c>
      <c r="M605">
        <v>2858.3</v>
      </c>
      <c r="N605" s="2" t="s">
        <v>4042</v>
      </c>
      <c r="O605">
        <v>103</v>
      </c>
      <c r="P605">
        <v>294404.90000000002</v>
      </c>
      <c r="Q605" t="b">
        <v>0</v>
      </c>
      <c r="R605" t="b">
        <v>0</v>
      </c>
      <c r="S605" t="b">
        <v>0</v>
      </c>
      <c r="T605" t="b">
        <v>1</v>
      </c>
      <c r="U605">
        <v>1</v>
      </c>
      <c r="V605" t="s">
        <v>4073</v>
      </c>
    </row>
    <row r="606" spans="1:22" hidden="1" x14ac:dyDescent="0.45">
      <c r="A606" s="2" t="s">
        <v>27</v>
      </c>
      <c r="B606" s="11">
        <v>45605</v>
      </c>
      <c r="C606" s="2" t="s">
        <v>2010</v>
      </c>
      <c r="D606" s="2" t="s">
        <v>2015</v>
      </c>
      <c r="E606">
        <v>0</v>
      </c>
      <c r="F606">
        <v>0</v>
      </c>
      <c r="G606">
        <v>259.83999999999997</v>
      </c>
      <c r="H606">
        <v>14551.039999999999</v>
      </c>
      <c r="I606" s="2" t="s">
        <v>2025</v>
      </c>
      <c r="J606" s="2" t="s">
        <v>2030</v>
      </c>
      <c r="K606" s="2" t="s">
        <v>2048</v>
      </c>
      <c r="L606" s="2" t="s">
        <v>4033</v>
      </c>
      <c r="M606">
        <v>259.83999999999997</v>
      </c>
      <c r="N606" s="2" t="s">
        <v>4042</v>
      </c>
      <c r="O606">
        <v>56</v>
      </c>
      <c r="P606">
        <v>14551.039999999999</v>
      </c>
      <c r="Q606" t="b">
        <v>1</v>
      </c>
      <c r="R606" t="b">
        <v>0</v>
      </c>
      <c r="S606" t="b">
        <v>0</v>
      </c>
      <c r="T606" t="b">
        <v>0</v>
      </c>
      <c r="U606">
        <v>1</v>
      </c>
      <c r="V606" t="s">
        <v>4073</v>
      </c>
    </row>
    <row r="607" spans="1:22" hidden="1" x14ac:dyDescent="0.45">
      <c r="A607" s="2" t="s">
        <v>774</v>
      </c>
      <c r="B607" s="11">
        <v>45492</v>
      </c>
      <c r="C607" s="2" t="s">
        <v>2014</v>
      </c>
      <c r="D607" s="2" t="s">
        <v>2019</v>
      </c>
      <c r="E607">
        <v>0</v>
      </c>
      <c r="F607">
        <v>0</v>
      </c>
      <c r="G607">
        <v>4831.59</v>
      </c>
      <c r="H607">
        <v>294726.99</v>
      </c>
      <c r="I607" s="2" t="s">
        <v>2025</v>
      </c>
      <c r="J607" s="2" t="s">
        <v>2030</v>
      </c>
      <c r="K607" s="2" t="s">
        <v>2795</v>
      </c>
      <c r="L607" s="2" t="s">
        <v>4035</v>
      </c>
      <c r="M607">
        <v>4831.59</v>
      </c>
      <c r="N607" s="2" t="s">
        <v>4042</v>
      </c>
      <c r="O607">
        <v>61</v>
      </c>
      <c r="P607">
        <v>294726.99</v>
      </c>
      <c r="Q607" t="b">
        <v>0</v>
      </c>
      <c r="R607" t="b">
        <v>0</v>
      </c>
      <c r="S607" t="b">
        <v>0</v>
      </c>
      <c r="T607" t="b">
        <v>1</v>
      </c>
      <c r="U607">
        <v>1</v>
      </c>
      <c r="V607" t="s">
        <v>4073</v>
      </c>
    </row>
    <row r="608" spans="1:22" hidden="1" x14ac:dyDescent="0.45">
      <c r="A608" s="2" t="s">
        <v>654</v>
      </c>
      <c r="B608" s="11">
        <v>45432</v>
      </c>
      <c r="C608" s="2" t="s">
        <v>2014</v>
      </c>
      <c r="D608" s="2" t="s">
        <v>2019</v>
      </c>
      <c r="E608">
        <v>0</v>
      </c>
      <c r="F608">
        <v>0</v>
      </c>
      <c r="G608">
        <v>3358.16</v>
      </c>
      <c r="H608">
        <v>295518.07999999996</v>
      </c>
      <c r="I608" s="2" t="s">
        <v>2021</v>
      </c>
      <c r="J608" s="2" t="s">
        <v>2030</v>
      </c>
      <c r="K608" s="2" t="s">
        <v>2675</v>
      </c>
      <c r="L608" s="2" t="s">
        <v>4032</v>
      </c>
      <c r="M608">
        <v>3358.16</v>
      </c>
      <c r="N608" s="2" t="s">
        <v>4042</v>
      </c>
      <c r="O608">
        <v>88</v>
      </c>
      <c r="P608">
        <v>295518.07999999996</v>
      </c>
      <c r="Q608" t="b">
        <v>0</v>
      </c>
      <c r="R608" t="b">
        <v>0</v>
      </c>
      <c r="S608" t="b">
        <v>0</v>
      </c>
      <c r="T608" t="b">
        <v>1</v>
      </c>
      <c r="U608">
        <v>1</v>
      </c>
      <c r="V608" t="s">
        <v>4073</v>
      </c>
    </row>
    <row r="609" spans="1:22" hidden="1" x14ac:dyDescent="0.45">
      <c r="A609" s="2" t="s">
        <v>675</v>
      </c>
      <c r="B609" s="11">
        <v>44951</v>
      </c>
      <c r="C609" s="2" t="s">
        <v>2011</v>
      </c>
      <c r="D609" s="2" t="s">
        <v>2016</v>
      </c>
      <c r="E609">
        <v>243.79</v>
      </c>
      <c r="F609">
        <v>14871.189999999999</v>
      </c>
      <c r="G609">
        <v>0</v>
      </c>
      <c r="H609">
        <v>0</v>
      </c>
      <c r="I609" s="2" t="s">
        <v>2021</v>
      </c>
      <c r="J609" s="2" t="s">
        <v>2028</v>
      </c>
      <c r="K609" s="2" t="s">
        <v>2696</v>
      </c>
      <c r="L609" s="2" t="s">
        <v>4035</v>
      </c>
      <c r="M609">
        <v>-243.79</v>
      </c>
      <c r="N609" s="2" t="s">
        <v>2016</v>
      </c>
      <c r="O609">
        <v>61</v>
      </c>
      <c r="P609">
        <v>-14871.189999999999</v>
      </c>
      <c r="Q609" t="b">
        <v>0</v>
      </c>
      <c r="R609" t="b">
        <v>1</v>
      </c>
      <c r="S609" t="b">
        <v>0</v>
      </c>
      <c r="T609" t="b">
        <v>0</v>
      </c>
      <c r="U609">
        <v>1</v>
      </c>
      <c r="V609" t="s">
        <v>4073</v>
      </c>
    </row>
    <row r="610" spans="1:22" hidden="1" x14ac:dyDescent="0.45">
      <c r="A610" s="2" t="s">
        <v>34</v>
      </c>
      <c r="B610" s="11">
        <v>45025</v>
      </c>
      <c r="C610" s="2" t="s">
        <v>2013</v>
      </c>
      <c r="D610" s="2" t="s">
        <v>2018</v>
      </c>
      <c r="E610">
        <v>267.04000000000002</v>
      </c>
      <c r="F610">
        <v>14954.240000000002</v>
      </c>
      <c r="G610">
        <v>0</v>
      </c>
      <c r="H610">
        <v>0</v>
      </c>
      <c r="I610" s="2" t="s">
        <v>2021</v>
      </c>
      <c r="J610" s="2" t="s">
        <v>2029</v>
      </c>
      <c r="K610" s="2" t="s">
        <v>2055</v>
      </c>
      <c r="L610" s="2" t="s">
        <v>4033</v>
      </c>
      <c r="M610">
        <v>-267.04000000000002</v>
      </c>
      <c r="N610" s="2" t="s">
        <v>4044</v>
      </c>
      <c r="O610">
        <v>56</v>
      </c>
      <c r="P610">
        <v>-14954.240000000002</v>
      </c>
      <c r="Q610" t="b">
        <v>1</v>
      </c>
      <c r="R610" t="b">
        <v>0</v>
      </c>
      <c r="S610" t="b">
        <v>0</v>
      </c>
      <c r="T610" t="b">
        <v>0</v>
      </c>
      <c r="U610">
        <v>1</v>
      </c>
      <c r="V610" t="s">
        <v>4073</v>
      </c>
    </row>
    <row r="611" spans="1:22" hidden="1" x14ac:dyDescent="0.45">
      <c r="A611" s="2" t="s">
        <v>1215</v>
      </c>
      <c r="B611" s="11">
        <v>45627</v>
      </c>
      <c r="C611" s="2" t="s">
        <v>2012</v>
      </c>
      <c r="D611" s="2" t="s">
        <v>2017</v>
      </c>
      <c r="E611">
        <v>269.73</v>
      </c>
      <c r="F611">
        <v>15104.880000000001</v>
      </c>
      <c r="G611">
        <v>0</v>
      </c>
      <c r="H611">
        <v>0</v>
      </c>
      <c r="I611" s="2" t="s">
        <v>2021</v>
      </c>
      <c r="J611" s="2" t="s">
        <v>2027</v>
      </c>
      <c r="K611" s="2" t="s">
        <v>3236</v>
      </c>
      <c r="L611" s="2" t="s">
        <v>4033</v>
      </c>
      <c r="M611">
        <v>-269.73</v>
      </c>
      <c r="N611" s="2" t="s">
        <v>4044</v>
      </c>
      <c r="O611">
        <v>56</v>
      </c>
      <c r="P611">
        <v>-15104.880000000001</v>
      </c>
      <c r="Q611" t="b">
        <v>1</v>
      </c>
      <c r="R611" t="b">
        <v>0</v>
      </c>
      <c r="S611" t="b">
        <v>0</v>
      </c>
      <c r="T611" t="b">
        <v>0</v>
      </c>
      <c r="U611">
        <v>1</v>
      </c>
      <c r="V611" t="s">
        <v>4073</v>
      </c>
    </row>
    <row r="612" spans="1:22" hidden="1" x14ac:dyDescent="0.45">
      <c r="A612" s="2" t="s">
        <v>1948</v>
      </c>
      <c r="B612" s="11">
        <v>45723</v>
      </c>
      <c r="C612" s="2" t="s">
        <v>2014</v>
      </c>
      <c r="D612" s="2" t="s">
        <v>2019</v>
      </c>
      <c r="E612">
        <v>0</v>
      </c>
      <c r="F612">
        <v>0</v>
      </c>
      <c r="G612">
        <v>3376.73</v>
      </c>
      <c r="H612">
        <v>297152.24</v>
      </c>
      <c r="I612" s="2" t="s">
        <v>2022</v>
      </c>
      <c r="J612" s="2" t="s">
        <v>2028</v>
      </c>
      <c r="K612" s="2" t="s">
        <v>3969</v>
      </c>
      <c r="L612" s="2" t="s">
        <v>4032</v>
      </c>
      <c r="M612">
        <v>3376.73</v>
      </c>
      <c r="N612" s="2" t="s">
        <v>4042</v>
      </c>
      <c r="O612">
        <v>88</v>
      </c>
      <c r="P612">
        <v>297152.24</v>
      </c>
      <c r="Q612" t="b">
        <v>0</v>
      </c>
      <c r="R612" t="b">
        <v>0</v>
      </c>
      <c r="S612" t="b">
        <v>0</v>
      </c>
      <c r="T612" t="b">
        <v>1</v>
      </c>
      <c r="U612">
        <v>1</v>
      </c>
      <c r="V612" t="s">
        <v>4073</v>
      </c>
    </row>
    <row r="613" spans="1:22" hidden="1" x14ac:dyDescent="0.45">
      <c r="A613" s="2" t="s">
        <v>1905</v>
      </c>
      <c r="B613" s="11">
        <v>45481</v>
      </c>
      <c r="C613" s="2" t="s">
        <v>2014</v>
      </c>
      <c r="D613" s="2" t="s">
        <v>2019</v>
      </c>
      <c r="E613">
        <v>0</v>
      </c>
      <c r="F613">
        <v>0</v>
      </c>
      <c r="G613">
        <v>3387.63</v>
      </c>
      <c r="H613">
        <v>298111.44</v>
      </c>
      <c r="I613" s="2" t="s">
        <v>2024</v>
      </c>
      <c r="J613" s="2" t="s">
        <v>2029</v>
      </c>
      <c r="K613" s="2" t="s">
        <v>3926</v>
      </c>
      <c r="L613" s="2" t="s">
        <v>4032</v>
      </c>
      <c r="M613">
        <v>3387.63</v>
      </c>
      <c r="N613" s="2" t="s">
        <v>4042</v>
      </c>
      <c r="O613">
        <v>88</v>
      </c>
      <c r="P613">
        <v>298111.44</v>
      </c>
      <c r="Q613" t="b">
        <v>0</v>
      </c>
      <c r="R613" t="b">
        <v>0</v>
      </c>
      <c r="S613" t="b">
        <v>0</v>
      </c>
      <c r="T613" t="b">
        <v>1</v>
      </c>
      <c r="U613">
        <v>1</v>
      </c>
      <c r="V613" t="s">
        <v>4073</v>
      </c>
    </row>
    <row r="614" spans="1:22" hidden="1" x14ac:dyDescent="0.45">
      <c r="A614" s="2" t="s">
        <v>1171</v>
      </c>
      <c r="B614" s="11">
        <v>45475</v>
      </c>
      <c r="C614" s="2" t="s">
        <v>2014</v>
      </c>
      <c r="D614" s="2" t="s">
        <v>2019</v>
      </c>
      <c r="E614">
        <v>0</v>
      </c>
      <c r="F614">
        <v>0</v>
      </c>
      <c r="G614">
        <v>2933.41</v>
      </c>
      <c r="H614">
        <v>302141.23</v>
      </c>
      <c r="I614" s="2" t="s">
        <v>2020</v>
      </c>
      <c r="J614" s="2" t="s">
        <v>2026</v>
      </c>
      <c r="K614" s="2" t="s">
        <v>3192</v>
      </c>
      <c r="L614" s="2" t="s">
        <v>4031</v>
      </c>
      <c r="M614">
        <v>2933.41</v>
      </c>
      <c r="N614" s="2" t="s">
        <v>4042</v>
      </c>
      <c r="O614">
        <v>103</v>
      </c>
      <c r="P614">
        <v>302141.23</v>
      </c>
      <c r="Q614" t="b">
        <v>0</v>
      </c>
      <c r="R614" t="b">
        <v>0</v>
      </c>
      <c r="S614" t="b">
        <v>0</v>
      </c>
      <c r="T614" t="b">
        <v>1</v>
      </c>
      <c r="U614">
        <v>1</v>
      </c>
      <c r="V614" t="s">
        <v>4073</v>
      </c>
    </row>
    <row r="615" spans="1:22" hidden="1" x14ac:dyDescent="0.45">
      <c r="A615" s="2" t="s">
        <v>724</v>
      </c>
      <c r="B615" s="11">
        <v>45368</v>
      </c>
      <c r="C615" s="2" t="s">
        <v>2012</v>
      </c>
      <c r="D615" s="2" t="s">
        <v>2017</v>
      </c>
      <c r="E615">
        <v>176.54</v>
      </c>
      <c r="F615">
        <v>15535.519999999999</v>
      </c>
      <c r="G615">
        <v>0</v>
      </c>
      <c r="H615">
        <v>0</v>
      </c>
      <c r="I615" s="2" t="s">
        <v>2025</v>
      </c>
      <c r="J615" s="2" t="s">
        <v>2029</v>
      </c>
      <c r="K615" s="2" t="s">
        <v>2745</v>
      </c>
      <c r="L615" s="2" t="s">
        <v>4032</v>
      </c>
      <c r="M615">
        <v>-176.54</v>
      </c>
      <c r="N615" s="2" t="s">
        <v>4044</v>
      </c>
      <c r="O615">
        <v>88</v>
      </c>
      <c r="P615">
        <v>-15535.519999999999</v>
      </c>
      <c r="Q615" t="b">
        <v>1</v>
      </c>
      <c r="R615" t="b">
        <v>0</v>
      </c>
      <c r="S615" t="b">
        <v>0</v>
      </c>
      <c r="T615" t="b">
        <v>0</v>
      </c>
      <c r="U615">
        <v>1</v>
      </c>
      <c r="V615" t="s">
        <v>4073</v>
      </c>
    </row>
    <row r="616" spans="1:22" hidden="1" x14ac:dyDescent="0.45">
      <c r="A616" s="2" t="s">
        <v>1820</v>
      </c>
      <c r="B616" s="11">
        <v>45603</v>
      </c>
      <c r="C616" s="2" t="s">
        <v>2010</v>
      </c>
      <c r="D616" s="2" t="s">
        <v>2015</v>
      </c>
      <c r="E616">
        <v>0</v>
      </c>
      <c r="F616">
        <v>0</v>
      </c>
      <c r="G616">
        <v>4953.79</v>
      </c>
      <c r="H616">
        <v>302181.19</v>
      </c>
      <c r="I616" s="2" t="s">
        <v>2025</v>
      </c>
      <c r="J616" s="2" t="s">
        <v>2027</v>
      </c>
      <c r="K616" s="2" t="s">
        <v>3841</v>
      </c>
      <c r="L616" s="2" t="s">
        <v>4035</v>
      </c>
      <c r="M616">
        <v>4953.79</v>
      </c>
      <c r="N616" s="2" t="s">
        <v>4042</v>
      </c>
      <c r="O616">
        <v>61</v>
      </c>
      <c r="P616">
        <v>302181.19</v>
      </c>
      <c r="Q616" t="b">
        <v>0</v>
      </c>
      <c r="R616" t="b">
        <v>0</v>
      </c>
      <c r="S616" t="b">
        <v>0</v>
      </c>
      <c r="T616" t="b">
        <v>1</v>
      </c>
      <c r="U616">
        <v>1</v>
      </c>
      <c r="V616" t="s">
        <v>4073</v>
      </c>
    </row>
    <row r="617" spans="1:22" hidden="1" x14ac:dyDescent="0.45">
      <c r="A617" s="2" t="s">
        <v>398</v>
      </c>
      <c r="B617" s="11">
        <v>45252</v>
      </c>
      <c r="C617" s="2" t="s">
        <v>2014</v>
      </c>
      <c r="D617" s="2" t="s">
        <v>2019</v>
      </c>
      <c r="E617">
        <v>0</v>
      </c>
      <c r="F617">
        <v>0</v>
      </c>
      <c r="G617">
        <v>3453.36</v>
      </c>
      <c r="H617">
        <v>303895.67999999999</v>
      </c>
      <c r="I617" s="2" t="s">
        <v>2020</v>
      </c>
      <c r="J617" s="2" t="s">
        <v>2028</v>
      </c>
      <c r="K617" s="2" t="s">
        <v>2419</v>
      </c>
      <c r="L617" s="2" t="s">
        <v>4032</v>
      </c>
      <c r="M617">
        <v>3453.36</v>
      </c>
      <c r="N617" s="2" t="s">
        <v>4042</v>
      </c>
      <c r="O617">
        <v>88</v>
      </c>
      <c r="P617">
        <v>303895.67999999999</v>
      </c>
      <c r="Q617" t="b">
        <v>0</v>
      </c>
      <c r="R617" t="b">
        <v>0</v>
      </c>
      <c r="S617" t="b">
        <v>0</v>
      </c>
      <c r="T617" t="b">
        <v>1</v>
      </c>
      <c r="U617">
        <v>1</v>
      </c>
      <c r="V617" t="s">
        <v>4073</v>
      </c>
    </row>
    <row r="618" spans="1:22" hidden="1" x14ac:dyDescent="0.45">
      <c r="A618" s="2" t="s">
        <v>1226</v>
      </c>
      <c r="B618" s="11">
        <v>45515</v>
      </c>
      <c r="C618" s="2" t="s">
        <v>2014</v>
      </c>
      <c r="D618" s="2" t="s">
        <v>2019</v>
      </c>
      <c r="E618">
        <v>0</v>
      </c>
      <c r="F618">
        <v>0</v>
      </c>
      <c r="G618">
        <v>2294.84</v>
      </c>
      <c r="H618">
        <v>188176.88</v>
      </c>
      <c r="I618" s="2" t="s">
        <v>2022</v>
      </c>
      <c r="J618" s="2" t="s">
        <v>2030</v>
      </c>
      <c r="K618" s="2" t="s">
        <v>3247</v>
      </c>
      <c r="L618" s="2" t="s">
        <v>4034</v>
      </c>
      <c r="M618">
        <v>2294.84</v>
      </c>
      <c r="N618" s="2" t="s">
        <v>4042</v>
      </c>
      <c r="O618">
        <v>82</v>
      </c>
      <c r="P618">
        <v>188176.88</v>
      </c>
      <c r="Q618" t="b">
        <v>1</v>
      </c>
      <c r="R618" t="b">
        <v>0</v>
      </c>
      <c r="S618" t="b">
        <v>0</v>
      </c>
      <c r="T618" t="b">
        <v>0</v>
      </c>
      <c r="U618">
        <v>1</v>
      </c>
      <c r="V618" t="s">
        <v>4073</v>
      </c>
    </row>
    <row r="619" spans="1:22" hidden="1" x14ac:dyDescent="0.45">
      <c r="A619" s="2" t="s">
        <v>1499</v>
      </c>
      <c r="B619" s="11">
        <v>45263</v>
      </c>
      <c r="C619" s="2" t="s">
        <v>2013</v>
      </c>
      <c r="D619" s="2" t="s">
        <v>2018</v>
      </c>
      <c r="E619">
        <v>178.76</v>
      </c>
      <c r="F619">
        <v>15730.88</v>
      </c>
      <c r="G619">
        <v>0</v>
      </c>
      <c r="H619">
        <v>0</v>
      </c>
      <c r="I619" s="2" t="s">
        <v>2025</v>
      </c>
      <c r="J619" s="2" t="s">
        <v>2030</v>
      </c>
      <c r="K619" s="2" t="s">
        <v>3520</v>
      </c>
      <c r="L619" s="2" t="s">
        <v>4032</v>
      </c>
      <c r="M619">
        <v>-178.76</v>
      </c>
      <c r="N619" s="2" t="s">
        <v>4044</v>
      </c>
      <c r="O619">
        <v>88</v>
      </c>
      <c r="P619">
        <v>-15730.88</v>
      </c>
      <c r="Q619" t="b">
        <v>1</v>
      </c>
      <c r="R619" t="b">
        <v>0</v>
      </c>
      <c r="S619" t="b">
        <v>0</v>
      </c>
      <c r="T619" t="b">
        <v>0</v>
      </c>
      <c r="U619">
        <v>1</v>
      </c>
      <c r="V619" t="s">
        <v>4073</v>
      </c>
    </row>
    <row r="620" spans="1:22" hidden="1" x14ac:dyDescent="0.45">
      <c r="A620" s="2" t="s">
        <v>1349</v>
      </c>
      <c r="B620" s="11">
        <v>45629</v>
      </c>
      <c r="C620" s="2" t="s">
        <v>2014</v>
      </c>
      <c r="D620" s="2" t="s">
        <v>2019</v>
      </c>
      <c r="E620">
        <v>0</v>
      </c>
      <c r="F620">
        <v>0</v>
      </c>
      <c r="G620">
        <v>4992.45</v>
      </c>
      <c r="H620">
        <v>304539.45</v>
      </c>
      <c r="I620" s="2" t="s">
        <v>2021</v>
      </c>
      <c r="J620" s="2" t="s">
        <v>2026</v>
      </c>
      <c r="K620" s="2" t="s">
        <v>3370</v>
      </c>
      <c r="L620" s="2" t="s">
        <v>4035</v>
      </c>
      <c r="M620">
        <v>4992.45</v>
      </c>
      <c r="N620" s="2" t="s">
        <v>4042</v>
      </c>
      <c r="O620">
        <v>61</v>
      </c>
      <c r="P620">
        <v>304539.45</v>
      </c>
      <c r="Q620" t="b">
        <v>0</v>
      </c>
      <c r="R620" t="b">
        <v>0</v>
      </c>
      <c r="S620" t="b">
        <v>0</v>
      </c>
      <c r="T620" t="b">
        <v>1</v>
      </c>
      <c r="U620">
        <v>1</v>
      </c>
      <c r="V620" t="s">
        <v>4073</v>
      </c>
    </row>
    <row r="621" spans="1:22" hidden="1" x14ac:dyDescent="0.45">
      <c r="A621" s="2" t="s">
        <v>1346</v>
      </c>
      <c r="B621" s="11">
        <v>45835</v>
      </c>
      <c r="C621" s="2" t="s">
        <v>2010</v>
      </c>
      <c r="D621" s="2" t="s">
        <v>2015</v>
      </c>
      <c r="E621">
        <v>0</v>
      </c>
      <c r="F621">
        <v>0</v>
      </c>
      <c r="G621">
        <v>1819.9</v>
      </c>
      <c r="H621">
        <v>187449.7</v>
      </c>
      <c r="I621" s="2" t="s">
        <v>2021</v>
      </c>
      <c r="J621" s="2" t="s">
        <v>2029</v>
      </c>
      <c r="K621" s="2" t="s">
        <v>3367</v>
      </c>
      <c r="L621" s="2" t="s">
        <v>4031</v>
      </c>
      <c r="M621">
        <v>1819.9</v>
      </c>
      <c r="N621" s="2" t="s">
        <v>4042</v>
      </c>
      <c r="O621">
        <v>103</v>
      </c>
      <c r="P621">
        <v>187449.7</v>
      </c>
      <c r="Q621" t="b">
        <v>0</v>
      </c>
      <c r="R621" t="b">
        <v>1</v>
      </c>
      <c r="S621" t="b">
        <v>0</v>
      </c>
      <c r="T621" t="b">
        <v>0</v>
      </c>
      <c r="U621">
        <v>1</v>
      </c>
      <c r="V621" t="s">
        <v>4073</v>
      </c>
    </row>
    <row r="622" spans="1:22" hidden="1" x14ac:dyDescent="0.45">
      <c r="A622" s="2" t="s">
        <v>1423</v>
      </c>
      <c r="B622" s="11">
        <v>45432</v>
      </c>
      <c r="C622" s="2" t="s">
        <v>2010</v>
      </c>
      <c r="D622" s="2" t="s">
        <v>2015</v>
      </c>
      <c r="E622">
        <v>0</v>
      </c>
      <c r="F622">
        <v>0</v>
      </c>
      <c r="G622">
        <v>4994.2</v>
      </c>
      <c r="H622">
        <v>304646.2</v>
      </c>
      <c r="I622" s="2" t="s">
        <v>2023</v>
      </c>
      <c r="J622" s="2" t="s">
        <v>2029</v>
      </c>
      <c r="K622" s="2" t="s">
        <v>3444</v>
      </c>
      <c r="L622" s="2" t="s">
        <v>4035</v>
      </c>
      <c r="M622">
        <v>4994.2</v>
      </c>
      <c r="N622" s="2" t="s">
        <v>4042</v>
      </c>
      <c r="O622">
        <v>61</v>
      </c>
      <c r="P622">
        <v>304646.2</v>
      </c>
      <c r="Q622" t="b">
        <v>0</v>
      </c>
      <c r="R622" t="b">
        <v>0</v>
      </c>
      <c r="S622" t="b">
        <v>0</v>
      </c>
      <c r="T622" t="b">
        <v>1</v>
      </c>
      <c r="U622">
        <v>1</v>
      </c>
      <c r="V622" t="s">
        <v>4073</v>
      </c>
    </row>
    <row r="623" spans="1:22" hidden="1" x14ac:dyDescent="0.45">
      <c r="A623" s="2" t="s">
        <v>1015</v>
      </c>
      <c r="B623" s="11">
        <v>45445</v>
      </c>
      <c r="C623" s="2" t="s">
        <v>2013</v>
      </c>
      <c r="D623" s="2" t="s">
        <v>2018</v>
      </c>
      <c r="E623">
        <v>1816.11</v>
      </c>
      <c r="F623">
        <v>187059.33</v>
      </c>
      <c r="G623">
        <v>0</v>
      </c>
      <c r="H623">
        <v>0</v>
      </c>
      <c r="I623" s="2" t="s">
        <v>2022</v>
      </c>
      <c r="J623" s="2" t="s">
        <v>2028</v>
      </c>
      <c r="K623" s="2" t="s">
        <v>3036</v>
      </c>
      <c r="L623" s="2" t="s">
        <v>4031</v>
      </c>
      <c r="M623">
        <v>-1816.11</v>
      </c>
      <c r="N623" s="2" t="s">
        <v>4044</v>
      </c>
      <c r="O623">
        <v>103</v>
      </c>
      <c r="P623">
        <v>-187059.33</v>
      </c>
      <c r="Q623" t="b">
        <v>1</v>
      </c>
      <c r="R623" t="b">
        <v>0</v>
      </c>
      <c r="S623" t="b">
        <v>0</v>
      </c>
      <c r="T623" t="b">
        <v>0</v>
      </c>
      <c r="U623">
        <v>1</v>
      </c>
      <c r="V623" t="s">
        <v>4073</v>
      </c>
    </row>
    <row r="624" spans="1:22" hidden="1" x14ac:dyDescent="0.45">
      <c r="A624" s="2" t="s">
        <v>1460</v>
      </c>
      <c r="B624" s="11">
        <v>45781</v>
      </c>
      <c r="C624" s="2" t="s">
        <v>2014</v>
      </c>
      <c r="D624" s="2" t="s">
        <v>2019</v>
      </c>
      <c r="E624">
        <v>0</v>
      </c>
      <c r="F624">
        <v>0</v>
      </c>
      <c r="G624">
        <v>174.57</v>
      </c>
      <c r="H624">
        <v>14314.74</v>
      </c>
      <c r="I624" s="2" t="s">
        <v>2025</v>
      </c>
      <c r="J624" s="2" t="s">
        <v>2026</v>
      </c>
      <c r="K624" s="2" t="s">
        <v>3481</v>
      </c>
      <c r="L624" s="2" t="s">
        <v>4034</v>
      </c>
      <c r="M624">
        <v>174.57</v>
      </c>
      <c r="N624" s="2" t="s">
        <v>4042</v>
      </c>
      <c r="O624">
        <v>82</v>
      </c>
      <c r="P624">
        <v>14314.74</v>
      </c>
      <c r="Q624" t="b">
        <v>1</v>
      </c>
      <c r="R624" t="b">
        <v>0</v>
      </c>
      <c r="S624" t="b">
        <v>0</v>
      </c>
      <c r="T624" t="b">
        <v>0</v>
      </c>
      <c r="U624">
        <v>1</v>
      </c>
      <c r="V624" t="s">
        <v>4073</v>
      </c>
    </row>
    <row r="625" spans="1:22" hidden="1" x14ac:dyDescent="0.45">
      <c r="A625" s="2" t="s">
        <v>1304</v>
      </c>
      <c r="B625" s="11">
        <v>45443</v>
      </c>
      <c r="C625" s="2" t="s">
        <v>2012</v>
      </c>
      <c r="D625" s="2" t="s">
        <v>2017</v>
      </c>
      <c r="E625">
        <v>282.05</v>
      </c>
      <c r="F625">
        <v>15794.800000000001</v>
      </c>
      <c r="G625">
        <v>0</v>
      </c>
      <c r="H625">
        <v>0</v>
      </c>
      <c r="I625" s="2" t="s">
        <v>2020</v>
      </c>
      <c r="J625" s="2" t="s">
        <v>2026</v>
      </c>
      <c r="K625" s="2" t="s">
        <v>3325</v>
      </c>
      <c r="L625" s="2" t="s">
        <v>4033</v>
      </c>
      <c r="M625">
        <v>-282.05</v>
      </c>
      <c r="N625" s="2" t="s">
        <v>4044</v>
      </c>
      <c r="O625">
        <v>56</v>
      </c>
      <c r="P625">
        <v>-15794.800000000001</v>
      </c>
      <c r="Q625" t="b">
        <v>0</v>
      </c>
      <c r="R625" t="b">
        <v>1</v>
      </c>
      <c r="S625" t="b">
        <v>0</v>
      </c>
      <c r="T625" t="b">
        <v>0</v>
      </c>
      <c r="U625">
        <v>1</v>
      </c>
      <c r="V625" t="s">
        <v>4073</v>
      </c>
    </row>
    <row r="626" spans="1:22" hidden="1" x14ac:dyDescent="0.45">
      <c r="A626" s="2" t="s">
        <v>1401</v>
      </c>
      <c r="B626" s="11">
        <v>45094</v>
      </c>
      <c r="C626" s="2" t="s">
        <v>2010</v>
      </c>
      <c r="D626" s="2" t="s">
        <v>2015</v>
      </c>
      <c r="E626">
        <v>0</v>
      </c>
      <c r="F626">
        <v>0</v>
      </c>
      <c r="G626">
        <v>138.43</v>
      </c>
      <c r="H626">
        <v>14258.29</v>
      </c>
      <c r="I626" s="2" t="s">
        <v>2021</v>
      </c>
      <c r="J626" s="2" t="s">
        <v>2026</v>
      </c>
      <c r="K626" s="2" t="s">
        <v>3422</v>
      </c>
      <c r="L626" s="2" t="s">
        <v>4031</v>
      </c>
      <c r="M626">
        <v>138.43</v>
      </c>
      <c r="N626" s="2" t="s">
        <v>4042</v>
      </c>
      <c r="O626">
        <v>103</v>
      </c>
      <c r="P626">
        <v>14258.29</v>
      </c>
      <c r="Q626" t="b">
        <v>1</v>
      </c>
      <c r="R626" t="b">
        <v>0</v>
      </c>
      <c r="S626" t="b">
        <v>0</v>
      </c>
      <c r="T626" t="b">
        <v>0</v>
      </c>
      <c r="U626">
        <v>1</v>
      </c>
      <c r="V626" t="s">
        <v>4073</v>
      </c>
    </row>
    <row r="627" spans="1:22" hidden="1" x14ac:dyDescent="0.45">
      <c r="A627" s="2" t="s">
        <v>1556</v>
      </c>
      <c r="B627" s="11">
        <v>45776</v>
      </c>
      <c r="C627" s="2" t="s">
        <v>2014</v>
      </c>
      <c r="D627" s="2" t="s">
        <v>2019</v>
      </c>
      <c r="E627">
        <v>0</v>
      </c>
      <c r="F627">
        <v>0</v>
      </c>
      <c r="G627">
        <v>1888.44</v>
      </c>
      <c r="H627">
        <v>194509.32</v>
      </c>
      <c r="I627" s="2" t="s">
        <v>2024</v>
      </c>
      <c r="J627" s="2" t="s">
        <v>2026</v>
      </c>
      <c r="K627" s="2" t="s">
        <v>3577</v>
      </c>
      <c r="L627" s="2" t="s">
        <v>4031</v>
      </c>
      <c r="M627">
        <v>1888.44</v>
      </c>
      <c r="N627" s="2" t="s">
        <v>4042</v>
      </c>
      <c r="O627">
        <v>103</v>
      </c>
      <c r="P627">
        <v>194509.32</v>
      </c>
      <c r="Q627" t="b">
        <v>0</v>
      </c>
      <c r="R627" t="b">
        <v>1</v>
      </c>
      <c r="S627" t="b">
        <v>0</v>
      </c>
      <c r="T627" t="b">
        <v>0</v>
      </c>
      <c r="U627">
        <v>1</v>
      </c>
      <c r="V627" t="s">
        <v>4073</v>
      </c>
    </row>
    <row r="628" spans="1:22" hidden="1" x14ac:dyDescent="0.45">
      <c r="A628" s="2" t="s">
        <v>1209</v>
      </c>
      <c r="B628" s="11">
        <v>45496</v>
      </c>
      <c r="C628" s="2" t="s">
        <v>2014</v>
      </c>
      <c r="D628" s="2" t="s">
        <v>2019</v>
      </c>
      <c r="E628">
        <v>0</v>
      </c>
      <c r="F628">
        <v>0</v>
      </c>
      <c r="G628">
        <v>3219.96</v>
      </c>
      <c r="H628">
        <v>283356.48</v>
      </c>
      <c r="I628" s="2" t="s">
        <v>2024</v>
      </c>
      <c r="J628" s="2" t="s">
        <v>2030</v>
      </c>
      <c r="K628" s="2" t="s">
        <v>3230</v>
      </c>
      <c r="L628" s="2" t="s">
        <v>4032</v>
      </c>
      <c r="M628">
        <v>3219.96</v>
      </c>
      <c r="N628" s="2" t="s">
        <v>4042</v>
      </c>
      <c r="O628">
        <v>88</v>
      </c>
      <c r="P628">
        <v>283356.48</v>
      </c>
      <c r="Q628" t="b">
        <v>0</v>
      </c>
      <c r="R628" t="b">
        <v>0</v>
      </c>
      <c r="S628" t="b">
        <v>0</v>
      </c>
      <c r="T628" t="b">
        <v>1</v>
      </c>
      <c r="U628">
        <v>1</v>
      </c>
      <c r="V628" t="s">
        <v>4073</v>
      </c>
    </row>
    <row r="629" spans="1:22" hidden="1" x14ac:dyDescent="0.45">
      <c r="A629" s="2" t="s">
        <v>347</v>
      </c>
      <c r="B629" s="11">
        <v>45599</v>
      </c>
      <c r="C629" s="2" t="s">
        <v>2010</v>
      </c>
      <c r="D629" s="2" t="s">
        <v>2015</v>
      </c>
      <c r="E629">
        <v>0</v>
      </c>
      <c r="F629">
        <v>0</v>
      </c>
      <c r="G629">
        <v>2254.64</v>
      </c>
      <c r="H629">
        <v>198408.31999999998</v>
      </c>
      <c r="I629" s="2" t="s">
        <v>2023</v>
      </c>
      <c r="J629" s="2" t="s">
        <v>2026</v>
      </c>
      <c r="K629" s="2" t="s">
        <v>2368</v>
      </c>
      <c r="L629" s="2" t="s">
        <v>4032</v>
      </c>
      <c r="M629">
        <v>2254.64</v>
      </c>
      <c r="N629" s="2" t="s">
        <v>4042</v>
      </c>
      <c r="O629">
        <v>88</v>
      </c>
      <c r="P629">
        <v>198408.31999999998</v>
      </c>
      <c r="Q629" t="b">
        <v>1</v>
      </c>
      <c r="R629" t="b">
        <v>0</v>
      </c>
      <c r="S629" t="b">
        <v>0</v>
      </c>
      <c r="T629" t="b">
        <v>0</v>
      </c>
      <c r="U629">
        <v>1</v>
      </c>
      <c r="V629" t="s">
        <v>4073</v>
      </c>
    </row>
    <row r="630" spans="1:22" hidden="1" x14ac:dyDescent="0.45">
      <c r="A630" s="2" t="s">
        <v>1597</v>
      </c>
      <c r="B630" s="11">
        <v>45602</v>
      </c>
      <c r="C630" s="2" t="s">
        <v>2010</v>
      </c>
      <c r="D630" s="2" t="s">
        <v>2015</v>
      </c>
      <c r="E630">
        <v>0</v>
      </c>
      <c r="F630">
        <v>0</v>
      </c>
      <c r="G630">
        <v>4685.3599999999997</v>
      </c>
      <c r="H630">
        <v>285806.95999999996</v>
      </c>
      <c r="I630" s="2" t="s">
        <v>2025</v>
      </c>
      <c r="J630" s="2" t="s">
        <v>2029</v>
      </c>
      <c r="K630" s="2" t="s">
        <v>3618</v>
      </c>
      <c r="L630" s="2" t="s">
        <v>4035</v>
      </c>
      <c r="M630">
        <v>4685.3599999999997</v>
      </c>
      <c r="N630" s="2" t="s">
        <v>4042</v>
      </c>
      <c r="O630">
        <v>61</v>
      </c>
      <c r="P630">
        <v>285806.95999999996</v>
      </c>
      <c r="Q630" t="b">
        <v>0</v>
      </c>
      <c r="R630" t="b">
        <v>0</v>
      </c>
      <c r="S630" t="b">
        <v>0</v>
      </c>
      <c r="T630" t="b">
        <v>1</v>
      </c>
      <c r="U630">
        <v>1</v>
      </c>
      <c r="V630" t="s">
        <v>4073</v>
      </c>
    </row>
    <row r="631" spans="1:22" hidden="1" x14ac:dyDescent="0.45">
      <c r="A631" s="2" t="s">
        <v>1803</v>
      </c>
      <c r="B631" s="11">
        <v>45322</v>
      </c>
      <c r="C631" s="2" t="s">
        <v>2011</v>
      </c>
      <c r="D631" s="2" t="s">
        <v>2016</v>
      </c>
      <c r="E631">
        <v>1925.26</v>
      </c>
      <c r="F631">
        <v>198301.78</v>
      </c>
      <c r="G631">
        <v>0</v>
      </c>
      <c r="H631">
        <v>0</v>
      </c>
      <c r="I631" s="2" t="s">
        <v>2024</v>
      </c>
      <c r="J631" s="2" t="s">
        <v>2027</v>
      </c>
      <c r="K631" s="2" t="s">
        <v>3824</v>
      </c>
      <c r="L631" s="2" t="s">
        <v>4031</v>
      </c>
      <c r="M631">
        <v>-1925.26</v>
      </c>
      <c r="N631" s="2" t="s">
        <v>2016</v>
      </c>
      <c r="O631">
        <v>103</v>
      </c>
      <c r="P631">
        <v>-198301.78</v>
      </c>
      <c r="Q631" t="b">
        <v>0</v>
      </c>
      <c r="R631" t="b">
        <v>1</v>
      </c>
      <c r="S631" t="b">
        <v>0</v>
      </c>
      <c r="T631" t="b">
        <v>0</v>
      </c>
      <c r="U631">
        <v>1</v>
      </c>
      <c r="V631" t="s">
        <v>4073</v>
      </c>
    </row>
    <row r="632" spans="1:22" hidden="1" x14ac:dyDescent="0.45">
      <c r="A632" s="2" t="s">
        <v>1925</v>
      </c>
      <c r="B632" s="11">
        <v>45445</v>
      </c>
      <c r="C632" s="2" t="s">
        <v>2013</v>
      </c>
      <c r="D632" s="2" t="s">
        <v>2018</v>
      </c>
      <c r="E632">
        <v>1915.74</v>
      </c>
      <c r="F632">
        <v>197321.22</v>
      </c>
      <c r="G632">
        <v>0</v>
      </c>
      <c r="H632">
        <v>0</v>
      </c>
      <c r="I632" s="2" t="s">
        <v>2024</v>
      </c>
      <c r="J632" s="2" t="s">
        <v>2027</v>
      </c>
      <c r="K632" s="2" t="s">
        <v>3946</v>
      </c>
      <c r="L632" s="2" t="s">
        <v>4031</v>
      </c>
      <c r="M632">
        <v>-1915.74</v>
      </c>
      <c r="N632" s="2" t="s">
        <v>4044</v>
      </c>
      <c r="O632">
        <v>103</v>
      </c>
      <c r="P632">
        <v>-197321.22</v>
      </c>
      <c r="Q632" t="b">
        <v>1</v>
      </c>
      <c r="R632" t="b">
        <v>0</v>
      </c>
      <c r="S632" t="b">
        <v>0</v>
      </c>
      <c r="T632" t="b">
        <v>0</v>
      </c>
      <c r="U632">
        <v>1</v>
      </c>
      <c r="V632" t="s">
        <v>4073</v>
      </c>
    </row>
    <row r="633" spans="1:22" hidden="1" x14ac:dyDescent="0.45">
      <c r="A633" s="2" t="s">
        <v>582</v>
      </c>
      <c r="B633" s="11">
        <v>45720</v>
      </c>
      <c r="C633" s="2" t="s">
        <v>2010</v>
      </c>
      <c r="D633" s="2" t="s">
        <v>2015</v>
      </c>
      <c r="E633">
        <v>0</v>
      </c>
      <c r="F633">
        <v>0</v>
      </c>
      <c r="G633">
        <v>4692.96</v>
      </c>
      <c r="H633">
        <v>286270.56</v>
      </c>
      <c r="I633" s="2" t="s">
        <v>2022</v>
      </c>
      <c r="J633" s="2" t="s">
        <v>2030</v>
      </c>
      <c r="K633" s="2" t="s">
        <v>2603</v>
      </c>
      <c r="L633" s="2" t="s">
        <v>4035</v>
      </c>
      <c r="M633">
        <v>4692.96</v>
      </c>
      <c r="N633" s="2" t="s">
        <v>4042</v>
      </c>
      <c r="O633">
        <v>61</v>
      </c>
      <c r="P633">
        <v>286270.56</v>
      </c>
      <c r="Q633" t="b">
        <v>0</v>
      </c>
      <c r="R633" t="b">
        <v>0</v>
      </c>
      <c r="S633" t="b">
        <v>0</v>
      </c>
      <c r="T633" t="b">
        <v>1</v>
      </c>
      <c r="U633">
        <v>1</v>
      </c>
      <c r="V633" t="s">
        <v>4073</v>
      </c>
    </row>
    <row r="634" spans="1:22" hidden="1" x14ac:dyDescent="0.45">
      <c r="A634" s="2" t="s">
        <v>1824</v>
      </c>
      <c r="B634" s="11">
        <v>45612</v>
      </c>
      <c r="C634" s="2" t="s">
        <v>2012</v>
      </c>
      <c r="D634" s="2" t="s">
        <v>2017</v>
      </c>
      <c r="E634">
        <v>219.39</v>
      </c>
      <c r="F634">
        <v>13382.789999999999</v>
      </c>
      <c r="G634">
        <v>0</v>
      </c>
      <c r="H634">
        <v>0</v>
      </c>
      <c r="I634" s="2" t="s">
        <v>2021</v>
      </c>
      <c r="J634" s="2" t="s">
        <v>2030</v>
      </c>
      <c r="K634" s="2" t="s">
        <v>3845</v>
      </c>
      <c r="L634" s="2" t="s">
        <v>4035</v>
      </c>
      <c r="M634">
        <v>-219.39</v>
      </c>
      <c r="N634" s="2" t="s">
        <v>4044</v>
      </c>
      <c r="O634">
        <v>61</v>
      </c>
      <c r="P634">
        <v>-13382.789999999999</v>
      </c>
      <c r="Q634" t="b">
        <v>1</v>
      </c>
      <c r="R634" t="b">
        <v>0</v>
      </c>
      <c r="S634" t="b">
        <v>0</v>
      </c>
      <c r="T634" t="b">
        <v>0</v>
      </c>
      <c r="U634">
        <v>1</v>
      </c>
      <c r="V634" t="s">
        <v>4073</v>
      </c>
    </row>
    <row r="635" spans="1:22" hidden="1" x14ac:dyDescent="0.45">
      <c r="A635" s="2" t="s">
        <v>1444</v>
      </c>
      <c r="B635" s="11">
        <v>45114</v>
      </c>
      <c r="C635" s="2" t="s">
        <v>2014</v>
      </c>
      <c r="D635" s="2" t="s">
        <v>2019</v>
      </c>
      <c r="E635">
        <v>0</v>
      </c>
      <c r="F635">
        <v>0</v>
      </c>
      <c r="G635">
        <v>3492.12</v>
      </c>
      <c r="H635">
        <v>286353.83999999997</v>
      </c>
      <c r="I635" s="2" t="s">
        <v>2021</v>
      </c>
      <c r="J635" s="2" t="s">
        <v>2026</v>
      </c>
      <c r="K635" s="2" t="s">
        <v>3465</v>
      </c>
      <c r="L635" s="2" t="s">
        <v>4034</v>
      </c>
      <c r="M635">
        <v>3492.12</v>
      </c>
      <c r="N635" s="2" t="s">
        <v>4042</v>
      </c>
      <c r="O635">
        <v>82</v>
      </c>
      <c r="P635">
        <v>286353.83999999997</v>
      </c>
      <c r="Q635" t="b">
        <v>0</v>
      </c>
      <c r="R635" t="b">
        <v>0</v>
      </c>
      <c r="S635" t="b">
        <v>0</v>
      </c>
      <c r="T635" t="b">
        <v>1</v>
      </c>
      <c r="U635">
        <v>1</v>
      </c>
      <c r="V635" t="s">
        <v>4073</v>
      </c>
    </row>
    <row r="636" spans="1:22" hidden="1" x14ac:dyDescent="0.45">
      <c r="A636" s="2" t="s">
        <v>1995</v>
      </c>
      <c r="B636" s="11">
        <v>45581</v>
      </c>
      <c r="C636" s="2" t="s">
        <v>2010</v>
      </c>
      <c r="D636" s="2" t="s">
        <v>2015</v>
      </c>
      <c r="E636">
        <v>0</v>
      </c>
      <c r="F636">
        <v>0</v>
      </c>
      <c r="G636">
        <v>3256.52</v>
      </c>
      <c r="H636">
        <v>286573.76</v>
      </c>
      <c r="I636" s="2" t="s">
        <v>2023</v>
      </c>
      <c r="J636" s="2" t="s">
        <v>2029</v>
      </c>
      <c r="K636" s="2" t="s">
        <v>4016</v>
      </c>
      <c r="L636" s="2" t="s">
        <v>4032</v>
      </c>
      <c r="M636">
        <v>3256.52</v>
      </c>
      <c r="N636" s="2" t="s">
        <v>4042</v>
      </c>
      <c r="O636">
        <v>88</v>
      </c>
      <c r="P636">
        <v>286573.76</v>
      </c>
      <c r="Q636" t="b">
        <v>0</v>
      </c>
      <c r="R636" t="b">
        <v>0</v>
      </c>
      <c r="S636" t="b">
        <v>0</v>
      </c>
      <c r="T636" t="b">
        <v>1</v>
      </c>
      <c r="U636">
        <v>1</v>
      </c>
      <c r="V636" t="s">
        <v>4073</v>
      </c>
    </row>
    <row r="637" spans="1:22" hidden="1" x14ac:dyDescent="0.45">
      <c r="A637" s="2" t="s">
        <v>1689</v>
      </c>
      <c r="B637" s="11">
        <v>45613</v>
      </c>
      <c r="C637" s="2" t="s">
        <v>2011</v>
      </c>
      <c r="D637" s="2" t="s">
        <v>2016</v>
      </c>
      <c r="E637">
        <v>154.07</v>
      </c>
      <c r="F637">
        <v>13558.16</v>
      </c>
      <c r="G637">
        <v>0</v>
      </c>
      <c r="H637">
        <v>0</v>
      </c>
      <c r="I637" s="2" t="s">
        <v>2023</v>
      </c>
      <c r="J637" s="2" t="s">
        <v>2028</v>
      </c>
      <c r="K637" s="2" t="s">
        <v>3710</v>
      </c>
      <c r="L637" s="2" t="s">
        <v>4032</v>
      </c>
      <c r="M637">
        <v>-154.07</v>
      </c>
      <c r="N637" s="2" t="s">
        <v>2016</v>
      </c>
      <c r="O637">
        <v>88</v>
      </c>
      <c r="P637">
        <v>-13558.16</v>
      </c>
      <c r="Q637" t="b">
        <v>1</v>
      </c>
      <c r="R637" t="b">
        <v>0</v>
      </c>
      <c r="S637" t="b">
        <v>0</v>
      </c>
      <c r="T637" t="b">
        <v>0</v>
      </c>
      <c r="U637">
        <v>1</v>
      </c>
      <c r="V637" t="s">
        <v>4073</v>
      </c>
    </row>
    <row r="638" spans="1:22" hidden="1" x14ac:dyDescent="0.45">
      <c r="A638" s="2" t="s">
        <v>933</v>
      </c>
      <c r="B638" s="11">
        <v>45345</v>
      </c>
      <c r="C638" s="2" t="s">
        <v>2010</v>
      </c>
      <c r="D638" s="2" t="s">
        <v>2015</v>
      </c>
      <c r="E638">
        <v>0</v>
      </c>
      <c r="F638">
        <v>0</v>
      </c>
      <c r="G638">
        <v>3496.47</v>
      </c>
      <c r="H638">
        <v>286710.53999999998</v>
      </c>
      <c r="I638" s="2" t="s">
        <v>2023</v>
      </c>
      <c r="J638" s="2" t="s">
        <v>2029</v>
      </c>
      <c r="K638" s="2" t="s">
        <v>2954</v>
      </c>
      <c r="L638" s="2" t="s">
        <v>4034</v>
      </c>
      <c r="M638">
        <v>3496.47</v>
      </c>
      <c r="N638" s="2" t="s">
        <v>4042</v>
      </c>
      <c r="O638">
        <v>82</v>
      </c>
      <c r="P638">
        <v>286710.53999999998</v>
      </c>
      <c r="Q638" t="b">
        <v>0</v>
      </c>
      <c r="R638" t="b">
        <v>0</v>
      </c>
      <c r="S638" t="b">
        <v>0</v>
      </c>
      <c r="T638" t="b">
        <v>1</v>
      </c>
      <c r="U638">
        <v>1</v>
      </c>
      <c r="V638" t="s">
        <v>4073</v>
      </c>
    </row>
    <row r="639" spans="1:22" hidden="1" x14ac:dyDescent="0.45">
      <c r="A639" s="2" t="s">
        <v>821</v>
      </c>
      <c r="B639" s="11">
        <v>45181</v>
      </c>
      <c r="C639" s="2" t="s">
        <v>2014</v>
      </c>
      <c r="D639" s="2" t="s">
        <v>2019</v>
      </c>
      <c r="E639">
        <v>0</v>
      </c>
      <c r="F639">
        <v>0</v>
      </c>
      <c r="G639">
        <v>2788.91</v>
      </c>
      <c r="H639">
        <v>287257.73</v>
      </c>
      <c r="I639" s="2" t="s">
        <v>2025</v>
      </c>
      <c r="J639" s="2" t="s">
        <v>2029</v>
      </c>
      <c r="K639" s="2" t="s">
        <v>2842</v>
      </c>
      <c r="L639" s="2" t="s">
        <v>4031</v>
      </c>
      <c r="M639">
        <v>2788.91</v>
      </c>
      <c r="N639" s="2" t="s">
        <v>4042</v>
      </c>
      <c r="O639">
        <v>103</v>
      </c>
      <c r="P639">
        <v>287257.73</v>
      </c>
      <c r="Q639" t="b">
        <v>0</v>
      </c>
      <c r="R639" t="b">
        <v>0</v>
      </c>
      <c r="S639" t="b">
        <v>0</v>
      </c>
      <c r="T639" t="b">
        <v>1</v>
      </c>
      <c r="U639">
        <v>1</v>
      </c>
      <c r="V639" t="s">
        <v>4073</v>
      </c>
    </row>
    <row r="640" spans="1:22" hidden="1" x14ac:dyDescent="0.45">
      <c r="A640" s="2" t="s">
        <v>747</v>
      </c>
      <c r="B640" s="11">
        <v>45271</v>
      </c>
      <c r="C640" s="2" t="s">
        <v>2014</v>
      </c>
      <c r="D640" s="2" t="s">
        <v>2019</v>
      </c>
      <c r="E640">
        <v>0</v>
      </c>
      <c r="F640">
        <v>0</v>
      </c>
      <c r="G640">
        <v>3270.5</v>
      </c>
      <c r="H640">
        <v>287804</v>
      </c>
      <c r="I640" s="2" t="s">
        <v>2020</v>
      </c>
      <c r="J640" s="2" t="s">
        <v>2027</v>
      </c>
      <c r="K640" s="2" t="s">
        <v>2768</v>
      </c>
      <c r="L640" s="2" t="s">
        <v>4032</v>
      </c>
      <c r="M640">
        <v>3270.5</v>
      </c>
      <c r="N640" s="2" t="s">
        <v>4042</v>
      </c>
      <c r="O640">
        <v>88</v>
      </c>
      <c r="P640">
        <v>287804</v>
      </c>
      <c r="Q640" t="b">
        <v>0</v>
      </c>
      <c r="R640" t="b">
        <v>0</v>
      </c>
      <c r="S640" t="b">
        <v>0</v>
      </c>
      <c r="T640" t="b">
        <v>1</v>
      </c>
      <c r="U640">
        <v>1</v>
      </c>
      <c r="V640" t="s">
        <v>4073</v>
      </c>
    </row>
    <row r="641" spans="1:22" hidden="1" x14ac:dyDescent="0.45">
      <c r="A641" s="2" t="s">
        <v>1384</v>
      </c>
      <c r="B641" s="11">
        <v>45262</v>
      </c>
      <c r="C641" s="2" t="s">
        <v>2012</v>
      </c>
      <c r="D641" s="2" t="s">
        <v>2017</v>
      </c>
      <c r="E641">
        <v>167.34</v>
      </c>
      <c r="F641">
        <v>13721.880000000001</v>
      </c>
      <c r="G641">
        <v>0</v>
      </c>
      <c r="H641">
        <v>0</v>
      </c>
      <c r="I641" s="2" t="s">
        <v>2023</v>
      </c>
      <c r="J641" s="2" t="s">
        <v>2028</v>
      </c>
      <c r="K641" s="2" t="s">
        <v>3405</v>
      </c>
      <c r="L641" s="2" t="s">
        <v>4034</v>
      </c>
      <c r="M641">
        <v>-167.34</v>
      </c>
      <c r="N641" s="2" t="s">
        <v>4044</v>
      </c>
      <c r="O641">
        <v>82</v>
      </c>
      <c r="P641">
        <v>-13721.880000000001</v>
      </c>
      <c r="Q641" t="b">
        <v>1</v>
      </c>
      <c r="R641" t="b">
        <v>0</v>
      </c>
      <c r="S641" t="b">
        <v>0</v>
      </c>
      <c r="T641" t="b">
        <v>0</v>
      </c>
      <c r="U641">
        <v>1</v>
      </c>
      <c r="V641" t="s">
        <v>4073</v>
      </c>
    </row>
    <row r="642" spans="1:22" hidden="1" x14ac:dyDescent="0.45">
      <c r="A642" s="2" t="s">
        <v>306</v>
      </c>
      <c r="B642" s="11">
        <v>45269</v>
      </c>
      <c r="C642" s="2" t="s">
        <v>2013</v>
      </c>
      <c r="D642" s="2" t="s">
        <v>2018</v>
      </c>
      <c r="E642">
        <v>1902.75</v>
      </c>
      <c r="F642">
        <v>195983.25</v>
      </c>
      <c r="G642">
        <v>0</v>
      </c>
      <c r="H642">
        <v>0</v>
      </c>
      <c r="I642" s="2" t="s">
        <v>2024</v>
      </c>
      <c r="J642" s="2" t="s">
        <v>2028</v>
      </c>
      <c r="K642" s="2" t="s">
        <v>2327</v>
      </c>
      <c r="L642" s="2" t="s">
        <v>4031</v>
      </c>
      <c r="M642">
        <v>-1902.75</v>
      </c>
      <c r="N642" s="2" t="s">
        <v>4044</v>
      </c>
      <c r="O642">
        <v>103</v>
      </c>
      <c r="P642">
        <v>-195983.25</v>
      </c>
      <c r="Q642" t="b">
        <v>1</v>
      </c>
      <c r="R642" t="b">
        <v>0</v>
      </c>
      <c r="S642" t="b">
        <v>0</v>
      </c>
      <c r="T642" t="b">
        <v>0</v>
      </c>
      <c r="U642">
        <v>1</v>
      </c>
      <c r="V642" t="s">
        <v>4073</v>
      </c>
    </row>
    <row r="643" spans="1:22" hidden="1" x14ac:dyDescent="0.45">
      <c r="A643" s="2" t="s">
        <v>757</v>
      </c>
      <c r="B643" s="11">
        <v>44949</v>
      </c>
      <c r="C643" s="2" t="s">
        <v>2010</v>
      </c>
      <c r="D643" s="2" t="s">
        <v>2015</v>
      </c>
      <c r="E643">
        <v>0</v>
      </c>
      <c r="F643">
        <v>0</v>
      </c>
      <c r="G643">
        <v>2820.1</v>
      </c>
      <c r="H643">
        <v>290470.3</v>
      </c>
      <c r="I643" s="2" t="s">
        <v>2024</v>
      </c>
      <c r="J643" s="2" t="s">
        <v>2029</v>
      </c>
      <c r="K643" s="2" t="s">
        <v>2778</v>
      </c>
      <c r="L643" s="2" t="s">
        <v>4031</v>
      </c>
      <c r="M643">
        <v>2820.1</v>
      </c>
      <c r="N643" s="2" t="s">
        <v>4042</v>
      </c>
      <c r="O643">
        <v>103</v>
      </c>
      <c r="P643">
        <v>290470.3</v>
      </c>
      <c r="Q643" t="b">
        <v>0</v>
      </c>
      <c r="R643" t="b">
        <v>0</v>
      </c>
      <c r="S643" t="b">
        <v>0</v>
      </c>
      <c r="T643" t="b">
        <v>1</v>
      </c>
      <c r="U643">
        <v>1</v>
      </c>
      <c r="V643" t="s">
        <v>4073</v>
      </c>
    </row>
    <row r="644" spans="1:22" hidden="1" x14ac:dyDescent="0.45">
      <c r="A644" s="2" t="s">
        <v>1725</v>
      </c>
      <c r="B644" s="11">
        <v>44947</v>
      </c>
      <c r="C644" s="2" t="s">
        <v>2014</v>
      </c>
      <c r="D644" s="2" t="s">
        <v>2019</v>
      </c>
      <c r="E644">
        <v>0</v>
      </c>
      <c r="F644">
        <v>0</v>
      </c>
      <c r="G644">
        <v>1899.18</v>
      </c>
      <c r="H644">
        <v>195615.54</v>
      </c>
      <c r="I644" s="2" t="s">
        <v>2020</v>
      </c>
      <c r="J644" s="2" t="s">
        <v>2026</v>
      </c>
      <c r="K644" s="2" t="s">
        <v>3746</v>
      </c>
      <c r="L644" s="2" t="s">
        <v>4031</v>
      </c>
      <c r="M644">
        <v>1899.18</v>
      </c>
      <c r="N644" s="2" t="s">
        <v>4042</v>
      </c>
      <c r="O644">
        <v>103</v>
      </c>
      <c r="P644">
        <v>195615.54</v>
      </c>
      <c r="Q644" t="b">
        <v>1</v>
      </c>
      <c r="R644" t="b">
        <v>0</v>
      </c>
      <c r="S644" t="b">
        <v>0</v>
      </c>
      <c r="T644" t="b">
        <v>0</v>
      </c>
      <c r="U644">
        <v>1</v>
      </c>
      <c r="V644" t="s">
        <v>4073</v>
      </c>
    </row>
    <row r="645" spans="1:22" hidden="1" x14ac:dyDescent="0.45">
      <c r="A645" s="2" t="s">
        <v>1075</v>
      </c>
      <c r="B645" s="11">
        <v>45103</v>
      </c>
      <c r="C645" s="2" t="s">
        <v>2014</v>
      </c>
      <c r="D645" s="2" t="s">
        <v>2019</v>
      </c>
      <c r="E645">
        <v>0</v>
      </c>
      <c r="F645">
        <v>0</v>
      </c>
      <c r="G645">
        <v>3204.3</v>
      </c>
      <c r="H645">
        <v>195462.30000000002</v>
      </c>
      <c r="I645" s="2" t="s">
        <v>2025</v>
      </c>
      <c r="J645" s="2" t="s">
        <v>2030</v>
      </c>
      <c r="K645" s="2" t="s">
        <v>3096</v>
      </c>
      <c r="L645" s="2" t="s">
        <v>4035</v>
      </c>
      <c r="M645">
        <v>3204.3</v>
      </c>
      <c r="N645" s="2" t="s">
        <v>4042</v>
      </c>
      <c r="O645">
        <v>61</v>
      </c>
      <c r="P645">
        <v>195462.30000000002</v>
      </c>
      <c r="Q645" t="b">
        <v>0</v>
      </c>
      <c r="R645" t="b">
        <v>1</v>
      </c>
      <c r="S645" t="b">
        <v>0</v>
      </c>
      <c r="T645" t="b">
        <v>0</v>
      </c>
      <c r="U645">
        <v>1</v>
      </c>
      <c r="V645" t="s">
        <v>4073</v>
      </c>
    </row>
    <row r="646" spans="1:22" hidden="1" x14ac:dyDescent="0.45">
      <c r="A646" s="2" t="s">
        <v>1214</v>
      </c>
      <c r="B646" s="11">
        <v>45733</v>
      </c>
      <c r="C646" s="2" t="s">
        <v>2010</v>
      </c>
      <c r="D646" s="2" t="s">
        <v>2015</v>
      </c>
      <c r="E646">
        <v>0</v>
      </c>
      <c r="F646">
        <v>0</v>
      </c>
      <c r="G646">
        <v>2824.53</v>
      </c>
      <c r="H646">
        <v>290926.59000000003</v>
      </c>
      <c r="I646" s="2" t="s">
        <v>2024</v>
      </c>
      <c r="J646" s="2" t="s">
        <v>2026</v>
      </c>
      <c r="K646" s="2" t="s">
        <v>3235</v>
      </c>
      <c r="L646" s="2" t="s">
        <v>4031</v>
      </c>
      <c r="M646">
        <v>2824.53</v>
      </c>
      <c r="N646" s="2" t="s">
        <v>4042</v>
      </c>
      <c r="O646">
        <v>103</v>
      </c>
      <c r="P646">
        <v>290926.59000000003</v>
      </c>
      <c r="Q646" t="b">
        <v>0</v>
      </c>
      <c r="R646" t="b">
        <v>0</v>
      </c>
      <c r="S646" t="b">
        <v>0</v>
      </c>
      <c r="T646" t="b">
        <v>1</v>
      </c>
      <c r="U646">
        <v>1</v>
      </c>
      <c r="V646" t="s">
        <v>4073</v>
      </c>
    </row>
    <row r="647" spans="1:22" hidden="1" x14ac:dyDescent="0.45">
      <c r="A647" s="2" t="s">
        <v>1508</v>
      </c>
      <c r="B647" s="11">
        <v>44948</v>
      </c>
      <c r="C647" s="2" t="s">
        <v>2011</v>
      </c>
      <c r="D647" s="2" t="s">
        <v>2016</v>
      </c>
      <c r="E647">
        <v>1891.12</v>
      </c>
      <c r="F647">
        <v>194785.36</v>
      </c>
      <c r="G647">
        <v>0</v>
      </c>
      <c r="H647">
        <v>0</v>
      </c>
      <c r="I647" s="2" t="s">
        <v>2021</v>
      </c>
      <c r="J647" s="2" t="s">
        <v>2029</v>
      </c>
      <c r="K647" s="2" t="s">
        <v>3529</v>
      </c>
      <c r="L647" s="2" t="s">
        <v>4031</v>
      </c>
      <c r="M647">
        <v>-1891.12</v>
      </c>
      <c r="N647" s="2" t="s">
        <v>2016</v>
      </c>
      <c r="O647">
        <v>103</v>
      </c>
      <c r="P647">
        <v>-194785.36</v>
      </c>
      <c r="Q647" t="b">
        <v>1</v>
      </c>
      <c r="R647" t="b">
        <v>0</v>
      </c>
      <c r="S647" t="b">
        <v>0</v>
      </c>
      <c r="T647" t="b">
        <v>0</v>
      </c>
      <c r="U647">
        <v>1</v>
      </c>
      <c r="V647" t="s">
        <v>4073</v>
      </c>
    </row>
    <row r="648" spans="1:22" hidden="1" x14ac:dyDescent="0.45">
      <c r="A648" s="2" t="s">
        <v>1207</v>
      </c>
      <c r="B648" s="11">
        <v>45565</v>
      </c>
      <c r="C648" s="2" t="s">
        <v>2014</v>
      </c>
      <c r="D648" s="2" t="s">
        <v>2019</v>
      </c>
      <c r="E648">
        <v>0</v>
      </c>
      <c r="F648">
        <v>0</v>
      </c>
      <c r="G648">
        <v>2374.8200000000002</v>
      </c>
      <c r="H648">
        <v>194735.24000000002</v>
      </c>
      <c r="I648" s="2" t="s">
        <v>2021</v>
      </c>
      <c r="J648" s="2" t="s">
        <v>2027</v>
      </c>
      <c r="K648" s="2" t="s">
        <v>3228</v>
      </c>
      <c r="L648" s="2" t="s">
        <v>4034</v>
      </c>
      <c r="M648">
        <v>2374.8200000000002</v>
      </c>
      <c r="N648" s="2" t="s">
        <v>4042</v>
      </c>
      <c r="O648">
        <v>82</v>
      </c>
      <c r="P648">
        <v>194735.24000000002</v>
      </c>
      <c r="Q648" t="b">
        <v>0</v>
      </c>
      <c r="R648" t="b">
        <v>1</v>
      </c>
      <c r="S648" t="b">
        <v>0</v>
      </c>
      <c r="T648" t="b">
        <v>0</v>
      </c>
      <c r="U648">
        <v>1</v>
      </c>
      <c r="V648" t="s">
        <v>4073</v>
      </c>
    </row>
    <row r="649" spans="1:22" hidden="1" x14ac:dyDescent="0.45">
      <c r="A649" s="2" t="s">
        <v>197</v>
      </c>
      <c r="B649" s="11">
        <v>45005</v>
      </c>
      <c r="C649" s="2" t="s">
        <v>2010</v>
      </c>
      <c r="D649" s="2" t="s">
        <v>2015</v>
      </c>
      <c r="E649">
        <v>0</v>
      </c>
      <c r="F649">
        <v>0</v>
      </c>
      <c r="G649">
        <v>2824.84</v>
      </c>
      <c r="H649">
        <v>290958.52</v>
      </c>
      <c r="I649" s="2" t="s">
        <v>2023</v>
      </c>
      <c r="J649" s="2" t="s">
        <v>2030</v>
      </c>
      <c r="K649" s="2" t="s">
        <v>2218</v>
      </c>
      <c r="L649" s="2" t="s">
        <v>4031</v>
      </c>
      <c r="M649">
        <v>2824.84</v>
      </c>
      <c r="N649" s="2" t="s">
        <v>4042</v>
      </c>
      <c r="O649">
        <v>103</v>
      </c>
      <c r="P649">
        <v>290958.52</v>
      </c>
      <c r="Q649" t="b">
        <v>0</v>
      </c>
      <c r="R649" t="b">
        <v>0</v>
      </c>
      <c r="S649" t="b">
        <v>0</v>
      </c>
      <c r="T649" t="b">
        <v>1</v>
      </c>
      <c r="U649">
        <v>1</v>
      </c>
      <c r="V649" t="s">
        <v>4073</v>
      </c>
    </row>
    <row r="650" spans="1:22" hidden="1" x14ac:dyDescent="0.45">
      <c r="A650" s="2" t="s">
        <v>717</v>
      </c>
      <c r="B650" s="11">
        <v>45656</v>
      </c>
      <c r="C650" s="2" t="s">
        <v>2014</v>
      </c>
      <c r="D650" s="2" t="s">
        <v>2019</v>
      </c>
      <c r="E650">
        <v>0</v>
      </c>
      <c r="F650">
        <v>0</v>
      </c>
      <c r="G650">
        <v>1927.89</v>
      </c>
      <c r="H650">
        <v>198572.67</v>
      </c>
      <c r="I650" s="2" t="s">
        <v>2021</v>
      </c>
      <c r="J650" s="2" t="s">
        <v>2026</v>
      </c>
      <c r="K650" s="2" t="s">
        <v>2738</v>
      </c>
      <c r="L650" s="2" t="s">
        <v>4031</v>
      </c>
      <c r="M650">
        <v>1927.89</v>
      </c>
      <c r="N650" s="2" t="s">
        <v>4042</v>
      </c>
      <c r="O650">
        <v>103</v>
      </c>
      <c r="P650">
        <v>198572.67</v>
      </c>
      <c r="Q650" t="b">
        <v>0</v>
      </c>
      <c r="R650" t="b">
        <v>1</v>
      </c>
      <c r="S650" t="b">
        <v>0</v>
      </c>
      <c r="T650" t="b">
        <v>0</v>
      </c>
      <c r="U650">
        <v>1</v>
      </c>
      <c r="V650" t="s">
        <v>4073</v>
      </c>
    </row>
    <row r="651" spans="1:22" hidden="1" x14ac:dyDescent="0.45">
      <c r="A651" s="2" t="s">
        <v>1470</v>
      </c>
      <c r="B651" s="11">
        <v>45823</v>
      </c>
      <c r="C651" s="2" t="s">
        <v>2014</v>
      </c>
      <c r="D651" s="2" t="s">
        <v>2019</v>
      </c>
      <c r="E651">
        <v>0</v>
      </c>
      <c r="F651">
        <v>0</v>
      </c>
      <c r="G651">
        <v>3048.03</v>
      </c>
      <c r="H651">
        <v>185929.83000000002</v>
      </c>
      <c r="I651" s="2" t="s">
        <v>2024</v>
      </c>
      <c r="J651" s="2" t="s">
        <v>2030</v>
      </c>
      <c r="K651" s="2" t="s">
        <v>3491</v>
      </c>
      <c r="L651" s="2" t="s">
        <v>4035</v>
      </c>
      <c r="M651">
        <v>3048.03</v>
      </c>
      <c r="N651" s="2" t="s">
        <v>4042</v>
      </c>
      <c r="O651">
        <v>61</v>
      </c>
      <c r="P651">
        <v>185929.83000000002</v>
      </c>
      <c r="Q651" t="b">
        <v>1</v>
      </c>
      <c r="R651" t="b">
        <v>0</v>
      </c>
      <c r="S651" t="b">
        <v>0</v>
      </c>
      <c r="T651" t="b">
        <v>0</v>
      </c>
      <c r="U651">
        <v>1</v>
      </c>
      <c r="V651" t="s">
        <v>4073</v>
      </c>
    </row>
    <row r="652" spans="1:22" hidden="1" x14ac:dyDescent="0.45">
      <c r="A652" s="2" t="s">
        <v>346</v>
      </c>
      <c r="B652" s="11">
        <v>44976</v>
      </c>
      <c r="C652" s="2" t="s">
        <v>2014</v>
      </c>
      <c r="D652" s="2" t="s">
        <v>2019</v>
      </c>
      <c r="E652">
        <v>0</v>
      </c>
      <c r="F652">
        <v>0</v>
      </c>
      <c r="G652">
        <v>2096.4299999999998</v>
      </c>
      <c r="H652">
        <v>184485.84</v>
      </c>
      <c r="I652" s="2" t="s">
        <v>2023</v>
      </c>
      <c r="J652" s="2" t="s">
        <v>2030</v>
      </c>
      <c r="K652" s="2" t="s">
        <v>2367</v>
      </c>
      <c r="L652" s="2" t="s">
        <v>4032</v>
      </c>
      <c r="M652">
        <v>2096.4299999999998</v>
      </c>
      <c r="N652" s="2" t="s">
        <v>4042</v>
      </c>
      <c r="O652">
        <v>88</v>
      </c>
      <c r="P652">
        <v>184485.84</v>
      </c>
      <c r="Q652" t="b">
        <v>1</v>
      </c>
      <c r="R652" t="b">
        <v>0</v>
      </c>
      <c r="S652" t="b">
        <v>0</v>
      </c>
      <c r="T652" t="b">
        <v>0</v>
      </c>
      <c r="U652">
        <v>1</v>
      </c>
      <c r="V652" t="s">
        <v>4073</v>
      </c>
    </row>
    <row r="653" spans="1:22" hidden="1" x14ac:dyDescent="0.45">
      <c r="A653" s="2" t="s">
        <v>1022</v>
      </c>
      <c r="B653" s="11">
        <v>45282</v>
      </c>
      <c r="C653" s="2" t="s">
        <v>2010</v>
      </c>
      <c r="D653" s="2" t="s">
        <v>2015</v>
      </c>
      <c r="E653">
        <v>0</v>
      </c>
      <c r="F653">
        <v>0</v>
      </c>
      <c r="G653">
        <v>3238.48</v>
      </c>
      <c r="H653">
        <v>333563.44</v>
      </c>
      <c r="I653" s="2" t="s">
        <v>2020</v>
      </c>
      <c r="J653" s="2" t="s">
        <v>2027</v>
      </c>
      <c r="K653" s="2" t="s">
        <v>3043</v>
      </c>
      <c r="L653" s="2" t="s">
        <v>4031</v>
      </c>
      <c r="M653">
        <v>3238.48</v>
      </c>
      <c r="N653" s="2" t="s">
        <v>4042</v>
      </c>
      <c r="O653">
        <v>103</v>
      </c>
      <c r="P653">
        <v>333563.44</v>
      </c>
      <c r="Q653" t="b">
        <v>0</v>
      </c>
      <c r="R653" t="b">
        <v>0</v>
      </c>
      <c r="S653" t="b">
        <v>0</v>
      </c>
      <c r="T653" t="b">
        <v>1</v>
      </c>
      <c r="U653">
        <v>1</v>
      </c>
      <c r="V653" t="s">
        <v>4073</v>
      </c>
    </row>
    <row r="654" spans="1:22" hidden="1" x14ac:dyDescent="0.45">
      <c r="A654" s="2" t="s">
        <v>549</v>
      </c>
      <c r="B654" s="11">
        <v>45797</v>
      </c>
      <c r="C654" s="2" t="s">
        <v>2010</v>
      </c>
      <c r="D654" s="2" t="s">
        <v>2015</v>
      </c>
      <c r="E654">
        <v>0</v>
      </c>
      <c r="F654">
        <v>0</v>
      </c>
      <c r="G654">
        <v>3791.55</v>
      </c>
      <c r="H654">
        <v>333656.40000000002</v>
      </c>
      <c r="I654" s="2" t="s">
        <v>2024</v>
      </c>
      <c r="J654" s="2" t="s">
        <v>2028</v>
      </c>
      <c r="K654" s="2" t="s">
        <v>2570</v>
      </c>
      <c r="L654" s="2" t="s">
        <v>4032</v>
      </c>
      <c r="M654">
        <v>3791.55</v>
      </c>
      <c r="N654" s="2" t="s">
        <v>4042</v>
      </c>
      <c r="O654">
        <v>88</v>
      </c>
      <c r="P654">
        <v>333656.40000000002</v>
      </c>
      <c r="Q654" t="b">
        <v>0</v>
      </c>
      <c r="R654" t="b">
        <v>0</v>
      </c>
      <c r="S654" t="b">
        <v>0</v>
      </c>
      <c r="T654" t="b">
        <v>1</v>
      </c>
      <c r="U654">
        <v>1</v>
      </c>
      <c r="V654" t="s">
        <v>4073</v>
      </c>
    </row>
    <row r="655" spans="1:22" hidden="1" x14ac:dyDescent="0.45">
      <c r="A655" s="2" t="s">
        <v>1411</v>
      </c>
      <c r="B655" s="11">
        <v>44935</v>
      </c>
      <c r="C655" s="2" t="s">
        <v>2014</v>
      </c>
      <c r="D655" s="2" t="s">
        <v>2019</v>
      </c>
      <c r="E655">
        <v>0</v>
      </c>
      <c r="F655">
        <v>0</v>
      </c>
      <c r="G655">
        <v>4074.33</v>
      </c>
      <c r="H655">
        <v>334095.06</v>
      </c>
      <c r="I655" s="2" t="s">
        <v>2022</v>
      </c>
      <c r="J655" s="2" t="s">
        <v>2030</v>
      </c>
      <c r="K655" s="2" t="s">
        <v>3432</v>
      </c>
      <c r="L655" s="2" t="s">
        <v>4034</v>
      </c>
      <c r="M655">
        <v>4074.33</v>
      </c>
      <c r="N655" s="2" t="s">
        <v>4042</v>
      </c>
      <c r="O655">
        <v>82</v>
      </c>
      <c r="P655">
        <v>334095.06</v>
      </c>
      <c r="Q655" t="b">
        <v>0</v>
      </c>
      <c r="R655" t="b">
        <v>0</v>
      </c>
      <c r="S655" t="b">
        <v>0</v>
      </c>
      <c r="T655" t="b">
        <v>1</v>
      </c>
      <c r="U655">
        <v>1</v>
      </c>
      <c r="V655" t="s">
        <v>4073</v>
      </c>
    </row>
    <row r="656" spans="1:22" hidden="1" x14ac:dyDescent="0.45">
      <c r="A656" s="2" t="s">
        <v>428</v>
      </c>
      <c r="B656" s="11">
        <v>45120</v>
      </c>
      <c r="C656" s="2" t="s">
        <v>2010</v>
      </c>
      <c r="D656" s="2" t="s">
        <v>2015</v>
      </c>
      <c r="E656">
        <v>0</v>
      </c>
      <c r="F656">
        <v>0</v>
      </c>
      <c r="G656">
        <v>4075.25</v>
      </c>
      <c r="H656">
        <v>334170.5</v>
      </c>
      <c r="I656" s="2" t="s">
        <v>2021</v>
      </c>
      <c r="J656" s="2" t="s">
        <v>2027</v>
      </c>
      <c r="K656" s="2" t="s">
        <v>2449</v>
      </c>
      <c r="L656" s="2" t="s">
        <v>4034</v>
      </c>
      <c r="M656">
        <v>4075.25</v>
      </c>
      <c r="N656" s="2" t="s">
        <v>4042</v>
      </c>
      <c r="O656">
        <v>82</v>
      </c>
      <c r="P656">
        <v>334170.5</v>
      </c>
      <c r="Q656" t="b">
        <v>0</v>
      </c>
      <c r="R656" t="b">
        <v>0</v>
      </c>
      <c r="S656" t="b">
        <v>0</v>
      </c>
      <c r="T656" t="b">
        <v>1</v>
      </c>
      <c r="U656">
        <v>1</v>
      </c>
      <c r="V656" t="s">
        <v>4073</v>
      </c>
    </row>
    <row r="657" spans="1:22" hidden="1" x14ac:dyDescent="0.45">
      <c r="A657" s="2" t="s">
        <v>1388</v>
      </c>
      <c r="B657" s="11">
        <v>45388</v>
      </c>
      <c r="C657" s="2" t="s">
        <v>2010</v>
      </c>
      <c r="D657" s="2" t="s">
        <v>2015</v>
      </c>
      <c r="E657">
        <v>0</v>
      </c>
      <c r="F657">
        <v>0</v>
      </c>
      <c r="G657">
        <v>1718.15</v>
      </c>
      <c r="H657">
        <v>176969.45</v>
      </c>
      <c r="I657" s="2" t="s">
        <v>2020</v>
      </c>
      <c r="J657" s="2" t="s">
        <v>2029</v>
      </c>
      <c r="K657" s="2" t="s">
        <v>3409</v>
      </c>
      <c r="L657" s="2" t="s">
        <v>4031</v>
      </c>
      <c r="M657">
        <v>1718.15</v>
      </c>
      <c r="N657" s="2" t="s">
        <v>4042</v>
      </c>
      <c r="O657">
        <v>103</v>
      </c>
      <c r="P657">
        <v>176969.45</v>
      </c>
      <c r="Q657" t="b">
        <v>1</v>
      </c>
      <c r="R657" t="b">
        <v>0</v>
      </c>
      <c r="S657" t="b">
        <v>0</v>
      </c>
      <c r="T657" t="b">
        <v>0</v>
      </c>
      <c r="U657">
        <v>1</v>
      </c>
      <c r="V657" t="s">
        <v>4073</v>
      </c>
    </row>
    <row r="658" spans="1:22" hidden="1" x14ac:dyDescent="0.45">
      <c r="A658" s="2" t="s">
        <v>831</v>
      </c>
      <c r="B658" s="11">
        <v>45187</v>
      </c>
      <c r="C658" s="2" t="s">
        <v>2010</v>
      </c>
      <c r="D658" s="2" t="s">
        <v>2015</v>
      </c>
      <c r="E658">
        <v>0</v>
      </c>
      <c r="F658">
        <v>0</v>
      </c>
      <c r="G658">
        <v>4094.14</v>
      </c>
      <c r="H658">
        <v>335719.48</v>
      </c>
      <c r="I658" s="2" t="s">
        <v>2024</v>
      </c>
      <c r="J658" s="2" t="s">
        <v>2026</v>
      </c>
      <c r="K658" s="2" t="s">
        <v>2852</v>
      </c>
      <c r="L658" s="2" t="s">
        <v>4034</v>
      </c>
      <c r="M658">
        <v>4094.14</v>
      </c>
      <c r="N658" s="2" t="s">
        <v>4042</v>
      </c>
      <c r="O658">
        <v>82</v>
      </c>
      <c r="P658">
        <v>335719.48</v>
      </c>
      <c r="Q658" t="b">
        <v>0</v>
      </c>
      <c r="R658" t="b">
        <v>0</v>
      </c>
      <c r="S658" t="b">
        <v>0</v>
      </c>
      <c r="T658" t="b">
        <v>1</v>
      </c>
      <c r="U658">
        <v>1</v>
      </c>
      <c r="V658" t="s">
        <v>4073</v>
      </c>
    </row>
    <row r="659" spans="1:22" hidden="1" x14ac:dyDescent="0.45">
      <c r="A659" s="2" t="s">
        <v>1602</v>
      </c>
      <c r="B659" s="11">
        <v>45257</v>
      </c>
      <c r="C659" s="2" t="s">
        <v>2014</v>
      </c>
      <c r="D659" s="2" t="s">
        <v>2019</v>
      </c>
      <c r="E659">
        <v>0</v>
      </c>
      <c r="F659">
        <v>0</v>
      </c>
      <c r="G659">
        <v>3155.54</v>
      </c>
      <c r="H659">
        <v>176710.24</v>
      </c>
      <c r="I659" s="2" t="s">
        <v>2024</v>
      </c>
      <c r="J659" s="2" t="s">
        <v>2027</v>
      </c>
      <c r="K659" s="2" t="s">
        <v>3623</v>
      </c>
      <c r="L659" s="2" t="s">
        <v>4033</v>
      </c>
      <c r="M659">
        <v>3155.54</v>
      </c>
      <c r="N659" s="2" t="s">
        <v>4042</v>
      </c>
      <c r="O659">
        <v>56</v>
      </c>
      <c r="P659">
        <v>176710.24</v>
      </c>
      <c r="Q659" t="b">
        <v>0</v>
      </c>
      <c r="R659" t="b">
        <v>1</v>
      </c>
      <c r="S659" t="b">
        <v>0</v>
      </c>
      <c r="T659" t="b">
        <v>0</v>
      </c>
      <c r="U659">
        <v>1</v>
      </c>
      <c r="V659" t="s">
        <v>4073</v>
      </c>
    </row>
    <row r="660" spans="1:22" hidden="1" x14ac:dyDescent="0.45">
      <c r="A660" s="2" t="s">
        <v>1289</v>
      </c>
      <c r="B660" s="11">
        <v>45465</v>
      </c>
      <c r="C660" s="2" t="s">
        <v>2012</v>
      </c>
      <c r="D660" s="2" t="s">
        <v>2017</v>
      </c>
      <c r="E660">
        <v>1999.52</v>
      </c>
      <c r="F660">
        <v>175957.76000000001</v>
      </c>
      <c r="G660">
        <v>0</v>
      </c>
      <c r="H660">
        <v>0</v>
      </c>
      <c r="I660" s="2" t="s">
        <v>2025</v>
      </c>
      <c r="J660" s="2" t="s">
        <v>2029</v>
      </c>
      <c r="K660" s="2" t="s">
        <v>3310</v>
      </c>
      <c r="L660" s="2" t="s">
        <v>4032</v>
      </c>
      <c r="M660">
        <v>-1999.52</v>
      </c>
      <c r="N660" s="2" t="s">
        <v>4044</v>
      </c>
      <c r="O660">
        <v>88</v>
      </c>
      <c r="P660">
        <v>-175957.76000000001</v>
      </c>
      <c r="Q660" t="b">
        <v>1</v>
      </c>
      <c r="R660" t="b">
        <v>0</v>
      </c>
      <c r="S660" t="b">
        <v>0</v>
      </c>
      <c r="T660" t="b">
        <v>0</v>
      </c>
      <c r="U660">
        <v>1</v>
      </c>
      <c r="V660" t="s">
        <v>4073</v>
      </c>
    </row>
    <row r="661" spans="1:22" hidden="1" x14ac:dyDescent="0.45">
      <c r="A661" s="2" t="s">
        <v>1110</v>
      </c>
      <c r="B661" s="11">
        <v>45182</v>
      </c>
      <c r="C661" s="2" t="s">
        <v>2010</v>
      </c>
      <c r="D661" s="2" t="s">
        <v>2015</v>
      </c>
      <c r="E661">
        <v>0</v>
      </c>
      <c r="F661">
        <v>0</v>
      </c>
      <c r="G661">
        <v>4099.41</v>
      </c>
      <c r="H661">
        <v>336151.62</v>
      </c>
      <c r="I661" s="2" t="s">
        <v>2023</v>
      </c>
      <c r="J661" s="2" t="s">
        <v>2026</v>
      </c>
      <c r="K661" s="2" t="s">
        <v>3131</v>
      </c>
      <c r="L661" s="2" t="s">
        <v>4034</v>
      </c>
      <c r="M661">
        <v>4099.41</v>
      </c>
      <c r="N661" s="2" t="s">
        <v>4042</v>
      </c>
      <c r="O661">
        <v>82</v>
      </c>
      <c r="P661">
        <v>336151.62</v>
      </c>
      <c r="Q661" t="b">
        <v>0</v>
      </c>
      <c r="R661" t="b">
        <v>0</v>
      </c>
      <c r="S661" t="b">
        <v>0</v>
      </c>
      <c r="T661" t="b">
        <v>1</v>
      </c>
      <c r="U661">
        <v>1</v>
      </c>
      <c r="V661" t="s">
        <v>4073</v>
      </c>
    </row>
    <row r="662" spans="1:22" hidden="1" x14ac:dyDescent="0.45">
      <c r="A662" s="2" t="s">
        <v>870</v>
      </c>
      <c r="B662" s="11">
        <v>45769</v>
      </c>
      <c r="C662" s="2" t="s">
        <v>2014</v>
      </c>
      <c r="D662" s="2" t="s">
        <v>2019</v>
      </c>
      <c r="E662">
        <v>0</v>
      </c>
      <c r="F662">
        <v>0</v>
      </c>
      <c r="G662">
        <v>4103.1000000000004</v>
      </c>
      <c r="H662">
        <v>336454.2</v>
      </c>
      <c r="I662" s="2" t="s">
        <v>2022</v>
      </c>
      <c r="J662" s="2" t="s">
        <v>2028</v>
      </c>
      <c r="K662" s="2" t="s">
        <v>2891</v>
      </c>
      <c r="L662" s="2" t="s">
        <v>4034</v>
      </c>
      <c r="M662">
        <v>4103.1000000000004</v>
      </c>
      <c r="N662" s="2" t="s">
        <v>4042</v>
      </c>
      <c r="O662">
        <v>82</v>
      </c>
      <c r="P662">
        <v>336454.2</v>
      </c>
      <c r="Q662" t="b">
        <v>0</v>
      </c>
      <c r="R662" t="b">
        <v>0</v>
      </c>
      <c r="S662" t="b">
        <v>0</v>
      </c>
      <c r="T662" t="b">
        <v>1</v>
      </c>
      <c r="U662">
        <v>1</v>
      </c>
      <c r="V662" t="s">
        <v>4073</v>
      </c>
    </row>
    <row r="663" spans="1:22" hidden="1" x14ac:dyDescent="0.45">
      <c r="A663" s="2" t="s">
        <v>1608</v>
      </c>
      <c r="B663" s="11">
        <v>45832</v>
      </c>
      <c r="C663" s="2" t="s">
        <v>2010</v>
      </c>
      <c r="D663" s="2" t="s">
        <v>2015</v>
      </c>
      <c r="E663">
        <v>0</v>
      </c>
      <c r="F663">
        <v>0</v>
      </c>
      <c r="G663">
        <v>3867.59</v>
      </c>
      <c r="H663">
        <v>340347.92000000004</v>
      </c>
      <c r="I663" s="2" t="s">
        <v>2022</v>
      </c>
      <c r="J663" s="2" t="s">
        <v>2029</v>
      </c>
      <c r="K663" s="2" t="s">
        <v>3629</v>
      </c>
      <c r="L663" s="2" t="s">
        <v>4032</v>
      </c>
      <c r="M663">
        <v>3867.59</v>
      </c>
      <c r="N663" s="2" t="s">
        <v>4042</v>
      </c>
      <c r="O663">
        <v>88</v>
      </c>
      <c r="P663">
        <v>340347.92000000004</v>
      </c>
      <c r="Q663" t="b">
        <v>0</v>
      </c>
      <c r="R663" t="b">
        <v>0</v>
      </c>
      <c r="S663" t="b">
        <v>0</v>
      </c>
      <c r="T663" t="b">
        <v>1</v>
      </c>
      <c r="U663">
        <v>1</v>
      </c>
      <c r="V663" t="s">
        <v>4073</v>
      </c>
    </row>
    <row r="664" spans="1:22" hidden="1" x14ac:dyDescent="0.45">
      <c r="A664" s="2" t="s">
        <v>578</v>
      </c>
      <c r="B664" s="11">
        <v>45628</v>
      </c>
      <c r="C664" s="2" t="s">
        <v>2014</v>
      </c>
      <c r="D664" s="2" t="s">
        <v>2019</v>
      </c>
      <c r="E664">
        <v>0</v>
      </c>
      <c r="F664">
        <v>0</v>
      </c>
      <c r="G664">
        <v>4167.67</v>
      </c>
      <c r="H664">
        <v>341748.94</v>
      </c>
      <c r="I664" s="2" t="s">
        <v>2024</v>
      </c>
      <c r="J664" s="2" t="s">
        <v>2027</v>
      </c>
      <c r="K664" s="2" t="s">
        <v>2599</v>
      </c>
      <c r="L664" s="2" t="s">
        <v>4034</v>
      </c>
      <c r="M664">
        <v>4167.67</v>
      </c>
      <c r="N664" s="2" t="s">
        <v>4042</v>
      </c>
      <c r="O664">
        <v>82</v>
      </c>
      <c r="P664">
        <v>341748.94</v>
      </c>
      <c r="Q664" t="b">
        <v>0</v>
      </c>
      <c r="R664" t="b">
        <v>0</v>
      </c>
      <c r="S664" t="b">
        <v>0</v>
      </c>
      <c r="T664" t="b">
        <v>1</v>
      </c>
      <c r="U664">
        <v>1</v>
      </c>
      <c r="V664" t="s">
        <v>4073</v>
      </c>
    </row>
    <row r="665" spans="1:22" hidden="1" x14ac:dyDescent="0.45">
      <c r="A665" s="2" t="s">
        <v>564</v>
      </c>
      <c r="B665" s="11">
        <v>44949</v>
      </c>
      <c r="C665" s="2" t="s">
        <v>2010</v>
      </c>
      <c r="D665" s="2" t="s">
        <v>2015</v>
      </c>
      <c r="E665">
        <v>0</v>
      </c>
      <c r="F665">
        <v>0</v>
      </c>
      <c r="G665">
        <v>3368.07</v>
      </c>
      <c r="H665">
        <v>346911.21</v>
      </c>
      <c r="I665" s="2" t="s">
        <v>2023</v>
      </c>
      <c r="J665" s="2" t="s">
        <v>2027</v>
      </c>
      <c r="K665" s="2" t="s">
        <v>2585</v>
      </c>
      <c r="L665" s="2" t="s">
        <v>4031</v>
      </c>
      <c r="M665">
        <v>3368.07</v>
      </c>
      <c r="N665" s="2" t="s">
        <v>4042</v>
      </c>
      <c r="O665">
        <v>103</v>
      </c>
      <c r="P665">
        <v>346911.21</v>
      </c>
      <c r="Q665" t="b">
        <v>0</v>
      </c>
      <c r="R665" t="b">
        <v>0</v>
      </c>
      <c r="S665" t="b">
        <v>0</v>
      </c>
      <c r="T665" t="b">
        <v>1</v>
      </c>
      <c r="U665">
        <v>1</v>
      </c>
      <c r="V665" t="s">
        <v>4073</v>
      </c>
    </row>
    <row r="666" spans="1:22" hidden="1" x14ac:dyDescent="0.45">
      <c r="A666" s="2" t="s">
        <v>800</v>
      </c>
      <c r="B666" s="11">
        <v>45389</v>
      </c>
      <c r="C666" s="2" t="s">
        <v>2011</v>
      </c>
      <c r="D666" s="2" t="s">
        <v>2016</v>
      </c>
      <c r="E666">
        <v>315.25</v>
      </c>
      <c r="F666">
        <v>17654</v>
      </c>
      <c r="G666">
        <v>0</v>
      </c>
      <c r="H666">
        <v>0</v>
      </c>
      <c r="I666" s="2" t="s">
        <v>2023</v>
      </c>
      <c r="J666" s="2" t="s">
        <v>2029</v>
      </c>
      <c r="K666" s="2" t="s">
        <v>2821</v>
      </c>
      <c r="L666" s="2" t="s">
        <v>4033</v>
      </c>
      <c r="M666">
        <v>-315.25</v>
      </c>
      <c r="N666" s="2" t="s">
        <v>2016</v>
      </c>
      <c r="O666">
        <v>56</v>
      </c>
      <c r="P666">
        <v>-17654</v>
      </c>
      <c r="Q666" t="b">
        <v>1</v>
      </c>
      <c r="R666" t="b">
        <v>0</v>
      </c>
      <c r="S666" t="b">
        <v>0</v>
      </c>
      <c r="T666" t="b">
        <v>0</v>
      </c>
      <c r="U666">
        <v>1</v>
      </c>
      <c r="V666" t="s">
        <v>4073</v>
      </c>
    </row>
    <row r="667" spans="1:22" hidden="1" x14ac:dyDescent="0.45">
      <c r="A667" s="2" t="s">
        <v>685</v>
      </c>
      <c r="B667" s="11">
        <v>45467</v>
      </c>
      <c r="C667" s="2" t="s">
        <v>2014</v>
      </c>
      <c r="D667" s="2" t="s">
        <v>2019</v>
      </c>
      <c r="E667">
        <v>0</v>
      </c>
      <c r="F667">
        <v>0</v>
      </c>
      <c r="G667">
        <v>3948.96</v>
      </c>
      <c r="H667">
        <v>347508.47999999998</v>
      </c>
      <c r="I667" s="2" t="s">
        <v>2023</v>
      </c>
      <c r="J667" s="2" t="s">
        <v>2029</v>
      </c>
      <c r="K667" s="2" t="s">
        <v>2706</v>
      </c>
      <c r="L667" s="2" t="s">
        <v>4032</v>
      </c>
      <c r="M667">
        <v>3948.96</v>
      </c>
      <c r="N667" s="2" t="s">
        <v>4042</v>
      </c>
      <c r="O667">
        <v>88</v>
      </c>
      <c r="P667">
        <v>347508.47999999998</v>
      </c>
      <c r="Q667" t="b">
        <v>0</v>
      </c>
      <c r="R667" t="b">
        <v>0</v>
      </c>
      <c r="S667" t="b">
        <v>0</v>
      </c>
      <c r="T667" t="b">
        <v>1</v>
      </c>
      <c r="U667">
        <v>1</v>
      </c>
      <c r="V667" t="s">
        <v>4073</v>
      </c>
    </row>
    <row r="668" spans="1:22" hidden="1" x14ac:dyDescent="0.45">
      <c r="A668" s="2" t="s">
        <v>658</v>
      </c>
      <c r="B668" s="11">
        <v>45441</v>
      </c>
      <c r="C668" s="2" t="s">
        <v>2011</v>
      </c>
      <c r="D668" s="2" t="s">
        <v>2016</v>
      </c>
      <c r="E668">
        <v>1696.57</v>
      </c>
      <c r="F668">
        <v>174746.71</v>
      </c>
      <c r="G668">
        <v>0</v>
      </c>
      <c r="H668">
        <v>0</v>
      </c>
      <c r="I668" s="2" t="s">
        <v>2020</v>
      </c>
      <c r="J668" s="2" t="s">
        <v>2028</v>
      </c>
      <c r="K668" s="2" t="s">
        <v>2679</v>
      </c>
      <c r="L668" s="2" t="s">
        <v>4031</v>
      </c>
      <c r="M668">
        <v>-1696.57</v>
      </c>
      <c r="N668" s="2" t="s">
        <v>2016</v>
      </c>
      <c r="O668">
        <v>103</v>
      </c>
      <c r="P668">
        <v>-174746.71</v>
      </c>
      <c r="Q668" t="b">
        <v>0</v>
      </c>
      <c r="R668" t="b">
        <v>1</v>
      </c>
      <c r="S668" t="b">
        <v>0</v>
      </c>
      <c r="T668" t="b">
        <v>0</v>
      </c>
      <c r="U668">
        <v>1</v>
      </c>
      <c r="V668" t="s">
        <v>4073</v>
      </c>
    </row>
    <row r="669" spans="1:22" hidden="1" x14ac:dyDescent="0.45">
      <c r="A669" s="2" t="s">
        <v>309</v>
      </c>
      <c r="B669" s="11">
        <v>45308</v>
      </c>
      <c r="C669" s="2" t="s">
        <v>2014</v>
      </c>
      <c r="D669" s="2" t="s">
        <v>2019</v>
      </c>
      <c r="E669">
        <v>0</v>
      </c>
      <c r="F669">
        <v>0</v>
      </c>
      <c r="G669">
        <v>4260.88</v>
      </c>
      <c r="H669">
        <v>349392.16000000003</v>
      </c>
      <c r="I669" s="2" t="s">
        <v>2021</v>
      </c>
      <c r="J669" s="2" t="s">
        <v>2029</v>
      </c>
      <c r="K669" s="2" t="s">
        <v>2330</v>
      </c>
      <c r="L669" s="2" t="s">
        <v>4034</v>
      </c>
      <c r="M669">
        <v>4260.88</v>
      </c>
      <c r="N669" s="2" t="s">
        <v>4042</v>
      </c>
      <c r="O669">
        <v>82</v>
      </c>
      <c r="P669">
        <v>349392.16000000003</v>
      </c>
      <c r="Q669" t="b">
        <v>0</v>
      </c>
      <c r="R669" t="b">
        <v>0</v>
      </c>
      <c r="S669" t="b">
        <v>0</v>
      </c>
      <c r="T669" t="b">
        <v>1</v>
      </c>
      <c r="U669">
        <v>1</v>
      </c>
      <c r="V669" t="s">
        <v>4073</v>
      </c>
    </row>
    <row r="670" spans="1:22" hidden="1" x14ac:dyDescent="0.45">
      <c r="A670" s="2" t="s">
        <v>939</v>
      </c>
      <c r="B670" s="11">
        <v>45445</v>
      </c>
      <c r="C670" s="2" t="s">
        <v>2014</v>
      </c>
      <c r="D670" s="2" t="s">
        <v>2019</v>
      </c>
      <c r="E670">
        <v>0</v>
      </c>
      <c r="F670">
        <v>0</v>
      </c>
      <c r="G670">
        <v>2860.93</v>
      </c>
      <c r="H670">
        <v>174516.72999999998</v>
      </c>
      <c r="I670" s="2" t="s">
        <v>2022</v>
      </c>
      <c r="J670" s="2" t="s">
        <v>2030</v>
      </c>
      <c r="K670" s="2" t="s">
        <v>2960</v>
      </c>
      <c r="L670" s="2" t="s">
        <v>4035</v>
      </c>
      <c r="M670">
        <v>2860.93</v>
      </c>
      <c r="N670" s="2" t="s">
        <v>4042</v>
      </c>
      <c r="O670">
        <v>61</v>
      </c>
      <c r="P670">
        <v>174516.72999999998</v>
      </c>
      <c r="Q670" t="b">
        <v>1</v>
      </c>
      <c r="R670" t="b">
        <v>0</v>
      </c>
      <c r="S670" t="b">
        <v>0</v>
      </c>
      <c r="T670" t="b">
        <v>0</v>
      </c>
      <c r="U670">
        <v>1</v>
      </c>
      <c r="V670" t="s">
        <v>4073</v>
      </c>
    </row>
    <row r="671" spans="1:22" hidden="1" x14ac:dyDescent="0.45">
      <c r="A671" s="2" t="s">
        <v>1360</v>
      </c>
      <c r="B671" s="11">
        <v>45131</v>
      </c>
      <c r="C671" s="2" t="s">
        <v>2014</v>
      </c>
      <c r="D671" s="2" t="s">
        <v>2019</v>
      </c>
      <c r="E671">
        <v>0</v>
      </c>
      <c r="F671">
        <v>0</v>
      </c>
      <c r="G671">
        <v>3395.3</v>
      </c>
      <c r="H671">
        <v>349715.9</v>
      </c>
      <c r="I671" s="2" t="s">
        <v>2021</v>
      </c>
      <c r="J671" s="2" t="s">
        <v>2027</v>
      </c>
      <c r="K671" s="2" t="s">
        <v>3381</v>
      </c>
      <c r="L671" s="2" t="s">
        <v>4031</v>
      </c>
      <c r="M671">
        <v>3395.3</v>
      </c>
      <c r="N671" s="2" t="s">
        <v>4042</v>
      </c>
      <c r="O671">
        <v>103</v>
      </c>
      <c r="P671">
        <v>349715.9</v>
      </c>
      <c r="Q671" t="b">
        <v>0</v>
      </c>
      <c r="R671" t="b">
        <v>0</v>
      </c>
      <c r="S671" t="b">
        <v>0</v>
      </c>
      <c r="T671" t="b">
        <v>1</v>
      </c>
      <c r="U671">
        <v>1</v>
      </c>
      <c r="V671" t="s">
        <v>4073</v>
      </c>
    </row>
    <row r="672" spans="1:22" hidden="1" x14ac:dyDescent="0.45">
      <c r="A672" s="2" t="s">
        <v>209</v>
      </c>
      <c r="B672" s="11">
        <v>45549</v>
      </c>
      <c r="C672" s="2" t="s">
        <v>2010</v>
      </c>
      <c r="D672" s="2" t="s">
        <v>2015</v>
      </c>
      <c r="E672">
        <v>0</v>
      </c>
      <c r="F672">
        <v>0</v>
      </c>
      <c r="G672">
        <v>321.5</v>
      </c>
      <c r="H672">
        <v>18004</v>
      </c>
      <c r="I672" s="2" t="s">
        <v>2022</v>
      </c>
      <c r="J672" s="2" t="s">
        <v>2030</v>
      </c>
      <c r="K672" s="2" t="s">
        <v>2230</v>
      </c>
      <c r="L672" s="2" t="s">
        <v>4033</v>
      </c>
      <c r="M672">
        <v>321.5</v>
      </c>
      <c r="N672" s="2" t="s">
        <v>4042</v>
      </c>
      <c r="O672">
        <v>56</v>
      </c>
      <c r="P672">
        <v>18004</v>
      </c>
      <c r="Q672" t="b">
        <v>1</v>
      </c>
      <c r="R672" t="b">
        <v>0</v>
      </c>
      <c r="S672" t="b">
        <v>0</v>
      </c>
      <c r="T672" t="b">
        <v>0</v>
      </c>
      <c r="U672">
        <v>1</v>
      </c>
      <c r="V672" t="s">
        <v>4073</v>
      </c>
    </row>
    <row r="673" spans="1:22" hidden="1" x14ac:dyDescent="0.45">
      <c r="A673" s="2" t="s">
        <v>743</v>
      </c>
      <c r="B673" s="11">
        <v>45794</v>
      </c>
      <c r="C673" s="2" t="s">
        <v>2010</v>
      </c>
      <c r="D673" s="2" t="s">
        <v>2015</v>
      </c>
      <c r="E673">
        <v>0</v>
      </c>
      <c r="F673">
        <v>0</v>
      </c>
      <c r="G673">
        <v>1978.42</v>
      </c>
      <c r="H673">
        <v>174100.96000000002</v>
      </c>
      <c r="I673" s="2" t="s">
        <v>2023</v>
      </c>
      <c r="J673" s="2" t="s">
        <v>2030</v>
      </c>
      <c r="K673" s="2" t="s">
        <v>2764</v>
      </c>
      <c r="L673" s="2" t="s">
        <v>4032</v>
      </c>
      <c r="M673">
        <v>1978.42</v>
      </c>
      <c r="N673" s="2" t="s">
        <v>4042</v>
      </c>
      <c r="O673">
        <v>88</v>
      </c>
      <c r="P673">
        <v>174100.96000000002</v>
      </c>
      <c r="Q673" t="b">
        <v>1</v>
      </c>
      <c r="R673" t="b">
        <v>0</v>
      </c>
      <c r="S673" t="b">
        <v>0</v>
      </c>
      <c r="T673" t="b">
        <v>0</v>
      </c>
      <c r="U673">
        <v>1</v>
      </c>
      <c r="V673" t="s">
        <v>4073</v>
      </c>
    </row>
    <row r="674" spans="1:22" hidden="1" x14ac:dyDescent="0.45">
      <c r="A674" s="2" t="s">
        <v>830</v>
      </c>
      <c r="B674" s="11">
        <v>45067</v>
      </c>
      <c r="C674" s="2" t="s">
        <v>2014</v>
      </c>
      <c r="D674" s="2" t="s">
        <v>2019</v>
      </c>
      <c r="E674">
        <v>0</v>
      </c>
      <c r="F674">
        <v>0</v>
      </c>
      <c r="G674">
        <v>2994.63</v>
      </c>
      <c r="H674">
        <v>245559.66</v>
      </c>
      <c r="I674" s="2" t="s">
        <v>2022</v>
      </c>
      <c r="J674" s="2" t="s">
        <v>2029</v>
      </c>
      <c r="K674" s="2" t="s">
        <v>2851</v>
      </c>
      <c r="L674" s="2" t="s">
        <v>4034</v>
      </c>
      <c r="M674">
        <v>2994.63</v>
      </c>
      <c r="N674" s="2" t="s">
        <v>4042</v>
      </c>
      <c r="O674">
        <v>82</v>
      </c>
      <c r="P674">
        <v>245559.66</v>
      </c>
      <c r="Q674" t="b">
        <v>1</v>
      </c>
      <c r="R674" t="b">
        <v>0</v>
      </c>
      <c r="S674" t="b">
        <v>0</v>
      </c>
      <c r="T674" t="b">
        <v>0</v>
      </c>
      <c r="U674">
        <v>1</v>
      </c>
      <c r="V674" t="s">
        <v>4073</v>
      </c>
    </row>
    <row r="675" spans="1:22" hidden="1" x14ac:dyDescent="0.45">
      <c r="A675" s="2" t="s">
        <v>445</v>
      </c>
      <c r="B675" s="11">
        <v>44947</v>
      </c>
      <c r="C675" s="2" t="s">
        <v>2012</v>
      </c>
      <c r="D675" s="2" t="s">
        <v>2017</v>
      </c>
      <c r="E675">
        <v>1792.82</v>
      </c>
      <c r="F675">
        <v>184660.46</v>
      </c>
      <c r="G675">
        <v>0</v>
      </c>
      <c r="H675">
        <v>0</v>
      </c>
      <c r="I675" s="2" t="s">
        <v>2020</v>
      </c>
      <c r="J675" s="2" t="s">
        <v>2026</v>
      </c>
      <c r="K675" s="2" t="s">
        <v>2466</v>
      </c>
      <c r="L675" s="2" t="s">
        <v>4031</v>
      </c>
      <c r="M675">
        <v>-1792.82</v>
      </c>
      <c r="N675" s="2" t="s">
        <v>4044</v>
      </c>
      <c r="O675">
        <v>103</v>
      </c>
      <c r="P675">
        <v>-184660.46</v>
      </c>
      <c r="Q675" t="b">
        <v>1</v>
      </c>
      <c r="R675" t="b">
        <v>0</v>
      </c>
      <c r="S675" t="b">
        <v>0</v>
      </c>
      <c r="T675" t="b">
        <v>0</v>
      </c>
      <c r="U675">
        <v>1</v>
      </c>
      <c r="V675" t="s">
        <v>4073</v>
      </c>
    </row>
    <row r="676" spans="1:22" hidden="1" x14ac:dyDescent="0.45">
      <c r="A676" s="2" t="s">
        <v>1264</v>
      </c>
      <c r="B676" s="11">
        <v>45096</v>
      </c>
      <c r="C676" s="2" t="s">
        <v>2010</v>
      </c>
      <c r="D676" s="2" t="s">
        <v>2015</v>
      </c>
      <c r="E676">
        <v>0</v>
      </c>
      <c r="F676">
        <v>0</v>
      </c>
      <c r="G676">
        <v>3214.18</v>
      </c>
      <c r="H676">
        <v>331060.53999999998</v>
      </c>
      <c r="I676" s="2" t="s">
        <v>2024</v>
      </c>
      <c r="J676" s="2" t="s">
        <v>2030</v>
      </c>
      <c r="K676" s="2" t="s">
        <v>3285</v>
      </c>
      <c r="L676" s="2" t="s">
        <v>4031</v>
      </c>
      <c r="M676">
        <v>3214.18</v>
      </c>
      <c r="N676" s="2" t="s">
        <v>4042</v>
      </c>
      <c r="O676">
        <v>103</v>
      </c>
      <c r="P676">
        <v>331060.53999999998</v>
      </c>
      <c r="Q676" t="b">
        <v>0</v>
      </c>
      <c r="R676" t="b">
        <v>0</v>
      </c>
      <c r="S676" t="b">
        <v>0</v>
      </c>
      <c r="T676" t="b">
        <v>1</v>
      </c>
      <c r="U676">
        <v>1</v>
      </c>
      <c r="V676" t="s">
        <v>4073</v>
      </c>
    </row>
    <row r="677" spans="1:22" hidden="1" x14ac:dyDescent="0.45">
      <c r="A677" s="2" t="s">
        <v>648</v>
      </c>
      <c r="B677" s="11">
        <v>45121</v>
      </c>
      <c r="C677" s="2" t="s">
        <v>2010</v>
      </c>
      <c r="D677" s="2" t="s">
        <v>2015</v>
      </c>
      <c r="E677">
        <v>0</v>
      </c>
      <c r="F677">
        <v>0</v>
      </c>
      <c r="G677">
        <v>3107.95</v>
      </c>
      <c r="H677">
        <v>320118.84999999998</v>
      </c>
      <c r="I677" s="2" t="s">
        <v>2021</v>
      </c>
      <c r="J677" s="2" t="s">
        <v>2026</v>
      </c>
      <c r="K677" s="2" t="s">
        <v>2669</v>
      </c>
      <c r="L677" s="2" t="s">
        <v>4031</v>
      </c>
      <c r="M677">
        <v>3107.95</v>
      </c>
      <c r="N677" s="2" t="s">
        <v>4042</v>
      </c>
      <c r="O677">
        <v>103</v>
      </c>
      <c r="P677">
        <v>320118.84999999998</v>
      </c>
      <c r="Q677" t="b">
        <v>0</v>
      </c>
      <c r="R677" t="b">
        <v>0</v>
      </c>
      <c r="S677" t="b">
        <v>0</v>
      </c>
      <c r="T677" t="b">
        <v>1</v>
      </c>
      <c r="U677">
        <v>1</v>
      </c>
      <c r="V677" t="s">
        <v>4073</v>
      </c>
    </row>
    <row r="678" spans="1:22" hidden="1" x14ac:dyDescent="0.45">
      <c r="A678" s="2" t="s">
        <v>1821</v>
      </c>
      <c r="B678" s="11">
        <v>45423</v>
      </c>
      <c r="C678" s="2" t="s">
        <v>2011</v>
      </c>
      <c r="D678" s="2" t="s">
        <v>2016</v>
      </c>
      <c r="E678">
        <v>1790.29</v>
      </c>
      <c r="F678">
        <v>184399.87</v>
      </c>
      <c r="G678">
        <v>0</v>
      </c>
      <c r="H678">
        <v>0</v>
      </c>
      <c r="I678" s="2" t="s">
        <v>2025</v>
      </c>
      <c r="J678" s="2" t="s">
        <v>2027</v>
      </c>
      <c r="K678" s="2" t="s">
        <v>3842</v>
      </c>
      <c r="L678" s="2" t="s">
        <v>4031</v>
      </c>
      <c r="M678">
        <v>-1790.29</v>
      </c>
      <c r="N678" s="2" t="s">
        <v>2016</v>
      </c>
      <c r="O678">
        <v>103</v>
      </c>
      <c r="P678">
        <v>-184399.87</v>
      </c>
      <c r="Q678" t="b">
        <v>1</v>
      </c>
      <c r="R678" t="b">
        <v>0</v>
      </c>
      <c r="S678" t="b">
        <v>0</v>
      </c>
      <c r="T678" t="b">
        <v>0</v>
      </c>
      <c r="U678">
        <v>1</v>
      </c>
      <c r="V678" t="s">
        <v>4073</v>
      </c>
    </row>
    <row r="679" spans="1:22" hidden="1" x14ac:dyDescent="0.45">
      <c r="A679" s="2" t="s">
        <v>775</v>
      </c>
      <c r="B679" s="11">
        <v>45444</v>
      </c>
      <c r="C679" s="2" t="s">
        <v>2014</v>
      </c>
      <c r="D679" s="2" t="s">
        <v>2019</v>
      </c>
      <c r="E679">
        <v>0</v>
      </c>
      <c r="F679">
        <v>0</v>
      </c>
      <c r="G679">
        <v>3282.7</v>
      </c>
      <c r="H679">
        <v>183831.19999999998</v>
      </c>
      <c r="I679" s="2" t="s">
        <v>2024</v>
      </c>
      <c r="J679" s="2" t="s">
        <v>2026</v>
      </c>
      <c r="K679" s="2" t="s">
        <v>2796</v>
      </c>
      <c r="L679" s="2" t="s">
        <v>4033</v>
      </c>
      <c r="M679">
        <v>3282.7</v>
      </c>
      <c r="N679" s="2" t="s">
        <v>4042</v>
      </c>
      <c r="O679">
        <v>56</v>
      </c>
      <c r="P679">
        <v>183831.19999999998</v>
      </c>
      <c r="Q679" t="b">
        <v>1</v>
      </c>
      <c r="R679" t="b">
        <v>0</v>
      </c>
      <c r="S679" t="b">
        <v>0</v>
      </c>
      <c r="T679" t="b">
        <v>0</v>
      </c>
      <c r="U679">
        <v>1</v>
      </c>
      <c r="V679" t="s">
        <v>4073</v>
      </c>
    </row>
    <row r="680" spans="1:22" hidden="1" x14ac:dyDescent="0.45">
      <c r="A680" s="2" t="s">
        <v>1745</v>
      </c>
      <c r="B680" s="11">
        <v>45414</v>
      </c>
      <c r="C680" s="2" t="s">
        <v>2014</v>
      </c>
      <c r="D680" s="2" t="s">
        <v>2019</v>
      </c>
      <c r="E680">
        <v>0</v>
      </c>
      <c r="F680">
        <v>0</v>
      </c>
      <c r="G680">
        <v>4999.53</v>
      </c>
      <c r="H680">
        <v>304971.32999999996</v>
      </c>
      <c r="I680" s="2" t="s">
        <v>2024</v>
      </c>
      <c r="J680" s="2" t="s">
        <v>2026</v>
      </c>
      <c r="K680" s="2" t="s">
        <v>3766</v>
      </c>
      <c r="L680" s="2" t="s">
        <v>4035</v>
      </c>
      <c r="M680">
        <v>4999.53</v>
      </c>
      <c r="N680" s="2" t="s">
        <v>4042</v>
      </c>
      <c r="O680">
        <v>61</v>
      </c>
      <c r="P680">
        <v>304971.32999999996</v>
      </c>
      <c r="Q680" t="b">
        <v>0</v>
      </c>
      <c r="R680" t="b">
        <v>0</v>
      </c>
      <c r="S680" t="b">
        <v>0</v>
      </c>
      <c r="T680" t="b">
        <v>1</v>
      </c>
      <c r="U680">
        <v>1</v>
      </c>
      <c r="V680" t="s">
        <v>4073</v>
      </c>
    </row>
    <row r="681" spans="1:22" hidden="1" x14ac:dyDescent="0.45">
      <c r="A681" s="2" t="s">
        <v>365</v>
      </c>
      <c r="B681" s="11">
        <v>45801</v>
      </c>
      <c r="C681" s="2" t="s">
        <v>2014</v>
      </c>
      <c r="D681" s="2" t="s">
        <v>2019</v>
      </c>
      <c r="E681">
        <v>0</v>
      </c>
      <c r="F681">
        <v>0</v>
      </c>
      <c r="G681">
        <v>2239.96</v>
      </c>
      <c r="H681">
        <v>183676.72</v>
      </c>
      <c r="I681" s="2" t="s">
        <v>2024</v>
      </c>
      <c r="J681" s="2" t="s">
        <v>2026</v>
      </c>
      <c r="K681" s="2" t="s">
        <v>2386</v>
      </c>
      <c r="L681" s="2" t="s">
        <v>4034</v>
      </c>
      <c r="M681">
        <v>2239.96</v>
      </c>
      <c r="N681" s="2" t="s">
        <v>4042</v>
      </c>
      <c r="O681">
        <v>82</v>
      </c>
      <c r="P681">
        <v>183676.72</v>
      </c>
      <c r="Q681" t="b">
        <v>1</v>
      </c>
      <c r="R681" t="b">
        <v>0</v>
      </c>
      <c r="S681" t="b">
        <v>0</v>
      </c>
      <c r="T681" t="b">
        <v>0</v>
      </c>
      <c r="U681">
        <v>1</v>
      </c>
      <c r="V681" t="s">
        <v>4073</v>
      </c>
    </row>
    <row r="682" spans="1:22" hidden="1" x14ac:dyDescent="0.45">
      <c r="A682" s="2" t="s">
        <v>1512</v>
      </c>
      <c r="B682" s="11">
        <v>45238</v>
      </c>
      <c r="C682" s="2" t="s">
        <v>2014</v>
      </c>
      <c r="D682" s="2" t="s">
        <v>2019</v>
      </c>
      <c r="E682">
        <v>0</v>
      </c>
      <c r="F682">
        <v>0</v>
      </c>
      <c r="G682">
        <v>3468.1</v>
      </c>
      <c r="H682">
        <v>305192.8</v>
      </c>
      <c r="I682" s="2" t="s">
        <v>2023</v>
      </c>
      <c r="J682" s="2" t="s">
        <v>2027</v>
      </c>
      <c r="K682" s="2" t="s">
        <v>3533</v>
      </c>
      <c r="L682" s="2" t="s">
        <v>4032</v>
      </c>
      <c r="M682">
        <v>3468.1</v>
      </c>
      <c r="N682" s="2" t="s">
        <v>4042</v>
      </c>
      <c r="O682">
        <v>88</v>
      </c>
      <c r="P682">
        <v>305192.8</v>
      </c>
      <c r="Q682" t="b">
        <v>0</v>
      </c>
      <c r="R682" t="b">
        <v>0</v>
      </c>
      <c r="S682" t="b">
        <v>0</v>
      </c>
      <c r="T682" t="b">
        <v>1</v>
      </c>
      <c r="U682">
        <v>1</v>
      </c>
      <c r="V682" t="s">
        <v>4073</v>
      </c>
    </row>
    <row r="683" spans="1:22" hidden="1" x14ac:dyDescent="0.45">
      <c r="A683" s="2" t="s">
        <v>1098</v>
      </c>
      <c r="B683" s="11">
        <v>45314</v>
      </c>
      <c r="C683" s="2" t="s">
        <v>2014</v>
      </c>
      <c r="D683" s="2" t="s">
        <v>2019</v>
      </c>
      <c r="E683">
        <v>0</v>
      </c>
      <c r="F683">
        <v>0</v>
      </c>
      <c r="G683">
        <v>2967.77</v>
      </c>
      <c r="H683">
        <v>305680.31</v>
      </c>
      <c r="I683" s="2" t="s">
        <v>2025</v>
      </c>
      <c r="J683" s="2" t="s">
        <v>2026</v>
      </c>
      <c r="K683" s="2" t="s">
        <v>3119</v>
      </c>
      <c r="L683" s="2" t="s">
        <v>4031</v>
      </c>
      <c r="M683">
        <v>2967.77</v>
      </c>
      <c r="N683" s="2" t="s">
        <v>4042</v>
      </c>
      <c r="O683">
        <v>103</v>
      </c>
      <c r="P683">
        <v>305680.31</v>
      </c>
      <c r="Q683" t="b">
        <v>0</v>
      </c>
      <c r="R683" t="b">
        <v>0</v>
      </c>
      <c r="S683" t="b">
        <v>0</v>
      </c>
      <c r="T683" t="b">
        <v>1</v>
      </c>
      <c r="U683">
        <v>1</v>
      </c>
      <c r="V683" t="s">
        <v>4073</v>
      </c>
    </row>
    <row r="684" spans="1:22" hidden="1" x14ac:dyDescent="0.45">
      <c r="A684" s="2" t="s">
        <v>1673</v>
      </c>
      <c r="B684" s="11">
        <v>45578</v>
      </c>
      <c r="C684" s="2" t="s">
        <v>2014</v>
      </c>
      <c r="D684" s="2" t="s">
        <v>2019</v>
      </c>
      <c r="E684">
        <v>0</v>
      </c>
      <c r="F684">
        <v>0</v>
      </c>
      <c r="G684">
        <v>3260.6</v>
      </c>
      <c r="H684">
        <v>182593.6</v>
      </c>
      <c r="I684" s="2" t="s">
        <v>2022</v>
      </c>
      <c r="J684" s="2" t="s">
        <v>2028</v>
      </c>
      <c r="K684" s="2" t="s">
        <v>3694</v>
      </c>
      <c r="L684" s="2" t="s">
        <v>4033</v>
      </c>
      <c r="M684">
        <v>3260.6</v>
      </c>
      <c r="N684" s="2" t="s">
        <v>4042</v>
      </c>
      <c r="O684">
        <v>56</v>
      </c>
      <c r="P684">
        <v>182593.6</v>
      </c>
      <c r="Q684" t="b">
        <v>1</v>
      </c>
      <c r="R684" t="b">
        <v>0</v>
      </c>
      <c r="S684" t="b">
        <v>0</v>
      </c>
      <c r="T684" t="b">
        <v>0</v>
      </c>
      <c r="U684">
        <v>1</v>
      </c>
      <c r="V684" t="s">
        <v>4073</v>
      </c>
    </row>
    <row r="685" spans="1:22" hidden="1" x14ac:dyDescent="0.45">
      <c r="A685" s="2" t="s">
        <v>1258</v>
      </c>
      <c r="B685" s="11">
        <v>45411</v>
      </c>
      <c r="C685" s="2" t="s">
        <v>2011</v>
      </c>
      <c r="D685" s="2" t="s">
        <v>2016</v>
      </c>
      <c r="E685">
        <v>185.67</v>
      </c>
      <c r="F685">
        <v>16338.96</v>
      </c>
      <c r="G685">
        <v>0</v>
      </c>
      <c r="H685">
        <v>0</v>
      </c>
      <c r="I685" s="2" t="s">
        <v>2024</v>
      </c>
      <c r="J685" s="2" t="s">
        <v>2027</v>
      </c>
      <c r="K685" s="2" t="s">
        <v>3279</v>
      </c>
      <c r="L685" s="2" t="s">
        <v>4032</v>
      </c>
      <c r="M685">
        <v>-185.67</v>
      </c>
      <c r="N685" s="2" t="s">
        <v>2016</v>
      </c>
      <c r="O685">
        <v>88</v>
      </c>
      <c r="P685">
        <v>-16338.96</v>
      </c>
      <c r="Q685" t="b">
        <v>0</v>
      </c>
      <c r="R685" t="b">
        <v>1</v>
      </c>
      <c r="S685" t="b">
        <v>0</v>
      </c>
      <c r="T685" t="b">
        <v>0</v>
      </c>
      <c r="U685">
        <v>1</v>
      </c>
      <c r="V685" t="s">
        <v>4073</v>
      </c>
    </row>
    <row r="686" spans="1:22" hidden="1" x14ac:dyDescent="0.45">
      <c r="A686" s="2" t="s">
        <v>1583</v>
      </c>
      <c r="B686" s="11">
        <v>45018</v>
      </c>
      <c r="C686" s="2" t="s">
        <v>2010</v>
      </c>
      <c r="D686" s="2" t="s">
        <v>2015</v>
      </c>
      <c r="E686">
        <v>0</v>
      </c>
      <c r="F686">
        <v>0</v>
      </c>
      <c r="G686">
        <v>3235.61</v>
      </c>
      <c r="H686">
        <v>181194.16</v>
      </c>
      <c r="I686" s="2" t="s">
        <v>2022</v>
      </c>
      <c r="J686" s="2" t="s">
        <v>2026</v>
      </c>
      <c r="K686" s="2" t="s">
        <v>3604</v>
      </c>
      <c r="L686" s="2" t="s">
        <v>4033</v>
      </c>
      <c r="M686">
        <v>3235.61</v>
      </c>
      <c r="N686" s="2" t="s">
        <v>4042</v>
      </c>
      <c r="O686">
        <v>56</v>
      </c>
      <c r="P686">
        <v>181194.16</v>
      </c>
      <c r="Q686" t="b">
        <v>1</v>
      </c>
      <c r="R686" t="b">
        <v>0</v>
      </c>
      <c r="S686" t="b">
        <v>0</v>
      </c>
      <c r="T686" t="b">
        <v>0</v>
      </c>
      <c r="U686">
        <v>1</v>
      </c>
      <c r="V686" t="s">
        <v>4073</v>
      </c>
    </row>
    <row r="687" spans="1:22" hidden="1" x14ac:dyDescent="0.45">
      <c r="A687" s="2" t="s">
        <v>1823</v>
      </c>
      <c r="B687" s="11">
        <v>45298</v>
      </c>
      <c r="C687" s="2" t="s">
        <v>2013</v>
      </c>
      <c r="D687" s="2" t="s">
        <v>2018</v>
      </c>
      <c r="E687">
        <v>200.91</v>
      </c>
      <c r="F687">
        <v>16474.62</v>
      </c>
      <c r="G687">
        <v>0</v>
      </c>
      <c r="H687">
        <v>0</v>
      </c>
      <c r="I687" s="2" t="s">
        <v>2024</v>
      </c>
      <c r="J687" s="2" t="s">
        <v>2029</v>
      </c>
      <c r="K687" s="2" t="s">
        <v>3844</v>
      </c>
      <c r="L687" s="2" t="s">
        <v>4034</v>
      </c>
      <c r="M687">
        <v>-200.91</v>
      </c>
      <c r="N687" s="2" t="s">
        <v>4044</v>
      </c>
      <c r="O687">
        <v>82</v>
      </c>
      <c r="P687">
        <v>-16474.62</v>
      </c>
      <c r="Q687" t="b">
        <v>1</v>
      </c>
      <c r="R687" t="b">
        <v>0</v>
      </c>
      <c r="S687" t="b">
        <v>0</v>
      </c>
      <c r="T687" t="b">
        <v>0</v>
      </c>
      <c r="U687">
        <v>1</v>
      </c>
      <c r="V687" t="s">
        <v>4073</v>
      </c>
    </row>
    <row r="688" spans="1:22" hidden="1" x14ac:dyDescent="0.45">
      <c r="A688" s="2" t="s">
        <v>1251</v>
      </c>
      <c r="B688" s="11">
        <v>45031</v>
      </c>
      <c r="C688" s="2" t="s">
        <v>2013</v>
      </c>
      <c r="D688" s="2" t="s">
        <v>2018</v>
      </c>
      <c r="E688">
        <v>1757.53</v>
      </c>
      <c r="F688">
        <v>181025.59</v>
      </c>
      <c r="G688">
        <v>0</v>
      </c>
      <c r="H688">
        <v>0</v>
      </c>
      <c r="I688" s="2" t="s">
        <v>2025</v>
      </c>
      <c r="J688" s="2" t="s">
        <v>2030</v>
      </c>
      <c r="K688" s="2" t="s">
        <v>3272</v>
      </c>
      <c r="L688" s="2" t="s">
        <v>4031</v>
      </c>
      <c r="M688">
        <v>-1757.53</v>
      </c>
      <c r="N688" s="2" t="s">
        <v>4044</v>
      </c>
      <c r="O688">
        <v>103</v>
      </c>
      <c r="P688">
        <v>-181025.59</v>
      </c>
      <c r="Q688" t="b">
        <v>1</v>
      </c>
      <c r="R688" t="b">
        <v>0</v>
      </c>
      <c r="S688" t="b">
        <v>0</v>
      </c>
      <c r="T688" t="b">
        <v>0</v>
      </c>
      <c r="U688">
        <v>1</v>
      </c>
      <c r="V688" t="s">
        <v>4073</v>
      </c>
    </row>
    <row r="689" spans="1:22" hidden="1" x14ac:dyDescent="0.45">
      <c r="A689" s="2" t="s">
        <v>1570</v>
      </c>
      <c r="B689" s="11">
        <v>45462</v>
      </c>
      <c r="C689" s="2" t="s">
        <v>2010</v>
      </c>
      <c r="D689" s="2" t="s">
        <v>2015</v>
      </c>
      <c r="E689">
        <v>0</v>
      </c>
      <c r="F689">
        <v>0</v>
      </c>
      <c r="G689">
        <v>3740.72</v>
      </c>
      <c r="H689">
        <v>306739.03999999998</v>
      </c>
      <c r="I689" s="2" t="s">
        <v>2023</v>
      </c>
      <c r="J689" s="2" t="s">
        <v>2027</v>
      </c>
      <c r="K689" s="2" t="s">
        <v>3591</v>
      </c>
      <c r="L689" s="2" t="s">
        <v>4034</v>
      </c>
      <c r="M689">
        <v>3740.72</v>
      </c>
      <c r="N689" s="2" t="s">
        <v>4042</v>
      </c>
      <c r="O689">
        <v>82</v>
      </c>
      <c r="P689">
        <v>306739.03999999998</v>
      </c>
      <c r="Q689" t="b">
        <v>0</v>
      </c>
      <c r="R689" t="b">
        <v>0</v>
      </c>
      <c r="S689" t="b">
        <v>0</v>
      </c>
      <c r="T689" t="b">
        <v>1</v>
      </c>
      <c r="U689">
        <v>1</v>
      </c>
      <c r="V689" t="s">
        <v>4073</v>
      </c>
    </row>
    <row r="690" spans="1:22" hidden="1" x14ac:dyDescent="0.45">
      <c r="A690" s="2" t="s">
        <v>891</v>
      </c>
      <c r="B690" s="11">
        <v>45754</v>
      </c>
      <c r="C690" s="2" t="s">
        <v>2010</v>
      </c>
      <c r="D690" s="2" t="s">
        <v>2015</v>
      </c>
      <c r="E690">
        <v>0</v>
      </c>
      <c r="F690">
        <v>0</v>
      </c>
      <c r="G690">
        <v>2978.56</v>
      </c>
      <c r="H690">
        <v>306791.67999999999</v>
      </c>
      <c r="I690" s="2" t="s">
        <v>2025</v>
      </c>
      <c r="J690" s="2" t="s">
        <v>2029</v>
      </c>
      <c r="K690" s="2" t="s">
        <v>2912</v>
      </c>
      <c r="L690" s="2" t="s">
        <v>4031</v>
      </c>
      <c r="M690">
        <v>2978.56</v>
      </c>
      <c r="N690" s="2" t="s">
        <v>4042</v>
      </c>
      <c r="O690">
        <v>103</v>
      </c>
      <c r="P690">
        <v>306791.67999999999</v>
      </c>
      <c r="Q690" t="b">
        <v>0</v>
      </c>
      <c r="R690" t="b">
        <v>0</v>
      </c>
      <c r="S690" t="b">
        <v>0</v>
      </c>
      <c r="T690" t="b">
        <v>1</v>
      </c>
      <c r="U690">
        <v>1</v>
      </c>
      <c r="V690" t="s">
        <v>4073</v>
      </c>
    </row>
    <row r="691" spans="1:22" hidden="1" x14ac:dyDescent="0.45">
      <c r="A691" s="2" t="s">
        <v>1314</v>
      </c>
      <c r="B691" s="11">
        <v>45310</v>
      </c>
      <c r="C691" s="2" t="s">
        <v>2014</v>
      </c>
      <c r="D691" s="2" t="s">
        <v>2019</v>
      </c>
      <c r="E691">
        <v>0</v>
      </c>
      <c r="F691">
        <v>0</v>
      </c>
      <c r="G691">
        <v>2988.59</v>
      </c>
      <c r="H691">
        <v>307824.77</v>
      </c>
      <c r="I691" s="2" t="s">
        <v>2022</v>
      </c>
      <c r="J691" s="2" t="s">
        <v>2027</v>
      </c>
      <c r="K691" s="2" t="s">
        <v>3335</v>
      </c>
      <c r="L691" s="2" t="s">
        <v>4031</v>
      </c>
      <c r="M691">
        <v>2988.59</v>
      </c>
      <c r="N691" s="2" t="s">
        <v>4042</v>
      </c>
      <c r="O691">
        <v>103</v>
      </c>
      <c r="P691">
        <v>307824.77</v>
      </c>
      <c r="Q691" t="b">
        <v>0</v>
      </c>
      <c r="R691" t="b">
        <v>0</v>
      </c>
      <c r="S691" t="b">
        <v>0</v>
      </c>
      <c r="T691" t="b">
        <v>1</v>
      </c>
      <c r="U691">
        <v>1</v>
      </c>
      <c r="V691" t="s">
        <v>4073</v>
      </c>
    </row>
    <row r="692" spans="1:22" hidden="1" x14ac:dyDescent="0.45">
      <c r="A692" s="2" t="s">
        <v>1229</v>
      </c>
      <c r="B692" s="11">
        <v>45452</v>
      </c>
      <c r="C692" s="2" t="s">
        <v>2012</v>
      </c>
      <c r="D692" s="2" t="s">
        <v>2017</v>
      </c>
      <c r="E692">
        <v>187.59</v>
      </c>
      <c r="F692">
        <v>16507.920000000002</v>
      </c>
      <c r="G692">
        <v>0</v>
      </c>
      <c r="H692">
        <v>0</v>
      </c>
      <c r="I692" s="2" t="s">
        <v>2022</v>
      </c>
      <c r="J692" s="2" t="s">
        <v>2030</v>
      </c>
      <c r="K692" s="2" t="s">
        <v>3250</v>
      </c>
      <c r="L692" s="2" t="s">
        <v>4032</v>
      </c>
      <c r="M692">
        <v>-187.59</v>
      </c>
      <c r="N692" s="2" t="s">
        <v>4044</v>
      </c>
      <c r="O692">
        <v>88</v>
      </c>
      <c r="P692">
        <v>-16507.920000000002</v>
      </c>
      <c r="Q692" t="b">
        <v>1</v>
      </c>
      <c r="R692" t="b">
        <v>0</v>
      </c>
      <c r="S692" t="b">
        <v>0</v>
      </c>
      <c r="T692" t="b">
        <v>0</v>
      </c>
      <c r="U692">
        <v>1</v>
      </c>
      <c r="V692" t="s">
        <v>4073</v>
      </c>
    </row>
    <row r="693" spans="1:22" hidden="1" x14ac:dyDescent="0.45">
      <c r="A693" s="2" t="s">
        <v>422</v>
      </c>
      <c r="B693" s="11">
        <v>45308</v>
      </c>
      <c r="C693" s="2" t="s">
        <v>2014</v>
      </c>
      <c r="D693" s="2" t="s">
        <v>2019</v>
      </c>
      <c r="E693">
        <v>0</v>
      </c>
      <c r="F693">
        <v>0</v>
      </c>
      <c r="G693">
        <v>3002.11</v>
      </c>
      <c r="H693">
        <v>309217.33</v>
      </c>
      <c r="I693" s="2" t="s">
        <v>2023</v>
      </c>
      <c r="J693" s="2" t="s">
        <v>2028</v>
      </c>
      <c r="K693" s="2" t="s">
        <v>2443</v>
      </c>
      <c r="L693" s="2" t="s">
        <v>4031</v>
      </c>
      <c r="M693">
        <v>3002.11</v>
      </c>
      <c r="N693" s="2" t="s">
        <v>4042</v>
      </c>
      <c r="O693">
        <v>103</v>
      </c>
      <c r="P693">
        <v>309217.33</v>
      </c>
      <c r="Q693" t="b">
        <v>0</v>
      </c>
      <c r="R693" t="b">
        <v>0</v>
      </c>
      <c r="S693" t="b">
        <v>0</v>
      </c>
      <c r="T693" t="b">
        <v>1</v>
      </c>
      <c r="U693">
        <v>1</v>
      </c>
      <c r="V693" t="s">
        <v>4073</v>
      </c>
    </row>
    <row r="694" spans="1:22" hidden="1" x14ac:dyDescent="0.45">
      <c r="A694" s="2" t="s">
        <v>1449</v>
      </c>
      <c r="B694" s="11">
        <v>45829</v>
      </c>
      <c r="C694" s="2" t="s">
        <v>2013</v>
      </c>
      <c r="D694" s="2" t="s">
        <v>2018</v>
      </c>
      <c r="E694">
        <v>189.23</v>
      </c>
      <c r="F694">
        <v>16652.239999999998</v>
      </c>
      <c r="G694">
        <v>0</v>
      </c>
      <c r="H694">
        <v>0</v>
      </c>
      <c r="I694" s="2" t="s">
        <v>2021</v>
      </c>
      <c r="J694" s="2" t="s">
        <v>2030</v>
      </c>
      <c r="K694" s="2" t="s">
        <v>3470</v>
      </c>
      <c r="L694" s="2" t="s">
        <v>4032</v>
      </c>
      <c r="M694">
        <v>-189.23</v>
      </c>
      <c r="N694" s="2" t="s">
        <v>4044</v>
      </c>
      <c r="O694">
        <v>88</v>
      </c>
      <c r="P694">
        <v>-16652.239999999998</v>
      </c>
      <c r="Q694" t="b">
        <v>1</v>
      </c>
      <c r="R694" t="b">
        <v>0</v>
      </c>
      <c r="S694" t="b">
        <v>0</v>
      </c>
      <c r="T694" t="b">
        <v>0</v>
      </c>
      <c r="U694">
        <v>1</v>
      </c>
      <c r="V694" t="s">
        <v>4073</v>
      </c>
    </row>
    <row r="695" spans="1:22" hidden="1" x14ac:dyDescent="0.45">
      <c r="A695" s="2" t="s">
        <v>634</v>
      </c>
      <c r="B695" s="11">
        <v>44943</v>
      </c>
      <c r="C695" s="2" t="s">
        <v>2010</v>
      </c>
      <c r="D695" s="2" t="s">
        <v>2015</v>
      </c>
      <c r="E695">
        <v>0</v>
      </c>
      <c r="F695">
        <v>0</v>
      </c>
      <c r="G695">
        <v>3567.5</v>
      </c>
      <c r="H695">
        <v>313940</v>
      </c>
      <c r="I695" s="2" t="s">
        <v>2024</v>
      </c>
      <c r="J695" s="2" t="s">
        <v>2029</v>
      </c>
      <c r="K695" s="2" t="s">
        <v>2655</v>
      </c>
      <c r="L695" s="2" t="s">
        <v>4032</v>
      </c>
      <c r="M695">
        <v>3567.5</v>
      </c>
      <c r="N695" s="2" t="s">
        <v>4042</v>
      </c>
      <c r="O695">
        <v>88</v>
      </c>
      <c r="P695">
        <v>313940</v>
      </c>
      <c r="Q695" t="b">
        <v>0</v>
      </c>
      <c r="R695" t="b">
        <v>0</v>
      </c>
      <c r="S695" t="b">
        <v>0</v>
      </c>
      <c r="T695" t="b">
        <v>1</v>
      </c>
      <c r="U695">
        <v>1</v>
      </c>
      <c r="V695" t="s">
        <v>4073</v>
      </c>
    </row>
    <row r="696" spans="1:22" hidden="1" x14ac:dyDescent="0.45">
      <c r="A696" s="2" t="s">
        <v>164</v>
      </c>
      <c r="B696" s="11">
        <v>45822</v>
      </c>
      <c r="C696" s="2" t="s">
        <v>2010</v>
      </c>
      <c r="D696" s="2" t="s">
        <v>2015</v>
      </c>
      <c r="E696">
        <v>0</v>
      </c>
      <c r="F696">
        <v>0</v>
      </c>
      <c r="G696">
        <v>1736.2</v>
      </c>
      <c r="H696">
        <v>178828.6</v>
      </c>
      <c r="I696" s="2" t="s">
        <v>2025</v>
      </c>
      <c r="J696" s="2" t="s">
        <v>2028</v>
      </c>
      <c r="K696" s="2" t="s">
        <v>2185</v>
      </c>
      <c r="L696" s="2" t="s">
        <v>4031</v>
      </c>
      <c r="M696">
        <v>1736.2</v>
      </c>
      <c r="N696" s="2" t="s">
        <v>4042</v>
      </c>
      <c r="O696">
        <v>103</v>
      </c>
      <c r="P696">
        <v>178828.6</v>
      </c>
      <c r="Q696" t="b">
        <v>1</v>
      </c>
      <c r="R696" t="b">
        <v>0</v>
      </c>
      <c r="S696" t="b">
        <v>0</v>
      </c>
      <c r="T696" t="b">
        <v>0</v>
      </c>
      <c r="U696">
        <v>1</v>
      </c>
      <c r="V696" t="s">
        <v>4073</v>
      </c>
    </row>
    <row r="697" spans="1:22" hidden="1" x14ac:dyDescent="0.45">
      <c r="A697" s="2" t="s">
        <v>98</v>
      </c>
      <c r="B697" s="11">
        <v>45275</v>
      </c>
      <c r="C697" s="2" t="s">
        <v>2014</v>
      </c>
      <c r="D697" s="2" t="s">
        <v>2019</v>
      </c>
      <c r="E697">
        <v>0</v>
      </c>
      <c r="F697">
        <v>0</v>
      </c>
      <c r="G697">
        <v>3845.76</v>
      </c>
      <c r="H697">
        <v>315352.32000000001</v>
      </c>
      <c r="I697" s="2" t="s">
        <v>2020</v>
      </c>
      <c r="J697" s="2" t="s">
        <v>2026</v>
      </c>
      <c r="K697" s="2" t="s">
        <v>2119</v>
      </c>
      <c r="L697" s="2" t="s">
        <v>4034</v>
      </c>
      <c r="M697">
        <v>3845.76</v>
      </c>
      <c r="N697" s="2" t="s">
        <v>4042</v>
      </c>
      <c r="O697">
        <v>82</v>
      </c>
      <c r="P697">
        <v>315352.32000000001</v>
      </c>
      <c r="Q697" t="b">
        <v>0</v>
      </c>
      <c r="R697" t="b">
        <v>0</v>
      </c>
      <c r="S697" t="b">
        <v>0</v>
      </c>
      <c r="T697" t="b">
        <v>1</v>
      </c>
      <c r="U697">
        <v>1</v>
      </c>
      <c r="V697" t="s">
        <v>4073</v>
      </c>
    </row>
    <row r="698" spans="1:22" hidden="1" x14ac:dyDescent="0.45">
      <c r="A698" s="2" t="s">
        <v>1187</v>
      </c>
      <c r="B698" s="11">
        <v>45447</v>
      </c>
      <c r="C698" s="2" t="s">
        <v>2010</v>
      </c>
      <c r="D698" s="2" t="s">
        <v>2015</v>
      </c>
      <c r="E698">
        <v>0</v>
      </c>
      <c r="F698">
        <v>0</v>
      </c>
      <c r="G698">
        <v>3902.53</v>
      </c>
      <c r="H698">
        <v>320007.46000000002</v>
      </c>
      <c r="I698" s="2" t="s">
        <v>2022</v>
      </c>
      <c r="J698" s="2" t="s">
        <v>2026</v>
      </c>
      <c r="K698" s="2" t="s">
        <v>3208</v>
      </c>
      <c r="L698" s="2" t="s">
        <v>4034</v>
      </c>
      <c r="M698">
        <v>3902.53</v>
      </c>
      <c r="N698" s="2" t="s">
        <v>4042</v>
      </c>
      <c r="O698">
        <v>82</v>
      </c>
      <c r="P698">
        <v>320007.46000000002</v>
      </c>
      <c r="Q698" t="b">
        <v>0</v>
      </c>
      <c r="R698" t="b">
        <v>0</v>
      </c>
      <c r="S698" t="b">
        <v>0</v>
      </c>
      <c r="T698" t="b">
        <v>1</v>
      </c>
      <c r="U698">
        <v>1</v>
      </c>
      <c r="V698" t="s">
        <v>4073</v>
      </c>
    </row>
    <row r="699" spans="1:22" hidden="1" x14ac:dyDescent="0.45">
      <c r="A699" s="2" t="s">
        <v>801</v>
      </c>
      <c r="B699" s="11">
        <v>45385</v>
      </c>
      <c r="C699" s="2" t="s">
        <v>2014</v>
      </c>
      <c r="D699" s="2" t="s">
        <v>2019</v>
      </c>
      <c r="E699">
        <v>0</v>
      </c>
      <c r="F699">
        <v>0</v>
      </c>
      <c r="G699">
        <v>4030.96</v>
      </c>
      <c r="H699">
        <v>330538.72000000003</v>
      </c>
      <c r="I699" s="2" t="s">
        <v>2025</v>
      </c>
      <c r="J699" s="2" t="s">
        <v>2027</v>
      </c>
      <c r="K699" s="2" t="s">
        <v>2822</v>
      </c>
      <c r="L699" s="2" t="s">
        <v>4034</v>
      </c>
      <c r="M699">
        <v>4030.96</v>
      </c>
      <c r="N699" s="2" t="s">
        <v>4042</v>
      </c>
      <c r="O699">
        <v>82</v>
      </c>
      <c r="P699">
        <v>330538.72000000003</v>
      </c>
      <c r="Q699" t="b">
        <v>0</v>
      </c>
      <c r="R699" t="b">
        <v>0</v>
      </c>
      <c r="S699" t="b">
        <v>0</v>
      </c>
      <c r="T699" t="b">
        <v>1</v>
      </c>
      <c r="U699">
        <v>1</v>
      </c>
      <c r="V699" t="s">
        <v>4073</v>
      </c>
    </row>
    <row r="700" spans="1:22" hidden="1" x14ac:dyDescent="0.45">
      <c r="A700" s="2" t="s">
        <v>266</v>
      </c>
      <c r="B700" s="11">
        <v>45765</v>
      </c>
      <c r="C700" s="2" t="s">
        <v>2010</v>
      </c>
      <c r="D700" s="2" t="s">
        <v>2015</v>
      </c>
      <c r="E700">
        <v>0</v>
      </c>
      <c r="F700">
        <v>0</v>
      </c>
      <c r="G700">
        <v>2725.09</v>
      </c>
      <c r="H700">
        <v>280684.27</v>
      </c>
      <c r="I700" s="2" t="s">
        <v>2024</v>
      </c>
      <c r="J700" s="2" t="s">
        <v>2026</v>
      </c>
      <c r="K700" s="2" t="s">
        <v>2287</v>
      </c>
      <c r="L700" s="2" t="s">
        <v>4031</v>
      </c>
      <c r="M700">
        <v>2725.09</v>
      </c>
      <c r="N700" s="2" t="s">
        <v>4042</v>
      </c>
      <c r="O700">
        <v>103</v>
      </c>
      <c r="P700">
        <v>280684.27</v>
      </c>
      <c r="Q700" t="b">
        <v>0</v>
      </c>
      <c r="R700" t="b">
        <v>0</v>
      </c>
      <c r="S700" t="b">
        <v>0</v>
      </c>
      <c r="T700" t="b">
        <v>1</v>
      </c>
      <c r="U700">
        <v>1</v>
      </c>
      <c r="V700" t="s">
        <v>4073</v>
      </c>
    </row>
    <row r="701" spans="1:22" hidden="1" x14ac:dyDescent="0.45">
      <c r="A701" s="2" t="s">
        <v>1739</v>
      </c>
      <c r="B701" s="11">
        <v>45277</v>
      </c>
      <c r="C701" s="2" t="s">
        <v>2013</v>
      </c>
      <c r="D701" s="2" t="s">
        <v>2018</v>
      </c>
      <c r="E701">
        <v>235.69</v>
      </c>
      <c r="F701">
        <v>13198.64</v>
      </c>
      <c r="G701">
        <v>0</v>
      </c>
      <c r="H701">
        <v>0</v>
      </c>
      <c r="I701" s="2" t="s">
        <v>2025</v>
      </c>
      <c r="J701" s="2" t="s">
        <v>2027</v>
      </c>
      <c r="K701" s="2" t="s">
        <v>3760</v>
      </c>
      <c r="L701" s="2" t="s">
        <v>4033</v>
      </c>
      <c r="M701">
        <v>-235.69</v>
      </c>
      <c r="N701" s="2" t="s">
        <v>4044</v>
      </c>
      <c r="O701">
        <v>56</v>
      </c>
      <c r="P701">
        <v>-13198.64</v>
      </c>
      <c r="Q701" t="b">
        <v>1</v>
      </c>
      <c r="R701" t="b">
        <v>0</v>
      </c>
      <c r="S701" t="b">
        <v>0</v>
      </c>
      <c r="T701" t="b">
        <v>0</v>
      </c>
      <c r="U701">
        <v>1</v>
      </c>
      <c r="V701" t="s">
        <v>4073</v>
      </c>
    </row>
    <row r="702" spans="1:22" hidden="1" x14ac:dyDescent="0.45">
      <c r="A702" s="2" t="s">
        <v>535</v>
      </c>
      <c r="B702" s="11">
        <v>45366</v>
      </c>
      <c r="C702" s="2" t="s">
        <v>2010</v>
      </c>
      <c r="D702" s="2" t="s">
        <v>2015</v>
      </c>
      <c r="E702">
        <v>0</v>
      </c>
      <c r="F702">
        <v>0</v>
      </c>
      <c r="G702">
        <v>3155.19</v>
      </c>
      <c r="H702">
        <v>277656.72000000003</v>
      </c>
      <c r="I702" s="2" t="s">
        <v>2024</v>
      </c>
      <c r="J702" s="2" t="s">
        <v>2026</v>
      </c>
      <c r="K702" s="2" t="s">
        <v>2556</v>
      </c>
      <c r="L702" s="2" t="s">
        <v>4032</v>
      </c>
      <c r="M702">
        <v>3155.19</v>
      </c>
      <c r="N702" s="2" t="s">
        <v>4042</v>
      </c>
      <c r="O702">
        <v>88</v>
      </c>
      <c r="P702">
        <v>277656.72000000003</v>
      </c>
      <c r="Q702" t="b">
        <v>0</v>
      </c>
      <c r="R702" t="b">
        <v>0</v>
      </c>
      <c r="S702" t="b">
        <v>0</v>
      </c>
      <c r="T702" t="b">
        <v>1</v>
      </c>
      <c r="U702">
        <v>1</v>
      </c>
      <c r="V702" t="s">
        <v>4073</v>
      </c>
    </row>
    <row r="703" spans="1:22" hidden="1" x14ac:dyDescent="0.45">
      <c r="A703" s="2" t="s">
        <v>1056</v>
      </c>
      <c r="B703" s="11">
        <v>45108</v>
      </c>
      <c r="C703" s="2" t="s">
        <v>2011</v>
      </c>
      <c r="D703" s="2" t="s">
        <v>2016</v>
      </c>
      <c r="E703">
        <v>163.47999999999999</v>
      </c>
      <c r="F703">
        <v>9154.8799999999992</v>
      </c>
      <c r="G703">
        <v>0</v>
      </c>
      <c r="H703">
        <v>0</v>
      </c>
      <c r="I703" s="2" t="s">
        <v>2025</v>
      </c>
      <c r="J703" s="2" t="s">
        <v>2029</v>
      </c>
      <c r="K703" s="2" t="s">
        <v>3077</v>
      </c>
      <c r="L703" s="2" t="s">
        <v>4033</v>
      </c>
      <c r="M703">
        <v>-163.47999999999999</v>
      </c>
      <c r="N703" s="2" t="s">
        <v>2016</v>
      </c>
      <c r="O703">
        <v>56</v>
      </c>
      <c r="P703">
        <v>-9154.8799999999992</v>
      </c>
      <c r="Q703" t="b">
        <v>1</v>
      </c>
      <c r="R703" t="b">
        <v>0</v>
      </c>
      <c r="S703" t="b">
        <v>0</v>
      </c>
      <c r="T703" t="b">
        <v>0</v>
      </c>
      <c r="U703">
        <v>1</v>
      </c>
      <c r="V703" t="s">
        <v>4073</v>
      </c>
    </row>
    <row r="704" spans="1:22" hidden="1" x14ac:dyDescent="0.45">
      <c r="A704" s="2" t="s">
        <v>240</v>
      </c>
      <c r="B704" s="11">
        <v>45704</v>
      </c>
      <c r="C704" s="2" t="s">
        <v>2010</v>
      </c>
      <c r="D704" s="2" t="s">
        <v>2015</v>
      </c>
      <c r="E704">
        <v>0</v>
      </c>
      <c r="F704">
        <v>0</v>
      </c>
      <c r="G704">
        <v>2862.93</v>
      </c>
      <c r="H704">
        <v>251937.84</v>
      </c>
      <c r="I704" s="2" t="s">
        <v>2021</v>
      </c>
      <c r="J704" s="2" t="s">
        <v>2026</v>
      </c>
      <c r="K704" s="2" t="s">
        <v>2261</v>
      </c>
      <c r="L704" s="2" t="s">
        <v>4032</v>
      </c>
      <c r="M704">
        <v>2862.93</v>
      </c>
      <c r="N704" s="2" t="s">
        <v>4042</v>
      </c>
      <c r="O704">
        <v>88</v>
      </c>
      <c r="P704">
        <v>251937.84</v>
      </c>
      <c r="Q704" t="b">
        <v>1</v>
      </c>
      <c r="R704" t="b">
        <v>0</v>
      </c>
      <c r="S704" t="b">
        <v>0</v>
      </c>
      <c r="T704" t="b">
        <v>0</v>
      </c>
      <c r="U704">
        <v>1</v>
      </c>
      <c r="V704" t="s">
        <v>4073</v>
      </c>
    </row>
    <row r="705" spans="1:22" hidden="1" x14ac:dyDescent="0.45">
      <c r="A705" s="2" t="s">
        <v>1913</v>
      </c>
      <c r="B705" s="11">
        <v>45753</v>
      </c>
      <c r="C705" s="2" t="s">
        <v>2010</v>
      </c>
      <c r="D705" s="2" t="s">
        <v>2015</v>
      </c>
      <c r="E705">
        <v>0</v>
      </c>
      <c r="F705">
        <v>0</v>
      </c>
      <c r="G705">
        <v>2599.65</v>
      </c>
      <c r="H705">
        <v>228769.2</v>
      </c>
      <c r="I705" s="2" t="s">
        <v>2021</v>
      </c>
      <c r="J705" s="2" t="s">
        <v>2027</v>
      </c>
      <c r="K705" s="2" t="s">
        <v>3934</v>
      </c>
      <c r="L705" s="2" t="s">
        <v>4032</v>
      </c>
      <c r="M705">
        <v>2599.65</v>
      </c>
      <c r="N705" s="2" t="s">
        <v>4042</v>
      </c>
      <c r="O705">
        <v>88</v>
      </c>
      <c r="P705">
        <v>228769.2</v>
      </c>
      <c r="Q705" t="b">
        <v>1</v>
      </c>
      <c r="R705" t="b">
        <v>0</v>
      </c>
      <c r="S705" t="b">
        <v>0</v>
      </c>
      <c r="T705" t="b">
        <v>0</v>
      </c>
      <c r="U705">
        <v>1</v>
      </c>
      <c r="V705" t="s">
        <v>4073</v>
      </c>
    </row>
    <row r="706" spans="1:22" hidden="1" x14ac:dyDescent="0.45">
      <c r="A706" s="2" t="s">
        <v>1611</v>
      </c>
      <c r="B706" s="11">
        <v>45081</v>
      </c>
      <c r="C706" s="2" t="s">
        <v>2010</v>
      </c>
      <c r="D706" s="2" t="s">
        <v>2015</v>
      </c>
      <c r="E706">
        <v>0</v>
      </c>
      <c r="F706">
        <v>0</v>
      </c>
      <c r="G706">
        <v>4084.9</v>
      </c>
      <c r="H706">
        <v>228754.4</v>
      </c>
      <c r="I706" s="2" t="s">
        <v>2024</v>
      </c>
      <c r="J706" s="2" t="s">
        <v>2028</v>
      </c>
      <c r="K706" s="2" t="s">
        <v>3632</v>
      </c>
      <c r="L706" s="2" t="s">
        <v>4033</v>
      </c>
      <c r="M706">
        <v>4084.9</v>
      </c>
      <c r="N706" s="2" t="s">
        <v>4042</v>
      </c>
      <c r="O706">
        <v>56</v>
      </c>
      <c r="P706">
        <v>228754.4</v>
      </c>
      <c r="Q706" t="b">
        <v>1</v>
      </c>
      <c r="R706" t="b">
        <v>0</v>
      </c>
      <c r="S706" t="b">
        <v>0</v>
      </c>
      <c r="T706" t="b">
        <v>0</v>
      </c>
      <c r="U706">
        <v>1</v>
      </c>
      <c r="V706" t="s">
        <v>4073</v>
      </c>
    </row>
    <row r="707" spans="1:22" hidden="1" x14ac:dyDescent="0.45">
      <c r="A707" s="2" t="s">
        <v>546</v>
      </c>
      <c r="B707" s="11">
        <v>45451</v>
      </c>
      <c r="C707" s="2" t="s">
        <v>2010</v>
      </c>
      <c r="D707" s="2" t="s">
        <v>2015</v>
      </c>
      <c r="E707">
        <v>0</v>
      </c>
      <c r="F707">
        <v>0</v>
      </c>
      <c r="G707">
        <v>2592.4299999999998</v>
      </c>
      <c r="H707">
        <v>228133.84</v>
      </c>
      <c r="I707" s="2" t="s">
        <v>2023</v>
      </c>
      <c r="J707" s="2" t="s">
        <v>2026</v>
      </c>
      <c r="K707" s="2" t="s">
        <v>2567</v>
      </c>
      <c r="L707" s="2" t="s">
        <v>4032</v>
      </c>
      <c r="M707">
        <v>2592.4299999999998</v>
      </c>
      <c r="N707" s="2" t="s">
        <v>4042</v>
      </c>
      <c r="O707">
        <v>88</v>
      </c>
      <c r="P707">
        <v>228133.84</v>
      </c>
      <c r="Q707" t="b">
        <v>1</v>
      </c>
      <c r="R707" t="b">
        <v>0</v>
      </c>
      <c r="S707" t="b">
        <v>0</v>
      </c>
      <c r="T707" t="b">
        <v>0</v>
      </c>
      <c r="U707">
        <v>1</v>
      </c>
      <c r="V707" t="s">
        <v>4073</v>
      </c>
    </row>
    <row r="708" spans="1:22" hidden="1" x14ac:dyDescent="0.45">
      <c r="A708" s="2" t="s">
        <v>1177</v>
      </c>
      <c r="B708" s="11">
        <v>45332</v>
      </c>
      <c r="C708" s="2" t="s">
        <v>2013</v>
      </c>
      <c r="D708" s="2" t="s">
        <v>2018</v>
      </c>
      <c r="E708">
        <v>152.83000000000001</v>
      </c>
      <c r="F708">
        <v>9322.630000000001</v>
      </c>
      <c r="G708">
        <v>0</v>
      </c>
      <c r="H708">
        <v>0</v>
      </c>
      <c r="I708" s="2" t="s">
        <v>2020</v>
      </c>
      <c r="J708" s="2" t="s">
        <v>2029</v>
      </c>
      <c r="K708" s="2" t="s">
        <v>3198</v>
      </c>
      <c r="L708" s="2" t="s">
        <v>4035</v>
      </c>
      <c r="M708">
        <v>-152.83000000000001</v>
      </c>
      <c r="N708" s="2" t="s">
        <v>4044</v>
      </c>
      <c r="O708">
        <v>61</v>
      </c>
      <c r="P708">
        <v>-9322.630000000001</v>
      </c>
      <c r="Q708" t="b">
        <v>1</v>
      </c>
      <c r="R708" t="b">
        <v>0</v>
      </c>
      <c r="S708" t="b">
        <v>0</v>
      </c>
      <c r="T708" t="b">
        <v>0</v>
      </c>
      <c r="U708">
        <v>1</v>
      </c>
      <c r="V708" t="s">
        <v>4073</v>
      </c>
    </row>
    <row r="709" spans="1:22" hidden="1" x14ac:dyDescent="0.45">
      <c r="A709" s="2" t="s">
        <v>668</v>
      </c>
      <c r="B709" s="11">
        <v>45620</v>
      </c>
      <c r="C709" s="2" t="s">
        <v>2014</v>
      </c>
      <c r="D709" s="2" t="s">
        <v>2019</v>
      </c>
      <c r="E709">
        <v>0</v>
      </c>
      <c r="F709">
        <v>0</v>
      </c>
      <c r="G709">
        <v>4139.3100000000004</v>
      </c>
      <c r="H709">
        <v>252497.91000000003</v>
      </c>
      <c r="I709" s="2" t="s">
        <v>2021</v>
      </c>
      <c r="J709" s="2" t="s">
        <v>2027</v>
      </c>
      <c r="K709" s="2" t="s">
        <v>2689</v>
      </c>
      <c r="L709" s="2" t="s">
        <v>4035</v>
      </c>
      <c r="M709">
        <v>4139.3100000000004</v>
      </c>
      <c r="N709" s="2" t="s">
        <v>4042</v>
      </c>
      <c r="O709">
        <v>61</v>
      </c>
      <c r="P709">
        <v>252497.91000000003</v>
      </c>
      <c r="Q709" t="b">
        <v>1</v>
      </c>
      <c r="R709" t="b">
        <v>0</v>
      </c>
      <c r="S709" t="b">
        <v>0</v>
      </c>
      <c r="T709" t="b">
        <v>0</v>
      </c>
      <c r="U709">
        <v>1</v>
      </c>
      <c r="V709" t="s">
        <v>4073</v>
      </c>
    </row>
    <row r="710" spans="1:22" hidden="1" x14ac:dyDescent="0.45">
      <c r="A710" s="2" t="s">
        <v>135</v>
      </c>
      <c r="B710" s="11">
        <v>45260</v>
      </c>
      <c r="C710" s="2" t="s">
        <v>2010</v>
      </c>
      <c r="D710" s="2" t="s">
        <v>2015</v>
      </c>
      <c r="E710">
        <v>0</v>
      </c>
      <c r="F710">
        <v>0</v>
      </c>
      <c r="G710">
        <v>160.09</v>
      </c>
      <c r="H710">
        <v>9765.49</v>
      </c>
      <c r="I710" s="2" t="s">
        <v>2024</v>
      </c>
      <c r="J710" s="2" t="s">
        <v>2026</v>
      </c>
      <c r="K710" s="2" t="s">
        <v>2156</v>
      </c>
      <c r="L710" s="2" t="s">
        <v>4035</v>
      </c>
      <c r="M710">
        <v>160.09</v>
      </c>
      <c r="N710" s="2" t="s">
        <v>4042</v>
      </c>
      <c r="O710">
        <v>61</v>
      </c>
      <c r="P710">
        <v>9765.49</v>
      </c>
      <c r="Q710" t="b">
        <v>0</v>
      </c>
      <c r="R710" t="b">
        <v>1</v>
      </c>
      <c r="S710" t="b">
        <v>0</v>
      </c>
      <c r="T710" t="b">
        <v>0</v>
      </c>
      <c r="U710">
        <v>1</v>
      </c>
      <c r="V710" t="s">
        <v>4073</v>
      </c>
    </row>
    <row r="711" spans="1:22" hidden="1" x14ac:dyDescent="0.45">
      <c r="A711" s="2" t="s">
        <v>1356</v>
      </c>
      <c r="B711" s="11">
        <v>45833</v>
      </c>
      <c r="C711" s="2" t="s">
        <v>2013</v>
      </c>
      <c r="D711" s="2" t="s">
        <v>2018</v>
      </c>
      <c r="E711">
        <v>122.84</v>
      </c>
      <c r="F711">
        <v>10072.880000000001</v>
      </c>
      <c r="G711">
        <v>0</v>
      </c>
      <c r="H711">
        <v>0</v>
      </c>
      <c r="I711" s="2" t="s">
        <v>2022</v>
      </c>
      <c r="J711" s="2" t="s">
        <v>2030</v>
      </c>
      <c r="K711" s="2" t="s">
        <v>3377</v>
      </c>
      <c r="L711" s="2" t="s">
        <v>4034</v>
      </c>
      <c r="M711">
        <v>-122.84</v>
      </c>
      <c r="N711" s="2" t="s">
        <v>4044</v>
      </c>
      <c r="O711">
        <v>82</v>
      </c>
      <c r="P711">
        <v>-10072.880000000001</v>
      </c>
      <c r="Q711" t="b">
        <v>0</v>
      </c>
      <c r="R711" t="b">
        <v>1</v>
      </c>
      <c r="S711" t="b">
        <v>0</v>
      </c>
      <c r="T711" t="b">
        <v>0</v>
      </c>
      <c r="U711">
        <v>1</v>
      </c>
      <c r="V711" t="s">
        <v>4073</v>
      </c>
    </row>
    <row r="712" spans="1:22" hidden="1" x14ac:dyDescent="0.45">
      <c r="A712" s="2" t="s">
        <v>1415</v>
      </c>
      <c r="B712" s="11">
        <v>45816</v>
      </c>
      <c r="C712" s="2" t="s">
        <v>2010</v>
      </c>
      <c r="D712" s="2" t="s">
        <v>2015</v>
      </c>
      <c r="E712">
        <v>0</v>
      </c>
      <c r="F712">
        <v>0</v>
      </c>
      <c r="G712">
        <v>2567.37</v>
      </c>
      <c r="H712">
        <v>225928.56</v>
      </c>
      <c r="I712" s="2" t="s">
        <v>2023</v>
      </c>
      <c r="J712" s="2" t="s">
        <v>2028</v>
      </c>
      <c r="K712" s="2" t="s">
        <v>3436</v>
      </c>
      <c r="L712" s="2" t="s">
        <v>4032</v>
      </c>
      <c r="M712">
        <v>2567.37</v>
      </c>
      <c r="N712" s="2" t="s">
        <v>4042</v>
      </c>
      <c r="O712">
        <v>88</v>
      </c>
      <c r="P712">
        <v>225928.56</v>
      </c>
      <c r="Q712" t="b">
        <v>1</v>
      </c>
      <c r="R712" t="b">
        <v>0</v>
      </c>
      <c r="S712" t="b">
        <v>0</v>
      </c>
      <c r="T712" t="b">
        <v>0</v>
      </c>
      <c r="U712">
        <v>1</v>
      </c>
      <c r="V712" t="s">
        <v>4073</v>
      </c>
    </row>
    <row r="713" spans="1:22" hidden="1" x14ac:dyDescent="0.45">
      <c r="A713" s="2" t="s">
        <v>2008</v>
      </c>
      <c r="B713" s="11">
        <v>45013</v>
      </c>
      <c r="C713" s="2" t="s">
        <v>2014</v>
      </c>
      <c r="D713" s="2" t="s">
        <v>2019</v>
      </c>
      <c r="E713">
        <v>0</v>
      </c>
      <c r="F713">
        <v>0</v>
      </c>
      <c r="G713">
        <v>4523.09</v>
      </c>
      <c r="H713">
        <v>253293.04</v>
      </c>
      <c r="I713" s="2" t="s">
        <v>2025</v>
      </c>
      <c r="J713" s="2" t="s">
        <v>2026</v>
      </c>
      <c r="K713" s="2" t="s">
        <v>4029</v>
      </c>
      <c r="L713" s="2" t="s">
        <v>4033</v>
      </c>
      <c r="M713">
        <v>4523.09</v>
      </c>
      <c r="N713" s="2" t="s">
        <v>4042</v>
      </c>
      <c r="O713">
        <v>56</v>
      </c>
      <c r="P713">
        <v>253293.04</v>
      </c>
      <c r="Q713" t="b">
        <v>0</v>
      </c>
      <c r="R713" t="b">
        <v>1</v>
      </c>
      <c r="S713" t="b">
        <v>0</v>
      </c>
      <c r="T713" t="b">
        <v>0</v>
      </c>
      <c r="U713">
        <v>1</v>
      </c>
      <c r="V713" t="s">
        <v>4073</v>
      </c>
    </row>
    <row r="714" spans="1:22" hidden="1" x14ac:dyDescent="0.45">
      <c r="A714" s="2" t="s">
        <v>330</v>
      </c>
      <c r="B714" s="11">
        <v>45416</v>
      </c>
      <c r="C714" s="2" t="s">
        <v>2010</v>
      </c>
      <c r="D714" s="2" t="s">
        <v>2015</v>
      </c>
      <c r="E714">
        <v>0</v>
      </c>
      <c r="F714">
        <v>0</v>
      </c>
      <c r="G714">
        <v>3683.59</v>
      </c>
      <c r="H714">
        <v>224698.99000000002</v>
      </c>
      <c r="I714" s="2" t="s">
        <v>2021</v>
      </c>
      <c r="J714" s="2" t="s">
        <v>2029</v>
      </c>
      <c r="K714" s="2" t="s">
        <v>2351</v>
      </c>
      <c r="L714" s="2" t="s">
        <v>4035</v>
      </c>
      <c r="M714">
        <v>3683.59</v>
      </c>
      <c r="N714" s="2" t="s">
        <v>4042</v>
      </c>
      <c r="O714">
        <v>61</v>
      </c>
      <c r="P714">
        <v>224698.99000000002</v>
      </c>
      <c r="Q714" t="b">
        <v>1</v>
      </c>
      <c r="R714" t="b">
        <v>0</v>
      </c>
      <c r="S714" t="b">
        <v>0</v>
      </c>
      <c r="T714" t="b">
        <v>0</v>
      </c>
      <c r="U714">
        <v>1</v>
      </c>
      <c r="V714" t="s">
        <v>4073</v>
      </c>
    </row>
    <row r="715" spans="1:22" hidden="1" x14ac:dyDescent="0.45">
      <c r="A715" s="2" t="s">
        <v>989</v>
      </c>
      <c r="B715" s="11">
        <v>45684</v>
      </c>
      <c r="C715" s="2" t="s">
        <v>2010</v>
      </c>
      <c r="D715" s="2" t="s">
        <v>2015</v>
      </c>
      <c r="E715">
        <v>0</v>
      </c>
      <c r="F715">
        <v>0</v>
      </c>
      <c r="G715">
        <v>2486.2199999999998</v>
      </c>
      <c r="H715">
        <v>256080.65999999997</v>
      </c>
      <c r="I715" s="2" t="s">
        <v>2022</v>
      </c>
      <c r="J715" s="2" t="s">
        <v>2030</v>
      </c>
      <c r="K715" s="2" t="s">
        <v>3010</v>
      </c>
      <c r="L715" s="2" t="s">
        <v>4031</v>
      </c>
      <c r="M715">
        <v>2486.2199999999998</v>
      </c>
      <c r="N715" s="2" t="s">
        <v>4042</v>
      </c>
      <c r="O715">
        <v>103</v>
      </c>
      <c r="P715">
        <v>256080.65999999997</v>
      </c>
      <c r="Q715" t="b">
        <v>0</v>
      </c>
      <c r="R715" t="b">
        <v>1</v>
      </c>
      <c r="S715" t="b">
        <v>0</v>
      </c>
      <c r="T715" t="b">
        <v>0</v>
      </c>
      <c r="U715">
        <v>1</v>
      </c>
      <c r="V715" t="s">
        <v>4073</v>
      </c>
    </row>
    <row r="716" spans="1:22" hidden="1" x14ac:dyDescent="0.45">
      <c r="A716" s="2" t="s">
        <v>1736</v>
      </c>
      <c r="B716" s="11">
        <v>45760</v>
      </c>
      <c r="C716" s="2" t="s">
        <v>2014</v>
      </c>
      <c r="D716" s="2" t="s">
        <v>2019</v>
      </c>
      <c r="E716">
        <v>0</v>
      </c>
      <c r="F716">
        <v>0</v>
      </c>
      <c r="G716">
        <v>2175.02</v>
      </c>
      <c r="H716">
        <v>224027.06</v>
      </c>
      <c r="I716" s="2" t="s">
        <v>2021</v>
      </c>
      <c r="J716" s="2" t="s">
        <v>2028</v>
      </c>
      <c r="K716" s="2" t="s">
        <v>3757</v>
      </c>
      <c r="L716" s="2" t="s">
        <v>4031</v>
      </c>
      <c r="M716">
        <v>2175.02</v>
      </c>
      <c r="N716" s="2" t="s">
        <v>4042</v>
      </c>
      <c r="O716">
        <v>103</v>
      </c>
      <c r="P716">
        <v>224027.06</v>
      </c>
      <c r="Q716" t="b">
        <v>1</v>
      </c>
      <c r="R716" t="b">
        <v>0</v>
      </c>
      <c r="S716" t="b">
        <v>0</v>
      </c>
      <c r="T716" t="b">
        <v>0</v>
      </c>
      <c r="U716">
        <v>1</v>
      </c>
      <c r="V716" t="s">
        <v>4073</v>
      </c>
    </row>
    <row r="717" spans="1:22" hidden="1" x14ac:dyDescent="0.45">
      <c r="A717" s="2" t="s">
        <v>218</v>
      </c>
      <c r="B717" s="11">
        <v>45739</v>
      </c>
      <c r="C717" s="2" t="s">
        <v>2012</v>
      </c>
      <c r="D717" s="2" t="s">
        <v>2017</v>
      </c>
      <c r="E717">
        <v>169.1</v>
      </c>
      <c r="F717">
        <v>10315.1</v>
      </c>
      <c r="G717">
        <v>0</v>
      </c>
      <c r="H717">
        <v>0</v>
      </c>
      <c r="I717" s="2" t="s">
        <v>2025</v>
      </c>
      <c r="J717" s="2" t="s">
        <v>2026</v>
      </c>
      <c r="K717" s="2" t="s">
        <v>2239</v>
      </c>
      <c r="L717" s="2" t="s">
        <v>4035</v>
      </c>
      <c r="M717">
        <v>-169.1</v>
      </c>
      <c r="N717" s="2" t="s">
        <v>4044</v>
      </c>
      <c r="O717">
        <v>61</v>
      </c>
      <c r="P717">
        <v>-10315.1</v>
      </c>
      <c r="Q717" t="b">
        <v>1</v>
      </c>
      <c r="R717" t="b">
        <v>0</v>
      </c>
      <c r="S717" t="b">
        <v>0</v>
      </c>
      <c r="T717" t="b">
        <v>0</v>
      </c>
      <c r="U717">
        <v>1</v>
      </c>
      <c r="V717" t="s">
        <v>4073</v>
      </c>
    </row>
    <row r="718" spans="1:22" hidden="1" x14ac:dyDescent="0.45">
      <c r="A718" s="2" t="s">
        <v>248</v>
      </c>
      <c r="B718" s="11">
        <v>45534</v>
      </c>
      <c r="C718" s="2" t="s">
        <v>2011</v>
      </c>
      <c r="D718" s="2" t="s">
        <v>2016</v>
      </c>
      <c r="E718">
        <v>118.21</v>
      </c>
      <c r="F718">
        <v>10402.48</v>
      </c>
      <c r="G718">
        <v>0</v>
      </c>
      <c r="H718">
        <v>0</v>
      </c>
      <c r="I718" s="2" t="s">
        <v>2022</v>
      </c>
      <c r="J718" s="2" t="s">
        <v>2027</v>
      </c>
      <c r="K718" s="2" t="s">
        <v>2269</v>
      </c>
      <c r="L718" s="2" t="s">
        <v>4032</v>
      </c>
      <c r="M718">
        <v>-118.21</v>
      </c>
      <c r="N718" s="2" t="s">
        <v>2016</v>
      </c>
      <c r="O718">
        <v>88</v>
      </c>
      <c r="P718">
        <v>-10402.48</v>
      </c>
      <c r="Q718" t="b">
        <v>0</v>
      </c>
      <c r="R718" t="b">
        <v>1</v>
      </c>
      <c r="S718" t="b">
        <v>0</v>
      </c>
      <c r="T718" t="b">
        <v>0</v>
      </c>
      <c r="U718">
        <v>1</v>
      </c>
      <c r="V718" t="s">
        <v>4073</v>
      </c>
    </row>
    <row r="719" spans="1:22" hidden="1" x14ac:dyDescent="0.45">
      <c r="A719" s="2" t="s">
        <v>861</v>
      </c>
      <c r="B719" s="11">
        <v>45241</v>
      </c>
      <c r="C719" s="2" t="s">
        <v>2013</v>
      </c>
      <c r="D719" s="2" t="s">
        <v>2018</v>
      </c>
      <c r="E719">
        <v>186.27</v>
      </c>
      <c r="F719">
        <v>10431.120000000001</v>
      </c>
      <c r="G719">
        <v>0</v>
      </c>
      <c r="H719">
        <v>0</v>
      </c>
      <c r="I719" s="2" t="s">
        <v>2021</v>
      </c>
      <c r="J719" s="2" t="s">
        <v>2028</v>
      </c>
      <c r="K719" s="2" t="s">
        <v>2882</v>
      </c>
      <c r="L719" s="2" t="s">
        <v>4033</v>
      </c>
      <c r="M719">
        <v>-186.27</v>
      </c>
      <c r="N719" s="2" t="s">
        <v>4044</v>
      </c>
      <c r="O719">
        <v>56</v>
      </c>
      <c r="P719">
        <v>-10431.120000000001</v>
      </c>
      <c r="Q719" t="b">
        <v>1</v>
      </c>
      <c r="R719" t="b">
        <v>0</v>
      </c>
      <c r="S719" t="b">
        <v>0</v>
      </c>
      <c r="T719" t="b">
        <v>0</v>
      </c>
      <c r="U719">
        <v>1</v>
      </c>
      <c r="V719" t="s">
        <v>4073</v>
      </c>
    </row>
    <row r="720" spans="1:22" hidden="1" x14ac:dyDescent="0.45">
      <c r="A720" s="2" t="s">
        <v>1554</v>
      </c>
      <c r="B720" s="11">
        <v>45235</v>
      </c>
      <c r="C720" s="2" t="s">
        <v>2014</v>
      </c>
      <c r="D720" s="2" t="s">
        <v>2019</v>
      </c>
      <c r="E720">
        <v>0</v>
      </c>
      <c r="F720">
        <v>0</v>
      </c>
      <c r="G720">
        <v>2525.69</v>
      </c>
      <c r="H720">
        <v>222260.72</v>
      </c>
      <c r="I720" s="2" t="s">
        <v>2023</v>
      </c>
      <c r="J720" s="2" t="s">
        <v>2030</v>
      </c>
      <c r="K720" s="2" t="s">
        <v>3575</v>
      </c>
      <c r="L720" s="2" t="s">
        <v>4032</v>
      </c>
      <c r="M720">
        <v>2525.69</v>
      </c>
      <c r="N720" s="2" t="s">
        <v>4042</v>
      </c>
      <c r="O720">
        <v>88</v>
      </c>
      <c r="P720">
        <v>222260.72</v>
      </c>
      <c r="Q720" t="b">
        <v>1</v>
      </c>
      <c r="R720" t="b">
        <v>0</v>
      </c>
      <c r="S720" t="b">
        <v>0</v>
      </c>
      <c r="T720" t="b">
        <v>0</v>
      </c>
      <c r="U720">
        <v>1</v>
      </c>
      <c r="V720" t="s">
        <v>4073</v>
      </c>
    </row>
    <row r="721" spans="1:22" hidden="1" x14ac:dyDescent="0.45">
      <c r="A721" s="2" t="s">
        <v>995</v>
      </c>
      <c r="B721" s="11">
        <v>45130</v>
      </c>
      <c r="C721" s="2" t="s">
        <v>2014</v>
      </c>
      <c r="D721" s="2" t="s">
        <v>2019</v>
      </c>
      <c r="E721">
        <v>0</v>
      </c>
      <c r="F721">
        <v>0</v>
      </c>
      <c r="G721">
        <v>2516.86</v>
      </c>
      <c r="H721">
        <v>221483.68000000002</v>
      </c>
      <c r="I721" s="2" t="s">
        <v>2021</v>
      </c>
      <c r="J721" s="2" t="s">
        <v>2029</v>
      </c>
      <c r="K721" s="2" t="s">
        <v>3016</v>
      </c>
      <c r="L721" s="2" t="s">
        <v>4032</v>
      </c>
      <c r="M721">
        <v>2516.86</v>
      </c>
      <c r="N721" s="2" t="s">
        <v>4042</v>
      </c>
      <c r="O721">
        <v>88</v>
      </c>
      <c r="P721">
        <v>221483.68000000002</v>
      </c>
      <c r="Q721" t="b">
        <v>1</v>
      </c>
      <c r="R721" t="b">
        <v>0</v>
      </c>
      <c r="S721" t="b">
        <v>0</v>
      </c>
      <c r="T721" t="b">
        <v>0</v>
      </c>
      <c r="U721">
        <v>1</v>
      </c>
      <c r="V721" t="s">
        <v>4073</v>
      </c>
    </row>
    <row r="722" spans="1:22" hidden="1" x14ac:dyDescent="0.45">
      <c r="A722" s="2" t="s">
        <v>56</v>
      </c>
      <c r="B722" s="11">
        <v>44951</v>
      </c>
      <c r="C722" s="2" t="s">
        <v>2010</v>
      </c>
      <c r="D722" s="2" t="s">
        <v>2015</v>
      </c>
      <c r="E722">
        <v>0</v>
      </c>
      <c r="F722">
        <v>0</v>
      </c>
      <c r="G722">
        <v>2507.52</v>
      </c>
      <c r="H722">
        <v>220661.76000000001</v>
      </c>
      <c r="I722" s="2" t="s">
        <v>2023</v>
      </c>
      <c r="J722" s="2" t="s">
        <v>2028</v>
      </c>
      <c r="K722" s="2" t="s">
        <v>2077</v>
      </c>
      <c r="L722" s="2" t="s">
        <v>4032</v>
      </c>
      <c r="M722">
        <v>2507.52</v>
      </c>
      <c r="N722" s="2" t="s">
        <v>4042</v>
      </c>
      <c r="O722">
        <v>88</v>
      </c>
      <c r="P722">
        <v>220661.76000000001</v>
      </c>
      <c r="Q722" t="b">
        <v>0</v>
      </c>
      <c r="R722" t="b">
        <v>1</v>
      </c>
      <c r="S722" t="b">
        <v>0</v>
      </c>
      <c r="T722" t="b">
        <v>0</v>
      </c>
      <c r="U722">
        <v>1</v>
      </c>
      <c r="V722" t="s">
        <v>4073</v>
      </c>
    </row>
    <row r="723" spans="1:22" hidden="1" x14ac:dyDescent="0.45">
      <c r="A723" s="2" t="s">
        <v>1768</v>
      </c>
      <c r="B723" s="11">
        <v>45376</v>
      </c>
      <c r="C723" s="2" t="s">
        <v>2014</v>
      </c>
      <c r="D723" s="2" t="s">
        <v>2019</v>
      </c>
      <c r="E723">
        <v>0</v>
      </c>
      <c r="F723">
        <v>0</v>
      </c>
      <c r="G723">
        <v>3606.68</v>
      </c>
      <c r="H723">
        <v>220007.47999999998</v>
      </c>
      <c r="I723" s="2" t="s">
        <v>2020</v>
      </c>
      <c r="J723" s="2" t="s">
        <v>2026</v>
      </c>
      <c r="K723" s="2" t="s">
        <v>3789</v>
      </c>
      <c r="L723" s="2" t="s">
        <v>4035</v>
      </c>
      <c r="M723">
        <v>3606.68</v>
      </c>
      <c r="N723" s="2" t="s">
        <v>4042</v>
      </c>
      <c r="O723">
        <v>61</v>
      </c>
      <c r="P723">
        <v>220007.47999999998</v>
      </c>
      <c r="Q723" t="b">
        <v>0</v>
      </c>
      <c r="R723" t="b">
        <v>1</v>
      </c>
      <c r="S723" t="b">
        <v>0</v>
      </c>
      <c r="T723" t="b">
        <v>0</v>
      </c>
      <c r="U723">
        <v>1</v>
      </c>
      <c r="V723" t="s">
        <v>4073</v>
      </c>
    </row>
    <row r="724" spans="1:22" hidden="1" x14ac:dyDescent="0.45">
      <c r="A724" s="2" t="s">
        <v>1088</v>
      </c>
      <c r="B724" s="11">
        <v>45032</v>
      </c>
      <c r="C724" s="2" t="s">
        <v>2010</v>
      </c>
      <c r="D724" s="2" t="s">
        <v>2015</v>
      </c>
      <c r="E724">
        <v>0</v>
      </c>
      <c r="F724">
        <v>0</v>
      </c>
      <c r="G724">
        <v>3759.18</v>
      </c>
      <c r="H724">
        <v>229309.97999999998</v>
      </c>
      <c r="I724" s="2" t="s">
        <v>2023</v>
      </c>
      <c r="J724" s="2" t="s">
        <v>2026</v>
      </c>
      <c r="K724" s="2" t="s">
        <v>3109</v>
      </c>
      <c r="L724" s="2" t="s">
        <v>4035</v>
      </c>
      <c r="M724">
        <v>3759.18</v>
      </c>
      <c r="N724" s="2" t="s">
        <v>4042</v>
      </c>
      <c r="O724">
        <v>61</v>
      </c>
      <c r="P724">
        <v>229309.97999999998</v>
      </c>
      <c r="Q724" t="b">
        <v>1</v>
      </c>
      <c r="R724" t="b">
        <v>0</v>
      </c>
      <c r="S724" t="b">
        <v>0</v>
      </c>
      <c r="T724" t="b">
        <v>0</v>
      </c>
      <c r="U724">
        <v>1</v>
      </c>
      <c r="V724" t="s">
        <v>4073</v>
      </c>
    </row>
    <row r="725" spans="1:22" hidden="1" x14ac:dyDescent="0.45">
      <c r="A725" s="2" t="s">
        <v>1308</v>
      </c>
      <c r="B725" s="11">
        <v>45103</v>
      </c>
      <c r="C725" s="2" t="s">
        <v>2014</v>
      </c>
      <c r="D725" s="2" t="s">
        <v>2019</v>
      </c>
      <c r="E725">
        <v>0</v>
      </c>
      <c r="F725">
        <v>0</v>
      </c>
      <c r="G725">
        <v>2502.91</v>
      </c>
      <c r="H725">
        <v>257799.72999999998</v>
      </c>
      <c r="I725" s="2" t="s">
        <v>2024</v>
      </c>
      <c r="J725" s="2" t="s">
        <v>2029</v>
      </c>
      <c r="K725" s="2" t="s">
        <v>3329</v>
      </c>
      <c r="L725" s="2" t="s">
        <v>4031</v>
      </c>
      <c r="M725">
        <v>2502.91</v>
      </c>
      <c r="N725" s="2" t="s">
        <v>4042</v>
      </c>
      <c r="O725">
        <v>103</v>
      </c>
      <c r="P725">
        <v>257799.72999999998</v>
      </c>
      <c r="Q725" t="b">
        <v>0</v>
      </c>
      <c r="R725" t="b">
        <v>1</v>
      </c>
      <c r="S725" t="b">
        <v>0</v>
      </c>
      <c r="T725" t="b">
        <v>0</v>
      </c>
      <c r="U725">
        <v>1</v>
      </c>
      <c r="V725" t="s">
        <v>4073</v>
      </c>
    </row>
    <row r="726" spans="1:22" hidden="1" x14ac:dyDescent="0.45">
      <c r="A726" s="2" t="s">
        <v>254</v>
      </c>
      <c r="B726" s="11">
        <v>45725</v>
      </c>
      <c r="C726" s="2" t="s">
        <v>2011</v>
      </c>
      <c r="D726" s="2" t="s">
        <v>2016</v>
      </c>
      <c r="E726">
        <v>86.6</v>
      </c>
      <c r="F726">
        <v>8919.7999999999993</v>
      </c>
      <c r="G726">
        <v>0</v>
      </c>
      <c r="H726">
        <v>0</v>
      </c>
      <c r="I726" s="2" t="s">
        <v>2020</v>
      </c>
      <c r="J726" s="2" t="s">
        <v>2027</v>
      </c>
      <c r="K726" s="2" t="s">
        <v>2275</v>
      </c>
      <c r="L726" s="2" t="s">
        <v>4031</v>
      </c>
      <c r="M726">
        <v>-86.6</v>
      </c>
      <c r="N726" s="2" t="s">
        <v>2016</v>
      </c>
      <c r="O726">
        <v>103</v>
      </c>
      <c r="P726">
        <v>-8919.7999999999993</v>
      </c>
      <c r="Q726" t="b">
        <v>1</v>
      </c>
      <c r="R726" t="b">
        <v>0</v>
      </c>
      <c r="S726" t="b">
        <v>0</v>
      </c>
      <c r="T726" t="b">
        <v>0</v>
      </c>
      <c r="U726">
        <v>1</v>
      </c>
      <c r="V726" t="s">
        <v>4073</v>
      </c>
    </row>
    <row r="727" spans="1:22" hidden="1" x14ac:dyDescent="0.45">
      <c r="A727" s="2" t="s">
        <v>1246</v>
      </c>
      <c r="B727" s="11">
        <v>45458</v>
      </c>
      <c r="C727" s="2" t="s">
        <v>2010</v>
      </c>
      <c r="D727" s="2" t="s">
        <v>2015</v>
      </c>
      <c r="E727">
        <v>0</v>
      </c>
      <c r="F727">
        <v>0</v>
      </c>
      <c r="G727">
        <v>143.81</v>
      </c>
      <c r="H727">
        <v>8772.41</v>
      </c>
      <c r="I727" s="2" t="s">
        <v>2025</v>
      </c>
      <c r="J727" s="2" t="s">
        <v>2028</v>
      </c>
      <c r="K727" s="2" t="s">
        <v>3267</v>
      </c>
      <c r="L727" s="2" t="s">
        <v>4035</v>
      </c>
      <c r="M727">
        <v>143.81</v>
      </c>
      <c r="N727" s="2" t="s">
        <v>4042</v>
      </c>
      <c r="O727">
        <v>61</v>
      </c>
      <c r="P727">
        <v>8772.41</v>
      </c>
      <c r="Q727" t="b">
        <v>1</v>
      </c>
      <c r="R727" t="b">
        <v>0</v>
      </c>
      <c r="S727" t="b">
        <v>0</v>
      </c>
      <c r="T727" t="b">
        <v>0</v>
      </c>
      <c r="U727">
        <v>1</v>
      </c>
      <c r="V727" t="s">
        <v>4073</v>
      </c>
    </row>
    <row r="728" spans="1:22" hidden="1" x14ac:dyDescent="0.45">
      <c r="A728" s="2" t="s">
        <v>1174</v>
      </c>
      <c r="B728" s="11">
        <v>45480</v>
      </c>
      <c r="C728" s="2" t="s">
        <v>2010</v>
      </c>
      <c r="D728" s="2" t="s">
        <v>2015</v>
      </c>
      <c r="E728">
        <v>0</v>
      </c>
      <c r="F728">
        <v>0</v>
      </c>
      <c r="G728">
        <v>3001.97</v>
      </c>
      <c r="H728">
        <v>246161.53999999998</v>
      </c>
      <c r="I728" s="2" t="s">
        <v>2022</v>
      </c>
      <c r="J728" s="2" t="s">
        <v>2029</v>
      </c>
      <c r="K728" s="2" t="s">
        <v>3195</v>
      </c>
      <c r="L728" s="2" t="s">
        <v>4034</v>
      </c>
      <c r="M728">
        <v>3001.97</v>
      </c>
      <c r="N728" s="2" t="s">
        <v>4042</v>
      </c>
      <c r="O728">
        <v>82</v>
      </c>
      <c r="P728">
        <v>246161.53999999998</v>
      </c>
      <c r="Q728" t="b">
        <v>1</v>
      </c>
      <c r="R728" t="b">
        <v>0</v>
      </c>
      <c r="S728" t="b">
        <v>0</v>
      </c>
      <c r="T728" t="b">
        <v>0</v>
      </c>
      <c r="U728">
        <v>1</v>
      </c>
      <c r="V728" t="s">
        <v>4073</v>
      </c>
    </row>
    <row r="729" spans="1:22" hidden="1" x14ac:dyDescent="0.45">
      <c r="A729" s="2" t="s">
        <v>1891</v>
      </c>
      <c r="B729" s="11">
        <v>45466</v>
      </c>
      <c r="C729" s="2" t="s">
        <v>2011</v>
      </c>
      <c r="D729" s="2" t="s">
        <v>2016</v>
      </c>
      <c r="E729">
        <v>146.04</v>
      </c>
      <c r="F729">
        <v>8178.24</v>
      </c>
      <c r="G729">
        <v>0</v>
      </c>
      <c r="H729">
        <v>0</v>
      </c>
      <c r="I729" s="2" t="s">
        <v>2025</v>
      </c>
      <c r="J729" s="2" t="s">
        <v>2028</v>
      </c>
      <c r="K729" s="2" t="s">
        <v>3912</v>
      </c>
      <c r="L729" s="2" t="s">
        <v>4033</v>
      </c>
      <c r="M729">
        <v>-146.04</v>
      </c>
      <c r="N729" s="2" t="s">
        <v>2016</v>
      </c>
      <c r="O729">
        <v>56</v>
      </c>
      <c r="P729">
        <v>-8178.24</v>
      </c>
      <c r="Q729" t="b">
        <v>1</v>
      </c>
      <c r="R729" t="b">
        <v>0</v>
      </c>
      <c r="S729" t="b">
        <v>0</v>
      </c>
      <c r="T729" t="b">
        <v>0</v>
      </c>
      <c r="U729">
        <v>1</v>
      </c>
      <c r="V729" t="s">
        <v>4073</v>
      </c>
    </row>
    <row r="730" spans="1:22" hidden="1" x14ac:dyDescent="0.45">
      <c r="A730" s="2" t="s">
        <v>75</v>
      </c>
      <c r="B730" s="11">
        <v>44984</v>
      </c>
      <c r="C730" s="2" t="s">
        <v>2014</v>
      </c>
      <c r="D730" s="2" t="s">
        <v>2019</v>
      </c>
      <c r="E730">
        <v>0</v>
      </c>
      <c r="F730">
        <v>0</v>
      </c>
      <c r="G730">
        <v>2977.78</v>
      </c>
      <c r="H730">
        <v>244177.96000000002</v>
      </c>
      <c r="I730" s="2" t="s">
        <v>2023</v>
      </c>
      <c r="J730" s="2" t="s">
        <v>2027</v>
      </c>
      <c r="K730" s="2" t="s">
        <v>2096</v>
      </c>
      <c r="L730" s="2" t="s">
        <v>4034</v>
      </c>
      <c r="M730">
        <v>2977.78</v>
      </c>
      <c r="N730" s="2" t="s">
        <v>4042</v>
      </c>
      <c r="O730">
        <v>82</v>
      </c>
      <c r="P730">
        <v>244177.96000000002</v>
      </c>
      <c r="Q730" t="b">
        <v>0</v>
      </c>
      <c r="R730" t="b">
        <v>1</v>
      </c>
      <c r="S730" t="b">
        <v>0</v>
      </c>
      <c r="T730" t="b">
        <v>0</v>
      </c>
      <c r="U730">
        <v>1</v>
      </c>
      <c r="V730" t="s">
        <v>4073</v>
      </c>
    </row>
    <row r="731" spans="1:22" hidden="1" x14ac:dyDescent="0.45">
      <c r="A731" s="2" t="s">
        <v>762</v>
      </c>
      <c r="B731" s="11">
        <v>44957</v>
      </c>
      <c r="C731" s="2" t="s">
        <v>2010</v>
      </c>
      <c r="D731" s="2" t="s">
        <v>2015</v>
      </c>
      <c r="E731">
        <v>0</v>
      </c>
      <c r="F731">
        <v>0</v>
      </c>
      <c r="G731">
        <v>4349.28</v>
      </c>
      <c r="H731">
        <v>243559.67999999999</v>
      </c>
      <c r="I731" s="2" t="s">
        <v>2021</v>
      </c>
      <c r="J731" s="2" t="s">
        <v>2027</v>
      </c>
      <c r="K731" s="2" t="s">
        <v>2783</v>
      </c>
      <c r="L731" s="2" t="s">
        <v>4033</v>
      </c>
      <c r="M731">
        <v>4349.28</v>
      </c>
      <c r="N731" s="2" t="s">
        <v>4042</v>
      </c>
      <c r="O731">
        <v>56</v>
      </c>
      <c r="P731">
        <v>243559.67999999999</v>
      </c>
      <c r="Q731" t="b">
        <v>0</v>
      </c>
      <c r="R731" t="b">
        <v>1</v>
      </c>
      <c r="S731" t="b">
        <v>0</v>
      </c>
      <c r="T731" t="b">
        <v>0</v>
      </c>
      <c r="U731">
        <v>1</v>
      </c>
      <c r="V731" t="s">
        <v>4073</v>
      </c>
    </row>
    <row r="732" spans="1:22" hidden="1" x14ac:dyDescent="0.45">
      <c r="A732" s="2" t="s">
        <v>1920</v>
      </c>
      <c r="B732" s="11">
        <v>45262</v>
      </c>
      <c r="C732" s="2" t="s">
        <v>2014</v>
      </c>
      <c r="D732" s="2" t="s">
        <v>2019</v>
      </c>
      <c r="E732">
        <v>0</v>
      </c>
      <c r="F732">
        <v>0</v>
      </c>
      <c r="G732">
        <v>2962.29</v>
      </c>
      <c r="H732">
        <v>242907.78</v>
      </c>
      <c r="I732" s="2" t="s">
        <v>2020</v>
      </c>
      <c r="J732" s="2" t="s">
        <v>2027</v>
      </c>
      <c r="K732" s="2" t="s">
        <v>3941</v>
      </c>
      <c r="L732" s="2" t="s">
        <v>4034</v>
      </c>
      <c r="M732">
        <v>2962.29</v>
      </c>
      <c r="N732" s="2" t="s">
        <v>4042</v>
      </c>
      <c r="O732">
        <v>82</v>
      </c>
      <c r="P732">
        <v>242907.78</v>
      </c>
      <c r="Q732" t="b">
        <v>1</v>
      </c>
      <c r="R732" t="b">
        <v>0</v>
      </c>
      <c r="S732" t="b">
        <v>0</v>
      </c>
      <c r="T732" t="b">
        <v>0</v>
      </c>
      <c r="U732">
        <v>1</v>
      </c>
      <c r="V732" t="s">
        <v>4073</v>
      </c>
    </row>
    <row r="733" spans="1:22" hidden="1" x14ac:dyDescent="0.45">
      <c r="A733" s="2" t="s">
        <v>1490</v>
      </c>
      <c r="B733" s="11">
        <v>45195</v>
      </c>
      <c r="C733" s="2" t="s">
        <v>2014</v>
      </c>
      <c r="D733" s="2" t="s">
        <v>2019</v>
      </c>
      <c r="E733">
        <v>0</v>
      </c>
      <c r="F733">
        <v>0</v>
      </c>
      <c r="G733">
        <v>4040.21</v>
      </c>
      <c r="H733">
        <v>246452.81</v>
      </c>
      <c r="I733" s="2" t="s">
        <v>2023</v>
      </c>
      <c r="J733" s="2" t="s">
        <v>2029</v>
      </c>
      <c r="K733" s="2" t="s">
        <v>3511</v>
      </c>
      <c r="L733" s="2" t="s">
        <v>4035</v>
      </c>
      <c r="M733">
        <v>4040.21</v>
      </c>
      <c r="N733" s="2" t="s">
        <v>4042</v>
      </c>
      <c r="O733">
        <v>61</v>
      </c>
      <c r="P733">
        <v>246452.81</v>
      </c>
      <c r="Q733" t="b">
        <v>0</v>
      </c>
      <c r="R733" t="b">
        <v>1</v>
      </c>
      <c r="S733" t="b">
        <v>0</v>
      </c>
      <c r="T733" t="b">
        <v>0</v>
      </c>
      <c r="U733">
        <v>1</v>
      </c>
      <c r="V733" t="s">
        <v>4073</v>
      </c>
    </row>
    <row r="734" spans="1:22" hidden="1" x14ac:dyDescent="0.45">
      <c r="A734" s="2" t="s">
        <v>1541</v>
      </c>
      <c r="B734" s="11">
        <v>45257</v>
      </c>
      <c r="C734" s="2" t="s">
        <v>2014</v>
      </c>
      <c r="D734" s="2" t="s">
        <v>2019</v>
      </c>
      <c r="E734">
        <v>0</v>
      </c>
      <c r="F734">
        <v>0</v>
      </c>
      <c r="G734">
        <v>4296.04</v>
      </c>
      <c r="H734">
        <v>240578.24</v>
      </c>
      <c r="I734" s="2" t="s">
        <v>2021</v>
      </c>
      <c r="J734" s="2" t="s">
        <v>2027</v>
      </c>
      <c r="K734" s="2" t="s">
        <v>3562</v>
      </c>
      <c r="L734" s="2" t="s">
        <v>4033</v>
      </c>
      <c r="M734">
        <v>4296.04</v>
      </c>
      <c r="N734" s="2" t="s">
        <v>4042</v>
      </c>
      <c r="O734">
        <v>56</v>
      </c>
      <c r="P734">
        <v>240578.24</v>
      </c>
      <c r="Q734" t="b">
        <v>0</v>
      </c>
      <c r="R734" t="b">
        <v>1</v>
      </c>
      <c r="S734" t="b">
        <v>0</v>
      </c>
      <c r="T734" t="b">
        <v>0</v>
      </c>
      <c r="U734">
        <v>1</v>
      </c>
      <c r="V734" t="s">
        <v>4073</v>
      </c>
    </row>
    <row r="735" spans="1:22" hidden="1" x14ac:dyDescent="0.45">
      <c r="A735" s="2" t="s">
        <v>900</v>
      </c>
      <c r="B735" s="11">
        <v>45718</v>
      </c>
      <c r="C735" s="2" t="s">
        <v>2014</v>
      </c>
      <c r="D735" s="2" t="s">
        <v>2019</v>
      </c>
      <c r="E735">
        <v>0</v>
      </c>
      <c r="F735">
        <v>0</v>
      </c>
      <c r="G735">
        <v>2334.77</v>
      </c>
      <c r="H735">
        <v>240481.31</v>
      </c>
      <c r="I735" s="2" t="s">
        <v>2021</v>
      </c>
      <c r="J735" s="2" t="s">
        <v>2030</v>
      </c>
      <c r="K735" s="2" t="s">
        <v>2921</v>
      </c>
      <c r="L735" s="2" t="s">
        <v>4031</v>
      </c>
      <c r="M735">
        <v>2334.77</v>
      </c>
      <c r="N735" s="2" t="s">
        <v>4042</v>
      </c>
      <c r="O735">
        <v>103</v>
      </c>
      <c r="P735">
        <v>240481.31</v>
      </c>
      <c r="Q735" t="b">
        <v>1</v>
      </c>
      <c r="R735" t="b">
        <v>0</v>
      </c>
      <c r="S735" t="b">
        <v>0</v>
      </c>
      <c r="T735" t="b">
        <v>0</v>
      </c>
      <c r="U735">
        <v>1</v>
      </c>
      <c r="V735" t="s">
        <v>4073</v>
      </c>
    </row>
    <row r="736" spans="1:22" hidden="1" x14ac:dyDescent="0.45">
      <c r="A736" s="2" t="s">
        <v>846</v>
      </c>
      <c r="B736" s="11">
        <v>45465</v>
      </c>
      <c r="C736" s="2" t="s">
        <v>2010</v>
      </c>
      <c r="D736" s="2" t="s">
        <v>2015</v>
      </c>
      <c r="E736">
        <v>0</v>
      </c>
      <c r="F736">
        <v>0</v>
      </c>
      <c r="G736">
        <v>3933.89</v>
      </c>
      <c r="H736">
        <v>239967.28999999998</v>
      </c>
      <c r="I736" s="2" t="s">
        <v>2021</v>
      </c>
      <c r="J736" s="2" t="s">
        <v>2029</v>
      </c>
      <c r="K736" s="2" t="s">
        <v>2867</v>
      </c>
      <c r="L736" s="2" t="s">
        <v>4035</v>
      </c>
      <c r="M736">
        <v>3933.89</v>
      </c>
      <c r="N736" s="2" t="s">
        <v>4042</v>
      </c>
      <c r="O736">
        <v>61</v>
      </c>
      <c r="P736">
        <v>239967.28999999998</v>
      </c>
      <c r="Q736" t="b">
        <v>1</v>
      </c>
      <c r="R736" t="b">
        <v>0</v>
      </c>
      <c r="S736" t="b">
        <v>0</v>
      </c>
      <c r="T736" t="b">
        <v>0</v>
      </c>
      <c r="U736">
        <v>1</v>
      </c>
      <c r="V736" t="s">
        <v>4073</v>
      </c>
    </row>
    <row r="737" spans="1:22" hidden="1" x14ac:dyDescent="0.45">
      <c r="A737" s="2" t="s">
        <v>1748</v>
      </c>
      <c r="B737" s="11">
        <v>45354</v>
      </c>
      <c r="C737" s="2" t="s">
        <v>2014</v>
      </c>
      <c r="D737" s="2" t="s">
        <v>2019</v>
      </c>
      <c r="E737">
        <v>0</v>
      </c>
      <c r="F737">
        <v>0</v>
      </c>
      <c r="G737">
        <v>3007.82</v>
      </c>
      <c r="H737">
        <v>246641.24000000002</v>
      </c>
      <c r="I737" s="2" t="s">
        <v>2025</v>
      </c>
      <c r="J737" s="2" t="s">
        <v>2030</v>
      </c>
      <c r="K737" s="2" t="s">
        <v>3769</v>
      </c>
      <c r="L737" s="2" t="s">
        <v>4034</v>
      </c>
      <c r="M737">
        <v>3007.82</v>
      </c>
      <c r="N737" s="2" t="s">
        <v>4042</v>
      </c>
      <c r="O737">
        <v>82</v>
      </c>
      <c r="P737">
        <v>246641.24000000002</v>
      </c>
      <c r="Q737" t="b">
        <v>1</v>
      </c>
      <c r="R737" t="b">
        <v>0</v>
      </c>
      <c r="S737" t="b">
        <v>0</v>
      </c>
      <c r="T737" t="b">
        <v>0</v>
      </c>
      <c r="U737">
        <v>1</v>
      </c>
      <c r="V737" t="s">
        <v>4073</v>
      </c>
    </row>
    <row r="738" spans="1:22" hidden="1" x14ac:dyDescent="0.45">
      <c r="A738" s="2" t="s">
        <v>1287</v>
      </c>
      <c r="B738" s="11">
        <v>45423</v>
      </c>
      <c r="C738" s="2" t="s">
        <v>2014</v>
      </c>
      <c r="D738" s="2" t="s">
        <v>2019</v>
      </c>
      <c r="E738">
        <v>0</v>
      </c>
      <c r="F738">
        <v>0</v>
      </c>
      <c r="G738">
        <v>4225.68</v>
      </c>
      <c r="H738">
        <v>236638.08000000002</v>
      </c>
      <c r="I738" s="2" t="s">
        <v>2024</v>
      </c>
      <c r="J738" s="2" t="s">
        <v>2030</v>
      </c>
      <c r="K738" s="2" t="s">
        <v>3308</v>
      </c>
      <c r="L738" s="2" t="s">
        <v>4033</v>
      </c>
      <c r="M738">
        <v>4225.68</v>
      </c>
      <c r="N738" s="2" t="s">
        <v>4042</v>
      </c>
      <c r="O738">
        <v>56</v>
      </c>
      <c r="P738">
        <v>236638.08000000002</v>
      </c>
      <c r="Q738" t="b">
        <v>1</v>
      </c>
      <c r="R738" t="b">
        <v>0</v>
      </c>
      <c r="S738" t="b">
        <v>0</v>
      </c>
      <c r="T738" t="b">
        <v>0</v>
      </c>
      <c r="U738">
        <v>1</v>
      </c>
      <c r="V738" t="s">
        <v>4073</v>
      </c>
    </row>
    <row r="739" spans="1:22" hidden="1" x14ac:dyDescent="0.45">
      <c r="A739" s="2" t="s">
        <v>961</v>
      </c>
      <c r="B739" s="11">
        <v>45424</v>
      </c>
      <c r="C739" s="2" t="s">
        <v>2014</v>
      </c>
      <c r="D739" s="2" t="s">
        <v>2019</v>
      </c>
      <c r="E739">
        <v>0</v>
      </c>
      <c r="F739">
        <v>0</v>
      </c>
      <c r="G739">
        <v>2882.01</v>
      </c>
      <c r="H739">
        <v>236324.82</v>
      </c>
      <c r="I739" s="2" t="s">
        <v>2023</v>
      </c>
      <c r="J739" s="2" t="s">
        <v>2026</v>
      </c>
      <c r="K739" s="2" t="s">
        <v>2982</v>
      </c>
      <c r="L739" s="2" t="s">
        <v>4034</v>
      </c>
      <c r="M739">
        <v>2882.01</v>
      </c>
      <c r="N739" s="2" t="s">
        <v>4042</v>
      </c>
      <c r="O739">
        <v>82</v>
      </c>
      <c r="P739">
        <v>236324.82</v>
      </c>
      <c r="Q739" t="b">
        <v>1</v>
      </c>
      <c r="R739" t="b">
        <v>0</v>
      </c>
      <c r="S739" t="b">
        <v>0</v>
      </c>
      <c r="T739" t="b">
        <v>0</v>
      </c>
      <c r="U739">
        <v>1</v>
      </c>
      <c r="V739" t="s">
        <v>4073</v>
      </c>
    </row>
    <row r="740" spans="1:22" hidden="1" x14ac:dyDescent="0.45">
      <c r="A740" s="2" t="s">
        <v>959</v>
      </c>
      <c r="B740" s="11">
        <v>45685</v>
      </c>
      <c r="C740" s="2" t="s">
        <v>2013</v>
      </c>
      <c r="D740" s="2" t="s">
        <v>2018</v>
      </c>
      <c r="E740">
        <v>80.59</v>
      </c>
      <c r="F740">
        <v>8300.77</v>
      </c>
      <c r="G740">
        <v>0</v>
      </c>
      <c r="H740">
        <v>0</v>
      </c>
      <c r="I740" s="2" t="s">
        <v>2020</v>
      </c>
      <c r="J740" s="2" t="s">
        <v>2028</v>
      </c>
      <c r="K740" s="2" t="s">
        <v>2980</v>
      </c>
      <c r="L740" s="2" t="s">
        <v>4031</v>
      </c>
      <c r="M740">
        <v>-80.59</v>
      </c>
      <c r="N740" s="2" t="s">
        <v>4044</v>
      </c>
      <c r="O740">
        <v>103</v>
      </c>
      <c r="P740">
        <v>-8300.77</v>
      </c>
      <c r="Q740" t="b">
        <v>0</v>
      </c>
      <c r="R740" t="b">
        <v>1</v>
      </c>
      <c r="S740" t="b">
        <v>0</v>
      </c>
      <c r="T740" t="b">
        <v>0</v>
      </c>
      <c r="U740">
        <v>1</v>
      </c>
      <c r="V740" t="s">
        <v>4073</v>
      </c>
    </row>
    <row r="741" spans="1:22" hidden="1" x14ac:dyDescent="0.45">
      <c r="A741" s="2" t="s">
        <v>637</v>
      </c>
      <c r="B741" s="11">
        <v>45367</v>
      </c>
      <c r="C741" s="2" t="s">
        <v>2014</v>
      </c>
      <c r="D741" s="2" t="s">
        <v>2019</v>
      </c>
      <c r="E741">
        <v>0</v>
      </c>
      <c r="F741">
        <v>0</v>
      </c>
      <c r="G741">
        <v>2847.98</v>
      </c>
      <c r="H741">
        <v>233534.36000000002</v>
      </c>
      <c r="I741" s="2" t="s">
        <v>2020</v>
      </c>
      <c r="J741" s="2" t="s">
        <v>2030</v>
      </c>
      <c r="K741" s="2" t="s">
        <v>2658</v>
      </c>
      <c r="L741" s="2" t="s">
        <v>4034</v>
      </c>
      <c r="M741">
        <v>2847.98</v>
      </c>
      <c r="N741" s="2" t="s">
        <v>4042</v>
      </c>
      <c r="O741">
        <v>82</v>
      </c>
      <c r="P741">
        <v>233534.36000000002</v>
      </c>
      <c r="Q741" t="b">
        <v>1</v>
      </c>
      <c r="R741" t="b">
        <v>0</v>
      </c>
      <c r="S741" t="b">
        <v>0</v>
      </c>
      <c r="T741" t="b">
        <v>0</v>
      </c>
      <c r="U741">
        <v>1</v>
      </c>
      <c r="V741" t="s">
        <v>4073</v>
      </c>
    </row>
    <row r="742" spans="1:22" hidden="1" x14ac:dyDescent="0.45">
      <c r="A742" s="2" t="s">
        <v>1679</v>
      </c>
      <c r="B742" s="11">
        <v>45269</v>
      </c>
      <c r="C742" s="2" t="s">
        <v>2014</v>
      </c>
      <c r="D742" s="2" t="s">
        <v>2019</v>
      </c>
      <c r="E742">
        <v>0</v>
      </c>
      <c r="F742">
        <v>0</v>
      </c>
      <c r="G742">
        <v>4153.5600000000004</v>
      </c>
      <c r="H742">
        <v>232599.36000000002</v>
      </c>
      <c r="I742" s="2" t="s">
        <v>2023</v>
      </c>
      <c r="J742" s="2" t="s">
        <v>2027</v>
      </c>
      <c r="K742" s="2" t="s">
        <v>3700</v>
      </c>
      <c r="L742" s="2" t="s">
        <v>4033</v>
      </c>
      <c r="M742">
        <v>4153.5600000000004</v>
      </c>
      <c r="N742" s="2" t="s">
        <v>4042</v>
      </c>
      <c r="O742">
        <v>56</v>
      </c>
      <c r="P742">
        <v>232599.36000000002</v>
      </c>
      <c r="Q742" t="b">
        <v>1</v>
      </c>
      <c r="R742" t="b">
        <v>0</v>
      </c>
      <c r="S742" t="b">
        <v>0</v>
      </c>
      <c r="T742" t="b">
        <v>0</v>
      </c>
      <c r="U742">
        <v>1</v>
      </c>
      <c r="V742" t="s">
        <v>4073</v>
      </c>
    </row>
    <row r="743" spans="1:22" hidden="1" x14ac:dyDescent="0.45">
      <c r="A743" s="2" t="s">
        <v>702</v>
      </c>
      <c r="B743" s="11">
        <v>45367</v>
      </c>
      <c r="C743" s="2" t="s">
        <v>2010</v>
      </c>
      <c r="D743" s="2" t="s">
        <v>2015</v>
      </c>
      <c r="E743">
        <v>0</v>
      </c>
      <c r="F743">
        <v>0</v>
      </c>
      <c r="G743">
        <v>2828.86</v>
      </c>
      <c r="H743">
        <v>231966.52000000002</v>
      </c>
      <c r="I743" s="2" t="s">
        <v>2020</v>
      </c>
      <c r="J743" s="2" t="s">
        <v>2026</v>
      </c>
      <c r="K743" s="2" t="s">
        <v>2723</v>
      </c>
      <c r="L743" s="2" t="s">
        <v>4034</v>
      </c>
      <c r="M743">
        <v>2828.86</v>
      </c>
      <c r="N743" s="2" t="s">
        <v>4042</v>
      </c>
      <c r="O743">
        <v>82</v>
      </c>
      <c r="P743">
        <v>231966.52000000002</v>
      </c>
      <c r="Q743" t="b">
        <v>1</v>
      </c>
      <c r="R743" t="b">
        <v>0</v>
      </c>
      <c r="S743" t="b">
        <v>0</v>
      </c>
      <c r="T743" t="b">
        <v>0</v>
      </c>
      <c r="U743">
        <v>1</v>
      </c>
      <c r="V743" t="s">
        <v>4073</v>
      </c>
    </row>
    <row r="744" spans="1:22" hidden="1" x14ac:dyDescent="0.45">
      <c r="A744" s="2" t="s">
        <v>1424</v>
      </c>
      <c r="B744" s="11">
        <v>45312</v>
      </c>
      <c r="C744" s="2" t="s">
        <v>2014</v>
      </c>
      <c r="D744" s="2" t="s">
        <v>2019</v>
      </c>
      <c r="E744">
        <v>0</v>
      </c>
      <c r="F744">
        <v>0</v>
      </c>
      <c r="G744">
        <v>127.25</v>
      </c>
      <c r="H744">
        <v>7762.25</v>
      </c>
      <c r="I744" s="2" t="s">
        <v>2024</v>
      </c>
      <c r="J744" s="2" t="s">
        <v>2027</v>
      </c>
      <c r="K744" s="2" t="s">
        <v>3445</v>
      </c>
      <c r="L744" s="2" t="s">
        <v>4035</v>
      </c>
      <c r="M744">
        <v>127.25</v>
      </c>
      <c r="N744" s="2" t="s">
        <v>4042</v>
      </c>
      <c r="O744">
        <v>61</v>
      </c>
      <c r="P744">
        <v>7762.25</v>
      </c>
      <c r="Q744" t="b">
        <v>1</v>
      </c>
      <c r="R744" t="b">
        <v>0</v>
      </c>
      <c r="S744" t="b">
        <v>0</v>
      </c>
      <c r="T744" t="b">
        <v>0</v>
      </c>
      <c r="U744">
        <v>1</v>
      </c>
      <c r="V744" t="s">
        <v>4073</v>
      </c>
    </row>
    <row r="745" spans="1:22" hidden="1" x14ac:dyDescent="0.45">
      <c r="A745" s="2" t="s">
        <v>1312</v>
      </c>
      <c r="B745" s="11">
        <v>45777</v>
      </c>
      <c r="C745" s="2" t="s">
        <v>2010</v>
      </c>
      <c r="D745" s="2" t="s">
        <v>2015</v>
      </c>
      <c r="E745">
        <v>0</v>
      </c>
      <c r="F745">
        <v>0</v>
      </c>
      <c r="G745">
        <v>4443.21</v>
      </c>
      <c r="H745">
        <v>248819.76</v>
      </c>
      <c r="I745" s="2" t="s">
        <v>2020</v>
      </c>
      <c r="J745" s="2" t="s">
        <v>2026</v>
      </c>
      <c r="K745" s="2" t="s">
        <v>3333</v>
      </c>
      <c r="L745" s="2" t="s">
        <v>4033</v>
      </c>
      <c r="M745">
        <v>4443.21</v>
      </c>
      <c r="N745" s="2" t="s">
        <v>4042</v>
      </c>
      <c r="O745">
        <v>56</v>
      </c>
      <c r="P745">
        <v>248819.76</v>
      </c>
      <c r="Q745" t="b">
        <v>0</v>
      </c>
      <c r="R745" t="b">
        <v>1</v>
      </c>
      <c r="S745" t="b">
        <v>0</v>
      </c>
      <c r="T745" t="b">
        <v>0</v>
      </c>
      <c r="U745">
        <v>1</v>
      </c>
      <c r="V745" t="s">
        <v>4073</v>
      </c>
    </row>
    <row r="746" spans="1:22" hidden="1" x14ac:dyDescent="0.45">
      <c r="A746" s="2" t="s">
        <v>100</v>
      </c>
      <c r="B746" s="11">
        <v>45396</v>
      </c>
      <c r="C746" s="2" t="s">
        <v>2011</v>
      </c>
      <c r="D746" s="2" t="s">
        <v>2016</v>
      </c>
      <c r="E746">
        <v>74.5</v>
      </c>
      <c r="F746">
        <v>7673.5</v>
      </c>
      <c r="G746">
        <v>0</v>
      </c>
      <c r="H746">
        <v>0</v>
      </c>
      <c r="I746" s="2" t="s">
        <v>2022</v>
      </c>
      <c r="J746" s="2" t="s">
        <v>2026</v>
      </c>
      <c r="K746" s="2" t="s">
        <v>2121</v>
      </c>
      <c r="L746" s="2" t="s">
        <v>4031</v>
      </c>
      <c r="M746">
        <v>-74.5</v>
      </c>
      <c r="N746" s="2" t="s">
        <v>2016</v>
      </c>
      <c r="O746">
        <v>103</v>
      </c>
      <c r="P746">
        <v>-7673.5</v>
      </c>
      <c r="Q746" t="b">
        <v>1</v>
      </c>
      <c r="R746" t="b">
        <v>0</v>
      </c>
      <c r="S746" t="b">
        <v>0</v>
      </c>
      <c r="T746" t="b">
        <v>0</v>
      </c>
      <c r="U746">
        <v>1</v>
      </c>
      <c r="V746" t="s">
        <v>4073</v>
      </c>
    </row>
    <row r="747" spans="1:22" hidden="1" x14ac:dyDescent="0.45">
      <c r="A747" s="2" t="s">
        <v>65</v>
      </c>
      <c r="B747" s="11">
        <v>45598</v>
      </c>
      <c r="C747" s="2" t="s">
        <v>2010</v>
      </c>
      <c r="D747" s="2" t="s">
        <v>2015</v>
      </c>
      <c r="E747">
        <v>0</v>
      </c>
      <c r="F747">
        <v>0</v>
      </c>
      <c r="G747">
        <v>4128.6400000000003</v>
      </c>
      <c r="H747">
        <v>231203.84000000003</v>
      </c>
      <c r="I747" s="2" t="s">
        <v>2020</v>
      </c>
      <c r="J747" s="2" t="s">
        <v>2030</v>
      </c>
      <c r="K747" s="2" t="s">
        <v>2086</v>
      </c>
      <c r="L747" s="2" t="s">
        <v>4033</v>
      </c>
      <c r="M747">
        <v>4128.6400000000003</v>
      </c>
      <c r="N747" s="2" t="s">
        <v>4042</v>
      </c>
      <c r="O747">
        <v>56</v>
      </c>
      <c r="P747">
        <v>231203.84000000003</v>
      </c>
      <c r="Q747" t="b">
        <v>1</v>
      </c>
      <c r="R747" t="b">
        <v>0</v>
      </c>
      <c r="S747" t="b">
        <v>0</v>
      </c>
      <c r="T747" t="b">
        <v>0</v>
      </c>
      <c r="U747">
        <v>1</v>
      </c>
      <c r="V747" t="s">
        <v>4073</v>
      </c>
    </row>
    <row r="748" spans="1:22" hidden="1" x14ac:dyDescent="0.45">
      <c r="A748" s="2" t="s">
        <v>1855</v>
      </c>
      <c r="B748" s="11">
        <v>45312</v>
      </c>
      <c r="C748" s="2" t="s">
        <v>2012</v>
      </c>
      <c r="D748" s="2" t="s">
        <v>2017</v>
      </c>
      <c r="E748">
        <v>106.18</v>
      </c>
      <c r="F748">
        <v>8706.76</v>
      </c>
      <c r="G748">
        <v>0</v>
      </c>
      <c r="H748">
        <v>0</v>
      </c>
      <c r="I748" s="2" t="s">
        <v>2023</v>
      </c>
      <c r="J748" s="2" t="s">
        <v>2029</v>
      </c>
      <c r="K748" s="2" t="s">
        <v>3876</v>
      </c>
      <c r="L748" s="2" t="s">
        <v>4034</v>
      </c>
      <c r="M748">
        <v>-106.18</v>
      </c>
      <c r="N748" s="2" t="s">
        <v>4044</v>
      </c>
      <c r="O748">
        <v>82</v>
      </c>
      <c r="P748">
        <v>-8706.76</v>
      </c>
      <c r="Q748" t="b">
        <v>1</v>
      </c>
      <c r="R748" t="b">
        <v>0</v>
      </c>
      <c r="S748" t="b">
        <v>0</v>
      </c>
      <c r="T748" t="b">
        <v>0</v>
      </c>
      <c r="U748">
        <v>1</v>
      </c>
      <c r="V748" t="s">
        <v>4073</v>
      </c>
    </row>
    <row r="749" spans="1:22" hidden="1" x14ac:dyDescent="0.45">
      <c r="A749" s="2" t="s">
        <v>791</v>
      </c>
      <c r="B749" s="11">
        <v>45528</v>
      </c>
      <c r="C749" s="2" t="s">
        <v>2010</v>
      </c>
      <c r="D749" s="2" t="s">
        <v>2015</v>
      </c>
      <c r="E749">
        <v>0</v>
      </c>
      <c r="F749">
        <v>0</v>
      </c>
      <c r="G749">
        <v>4476.07</v>
      </c>
      <c r="H749">
        <v>250659.91999999998</v>
      </c>
      <c r="I749" s="2" t="s">
        <v>2025</v>
      </c>
      <c r="J749" s="2" t="s">
        <v>2029</v>
      </c>
      <c r="K749" s="2" t="s">
        <v>2812</v>
      </c>
      <c r="L749" s="2" t="s">
        <v>4033</v>
      </c>
      <c r="M749">
        <v>4476.07</v>
      </c>
      <c r="N749" s="2" t="s">
        <v>4042</v>
      </c>
      <c r="O749">
        <v>56</v>
      </c>
      <c r="P749">
        <v>250659.91999999998</v>
      </c>
      <c r="Q749" t="b">
        <v>1</v>
      </c>
      <c r="R749" t="b">
        <v>0</v>
      </c>
      <c r="S749" t="b">
        <v>0</v>
      </c>
      <c r="T749" t="b">
        <v>0</v>
      </c>
      <c r="U749">
        <v>1</v>
      </c>
      <c r="V749" t="s">
        <v>4073</v>
      </c>
    </row>
    <row r="750" spans="1:22" hidden="1" x14ac:dyDescent="0.45">
      <c r="A750" s="2" t="s">
        <v>10</v>
      </c>
      <c r="B750" s="11">
        <v>45417</v>
      </c>
      <c r="C750" s="2" t="s">
        <v>2010</v>
      </c>
      <c r="D750" s="2" t="s">
        <v>2015</v>
      </c>
      <c r="E750">
        <v>0</v>
      </c>
      <c r="F750">
        <v>0</v>
      </c>
      <c r="G750">
        <v>2505.15</v>
      </c>
      <c r="H750">
        <v>258030.45</v>
      </c>
      <c r="I750" s="2" t="s">
        <v>2020</v>
      </c>
      <c r="J750" s="2" t="s">
        <v>2026</v>
      </c>
      <c r="K750" s="2" t="s">
        <v>2031</v>
      </c>
      <c r="L750" s="2" t="s">
        <v>4031</v>
      </c>
      <c r="M750">
        <v>2505.15</v>
      </c>
      <c r="N750" s="2" t="s">
        <v>4042</v>
      </c>
      <c r="O750">
        <v>103</v>
      </c>
      <c r="P750">
        <v>258030.45</v>
      </c>
      <c r="Q750" t="b">
        <v>1</v>
      </c>
      <c r="R750" t="b">
        <v>0</v>
      </c>
      <c r="S750" t="b">
        <v>0</v>
      </c>
      <c r="T750" t="b">
        <v>0</v>
      </c>
      <c r="U750">
        <v>1</v>
      </c>
      <c r="V750" t="s">
        <v>4073</v>
      </c>
    </row>
    <row r="751" spans="1:22" hidden="1" x14ac:dyDescent="0.45">
      <c r="A751" s="2" t="s">
        <v>857</v>
      </c>
      <c r="B751" s="11">
        <v>45416</v>
      </c>
      <c r="C751" s="2" t="s">
        <v>2010</v>
      </c>
      <c r="D751" s="2" t="s">
        <v>2015</v>
      </c>
      <c r="E751">
        <v>0</v>
      </c>
      <c r="F751">
        <v>0</v>
      </c>
      <c r="G751">
        <v>3150.6</v>
      </c>
      <c r="H751">
        <v>258349.19999999998</v>
      </c>
      <c r="I751" s="2" t="s">
        <v>2023</v>
      </c>
      <c r="J751" s="2" t="s">
        <v>2029</v>
      </c>
      <c r="K751" s="2" t="s">
        <v>2878</v>
      </c>
      <c r="L751" s="2" t="s">
        <v>4034</v>
      </c>
      <c r="M751">
        <v>3150.6</v>
      </c>
      <c r="N751" s="2" t="s">
        <v>4042</v>
      </c>
      <c r="O751">
        <v>82</v>
      </c>
      <c r="P751">
        <v>258349.19999999998</v>
      </c>
      <c r="Q751" t="b">
        <v>1</v>
      </c>
      <c r="R751" t="b">
        <v>0</v>
      </c>
      <c r="S751" t="b">
        <v>0</v>
      </c>
      <c r="T751" t="b">
        <v>0</v>
      </c>
      <c r="U751">
        <v>1</v>
      </c>
      <c r="V751" t="s">
        <v>4073</v>
      </c>
    </row>
    <row r="752" spans="1:22" hidden="1" x14ac:dyDescent="0.45">
      <c r="A752" s="2" t="s">
        <v>1732</v>
      </c>
      <c r="B752" s="11">
        <v>45379</v>
      </c>
      <c r="C752" s="2" t="s">
        <v>2014</v>
      </c>
      <c r="D752" s="2" t="s">
        <v>2019</v>
      </c>
      <c r="E752">
        <v>0</v>
      </c>
      <c r="F752">
        <v>0</v>
      </c>
      <c r="G752">
        <v>3597.73</v>
      </c>
      <c r="H752">
        <v>219461.53</v>
      </c>
      <c r="I752" s="2" t="s">
        <v>2020</v>
      </c>
      <c r="J752" s="2" t="s">
        <v>2027</v>
      </c>
      <c r="K752" s="2" t="s">
        <v>3753</v>
      </c>
      <c r="L752" s="2" t="s">
        <v>4035</v>
      </c>
      <c r="M752">
        <v>3597.73</v>
      </c>
      <c r="N752" s="2" t="s">
        <v>4042</v>
      </c>
      <c r="O752">
        <v>61</v>
      </c>
      <c r="P752">
        <v>219461.53</v>
      </c>
      <c r="Q752" t="b">
        <v>0</v>
      </c>
      <c r="R752" t="b">
        <v>1</v>
      </c>
      <c r="S752" t="b">
        <v>0</v>
      </c>
      <c r="T752" t="b">
        <v>0</v>
      </c>
      <c r="U752">
        <v>1</v>
      </c>
      <c r="V752" t="s">
        <v>4073</v>
      </c>
    </row>
    <row r="753" spans="1:22" hidden="1" x14ac:dyDescent="0.45">
      <c r="A753" s="2" t="s">
        <v>1962</v>
      </c>
      <c r="B753" s="11">
        <v>45662</v>
      </c>
      <c r="C753" s="2" t="s">
        <v>2011</v>
      </c>
      <c r="D753" s="2" t="s">
        <v>2016</v>
      </c>
      <c r="E753">
        <v>58.18</v>
      </c>
      <c r="F753">
        <v>5119.84</v>
      </c>
      <c r="G753">
        <v>0</v>
      </c>
      <c r="H753">
        <v>0</v>
      </c>
      <c r="I753" s="2" t="s">
        <v>2020</v>
      </c>
      <c r="J753" s="2" t="s">
        <v>2029</v>
      </c>
      <c r="K753" s="2" t="s">
        <v>3983</v>
      </c>
      <c r="L753" s="2" t="s">
        <v>4032</v>
      </c>
      <c r="M753">
        <v>-58.18</v>
      </c>
      <c r="N753" s="2" t="s">
        <v>2016</v>
      </c>
      <c r="O753">
        <v>88</v>
      </c>
      <c r="P753">
        <v>-5119.84</v>
      </c>
      <c r="Q753" t="b">
        <v>1</v>
      </c>
      <c r="R753" t="b">
        <v>0</v>
      </c>
      <c r="S753" t="b">
        <v>0</v>
      </c>
      <c r="T753" t="b">
        <v>0</v>
      </c>
      <c r="U753">
        <v>1</v>
      </c>
      <c r="V753" t="s">
        <v>4073</v>
      </c>
    </row>
    <row r="754" spans="1:22" hidden="1" x14ac:dyDescent="0.45">
      <c r="A754" s="2" t="s">
        <v>253</v>
      </c>
      <c r="B754" s="11">
        <v>45060</v>
      </c>
      <c r="C754" s="2" t="s">
        <v>2014</v>
      </c>
      <c r="D754" s="2" t="s">
        <v>2019</v>
      </c>
      <c r="E754">
        <v>0</v>
      </c>
      <c r="F754">
        <v>0</v>
      </c>
      <c r="G754">
        <v>3760.55</v>
      </c>
      <c r="H754">
        <v>210590.80000000002</v>
      </c>
      <c r="I754" s="2" t="s">
        <v>2022</v>
      </c>
      <c r="J754" s="2" t="s">
        <v>2027</v>
      </c>
      <c r="K754" s="2" t="s">
        <v>2274</v>
      </c>
      <c r="L754" s="2" t="s">
        <v>4033</v>
      </c>
      <c r="M754">
        <v>3760.55</v>
      </c>
      <c r="N754" s="2" t="s">
        <v>4042</v>
      </c>
      <c r="O754">
        <v>56</v>
      </c>
      <c r="P754">
        <v>210590.80000000002</v>
      </c>
      <c r="Q754" t="b">
        <v>1</v>
      </c>
      <c r="R754" t="b">
        <v>0</v>
      </c>
      <c r="S754" t="b">
        <v>0</v>
      </c>
      <c r="T754" t="b">
        <v>0</v>
      </c>
      <c r="U754">
        <v>1</v>
      </c>
      <c r="V754" t="s">
        <v>4073</v>
      </c>
    </row>
    <row r="755" spans="1:22" hidden="1" x14ac:dyDescent="0.45">
      <c r="A755" s="2" t="s">
        <v>1749</v>
      </c>
      <c r="B755" s="11">
        <v>45487</v>
      </c>
      <c r="C755" s="2" t="s">
        <v>2014</v>
      </c>
      <c r="D755" s="2" t="s">
        <v>2019</v>
      </c>
      <c r="E755">
        <v>0</v>
      </c>
      <c r="F755">
        <v>0</v>
      </c>
      <c r="G755">
        <v>2023.01</v>
      </c>
      <c r="H755">
        <v>208370.03</v>
      </c>
      <c r="I755" s="2" t="s">
        <v>2023</v>
      </c>
      <c r="J755" s="2" t="s">
        <v>2030</v>
      </c>
      <c r="K755" s="2" t="s">
        <v>3770</v>
      </c>
      <c r="L755" s="2" t="s">
        <v>4031</v>
      </c>
      <c r="M755">
        <v>2023.01</v>
      </c>
      <c r="N755" s="2" t="s">
        <v>4042</v>
      </c>
      <c r="O755">
        <v>103</v>
      </c>
      <c r="P755">
        <v>208370.03</v>
      </c>
      <c r="Q755" t="b">
        <v>1</v>
      </c>
      <c r="R755" t="b">
        <v>0</v>
      </c>
      <c r="S755" t="b">
        <v>0</v>
      </c>
      <c r="T755" t="b">
        <v>0</v>
      </c>
      <c r="U755">
        <v>1</v>
      </c>
      <c r="V755" t="s">
        <v>4073</v>
      </c>
    </row>
    <row r="756" spans="1:22" hidden="1" x14ac:dyDescent="0.45">
      <c r="A756" s="2" t="s">
        <v>537</v>
      </c>
      <c r="B756" s="11">
        <v>45287</v>
      </c>
      <c r="C756" s="2" t="s">
        <v>2011</v>
      </c>
      <c r="D756" s="2" t="s">
        <v>2016</v>
      </c>
      <c r="E756">
        <v>133.86000000000001</v>
      </c>
      <c r="F756">
        <v>11779.68</v>
      </c>
      <c r="G756">
        <v>0</v>
      </c>
      <c r="H756">
        <v>0</v>
      </c>
      <c r="I756" s="2" t="s">
        <v>2025</v>
      </c>
      <c r="J756" s="2" t="s">
        <v>2029</v>
      </c>
      <c r="K756" s="2" t="s">
        <v>2558</v>
      </c>
      <c r="L756" s="2" t="s">
        <v>4032</v>
      </c>
      <c r="M756">
        <v>-133.86000000000001</v>
      </c>
      <c r="N756" s="2" t="s">
        <v>2016</v>
      </c>
      <c r="O756">
        <v>88</v>
      </c>
      <c r="P756">
        <v>-11779.68</v>
      </c>
      <c r="Q756" t="b">
        <v>0</v>
      </c>
      <c r="R756" t="b">
        <v>1</v>
      </c>
      <c r="S756" t="b">
        <v>0</v>
      </c>
      <c r="T756" t="b">
        <v>0</v>
      </c>
      <c r="U756">
        <v>1</v>
      </c>
      <c r="V756" t="s">
        <v>4073</v>
      </c>
    </row>
    <row r="757" spans="1:22" hidden="1" x14ac:dyDescent="0.45">
      <c r="A757" s="2" t="s">
        <v>1796</v>
      </c>
      <c r="B757" s="11">
        <v>45648</v>
      </c>
      <c r="C757" s="2" t="s">
        <v>2011</v>
      </c>
      <c r="D757" s="2" t="s">
        <v>2016</v>
      </c>
      <c r="E757">
        <v>80.23</v>
      </c>
      <c r="F757">
        <v>4894.0300000000007</v>
      </c>
      <c r="G757">
        <v>0</v>
      </c>
      <c r="H757">
        <v>0</v>
      </c>
      <c r="I757" s="2" t="s">
        <v>2021</v>
      </c>
      <c r="J757" s="2" t="s">
        <v>2029</v>
      </c>
      <c r="K757" s="2" t="s">
        <v>3817</v>
      </c>
      <c r="L757" s="2" t="s">
        <v>4035</v>
      </c>
      <c r="M757">
        <v>-80.23</v>
      </c>
      <c r="N757" s="2" t="s">
        <v>2016</v>
      </c>
      <c r="O757">
        <v>61</v>
      </c>
      <c r="P757">
        <v>-4894.0300000000007</v>
      </c>
      <c r="Q757" t="b">
        <v>1</v>
      </c>
      <c r="R757" t="b">
        <v>0</v>
      </c>
      <c r="S757" t="b">
        <v>0</v>
      </c>
      <c r="T757" t="b">
        <v>0</v>
      </c>
      <c r="U757">
        <v>1</v>
      </c>
      <c r="V757" t="s">
        <v>4073</v>
      </c>
    </row>
    <row r="758" spans="1:22" hidden="1" x14ac:dyDescent="0.45">
      <c r="A758" s="2" t="s">
        <v>1650</v>
      </c>
      <c r="B758" s="11">
        <v>45116</v>
      </c>
      <c r="C758" s="2" t="s">
        <v>2013</v>
      </c>
      <c r="D758" s="2" t="s">
        <v>2018</v>
      </c>
      <c r="E758">
        <v>194.16</v>
      </c>
      <c r="F758">
        <v>11843.76</v>
      </c>
      <c r="G758">
        <v>0</v>
      </c>
      <c r="H758">
        <v>0</v>
      </c>
      <c r="I758" s="2" t="s">
        <v>2025</v>
      </c>
      <c r="J758" s="2" t="s">
        <v>2028</v>
      </c>
      <c r="K758" s="2" t="s">
        <v>3671</v>
      </c>
      <c r="L758" s="2" t="s">
        <v>4035</v>
      </c>
      <c r="M758">
        <v>-194.16</v>
      </c>
      <c r="N758" s="2" t="s">
        <v>4044</v>
      </c>
      <c r="O758">
        <v>61</v>
      </c>
      <c r="P758">
        <v>-11843.76</v>
      </c>
      <c r="Q758" t="b">
        <v>1</v>
      </c>
      <c r="R758" t="b">
        <v>0</v>
      </c>
      <c r="S758" t="b">
        <v>0</v>
      </c>
      <c r="T758" t="b">
        <v>0</v>
      </c>
      <c r="U758">
        <v>1</v>
      </c>
      <c r="V758" t="s">
        <v>4073</v>
      </c>
    </row>
    <row r="759" spans="1:22" hidden="1" x14ac:dyDescent="0.45">
      <c r="A759" s="2" t="s">
        <v>105</v>
      </c>
      <c r="B759" s="11">
        <v>45041</v>
      </c>
      <c r="C759" s="2" t="s">
        <v>2014</v>
      </c>
      <c r="D759" s="2" t="s">
        <v>2019</v>
      </c>
      <c r="E759">
        <v>0</v>
      </c>
      <c r="F759">
        <v>0</v>
      </c>
      <c r="G759">
        <v>4889.25</v>
      </c>
      <c r="H759">
        <v>273798</v>
      </c>
      <c r="I759" s="2" t="s">
        <v>2025</v>
      </c>
      <c r="J759" s="2" t="s">
        <v>2027</v>
      </c>
      <c r="K759" s="2" t="s">
        <v>2126</v>
      </c>
      <c r="L759" s="2" t="s">
        <v>4033</v>
      </c>
      <c r="M759">
        <v>4889.25</v>
      </c>
      <c r="N759" s="2" t="s">
        <v>4042</v>
      </c>
      <c r="O759">
        <v>56</v>
      </c>
      <c r="P759">
        <v>273798</v>
      </c>
      <c r="Q759" t="b">
        <v>0</v>
      </c>
      <c r="R759" t="b">
        <v>1</v>
      </c>
      <c r="S759" t="b">
        <v>0</v>
      </c>
      <c r="T759" t="b">
        <v>0</v>
      </c>
      <c r="U759">
        <v>1</v>
      </c>
      <c r="V759" t="s">
        <v>4073</v>
      </c>
    </row>
    <row r="760" spans="1:22" hidden="1" x14ac:dyDescent="0.45">
      <c r="A760" s="2" t="s">
        <v>1975</v>
      </c>
      <c r="B760" s="11">
        <v>45166</v>
      </c>
      <c r="C760" s="2" t="s">
        <v>2010</v>
      </c>
      <c r="D760" s="2" t="s">
        <v>2015</v>
      </c>
      <c r="E760">
        <v>0</v>
      </c>
      <c r="F760">
        <v>0</v>
      </c>
      <c r="G760">
        <v>2658.68</v>
      </c>
      <c r="H760">
        <v>273844.03999999998</v>
      </c>
      <c r="I760" s="2" t="s">
        <v>2025</v>
      </c>
      <c r="J760" s="2" t="s">
        <v>2028</v>
      </c>
      <c r="K760" s="2" t="s">
        <v>3996</v>
      </c>
      <c r="L760" s="2" t="s">
        <v>4031</v>
      </c>
      <c r="M760">
        <v>2658.68</v>
      </c>
      <c r="N760" s="2" t="s">
        <v>4042</v>
      </c>
      <c r="O760">
        <v>103</v>
      </c>
      <c r="P760">
        <v>273844.03999999998</v>
      </c>
      <c r="Q760" t="b">
        <v>0</v>
      </c>
      <c r="R760" t="b">
        <v>1</v>
      </c>
      <c r="S760" t="b">
        <v>0</v>
      </c>
      <c r="T760" t="b">
        <v>0</v>
      </c>
      <c r="U760">
        <v>1</v>
      </c>
      <c r="V760" t="s">
        <v>4073</v>
      </c>
    </row>
    <row r="761" spans="1:22" hidden="1" x14ac:dyDescent="0.45">
      <c r="A761" s="2" t="s">
        <v>737</v>
      </c>
      <c r="B761" s="11">
        <v>45704</v>
      </c>
      <c r="C761" s="2" t="s">
        <v>2010</v>
      </c>
      <c r="D761" s="2" t="s">
        <v>2015</v>
      </c>
      <c r="E761">
        <v>0</v>
      </c>
      <c r="F761">
        <v>0</v>
      </c>
      <c r="G761">
        <v>4903.1499999999996</v>
      </c>
      <c r="H761">
        <v>274576.39999999997</v>
      </c>
      <c r="I761" s="2" t="s">
        <v>2022</v>
      </c>
      <c r="J761" s="2" t="s">
        <v>2028</v>
      </c>
      <c r="K761" s="2" t="s">
        <v>2758</v>
      </c>
      <c r="L761" s="2" t="s">
        <v>4033</v>
      </c>
      <c r="M761">
        <v>4903.1499999999996</v>
      </c>
      <c r="N761" s="2" t="s">
        <v>4042</v>
      </c>
      <c r="O761">
        <v>56</v>
      </c>
      <c r="P761">
        <v>274576.39999999997</v>
      </c>
      <c r="Q761" t="b">
        <v>1</v>
      </c>
      <c r="R761" t="b">
        <v>0</v>
      </c>
      <c r="S761" t="b">
        <v>0</v>
      </c>
      <c r="T761" t="b">
        <v>0</v>
      </c>
      <c r="U761">
        <v>1</v>
      </c>
      <c r="V761" t="s">
        <v>4073</v>
      </c>
    </row>
    <row r="762" spans="1:22" hidden="1" x14ac:dyDescent="0.45">
      <c r="A762" s="2" t="s">
        <v>41</v>
      </c>
      <c r="B762" s="11">
        <v>45416</v>
      </c>
      <c r="C762" s="2" t="s">
        <v>2011</v>
      </c>
      <c r="D762" s="2" t="s">
        <v>2016</v>
      </c>
      <c r="E762">
        <v>72.88</v>
      </c>
      <c r="F762">
        <v>4445.6799999999994</v>
      </c>
      <c r="G762">
        <v>0</v>
      </c>
      <c r="H762">
        <v>0</v>
      </c>
      <c r="I762" s="2" t="s">
        <v>2020</v>
      </c>
      <c r="J762" s="2" t="s">
        <v>2026</v>
      </c>
      <c r="K762" s="2" t="s">
        <v>2062</v>
      </c>
      <c r="L762" s="2" t="s">
        <v>4035</v>
      </c>
      <c r="M762">
        <v>-72.88</v>
      </c>
      <c r="N762" s="2" t="s">
        <v>2016</v>
      </c>
      <c r="O762">
        <v>61</v>
      </c>
      <c r="P762">
        <v>-4445.6799999999994</v>
      </c>
      <c r="Q762" t="b">
        <v>1</v>
      </c>
      <c r="R762" t="b">
        <v>0</v>
      </c>
      <c r="S762" t="b">
        <v>0</v>
      </c>
      <c r="T762" t="b">
        <v>0</v>
      </c>
      <c r="U762">
        <v>1</v>
      </c>
      <c r="V762" t="s">
        <v>4073</v>
      </c>
    </row>
    <row r="763" spans="1:22" hidden="1" x14ac:dyDescent="0.45">
      <c r="A763" s="2" t="s">
        <v>1301</v>
      </c>
      <c r="B763" s="11">
        <v>45354</v>
      </c>
      <c r="C763" s="2" t="s">
        <v>2012</v>
      </c>
      <c r="D763" s="2" t="s">
        <v>2017</v>
      </c>
      <c r="E763">
        <v>1991.48</v>
      </c>
      <c r="F763">
        <v>205122.44</v>
      </c>
      <c r="G763">
        <v>0</v>
      </c>
      <c r="H763">
        <v>0</v>
      </c>
      <c r="I763" s="2" t="s">
        <v>2022</v>
      </c>
      <c r="J763" s="2" t="s">
        <v>2028</v>
      </c>
      <c r="K763" s="2" t="s">
        <v>3322</v>
      </c>
      <c r="L763" s="2" t="s">
        <v>4031</v>
      </c>
      <c r="M763">
        <v>-1991.48</v>
      </c>
      <c r="N763" s="2" t="s">
        <v>4044</v>
      </c>
      <c r="O763">
        <v>103</v>
      </c>
      <c r="P763">
        <v>-205122.44</v>
      </c>
      <c r="Q763" t="b">
        <v>1</v>
      </c>
      <c r="R763" t="b">
        <v>0</v>
      </c>
      <c r="S763" t="b">
        <v>0</v>
      </c>
      <c r="T763" t="b">
        <v>0</v>
      </c>
      <c r="U763">
        <v>1</v>
      </c>
      <c r="V763" t="s">
        <v>4073</v>
      </c>
    </row>
    <row r="764" spans="1:22" hidden="1" x14ac:dyDescent="0.45">
      <c r="A764" s="2" t="s">
        <v>1041</v>
      </c>
      <c r="B764" s="11">
        <v>45499</v>
      </c>
      <c r="C764" s="2" t="s">
        <v>2014</v>
      </c>
      <c r="D764" s="2" t="s">
        <v>2019</v>
      </c>
      <c r="E764">
        <v>0</v>
      </c>
      <c r="F764">
        <v>0</v>
      </c>
      <c r="G764">
        <v>4508.8599999999997</v>
      </c>
      <c r="H764">
        <v>275040.45999999996</v>
      </c>
      <c r="I764" s="2" t="s">
        <v>2022</v>
      </c>
      <c r="J764" s="2" t="s">
        <v>2027</v>
      </c>
      <c r="K764" s="2" t="s">
        <v>3062</v>
      </c>
      <c r="L764" s="2" t="s">
        <v>4035</v>
      </c>
      <c r="M764">
        <v>4508.8599999999997</v>
      </c>
      <c r="N764" s="2" t="s">
        <v>4042</v>
      </c>
      <c r="O764">
        <v>61</v>
      </c>
      <c r="P764">
        <v>275040.45999999996</v>
      </c>
      <c r="Q764" t="b">
        <v>0</v>
      </c>
      <c r="R764" t="b">
        <v>1</v>
      </c>
      <c r="S764" t="b">
        <v>0</v>
      </c>
      <c r="T764" t="b">
        <v>0</v>
      </c>
      <c r="U764">
        <v>1</v>
      </c>
      <c r="V764" t="s">
        <v>4073</v>
      </c>
    </row>
    <row r="765" spans="1:22" hidden="1" x14ac:dyDescent="0.45">
      <c r="A765" s="2" t="s">
        <v>1347</v>
      </c>
      <c r="B765" s="11">
        <v>45696</v>
      </c>
      <c r="C765" s="2" t="s">
        <v>2011</v>
      </c>
      <c r="D765" s="2" t="s">
        <v>2016</v>
      </c>
      <c r="E765">
        <v>1966.73</v>
      </c>
      <c r="F765">
        <v>202573.19</v>
      </c>
      <c r="G765">
        <v>0</v>
      </c>
      <c r="H765">
        <v>0</v>
      </c>
      <c r="I765" s="2" t="s">
        <v>2022</v>
      </c>
      <c r="J765" s="2" t="s">
        <v>2027</v>
      </c>
      <c r="K765" s="2" t="s">
        <v>3368</v>
      </c>
      <c r="L765" s="2" t="s">
        <v>4031</v>
      </c>
      <c r="M765">
        <v>-1966.73</v>
      </c>
      <c r="N765" s="2" t="s">
        <v>2016</v>
      </c>
      <c r="O765">
        <v>103</v>
      </c>
      <c r="P765">
        <v>-202573.19</v>
      </c>
      <c r="Q765" t="b">
        <v>1</v>
      </c>
      <c r="R765" t="b">
        <v>0</v>
      </c>
      <c r="S765" t="b">
        <v>0</v>
      </c>
      <c r="T765" t="b">
        <v>0</v>
      </c>
      <c r="U765">
        <v>1</v>
      </c>
      <c r="V765" t="s">
        <v>4073</v>
      </c>
    </row>
    <row r="766" spans="1:22" hidden="1" x14ac:dyDescent="0.45">
      <c r="A766" s="2" t="s">
        <v>54</v>
      </c>
      <c r="B766" s="11">
        <v>45532</v>
      </c>
      <c r="C766" s="2" t="s">
        <v>2012</v>
      </c>
      <c r="D766" s="2" t="s">
        <v>2017</v>
      </c>
      <c r="E766">
        <v>142.16</v>
      </c>
      <c r="F766">
        <v>12510.08</v>
      </c>
      <c r="G766">
        <v>0</v>
      </c>
      <c r="H766">
        <v>0</v>
      </c>
      <c r="I766" s="2" t="s">
        <v>2025</v>
      </c>
      <c r="J766" s="2" t="s">
        <v>2029</v>
      </c>
      <c r="K766" s="2" t="s">
        <v>2075</v>
      </c>
      <c r="L766" s="2" t="s">
        <v>4032</v>
      </c>
      <c r="M766">
        <v>-142.16</v>
      </c>
      <c r="N766" s="2" t="s">
        <v>4044</v>
      </c>
      <c r="O766">
        <v>88</v>
      </c>
      <c r="P766">
        <v>-12510.08</v>
      </c>
      <c r="Q766" t="b">
        <v>0</v>
      </c>
      <c r="R766" t="b">
        <v>1</v>
      </c>
      <c r="S766" t="b">
        <v>0</v>
      </c>
      <c r="T766" t="b">
        <v>0</v>
      </c>
      <c r="U766">
        <v>1</v>
      </c>
      <c r="V766" t="s">
        <v>4073</v>
      </c>
    </row>
    <row r="767" spans="1:22" hidden="1" x14ac:dyDescent="0.45">
      <c r="A767" s="2" t="s">
        <v>373</v>
      </c>
      <c r="B767" s="11">
        <v>45313</v>
      </c>
      <c r="C767" s="2" t="s">
        <v>2010</v>
      </c>
      <c r="D767" s="2" t="s">
        <v>2015</v>
      </c>
      <c r="E767">
        <v>0</v>
      </c>
      <c r="F767">
        <v>0</v>
      </c>
      <c r="G767">
        <v>4517.55</v>
      </c>
      <c r="H767">
        <v>275570.55</v>
      </c>
      <c r="I767" s="2" t="s">
        <v>2022</v>
      </c>
      <c r="J767" s="2" t="s">
        <v>2028</v>
      </c>
      <c r="K767" s="2" t="s">
        <v>2394</v>
      </c>
      <c r="L767" s="2" t="s">
        <v>4035</v>
      </c>
      <c r="M767">
        <v>4517.55</v>
      </c>
      <c r="N767" s="2" t="s">
        <v>4042</v>
      </c>
      <c r="O767">
        <v>61</v>
      </c>
      <c r="P767">
        <v>275570.55</v>
      </c>
      <c r="Q767" t="b">
        <v>0</v>
      </c>
      <c r="R767" t="b">
        <v>0</v>
      </c>
      <c r="S767" t="b">
        <v>0</v>
      </c>
      <c r="T767" t="b">
        <v>1</v>
      </c>
      <c r="U767">
        <v>1</v>
      </c>
      <c r="V767" t="s">
        <v>4073</v>
      </c>
    </row>
    <row r="768" spans="1:22" hidden="1" x14ac:dyDescent="0.45">
      <c r="A768" s="2" t="s">
        <v>1367</v>
      </c>
      <c r="B768" s="11">
        <v>45667</v>
      </c>
      <c r="C768" s="2" t="s">
        <v>2014</v>
      </c>
      <c r="D768" s="2" t="s">
        <v>2019</v>
      </c>
      <c r="E768">
        <v>0</v>
      </c>
      <c r="F768">
        <v>0</v>
      </c>
      <c r="G768">
        <v>3139.71</v>
      </c>
      <c r="H768">
        <v>276294.48</v>
      </c>
      <c r="I768" s="2" t="s">
        <v>2022</v>
      </c>
      <c r="J768" s="2" t="s">
        <v>2030</v>
      </c>
      <c r="K768" s="2" t="s">
        <v>3388</v>
      </c>
      <c r="L768" s="2" t="s">
        <v>4032</v>
      </c>
      <c r="M768">
        <v>3139.71</v>
      </c>
      <c r="N768" s="2" t="s">
        <v>4042</v>
      </c>
      <c r="O768">
        <v>88</v>
      </c>
      <c r="P768">
        <v>276294.48</v>
      </c>
      <c r="Q768" t="b">
        <v>0</v>
      </c>
      <c r="R768" t="b">
        <v>0</v>
      </c>
      <c r="S768" t="b">
        <v>0</v>
      </c>
      <c r="T768" t="b">
        <v>1</v>
      </c>
      <c r="U768">
        <v>1</v>
      </c>
      <c r="V768" t="s">
        <v>4073</v>
      </c>
    </row>
    <row r="769" spans="1:22" hidden="1" x14ac:dyDescent="0.45">
      <c r="A769" s="2" t="s">
        <v>1437</v>
      </c>
      <c r="B769" s="11">
        <v>45304</v>
      </c>
      <c r="C769" s="2" t="s">
        <v>2010</v>
      </c>
      <c r="D769" s="2" t="s">
        <v>2015</v>
      </c>
      <c r="E769">
        <v>0</v>
      </c>
      <c r="F769">
        <v>0</v>
      </c>
      <c r="G769">
        <v>3293.95</v>
      </c>
      <c r="H769">
        <v>200930.94999999998</v>
      </c>
      <c r="I769" s="2" t="s">
        <v>2024</v>
      </c>
      <c r="J769" s="2" t="s">
        <v>2029</v>
      </c>
      <c r="K769" s="2" t="s">
        <v>3458</v>
      </c>
      <c r="L769" s="2" t="s">
        <v>4035</v>
      </c>
      <c r="M769">
        <v>3293.95</v>
      </c>
      <c r="N769" s="2" t="s">
        <v>4042</v>
      </c>
      <c r="O769">
        <v>61</v>
      </c>
      <c r="P769">
        <v>200930.94999999998</v>
      </c>
      <c r="Q769" t="b">
        <v>1</v>
      </c>
      <c r="R769" t="b">
        <v>0</v>
      </c>
      <c r="S769" t="b">
        <v>0</v>
      </c>
      <c r="T769" t="b">
        <v>0</v>
      </c>
      <c r="U769">
        <v>1</v>
      </c>
      <c r="V769" t="s">
        <v>4073</v>
      </c>
    </row>
    <row r="770" spans="1:22" hidden="1" x14ac:dyDescent="0.45">
      <c r="A770" s="2" t="s">
        <v>597</v>
      </c>
      <c r="B770" s="11">
        <v>45782</v>
      </c>
      <c r="C770" s="2" t="s">
        <v>2014</v>
      </c>
      <c r="D770" s="2" t="s">
        <v>2019</v>
      </c>
      <c r="E770">
        <v>0</v>
      </c>
      <c r="F770">
        <v>0</v>
      </c>
      <c r="G770">
        <v>4533.8</v>
      </c>
      <c r="H770">
        <v>276561.8</v>
      </c>
      <c r="I770" s="2" t="s">
        <v>2025</v>
      </c>
      <c r="J770" s="2" t="s">
        <v>2029</v>
      </c>
      <c r="K770" s="2" t="s">
        <v>2618</v>
      </c>
      <c r="L770" s="2" t="s">
        <v>4035</v>
      </c>
      <c r="M770">
        <v>4533.8</v>
      </c>
      <c r="N770" s="2" t="s">
        <v>4042</v>
      </c>
      <c r="O770">
        <v>61</v>
      </c>
      <c r="P770">
        <v>276561.8</v>
      </c>
      <c r="Q770" t="b">
        <v>0</v>
      </c>
      <c r="R770" t="b">
        <v>0</v>
      </c>
      <c r="S770" t="b">
        <v>0</v>
      </c>
      <c r="T770" t="b">
        <v>1</v>
      </c>
      <c r="U770">
        <v>1</v>
      </c>
      <c r="V770" t="s">
        <v>4073</v>
      </c>
    </row>
    <row r="771" spans="1:22" hidden="1" x14ac:dyDescent="0.45">
      <c r="A771" s="2" t="s">
        <v>1266</v>
      </c>
      <c r="B771" s="11">
        <v>45253</v>
      </c>
      <c r="C771" s="2" t="s">
        <v>2010</v>
      </c>
      <c r="D771" s="2" t="s">
        <v>2015</v>
      </c>
      <c r="E771">
        <v>0</v>
      </c>
      <c r="F771">
        <v>0</v>
      </c>
      <c r="G771">
        <v>3142.85</v>
      </c>
      <c r="H771">
        <v>276570.8</v>
      </c>
      <c r="I771" s="2" t="s">
        <v>2023</v>
      </c>
      <c r="J771" s="2" t="s">
        <v>2030</v>
      </c>
      <c r="K771" s="2" t="s">
        <v>3287</v>
      </c>
      <c r="L771" s="2" t="s">
        <v>4032</v>
      </c>
      <c r="M771">
        <v>3142.85</v>
      </c>
      <c r="N771" s="2" t="s">
        <v>4042</v>
      </c>
      <c r="O771">
        <v>88</v>
      </c>
      <c r="P771">
        <v>276570.8</v>
      </c>
      <c r="Q771" t="b">
        <v>0</v>
      </c>
      <c r="R771" t="b">
        <v>0</v>
      </c>
      <c r="S771" t="b">
        <v>0</v>
      </c>
      <c r="T771" t="b">
        <v>1</v>
      </c>
      <c r="U771">
        <v>1</v>
      </c>
      <c r="V771" t="s">
        <v>4073</v>
      </c>
    </row>
    <row r="772" spans="1:22" hidden="1" x14ac:dyDescent="0.45">
      <c r="A772" s="2" t="s">
        <v>72</v>
      </c>
      <c r="B772" s="11">
        <v>45185</v>
      </c>
      <c r="C772" s="2" t="s">
        <v>2013</v>
      </c>
      <c r="D772" s="2" t="s">
        <v>2018</v>
      </c>
      <c r="E772">
        <v>145.25</v>
      </c>
      <c r="F772">
        <v>12782</v>
      </c>
      <c r="G772">
        <v>0</v>
      </c>
      <c r="H772">
        <v>0</v>
      </c>
      <c r="I772" s="2" t="s">
        <v>2022</v>
      </c>
      <c r="J772" s="2" t="s">
        <v>2027</v>
      </c>
      <c r="K772" s="2" t="s">
        <v>2093</v>
      </c>
      <c r="L772" s="2" t="s">
        <v>4032</v>
      </c>
      <c r="M772">
        <v>-145.25</v>
      </c>
      <c r="N772" s="2" t="s">
        <v>4044</v>
      </c>
      <c r="O772">
        <v>88</v>
      </c>
      <c r="P772">
        <v>-12782</v>
      </c>
      <c r="Q772" t="b">
        <v>1</v>
      </c>
      <c r="R772" t="b">
        <v>0</v>
      </c>
      <c r="S772" t="b">
        <v>0</v>
      </c>
      <c r="T772" t="b">
        <v>0</v>
      </c>
      <c r="U772">
        <v>1</v>
      </c>
      <c r="V772" t="s">
        <v>4073</v>
      </c>
    </row>
    <row r="773" spans="1:22" hidden="1" x14ac:dyDescent="0.45">
      <c r="A773" s="2" t="s">
        <v>1480</v>
      </c>
      <c r="B773" s="11">
        <v>45406</v>
      </c>
      <c r="C773" s="2" t="s">
        <v>2014</v>
      </c>
      <c r="D773" s="2" t="s">
        <v>2019</v>
      </c>
      <c r="E773">
        <v>0</v>
      </c>
      <c r="F773">
        <v>0</v>
      </c>
      <c r="G773">
        <v>4941.29</v>
      </c>
      <c r="H773">
        <v>276712.24</v>
      </c>
      <c r="I773" s="2" t="s">
        <v>2023</v>
      </c>
      <c r="J773" s="2" t="s">
        <v>2029</v>
      </c>
      <c r="K773" s="2" t="s">
        <v>3501</v>
      </c>
      <c r="L773" s="2" t="s">
        <v>4033</v>
      </c>
      <c r="M773">
        <v>4941.29</v>
      </c>
      <c r="N773" s="2" t="s">
        <v>4042</v>
      </c>
      <c r="O773">
        <v>56</v>
      </c>
      <c r="P773">
        <v>276712.24</v>
      </c>
      <c r="Q773" t="b">
        <v>0</v>
      </c>
      <c r="R773" t="b">
        <v>0</v>
      </c>
      <c r="S773" t="b">
        <v>0</v>
      </c>
      <c r="T773" t="b">
        <v>1</v>
      </c>
      <c r="U773">
        <v>1</v>
      </c>
      <c r="V773" t="s">
        <v>4073</v>
      </c>
    </row>
    <row r="774" spans="1:22" hidden="1" x14ac:dyDescent="0.45">
      <c r="A774" s="2" t="s">
        <v>706</v>
      </c>
      <c r="B774" s="11">
        <v>45226</v>
      </c>
      <c r="C774" s="2" t="s">
        <v>2014</v>
      </c>
      <c r="D774" s="2" t="s">
        <v>2019</v>
      </c>
      <c r="E774">
        <v>0</v>
      </c>
      <c r="F774">
        <v>0</v>
      </c>
      <c r="G774">
        <v>3086.33</v>
      </c>
      <c r="H774">
        <v>271597.03999999998</v>
      </c>
      <c r="I774" s="2" t="s">
        <v>2021</v>
      </c>
      <c r="J774" s="2" t="s">
        <v>2028</v>
      </c>
      <c r="K774" s="2" t="s">
        <v>2727</v>
      </c>
      <c r="L774" s="2" t="s">
        <v>4032</v>
      </c>
      <c r="M774">
        <v>3086.33</v>
      </c>
      <c r="N774" s="2" t="s">
        <v>4042</v>
      </c>
      <c r="O774">
        <v>88</v>
      </c>
      <c r="P774">
        <v>271597.03999999998</v>
      </c>
      <c r="Q774" t="b">
        <v>0</v>
      </c>
      <c r="R774" t="b">
        <v>1</v>
      </c>
      <c r="S774" t="b">
        <v>0</v>
      </c>
      <c r="T774" t="b">
        <v>0</v>
      </c>
      <c r="U774">
        <v>1</v>
      </c>
      <c r="V774" t="s">
        <v>4073</v>
      </c>
    </row>
    <row r="775" spans="1:22" hidden="1" x14ac:dyDescent="0.45">
      <c r="A775" s="2" t="s">
        <v>287</v>
      </c>
      <c r="B775" s="11">
        <v>45775</v>
      </c>
      <c r="C775" s="2" t="s">
        <v>2012</v>
      </c>
      <c r="D775" s="2" t="s">
        <v>2017</v>
      </c>
      <c r="E775">
        <v>85.24</v>
      </c>
      <c r="F775">
        <v>5199.6399999999994</v>
      </c>
      <c r="G775">
        <v>0</v>
      </c>
      <c r="H775">
        <v>0</v>
      </c>
      <c r="I775" s="2" t="s">
        <v>2024</v>
      </c>
      <c r="J775" s="2" t="s">
        <v>2029</v>
      </c>
      <c r="K775" s="2" t="s">
        <v>2308</v>
      </c>
      <c r="L775" s="2" t="s">
        <v>4035</v>
      </c>
      <c r="M775">
        <v>-85.24</v>
      </c>
      <c r="N775" s="2" t="s">
        <v>4044</v>
      </c>
      <c r="O775">
        <v>61</v>
      </c>
      <c r="P775">
        <v>-5199.6399999999994</v>
      </c>
      <c r="Q775" t="b">
        <v>0</v>
      </c>
      <c r="R775" t="b">
        <v>1</v>
      </c>
      <c r="S775" t="b">
        <v>0</v>
      </c>
      <c r="T775" t="b">
        <v>0</v>
      </c>
      <c r="U775">
        <v>1</v>
      </c>
      <c r="V775" t="s">
        <v>4073</v>
      </c>
    </row>
    <row r="776" spans="1:22" hidden="1" x14ac:dyDescent="0.45">
      <c r="A776" s="2" t="s">
        <v>705</v>
      </c>
      <c r="B776" s="11">
        <v>45634</v>
      </c>
      <c r="C776" s="2" t="s">
        <v>2014</v>
      </c>
      <c r="D776" s="2" t="s">
        <v>2019</v>
      </c>
      <c r="E776">
        <v>0</v>
      </c>
      <c r="F776">
        <v>0</v>
      </c>
      <c r="G776">
        <v>2401.06</v>
      </c>
      <c r="H776">
        <v>211293.28</v>
      </c>
      <c r="I776" s="2" t="s">
        <v>2020</v>
      </c>
      <c r="J776" s="2" t="s">
        <v>2026</v>
      </c>
      <c r="K776" s="2" t="s">
        <v>2726</v>
      </c>
      <c r="L776" s="2" t="s">
        <v>4032</v>
      </c>
      <c r="M776">
        <v>2401.06</v>
      </c>
      <c r="N776" s="2" t="s">
        <v>4042</v>
      </c>
      <c r="O776">
        <v>88</v>
      </c>
      <c r="P776">
        <v>211293.28</v>
      </c>
      <c r="Q776" t="b">
        <v>1</v>
      </c>
      <c r="R776" t="b">
        <v>0</v>
      </c>
      <c r="S776" t="b">
        <v>0</v>
      </c>
      <c r="T776" t="b">
        <v>0</v>
      </c>
      <c r="U776">
        <v>1</v>
      </c>
      <c r="V776" t="s">
        <v>4073</v>
      </c>
    </row>
    <row r="777" spans="1:22" hidden="1" x14ac:dyDescent="0.45">
      <c r="A777" s="2" t="s">
        <v>630</v>
      </c>
      <c r="B777" s="11">
        <v>45696</v>
      </c>
      <c r="C777" s="2" t="s">
        <v>2010</v>
      </c>
      <c r="D777" s="2" t="s">
        <v>2015</v>
      </c>
      <c r="E777">
        <v>0</v>
      </c>
      <c r="F777">
        <v>0</v>
      </c>
      <c r="G777">
        <v>2058.4</v>
      </c>
      <c r="H777">
        <v>212015.2</v>
      </c>
      <c r="I777" s="2" t="s">
        <v>2022</v>
      </c>
      <c r="J777" s="2" t="s">
        <v>2029</v>
      </c>
      <c r="K777" s="2" t="s">
        <v>2651</v>
      </c>
      <c r="L777" s="2" t="s">
        <v>4031</v>
      </c>
      <c r="M777">
        <v>2058.4</v>
      </c>
      <c r="N777" s="2" t="s">
        <v>4042</v>
      </c>
      <c r="O777">
        <v>103</v>
      </c>
      <c r="P777">
        <v>212015.2</v>
      </c>
      <c r="Q777" t="b">
        <v>1</v>
      </c>
      <c r="R777" t="b">
        <v>0</v>
      </c>
      <c r="S777" t="b">
        <v>0</v>
      </c>
      <c r="T777" t="b">
        <v>0</v>
      </c>
      <c r="U777">
        <v>1</v>
      </c>
      <c r="V777" t="s">
        <v>4073</v>
      </c>
    </row>
    <row r="778" spans="1:22" hidden="1" x14ac:dyDescent="0.45">
      <c r="A778" s="2" t="s">
        <v>938</v>
      </c>
      <c r="B778" s="11">
        <v>44951</v>
      </c>
      <c r="C778" s="2" t="s">
        <v>2013</v>
      </c>
      <c r="D778" s="2" t="s">
        <v>2018</v>
      </c>
      <c r="E778">
        <v>79.59</v>
      </c>
      <c r="F778">
        <v>6526.38</v>
      </c>
      <c r="G778">
        <v>0</v>
      </c>
      <c r="H778">
        <v>0</v>
      </c>
      <c r="I778" s="2" t="s">
        <v>2020</v>
      </c>
      <c r="J778" s="2" t="s">
        <v>2027</v>
      </c>
      <c r="K778" s="2" t="s">
        <v>2959</v>
      </c>
      <c r="L778" s="2" t="s">
        <v>4034</v>
      </c>
      <c r="M778">
        <v>-79.59</v>
      </c>
      <c r="N778" s="2" t="s">
        <v>4044</v>
      </c>
      <c r="O778">
        <v>82</v>
      </c>
      <c r="P778">
        <v>-6526.38</v>
      </c>
      <c r="Q778" t="b">
        <v>0</v>
      </c>
      <c r="R778" t="b">
        <v>1</v>
      </c>
      <c r="S778" t="b">
        <v>0</v>
      </c>
      <c r="T778" t="b">
        <v>0</v>
      </c>
      <c r="U778">
        <v>1</v>
      </c>
      <c r="V778" t="s">
        <v>4073</v>
      </c>
    </row>
    <row r="779" spans="1:22" hidden="1" x14ac:dyDescent="0.45">
      <c r="A779" s="2" t="s">
        <v>876</v>
      </c>
      <c r="B779" s="11">
        <v>45044</v>
      </c>
      <c r="C779" s="2" t="s">
        <v>2012</v>
      </c>
      <c r="D779" s="2" t="s">
        <v>2017</v>
      </c>
      <c r="E779">
        <v>77.790000000000006</v>
      </c>
      <c r="F779">
        <v>6378.7800000000007</v>
      </c>
      <c r="G779">
        <v>0</v>
      </c>
      <c r="H779">
        <v>0</v>
      </c>
      <c r="I779" s="2" t="s">
        <v>2023</v>
      </c>
      <c r="J779" s="2" t="s">
        <v>2029</v>
      </c>
      <c r="K779" s="2" t="s">
        <v>2897</v>
      </c>
      <c r="L779" s="2" t="s">
        <v>4034</v>
      </c>
      <c r="M779">
        <v>-77.790000000000006</v>
      </c>
      <c r="N779" s="2" t="s">
        <v>4044</v>
      </c>
      <c r="O779">
        <v>82</v>
      </c>
      <c r="P779">
        <v>-6378.7800000000007</v>
      </c>
      <c r="Q779" t="b">
        <v>0</v>
      </c>
      <c r="R779" t="b">
        <v>1</v>
      </c>
      <c r="S779" t="b">
        <v>0</v>
      </c>
      <c r="T779" t="b">
        <v>0</v>
      </c>
      <c r="U779">
        <v>1</v>
      </c>
      <c r="V779" t="s">
        <v>4073</v>
      </c>
    </row>
    <row r="780" spans="1:22" hidden="1" x14ac:dyDescent="0.45">
      <c r="A780" s="2" t="s">
        <v>1802</v>
      </c>
      <c r="B780" s="11">
        <v>45624</v>
      </c>
      <c r="C780" s="2" t="s">
        <v>2010</v>
      </c>
      <c r="D780" s="2" t="s">
        <v>2015</v>
      </c>
      <c r="E780">
        <v>0</v>
      </c>
      <c r="F780">
        <v>0</v>
      </c>
      <c r="G780">
        <v>2987.63</v>
      </c>
      <c r="H780">
        <v>262911.44</v>
      </c>
      <c r="I780" s="2" t="s">
        <v>2021</v>
      </c>
      <c r="J780" s="2" t="s">
        <v>2028</v>
      </c>
      <c r="K780" s="2" t="s">
        <v>3823</v>
      </c>
      <c r="L780" s="2" t="s">
        <v>4032</v>
      </c>
      <c r="M780">
        <v>2987.63</v>
      </c>
      <c r="N780" s="2" t="s">
        <v>4042</v>
      </c>
      <c r="O780">
        <v>88</v>
      </c>
      <c r="P780">
        <v>262911.44</v>
      </c>
      <c r="Q780" t="b">
        <v>0</v>
      </c>
      <c r="R780" t="b">
        <v>1</v>
      </c>
      <c r="S780" t="b">
        <v>0</v>
      </c>
      <c r="T780" t="b">
        <v>0</v>
      </c>
      <c r="U780">
        <v>1</v>
      </c>
      <c r="V780" t="s">
        <v>4073</v>
      </c>
    </row>
    <row r="781" spans="1:22" hidden="1" x14ac:dyDescent="0.45">
      <c r="A781" s="2" t="s">
        <v>296</v>
      </c>
      <c r="B781" s="11">
        <v>45622</v>
      </c>
      <c r="C781" s="2" t="s">
        <v>2010</v>
      </c>
      <c r="D781" s="2" t="s">
        <v>2015</v>
      </c>
      <c r="E781">
        <v>0</v>
      </c>
      <c r="F781">
        <v>0</v>
      </c>
      <c r="G781">
        <v>3004.12</v>
      </c>
      <c r="H781">
        <v>264362.56</v>
      </c>
      <c r="I781" s="2" t="s">
        <v>2020</v>
      </c>
      <c r="J781" s="2" t="s">
        <v>2029</v>
      </c>
      <c r="K781" s="2" t="s">
        <v>2317</v>
      </c>
      <c r="L781" s="2" t="s">
        <v>4032</v>
      </c>
      <c r="M781">
        <v>3004.12</v>
      </c>
      <c r="N781" s="2" t="s">
        <v>4042</v>
      </c>
      <c r="O781">
        <v>88</v>
      </c>
      <c r="P781">
        <v>264362.56</v>
      </c>
      <c r="Q781" t="b">
        <v>0</v>
      </c>
      <c r="R781" t="b">
        <v>1</v>
      </c>
      <c r="S781" t="b">
        <v>0</v>
      </c>
      <c r="T781" t="b">
        <v>0</v>
      </c>
      <c r="U781">
        <v>1</v>
      </c>
      <c r="V781" t="s">
        <v>4073</v>
      </c>
    </row>
    <row r="782" spans="1:22" hidden="1" x14ac:dyDescent="0.45">
      <c r="A782" s="2" t="s">
        <v>590</v>
      </c>
      <c r="B782" s="11">
        <v>45829</v>
      </c>
      <c r="C782" s="2" t="s">
        <v>2011</v>
      </c>
      <c r="D782" s="2" t="s">
        <v>2016</v>
      </c>
      <c r="E782">
        <v>69.31</v>
      </c>
      <c r="F782">
        <v>5683.42</v>
      </c>
      <c r="G782">
        <v>0</v>
      </c>
      <c r="H782">
        <v>0</v>
      </c>
      <c r="I782" s="2" t="s">
        <v>2020</v>
      </c>
      <c r="J782" s="2" t="s">
        <v>2030</v>
      </c>
      <c r="K782" s="2" t="s">
        <v>2611</v>
      </c>
      <c r="L782" s="2" t="s">
        <v>4034</v>
      </c>
      <c r="M782">
        <v>-69.31</v>
      </c>
      <c r="N782" s="2" t="s">
        <v>2016</v>
      </c>
      <c r="O782">
        <v>82</v>
      </c>
      <c r="P782">
        <v>-5683.42</v>
      </c>
      <c r="Q782" t="b">
        <v>1</v>
      </c>
      <c r="R782" t="b">
        <v>0</v>
      </c>
      <c r="S782" t="b">
        <v>0</v>
      </c>
      <c r="T782" t="b">
        <v>0</v>
      </c>
      <c r="U782">
        <v>1</v>
      </c>
      <c r="V782" t="s">
        <v>4073</v>
      </c>
    </row>
    <row r="783" spans="1:22" hidden="1" x14ac:dyDescent="0.45">
      <c r="A783" s="2" t="s">
        <v>1089</v>
      </c>
      <c r="B783" s="11">
        <v>45470</v>
      </c>
      <c r="C783" s="2" t="s">
        <v>2012</v>
      </c>
      <c r="D783" s="2" t="s">
        <v>2017</v>
      </c>
      <c r="E783">
        <v>67.150000000000006</v>
      </c>
      <c r="F783">
        <v>5506.3</v>
      </c>
      <c r="G783">
        <v>0</v>
      </c>
      <c r="H783">
        <v>0</v>
      </c>
      <c r="I783" s="2" t="s">
        <v>2023</v>
      </c>
      <c r="J783" s="2" t="s">
        <v>2027</v>
      </c>
      <c r="K783" s="2" t="s">
        <v>3110</v>
      </c>
      <c r="L783" s="2" t="s">
        <v>4034</v>
      </c>
      <c r="M783">
        <v>-67.150000000000006</v>
      </c>
      <c r="N783" s="2" t="s">
        <v>4044</v>
      </c>
      <c r="O783">
        <v>82</v>
      </c>
      <c r="P783">
        <v>-5506.3</v>
      </c>
      <c r="Q783" t="b">
        <v>0</v>
      </c>
      <c r="R783" t="b">
        <v>1</v>
      </c>
      <c r="S783" t="b">
        <v>0</v>
      </c>
      <c r="T783" t="b">
        <v>0</v>
      </c>
      <c r="U783">
        <v>1</v>
      </c>
      <c r="V783" t="s">
        <v>4073</v>
      </c>
    </row>
    <row r="784" spans="1:22" hidden="1" x14ac:dyDescent="0.45">
      <c r="A784" s="2" t="s">
        <v>955</v>
      </c>
      <c r="B784" s="11">
        <v>45440</v>
      </c>
      <c r="C784" s="2" t="s">
        <v>2012</v>
      </c>
      <c r="D784" s="2" t="s">
        <v>2017</v>
      </c>
      <c r="E784">
        <v>202.11</v>
      </c>
      <c r="F784">
        <v>11318.16</v>
      </c>
      <c r="G784">
        <v>0</v>
      </c>
      <c r="H784">
        <v>0</v>
      </c>
      <c r="I784" s="2" t="s">
        <v>2021</v>
      </c>
      <c r="J784" s="2" t="s">
        <v>2027</v>
      </c>
      <c r="K784" s="2" t="s">
        <v>2976</v>
      </c>
      <c r="L784" s="2" t="s">
        <v>4033</v>
      </c>
      <c r="M784">
        <v>-202.11</v>
      </c>
      <c r="N784" s="2" t="s">
        <v>4044</v>
      </c>
      <c r="O784">
        <v>56</v>
      </c>
      <c r="P784">
        <v>-11318.16</v>
      </c>
      <c r="Q784" t="b">
        <v>0</v>
      </c>
      <c r="R784" t="b">
        <v>1</v>
      </c>
      <c r="S784" t="b">
        <v>0</v>
      </c>
      <c r="T784" t="b">
        <v>0</v>
      </c>
      <c r="U784">
        <v>1</v>
      </c>
      <c r="V784" t="s">
        <v>4073</v>
      </c>
    </row>
    <row r="785" spans="1:22" hidden="1" x14ac:dyDescent="0.45">
      <c r="A785" s="2" t="s">
        <v>1976</v>
      </c>
      <c r="B785" s="11">
        <v>45195</v>
      </c>
      <c r="C785" s="2" t="s">
        <v>2014</v>
      </c>
      <c r="D785" s="2" t="s">
        <v>2019</v>
      </c>
      <c r="E785">
        <v>0</v>
      </c>
      <c r="F785">
        <v>0</v>
      </c>
      <c r="G785">
        <v>4776.24</v>
      </c>
      <c r="H785">
        <v>267469.44</v>
      </c>
      <c r="I785" s="2" t="s">
        <v>2021</v>
      </c>
      <c r="J785" s="2" t="s">
        <v>2028</v>
      </c>
      <c r="K785" s="2" t="s">
        <v>3997</v>
      </c>
      <c r="L785" s="2" t="s">
        <v>4033</v>
      </c>
      <c r="M785">
        <v>4776.24</v>
      </c>
      <c r="N785" s="2" t="s">
        <v>4042</v>
      </c>
      <c r="O785">
        <v>56</v>
      </c>
      <c r="P785">
        <v>267469.44</v>
      </c>
      <c r="Q785" t="b">
        <v>0</v>
      </c>
      <c r="R785" t="b">
        <v>1</v>
      </c>
      <c r="S785" t="b">
        <v>0</v>
      </c>
      <c r="T785" t="b">
        <v>0</v>
      </c>
      <c r="U785">
        <v>1</v>
      </c>
      <c r="V785" t="s">
        <v>4073</v>
      </c>
    </row>
    <row r="786" spans="1:22" hidden="1" x14ac:dyDescent="0.45">
      <c r="A786" s="2" t="s">
        <v>890</v>
      </c>
      <c r="B786" s="11">
        <v>45479</v>
      </c>
      <c r="C786" s="2" t="s">
        <v>2014</v>
      </c>
      <c r="D786" s="2" t="s">
        <v>2019</v>
      </c>
      <c r="E786">
        <v>0</v>
      </c>
      <c r="F786">
        <v>0</v>
      </c>
      <c r="G786">
        <v>2640.87</v>
      </c>
      <c r="H786">
        <v>216551.34</v>
      </c>
      <c r="I786" s="2" t="s">
        <v>2022</v>
      </c>
      <c r="J786" s="2" t="s">
        <v>2026</v>
      </c>
      <c r="K786" s="2" t="s">
        <v>2911</v>
      </c>
      <c r="L786" s="2" t="s">
        <v>4034</v>
      </c>
      <c r="M786">
        <v>2640.87</v>
      </c>
      <c r="N786" s="2" t="s">
        <v>4042</v>
      </c>
      <c r="O786">
        <v>82</v>
      </c>
      <c r="P786">
        <v>216551.34</v>
      </c>
      <c r="Q786" t="b">
        <v>1</v>
      </c>
      <c r="R786" t="b">
        <v>0</v>
      </c>
      <c r="S786" t="b">
        <v>0</v>
      </c>
      <c r="T786" t="b">
        <v>0</v>
      </c>
      <c r="U786">
        <v>1</v>
      </c>
      <c r="V786" t="s">
        <v>4073</v>
      </c>
    </row>
    <row r="787" spans="1:22" hidden="1" x14ac:dyDescent="0.45">
      <c r="A787" s="2" t="s">
        <v>1217</v>
      </c>
      <c r="B787" s="11">
        <v>45220</v>
      </c>
      <c r="C787" s="2" t="s">
        <v>2014</v>
      </c>
      <c r="D787" s="2" t="s">
        <v>2019</v>
      </c>
      <c r="E787">
        <v>0</v>
      </c>
      <c r="F787">
        <v>0</v>
      </c>
      <c r="G787">
        <v>2600.9699999999998</v>
      </c>
      <c r="H787">
        <v>267899.90999999997</v>
      </c>
      <c r="I787" s="2" t="s">
        <v>2022</v>
      </c>
      <c r="J787" s="2" t="s">
        <v>2027</v>
      </c>
      <c r="K787" s="2" t="s">
        <v>3238</v>
      </c>
      <c r="L787" s="2" t="s">
        <v>4031</v>
      </c>
      <c r="M787">
        <v>2600.9699999999998</v>
      </c>
      <c r="N787" s="2" t="s">
        <v>4042</v>
      </c>
      <c r="O787">
        <v>103</v>
      </c>
      <c r="P787">
        <v>267899.90999999997</v>
      </c>
      <c r="Q787" t="b">
        <v>1</v>
      </c>
      <c r="R787" t="b">
        <v>0</v>
      </c>
      <c r="S787" t="b">
        <v>0</v>
      </c>
      <c r="T787" t="b">
        <v>0</v>
      </c>
      <c r="U787">
        <v>1</v>
      </c>
      <c r="V787" t="s">
        <v>4073</v>
      </c>
    </row>
    <row r="788" spans="1:22" hidden="1" x14ac:dyDescent="0.45">
      <c r="A788" s="2" t="s">
        <v>550</v>
      </c>
      <c r="B788" s="11">
        <v>45687</v>
      </c>
      <c r="C788" s="2" t="s">
        <v>2014</v>
      </c>
      <c r="D788" s="2" t="s">
        <v>2019</v>
      </c>
      <c r="E788">
        <v>0</v>
      </c>
      <c r="F788">
        <v>0</v>
      </c>
      <c r="G788">
        <v>2119.27</v>
      </c>
      <c r="H788">
        <v>173780.13999999998</v>
      </c>
      <c r="I788" s="2" t="s">
        <v>2020</v>
      </c>
      <c r="J788" s="2" t="s">
        <v>2026</v>
      </c>
      <c r="K788" s="2" t="s">
        <v>2571</v>
      </c>
      <c r="L788" s="2" t="s">
        <v>4034</v>
      </c>
      <c r="M788">
        <v>2119.27</v>
      </c>
      <c r="N788" s="2" t="s">
        <v>4042</v>
      </c>
      <c r="O788">
        <v>82</v>
      </c>
      <c r="P788">
        <v>173780.13999999998</v>
      </c>
      <c r="Q788" t="b">
        <v>0</v>
      </c>
      <c r="R788" t="b">
        <v>1</v>
      </c>
      <c r="S788" t="b">
        <v>0</v>
      </c>
      <c r="T788" t="b">
        <v>0</v>
      </c>
      <c r="U788">
        <v>1</v>
      </c>
      <c r="V788" t="s">
        <v>4073</v>
      </c>
    </row>
    <row r="789" spans="1:22" hidden="1" x14ac:dyDescent="0.45">
      <c r="A789" s="2" t="s">
        <v>1973</v>
      </c>
      <c r="B789" s="11">
        <v>45713</v>
      </c>
      <c r="C789" s="2" t="s">
        <v>2014</v>
      </c>
      <c r="D789" s="2" t="s">
        <v>2019</v>
      </c>
      <c r="E789">
        <v>0</v>
      </c>
      <c r="F789">
        <v>0</v>
      </c>
      <c r="G789">
        <v>2609.17</v>
      </c>
      <c r="H789">
        <v>268744.51</v>
      </c>
      <c r="I789" s="2" t="s">
        <v>2021</v>
      </c>
      <c r="J789" s="2" t="s">
        <v>2026</v>
      </c>
      <c r="K789" s="2" t="s">
        <v>3994</v>
      </c>
      <c r="L789" s="2" t="s">
        <v>4031</v>
      </c>
      <c r="M789">
        <v>2609.17</v>
      </c>
      <c r="N789" s="2" t="s">
        <v>4042</v>
      </c>
      <c r="O789">
        <v>103</v>
      </c>
      <c r="P789">
        <v>268744.51</v>
      </c>
      <c r="Q789" t="b">
        <v>0</v>
      </c>
      <c r="R789" t="b">
        <v>1</v>
      </c>
      <c r="S789" t="b">
        <v>0</v>
      </c>
      <c r="T789" t="b">
        <v>0</v>
      </c>
      <c r="U789">
        <v>1</v>
      </c>
      <c r="V789" t="s">
        <v>4073</v>
      </c>
    </row>
    <row r="790" spans="1:22" hidden="1" x14ac:dyDescent="0.45">
      <c r="A790" s="2" t="s">
        <v>1392</v>
      </c>
      <c r="B790" s="11">
        <v>45599</v>
      </c>
      <c r="C790" s="2" t="s">
        <v>2013</v>
      </c>
      <c r="D790" s="2" t="s">
        <v>2018</v>
      </c>
      <c r="E790">
        <v>129.62</v>
      </c>
      <c r="F790">
        <v>11406.560000000001</v>
      </c>
      <c r="G790">
        <v>0</v>
      </c>
      <c r="H790">
        <v>0</v>
      </c>
      <c r="I790" s="2" t="s">
        <v>2024</v>
      </c>
      <c r="J790" s="2" t="s">
        <v>2026</v>
      </c>
      <c r="K790" s="2" t="s">
        <v>3413</v>
      </c>
      <c r="L790" s="2" t="s">
        <v>4032</v>
      </c>
      <c r="M790">
        <v>-129.62</v>
      </c>
      <c r="N790" s="2" t="s">
        <v>4044</v>
      </c>
      <c r="O790">
        <v>88</v>
      </c>
      <c r="P790">
        <v>-11406.560000000001</v>
      </c>
      <c r="Q790" t="b">
        <v>1</v>
      </c>
      <c r="R790" t="b">
        <v>0</v>
      </c>
      <c r="S790" t="b">
        <v>0</v>
      </c>
      <c r="T790" t="b">
        <v>0</v>
      </c>
      <c r="U790">
        <v>1</v>
      </c>
      <c r="V790" t="s">
        <v>4073</v>
      </c>
    </row>
    <row r="791" spans="1:22" hidden="1" x14ac:dyDescent="0.45">
      <c r="A791" s="2" t="s">
        <v>827</v>
      </c>
      <c r="B791" s="11">
        <v>45376</v>
      </c>
      <c r="C791" s="2" t="s">
        <v>2010</v>
      </c>
      <c r="D791" s="2" t="s">
        <v>2015</v>
      </c>
      <c r="E791">
        <v>0</v>
      </c>
      <c r="F791">
        <v>0</v>
      </c>
      <c r="G791">
        <v>3540.18</v>
      </c>
      <c r="H791">
        <v>215950.97999999998</v>
      </c>
      <c r="I791" s="2" t="s">
        <v>2023</v>
      </c>
      <c r="J791" s="2" t="s">
        <v>2026</v>
      </c>
      <c r="K791" s="2" t="s">
        <v>2848</v>
      </c>
      <c r="L791" s="2" t="s">
        <v>4035</v>
      </c>
      <c r="M791">
        <v>3540.18</v>
      </c>
      <c r="N791" s="2" t="s">
        <v>4042</v>
      </c>
      <c r="O791">
        <v>61</v>
      </c>
      <c r="P791">
        <v>215950.97999999998</v>
      </c>
      <c r="Q791" t="b">
        <v>0</v>
      </c>
      <c r="R791" t="b">
        <v>1</v>
      </c>
      <c r="S791" t="b">
        <v>0</v>
      </c>
      <c r="T791" t="b">
        <v>0</v>
      </c>
      <c r="U791">
        <v>1</v>
      </c>
      <c r="V791" t="s">
        <v>4073</v>
      </c>
    </row>
    <row r="792" spans="1:22" hidden="1" x14ac:dyDescent="0.45">
      <c r="A792" s="2" t="s">
        <v>631</v>
      </c>
      <c r="B792" s="11">
        <v>45669</v>
      </c>
      <c r="C792" s="2" t="s">
        <v>2010</v>
      </c>
      <c r="D792" s="2" t="s">
        <v>2015</v>
      </c>
      <c r="E792">
        <v>0</v>
      </c>
      <c r="F792">
        <v>0</v>
      </c>
      <c r="G792">
        <v>203.81</v>
      </c>
      <c r="H792">
        <v>11413.36</v>
      </c>
      <c r="I792" s="2" t="s">
        <v>2025</v>
      </c>
      <c r="J792" s="2" t="s">
        <v>2026</v>
      </c>
      <c r="K792" s="2" t="s">
        <v>2652</v>
      </c>
      <c r="L792" s="2" t="s">
        <v>4033</v>
      </c>
      <c r="M792">
        <v>203.81</v>
      </c>
      <c r="N792" s="2" t="s">
        <v>4042</v>
      </c>
      <c r="O792">
        <v>56</v>
      </c>
      <c r="P792">
        <v>11413.36</v>
      </c>
      <c r="Q792" t="b">
        <v>1</v>
      </c>
      <c r="R792" t="b">
        <v>0</v>
      </c>
      <c r="S792" t="b">
        <v>0</v>
      </c>
      <c r="T792" t="b">
        <v>0</v>
      </c>
      <c r="U792">
        <v>1</v>
      </c>
      <c r="V792" t="s">
        <v>4073</v>
      </c>
    </row>
    <row r="793" spans="1:22" hidden="1" x14ac:dyDescent="0.45">
      <c r="A793" s="2" t="s">
        <v>703</v>
      </c>
      <c r="B793" s="11">
        <v>45025</v>
      </c>
      <c r="C793" s="2" t="s">
        <v>2012</v>
      </c>
      <c r="D793" s="2" t="s">
        <v>2017</v>
      </c>
      <c r="E793">
        <v>130.63999999999999</v>
      </c>
      <c r="F793">
        <v>11496.32</v>
      </c>
      <c r="G793">
        <v>0</v>
      </c>
      <c r="H793">
        <v>0</v>
      </c>
      <c r="I793" s="2" t="s">
        <v>2024</v>
      </c>
      <c r="J793" s="2" t="s">
        <v>2026</v>
      </c>
      <c r="K793" s="2" t="s">
        <v>2724</v>
      </c>
      <c r="L793" s="2" t="s">
        <v>4032</v>
      </c>
      <c r="M793">
        <v>-130.63999999999999</v>
      </c>
      <c r="N793" s="2" t="s">
        <v>4044</v>
      </c>
      <c r="O793">
        <v>88</v>
      </c>
      <c r="P793">
        <v>-11496.32</v>
      </c>
      <c r="Q793" t="b">
        <v>1</v>
      </c>
      <c r="R793" t="b">
        <v>0</v>
      </c>
      <c r="S793" t="b">
        <v>0</v>
      </c>
      <c r="T793" t="b">
        <v>0</v>
      </c>
      <c r="U793">
        <v>1</v>
      </c>
      <c r="V793" t="s">
        <v>4073</v>
      </c>
    </row>
    <row r="794" spans="1:22" hidden="1" x14ac:dyDescent="0.45">
      <c r="A794" s="2" t="s">
        <v>1407</v>
      </c>
      <c r="B794" s="11">
        <v>45200</v>
      </c>
      <c r="C794" s="2" t="s">
        <v>2010</v>
      </c>
      <c r="D794" s="2" t="s">
        <v>2015</v>
      </c>
      <c r="E794">
        <v>0</v>
      </c>
      <c r="F794">
        <v>0</v>
      </c>
      <c r="G794">
        <v>3838.99</v>
      </c>
      <c r="H794">
        <v>214983.44</v>
      </c>
      <c r="I794" s="2" t="s">
        <v>2021</v>
      </c>
      <c r="J794" s="2" t="s">
        <v>2027</v>
      </c>
      <c r="K794" s="2" t="s">
        <v>3428</v>
      </c>
      <c r="L794" s="2" t="s">
        <v>4033</v>
      </c>
      <c r="M794">
        <v>3838.99</v>
      </c>
      <c r="N794" s="2" t="s">
        <v>4042</v>
      </c>
      <c r="O794">
        <v>56</v>
      </c>
      <c r="P794">
        <v>214983.44</v>
      </c>
      <c r="Q794" t="b">
        <v>1</v>
      </c>
      <c r="R794" t="b">
        <v>0</v>
      </c>
      <c r="S794" t="b">
        <v>0</v>
      </c>
      <c r="T794" t="b">
        <v>0</v>
      </c>
      <c r="U794">
        <v>1</v>
      </c>
      <c r="V794" t="s">
        <v>4073</v>
      </c>
    </row>
    <row r="795" spans="1:22" hidden="1" x14ac:dyDescent="0.45">
      <c r="A795" s="2" t="s">
        <v>70</v>
      </c>
      <c r="B795" s="11">
        <v>45412</v>
      </c>
      <c r="C795" s="2" t="s">
        <v>2010</v>
      </c>
      <c r="D795" s="2" t="s">
        <v>2015</v>
      </c>
      <c r="E795">
        <v>0</v>
      </c>
      <c r="F795">
        <v>0</v>
      </c>
      <c r="G795">
        <v>3300.5</v>
      </c>
      <c r="H795">
        <v>270641</v>
      </c>
      <c r="I795" s="2" t="s">
        <v>2024</v>
      </c>
      <c r="J795" s="2" t="s">
        <v>2028</v>
      </c>
      <c r="K795" s="2" t="s">
        <v>2091</v>
      </c>
      <c r="L795" s="2" t="s">
        <v>4034</v>
      </c>
      <c r="M795">
        <v>3300.5</v>
      </c>
      <c r="N795" s="2" t="s">
        <v>4042</v>
      </c>
      <c r="O795">
        <v>82</v>
      </c>
      <c r="P795">
        <v>270641</v>
      </c>
      <c r="Q795" t="b">
        <v>0</v>
      </c>
      <c r="R795" t="b">
        <v>1</v>
      </c>
      <c r="S795" t="b">
        <v>0</v>
      </c>
      <c r="T795" t="b">
        <v>0</v>
      </c>
      <c r="U795">
        <v>1</v>
      </c>
      <c r="V795" t="s">
        <v>4073</v>
      </c>
    </row>
    <row r="796" spans="1:22" hidden="1" x14ac:dyDescent="0.45">
      <c r="A796" s="2" t="s">
        <v>935</v>
      </c>
      <c r="B796" s="11">
        <v>45326</v>
      </c>
      <c r="C796" s="2" t="s">
        <v>2014</v>
      </c>
      <c r="D796" s="2" t="s">
        <v>2019</v>
      </c>
      <c r="E796">
        <v>0</v>
      </c>
      <c r="F796">
        <v>0</v>
      </c>
      <c r="G796">
        <v>2071.73</v>
      </c>
      <c r="H796">
        <v>213388.19</v>
      </c>
      <c r="I796" s="2" t="s">
        <v>2024</v>
      </c>
      <c r="J796" s="2" t="s">
        <v>2026</v>
      </c>
      <c r="K796" s="2" t="s">
        <v>2956</v>
      </c>
      <c r="L796" s="2" t="s">
        <v>4031</v>
      </c>
      <c r="M796">
        <v>2071.73</v>
      </c>
      <c r="N796" s="2" t="s">
        <v>4042</v>
      </c>
      <c r="O796">
        <v>103</v>
      </c>
      <c r="P796">
        <v>213388.19</v>
      </c>
      <c r="Q796" t="b">
        <v>1</v>
      </c>
      <c r="R796" t="b">
        <v>0</v>
      </c>
      <c r="S796" t="b">
        <v>0</v>
      </c>
      <c r="T796" t="b">
        <v>0</v>
      </c>
      <c r="U796">
        <v>1</v>
      </c>
      <c r="V796" t="s">
        <v>4073</v>
      </c>
    </row>
    <row r="797" spans="1:22" hidden="1" x14ac:dyDescent="0.45">
      <c r="A797" s="2" t="s">
        <v>408</v>
      </c>
      <c r="B797" s="11">
        <v>44957</v>
      </c>
      <c r="C797" s="2" t="s">
        <v>2011</v>
      </c>
      <c r="D797" s="2" t="s">
        <v>2016</v>
      </c>
      <c r="E797">
        <v>51.54</v>
      </c>
      <c r="F797">
        <v>5308.62</v>
      </c>
      <c r="G797">
        <v>0</v>
      </c>
      <c r="H797">
        <v>0</v>
      </c>
      <c r="I797" s="2" t="s">
        <v>2022</v>
      </c>
      <c r="J797" s="2" t="s">
        <v>2028</v>
      </c>
      <c r="K797" s="2" t="s">
        <v>2429</v>
      </c>
      <c r="L797" s="2" t="s">
        <v>4031</v>
      </c>
      <c r="M797">
        <v>-51.54</v>
      </c>
      <c r="N797" s="2" t="s">
        <v>2016</v>
      </c>
      <c r="O797">
        <v>103</v>
      </c>
      <c r="P797">
        <v>-5308.62</v>
      </c>
      <c r="Q797" t="b">
        <v>0</v>
      </c>
      <c r="R797" t="b">
        <v>1</v>
      </c>
      <c r="S797" t="b">
        <v>0</v>
      </c>
      <c r="T797" t="b">
        <v>0</v>
      </c>
      <c r="U797">
        <v>1</v>
      </c>
      <c r="V797" t="s">
        <v>4073</v>
      </c>
    </row>
    <row r="798" spans="1:22" hidden="1" x14ac:dyDescent="0.45">
      <c r="A798" s="2" t="s">
        <v>1987</v>
      </c>
      <c r="B798" s="11">
        <v>45224</v>
      </c>
      <c r="C798" s="2" t="s">
        <v>2011</v>
      </c>
      <c r="D798" s="2" t="s">
        <v>2016</v>
      </c>
      <c r="E798">
        <v>1626.39</v>
      </c>
      <c r="F798">
        <v>143122.32</v>
      </c>
      <c r="G798">
        <v>0</v>
      </c>
      <c r="H798">
        <v>0</v>
      </c>
      <c r="I798" s="2" t="s">
        <v>2021</v>
      </c>
      <c r="J798" s="2" t="s">
        <v>2029</v>
      </c>
      <c r="K798" s="2" t="s">
        <v>4008</v>
      </c>
      <c r="L798" s="2" t="s">
        <v>4032</v>
      </c>
      <c r="M798">
        <v>-1626.39</v>
      </c>
      <c r="N798" s="2" t="s">
        <v>2016</v>
      </c>
      <c r="O798">
        <v>88</v>
      </c>
      <c r="P798">
        <v>-143122.32</v>
      </c>
      <c r="Q798" t="b">
        <v>0</v>
      </c>
      <c r="R798" t="b">
        <v>1</v>
      </c>
      <c r="S798" t="b">
        <v>0</v>
      </c>
      <c r="T798" t="b">
        <v>0</v>
      </c>
      <c r="U798">
        <v>1</v>
      </c>
      <c r="V798" t="s">
        <v>4073</v>
      </c>
    </row>
    <row r="799" spans="1:22" hidden="1" x14ac:dyDescent="0.45">
      <c r="A799" s="2" t="s">
        <v>1369</v>
      </c>
      <c r="B799" s="11">
        <v>44975</v>
      </c>
      <c r="C799" s="2" t="s">
        <v>2010</v>
      </c>
      <c r="D799" s="2" t="s">
        <v>2015</v>
      </c>
      <c r="E799">
        <v>0</v>
      </c>
      <c r="F799">
        <v>0</v>
      </c>
      <c r="G799">
        <v>2067.23</v>
      </c>
      <c r="H799">
        <v>212924.69</v>
      </c>
      <c r="I799" s="2" t="s">
        <v>2022</v>
      </c>
      <c r="J799" s="2" t="s">
        <v>2029</v>
      </c>
      <c r="K799" s="2" t="s">
        <v>3390</v>
      </c>
      <c r="L799" s="2" t="s">
        <v>4031</v>
      </c>
      <c r="M799">
        <v>2067.23</v>
      </c>
      <c r="N799" s="2" t="s">
        <v>4042</v>
      </c>
      <c r="O799">
        <v>103</v>
      </c>
      <c r="P799">
        <v>212924.69</v>
      </c>
      <c r="Q799" t="b">
        <v>1</v>
      </c>
      <c r="R799" t="b">
        <v>0</v>
      </c>
      <c r="S799" t="b">
        <v>0</v>
      </c>
      <c r="T799" t="b">
        <v>0</v>
      </c>
      <c r="U799">
        <v>1</v>
      </c>
      <c r="V799" t="s">
        <v>4073</v>
      </c>
    </row>
    <row r="800" spans="1:22" hidden="1" x14ac:dyDescent="0.45">
      <c r="A800" s="2" t="s">
        <v>1334</v>
      </c>
      <c r="B800" s="11">
        <v>45171</v>
      </c>
      <c r="C800" s="2" t="s">
        <v>2011</v>
      </c>
      <c r="D800" s="2" t="s">
        <v>2016</v>
      </c>
      <c r="E800">
        <v>97.3</v>
      </c>
      <c r="F800">
        <v>5448.8</v>
      </c>
      <c r="G800">
        <v>0</v>
      </c>
      <c r="H800">
        <v>0</v>
      </c>
      <c r="I800" s="2" t="s">
        <v>2025</v>
      </c>
      <c r="J800" s="2" t="s">
        <v>2026</v>
      </c>
      <c r="K800" s="2" t="s">
        <v>3355</v>
      </c>
      <c r="L800" s="2" t="s">
        <v>4033</v>
      </c>
      <c r="M800">
        <v>-97.3</v>
      </c>
      <c r="N800" s="2" t="s">
        <v>2016</v>
      </c>
      <c r="O800">
        <v>56</v>
      </c>
      <c r="P800">
        <v>-5448.8</v>
      </c>
      <c r="Q800" t="b">
        <v>1</v>
      </c>
      <c r="R800" t="b">
        <v>0</v>
      </c>
      <c r="S800" t="b">
        <v>0</v>
      </c>
      <c r="T800" t="b">
        <v>0</v>
      </c>
      <c r="U800">
        <v>1</v>
      </c>
      <c r="V800" t="s">
        <v>4073</v>
      </c>
    </row>
    <row r="801" spans="1:22" hidden="1" x14ac:dyDescent="0.45">
      <c r="A801" s="2" t="s">
        <v>26</v>
      </c>
      <c r="B801" s="11">
        <v>45722</v>
      </c>
      <c r="C801" s="2" t="s">
        <v>2014</v>
      </c>
      <c r="D801" s="2" t="s">
        <v>2019</v>
      </c>
      <c r="E801">
        <v>0</v>
      </c>
      <c r="F801">
        <v>0</v>
      </c>
      <c r="G801">
        <v>4006.73</v>
      </c>
      <c r="H801">
        <v>352592.24</v>
      </c>
      <c r="I801" s="2" t="s">
        <v>2020</v>
      </c>
      <c r="J801" s="2" t="s">
        <v>2029</v>
      </c>
      <c r="K801" s="2" t="s">
        <v>2047</v>
      </c>
      <c r="L801" s="2" t="s">
        <v>4032</v>
      </c>
      <c r="M801">
        <v>4006.73</v>
      </c>
      <c r="N801" s="2" t="s">
        <v>4042</v>
      </c>
      <c r="O801">
        <v>88</v>
      </c>
      <c r="P801">
        <v>352592.24</v>
      </c>
      <c r="Q801" t="b">
        <v>0</v>
      </c>
      <c r="R801" t="b">
        <v>0</v>
      </c>
      <c r="S801" t="b">
        <v>0</v>
      </c>
      <c r="T801" t="b">
        <v>1</v>
      </c>
      <c r="U801">
        <v>1</v>
      </c>
      <c r="V801" t="s">
        <v>4073</v>
      </c>
    </row>
    <row r="802" spans="1:22" hidden="1" x14ac:dyDescent="0.45">
      <c r="A802" s="2" t="s">
        <v>603</v>
      </c>
      <c r="B802" s="11">
        <v>45278</v>
      </c>
      <c r="C802" s="2" t="s">
        <v>2014</v>
      </c>
      <c r="D802" s="2" t="s">
        <v>2019</v>
      </c>
      <c r="E802">
        <v>0</v>
      </c>
      <c r="F802">
        <v>0</v>
      </c>
      <c r="G802">
        <v>3237.32</v>
      </c>
      <c r="H802">
        <v>333443.96000000002</v>
      </c>
      <c r="I802" s="2" t="s">
        <v>2024</v>
      </c>
      <c r="J802" s="2" t="s">
        <v>2028</v>
      </c>
      <c r="K802" s="2" t="s">
        <v>2624</v>
      </c>
      <c r="L802" s="2" t="s">
        <v>4031</v>
      </c>
      <c r="M802">
        <v>3237.32</v>
      </c>
      <c r="N802" s="2" t="s">
        <v>4042</v>
      </c>
      <c r="O802">
        <v>103</v>
      </c>
      <c r="P802">
        <v>333443.96000000002</v>
      </c>
      <c r="Q802" t="b">
        <v>0</v>
      </c>
      <c r="R802" t="b">
        <v>0</v>
      </c>
      <c r="S802" t="b">
        <v>0</v>
      </c>
      <c r="T802" t="b">
        <v>1</v>
      </c>
      <c r="U802">
        <v>1</v>
      </c>
      <c r="V802" t="s">
        <v>4073</v>
      </c>
    </row>
    <row r="803" spans="1:22" hidden="1" x14ac:dyDescent="0.45">
      <c r="A803" s="2" t="s">
        <v>235</v>
      </c>
      <c r="B803" s="11">
        <v>45280</v>
      </c>
      <c r="C803" s="2" t="s">
        <v>2014</v>
      </c>
      <c r="D803" s="2" t="s">
        <v>2019</v>
      </c>
      <c r="E803">
        <v>0</v>
      </c>
      <c r="F803">
        <v>0</v>
      </c>
      <c r="G803">
        <v>4850.6400000000003</v>
      </c>
      <c r="H803">
        <v>499615.92000000004</v>
      </c>
      <c r="I803" s="2" t="s">
        <v>2025</v>
      </c>
      <c r="J803" s="2" t="s">
        <v>2027</v>
      </c>
      <c r="K803" s="2" t="s">
        <v>2256</v>
      </c>
      <c r="L803" s="2" t="s">
        <v>4031</v>
      </c>
      <c r="M803">
        <v>4850.6400000000003</v>
      </c>
      <c r="N803" s="2" t="s">
        <v>4042</v>
      </c>
      <c r="O803">
        <v>103</v>
      </c>
      <c r="P803">
        <v>499615.92000000004</v>
      </c>
      <c r="Q803" t="b">
        <v>0</v>
      </c>
      <c r="R803" t="b">
        <v>0</v>
      </c>
      <c r="S803" t="b">
        <v>0</v>
      </c>
      <c r="T803" t="b">
        <v>1</v>
      </c>
      <c r="U803">
        <v>1</v>
      </c>
      <c r="V803" t="s">
        <v>4073</v>
      </c>
    </row>
    <row r="804" spans="1:22" hidden="1" x14ac:dyDescent="0.45">
      <c r="A804" s="2" t="s">
        <v>1865</v>
      </c>
      <c r="B804" s="11">
        <v>45033</v>
      </c>
      <c r="C804" s="2" t="s">
        <v>2014</v>
      </c>
      <c r="D804" s="2" t="s">
        <v>2019</v>
      </c>
      <c r="E804">
        <v>0</v>
      </c>
      <c r="F804">
        <v>0</v>
      </c>
      <c r="G804">
        <v>4589.42</v>
      </c>
      <c r="H804">
        <v>403868.96</v>
      </c>
      <c r="I804" s="2" t="s">
        <v>2020</v>
      </c>
      <c r="J804" s="2" t="s">
        <v>2028</v>
      </c>
      <c r="K804" s="2" t="s">
        <v>3886</v>
      </c>
      <c r="L804" s="2" t="s">
        <v>4032</v>
      </c>
      <c r="M804">
        <v>4589.42</v>
      </c>
      <c r="N804" s="2" t="s">
        <v>4042</v>
      </c>
      <c r="O804">
        <v>88</v>
      </c>
      <c r="P804">
        <v>403868.96</v>
      </c>
      <c r="Q804" t="b">
        <v>0</v>
      </c>
      <c r="R804" t="b">
        <v>0</v>
      </c>
      <c r="S804" t="b">
        <v>0</v>
      </c>
      <c r="T804" t="b">
        <v>1</v>
      </c>
      <c r="U804">
        <v>1</v>
      </c>
      <c r="V804" t="s">
        <v>4073</v>
      </c>
    </row>
    <row r="805" spans="1:22" hidden="1" x14ac:dyDescent="0.45">
      <c r="A805" s="2" t="s">
        <v>1253</v>
      </c>
      <c r="B805" s="11">
        <v>45767</v>
      </c>
      <c r="C805" s="2" t="s">
        <v>2012</v>
      </c>
      <c r="D805" s="2" t="s">
        <v>2017</v>
      </c>
      <c r="E805">
        <v>1791.42</v>
      </c>
      <c r="F805">
        <v>157644.96000000002</v>
      </c>
      <c r="G805">
        <v>0</v>
      </c>
      <c r="H805">
        <v>0</v>
      </c>
      <c r="I805" s="2" t="s">
        <v>2023</v>
      </c>
      <c r="J805" s="2" t="s">
        <v>2030</v>
      </c>
      <c r="K805" s="2" t="s">
        <v>3274</v>
      </c>
      <c r="L805" s="2" t="s">
        <v>4032</v>
      </c>
      <c r="M805">
        <v>-1791.42</v>
      </c>
      <c r="N805" s="2" t="s">
        <v>4044</v>
      </c>
      <c r="O805">
        <v>88</v>
      </c>
      <c r="P805">
        <v>-157644.96000000002</v>
      </c>
      <c r="Q805" t="b">
        <v>1</v>
      </c>
      <c r="R805" t="b">
        <v>0</v>
      </c>
      <c r="S805" t="b">
        <v>0</v>
      </c>
      <c r="T805" t="b">
        <v>0</v>
      </c>
      <c r="U805">
        <v>1</v>
      </c>
      <c r="V805" t="s">
        <v>4073</v>
      </c>
    </row>
    <row r="806" spans="1:22" hidden="1" x14ac:dyDescent="0.45">
      <c r="A806" s="2" t="s">
        <v>572</v>
      </c>
      <c r="B806" s="11">
        <v>45783</v>
      </c>
      <c r="C806" s="2" t="s">
        <v>2010</v>
      </c>
      <c r="D806" s="2" t="s">
        <v>2015</v>
      </c>
      <c r="E806">
        <v>0</v>
      </c>
      <c r="F806">
        <v>0</v>
      </c>
      <c r="G806">
        <v>4926.55</v>
      </c>
      <c r="H806">
        <v>403977.10000000003</v>
      </c>
      <c r="I806" s="2" t="s">
        <v>2022</v>
      </c>
      <c r="J806" s="2" t="s">
        <v>2029</v>
      </c>
      <c r="K806" s="2" t="s">
        <v>2593</v>
      </c>
      <c r="L806" s="2" t="s">
        <v>4034</v>
      </c>
      <c r="M806">
        <v>4926.55</v>
      </c>
      <c r="N806" s="2" t="s">
        <v>4042</v>
      </c>
      <c r="O806">
        <v>82</v>
      </c>
      <c r="P806">
        <v>403977.10000000003</v>
      </c>
      <c r="Q806" t="b">
        <v>0</v>
      </c>
      <c r="R806" t="b">
        <v>0</v>
      </c>
      <c r="S806" t="b">
        <v>0</v>
      </c>
      <c r="T806" t="b">
        <v>1</v>
      </c>
      <c r="U806">
        <v>1</v>
      </c>
      <c r="V806" t="s">
        <v>4073</v>
      </c>
    </row>
    <row r="807" spans="1:22" hidden="1" x14ac:dyDescent="0.45">
      <c r="A807" s="2" t="s">
        <v>1786</v>
      </c>
      <c r="B807" s="11">
        <v>45270</v>
      </c>
      <c r="C807" s="2" t="s">
        <v>2012</v>
      </c>
      <c r="D807" s="2" t="s">
        <v>2017</v>
      </c>
      <c r="E807">
        <v>1672.52</v>
      </c>
      <c r="F807">
        <v>147181.76000000001</v>
      </c>
      <c r="G807">
        <v>0</v>
      </c>
      <c r="H807">
        <v>0</v>
      </c>
      <c r="I807" s="2" t="s">
        <v>2020</v>
      </c>
      <c r="J807" s="2" t="s">
        <v>2027</v>
      </c>
      <c r="K807" s="2" t="s">
        <v>3807</v>
      </c>
      <c r="L807" s="2" t="s">
        <v>4032</v>
      </c>
      <c r="M807">
        <v>-1672.52</v>
      </c>
      <c r="N807" s="2" t="s">
        <v>4044</v>
      </c>
      <c r="O807">
        <v>88</v>
      </c>
      <c r="P807">
        <v>-147181.76000000001</v>
      </c>
      <c r="Q807" t="b">
        <v>1</v>
      </c>
      <c r="R807" t="b">
        <v>0</v>
      </c>
      <c r="S807" t="b">
        <v>0</v>
      </c>
      <c r="T807" t="b">
        <v>0</v>
      </c>
      <c r="U807">
        <v>1</v>
      </c>
      <c r="V807" t="s">
        <v>4073</v>
      </c>
    </row>
    <row r="808" spans="1:22" hidden="1" x14ac:dyDescent="0.45">
      <c r="A808" s="2" t="s">
        <v>46</v>
      </c>
      <c r="B808" s="11">
        <v>45767</v>
      </c>
      <c r="C808" s="2" t="s">
        <v>2011</v>
      </c>
      <c r="D808" s="2" t="s">
        <v>2016</v>
      </c>
      <c r="E808">
        <v>248.09</v>
      </c>
      <c r="F808">
        <v>21831.920000000002</v>
      </c>
      <c r="G808">
        <v>0</v>
      </c>
      <c r="H808">
        <v>0</v>
      </c>
      <c r="I808" s="2" t="s">
        <v>2024</v>
      </c>
      <c r="J808" s="2" t="s">
        <v>2026</v>
      </c>
      <c r="K808" s="2" t="s">
        <v>2067</v>
      </c>
      <c r="L808" s="2" t="s">
        <v>4032</v>
      </c>
      <c r="M808">
        <v>-248.09</v>
      </c>
      <c r="N808" s="2" t="s">
        <v>2016</v>
      </c>
      <c r="O808">
        <v>88</v>
      </c>
      <c r="P808">
        <v>-21831.920000000002</v>
      </c>
      <c r="Q808" t="b">
        <v>1</v>
      </c>
      <c r="R808" t="b">
        <v>0</v>
      </c>
      <c r="S808" t="b">
        <v>0</v>
      </c>
      <c r="T808" t="b">
        <v>0</v>
      </c>
      <c r="U808">
        <v>1</v>
      </c>
      <c r="V808" t="s">
        <v>4073</v>
      </c>
    </row>
    <row r="809" spans="1:22" hidden="1" x14ac:dyDescent="0.45">
      <c r="A809" s="2" t="s">
        <v>30</v>
      </c>
      <c r="B809" s="11">
        <v>45379</v>
      </c>
      <c r="C809" s="2" t="s">
        <v>2012</v>
      </c>
      <c r="D809" s="2" t="s">
        <v>2017</v>
      </c>
      <c r="E809">
        <v>359.1</v>
      </c>
      <c r="F809">
        <v>21905.100000000002</v>
      </c>
      <c r="G809">
        <v>0</v>
      </c>
      <c r="H809">
        <v>0</v>
      </c>
      <c r="I809" s="2" t="s">
        <v>2022</v>
      </c>
      <c r="J809" s="2" t="s">
        <v>2027</v>
      </c>
      <c r="K809" s="2" t="s">
        <v>2051</v>
      </c>
      <c r="L809" s="2" t="s">
        <v>4035</v>
      </c>
      <c r="M809">
        <v>-359.1</v>
      </c>
      <c r="N809" s="2" t="s">
        <v>4044</v>
      </c>
      <c r="O809">
        <v>61</v>
      </c>
      <c r="P809">
        <v>-21905.100000000002</v>
      </c>
      <c r="Q809" t="b">
        <v>0</v>
      </c>
      <c r="R809" t="b">
        <v>1</v>
      </c>
      <c r="S809" t="b">
        <v>0</v>
      </c>
      <c r="T809" t="b">
        <v>0</v>
      </c>
      <c r="U809">
        <v>1</v>
      </c>
      <c r="V809" t="s">
        <v>4073</v>
      </c>
    </row>
    <row r="810" spans="1:22" hidden="1" x14ac:dyDescent="0.45">
      <c r="A810" s="2" t="s">
        <v>199</v>
      </c>
      <c r="B810" s="11">
        <v>44963</v>
      </c>
      <c r="C810" s="2" t="s">
        <v>2014</v>
      </c>
      <c r="D810" s="2" t="s">
        <v>2019</v>
      </c>
      <c r="E810">
        <v>0</v>
      </c>
      <c r="F810">
        <v>0</v>
      </c>
      <c r="G810">
        <v>3930.36</v>
      </c>
      <c r="H810">
        <v>404827.08</v>
      </c>
      <c r="I810" s="2" t="s">
        <v>2020</v>
      </c>
      <c r="J810" s="2" t="s">
        <v>2027</v>
      </c>
      <c r="K810" s="2" t="s">
        <v>2220</v>
      </c>
      <c r="L810" s="2" t="s">
        <v>4031</v>
      </c>
      <c r="M810">
        <v>3930.36</v>
      </c>
      <c r="N810" s="2" t="s">
        <v>4042</v>
      </c>
      <c r="O810">
        <v>103</v>
      </c>
      <c r="P810">
        <v>404827.08</v>
      </c>
      <c r="Q810" t="b">
        <v>0</v>
      </c>
      <c r="R810" t="b">
        <v>0</v>
      </c>
      <c r="S810" t="b">
        <v>0</v>
      </c>
      <c r="T810" t="b">
        <v>1</v>
      </c>
      <c r="U810">
        <v>1</v>
      </c>
      <c r="V810" t="s">
        <v>4073</v>
      </c>
    </row>
    <row r="811" spans="1:22" hidden="1" x14ac:dyDescent="0.45">
      <c r="A811" s="2" t="s">
        <v>271</v>
      </c>
      <c r="B811" s="11">
        <v>45348</v>
      </c>
      <c r="C811" s="2" t="s">
        <v>2013</v>
      </c>
      <c r="D811" s="2" t="s">
        <v>2018</v>
      </c>
      <c r="E811">
        <v>393.67</v>
      </c>
      <c r="F811">
        <v>22045.52</v>
      </c>
      <c r="G811">
        <v>0</v>
      </c>
      <c r="H811">
        <v>0</v>
      </c>
      <c r="I811" s="2" t="s">
        <v>2023</v>
      </c>
      <c r="J811" s="2" t="s">
        <v>2028</v>
      </c>
      <c r="K811" s="2" t="s">
        <v>2292</v>
      </c>
      <c r="L811" s="2" t="s">
        <v>4033</v>
      </c>
      <c r="M811">
        <v>-393.67</v>
      </c>
      <c r="N811" s="2" t="s">
        <v>4044</v>
      </c>
      <c r="O811">
        <v>56</v>
      </c>
      <c r="P811">
        <v>-22045.52</v>
      </c>
      <c r="Q811" t="b">
        <v>0</v>
      </c>
      <c r="R811" t="b">
        <v>1</v>
      </c>
      <c r="S811" t="b">
        <v>0</v>
      </c>
      <c r="T811" t="b">
        <v>0</v>
      </c>
      <c r="U811">
        <v>1</v>
      </c>
      <c r="V811" t="s">
        <v>4073</v>
      </c>
    </row>
    <row r="812" spans="1:22" hidden="1" x14ac:dyDescent="0.45">
      <c r="A812" s="2" t="s">
        <v>1137</v>
      </c>
      <c r="B812" s="11">
        <v>45570</v>
      </c>
      <c r="C812" s="2" t="s">
        <v>2010</v>
      </c>
      <c r="D812" s="2" t="s">
        <v>2015</v>
      </c>
      <c r="E812">
        <v>0</v>
      </c>
      <c r="F812">
        <v>0</v>
      </c>
      <c r="G812">
        <v>396.28</v>
      </c>
      <c r="H812">
        <v>22191.68</v>
      </c>
      <c r="I812" s="2" t="s">
        <v>2020</v>
      </c>
      <c r="J812" s="2" t="s">
        <v>2029</v>
      </c>
      <c r="K812" s="2" t="s">
        <v>3158</v>
      </c>
      <c r="L812" s="2" t="s">
        <v>4033</v>
      </c>
      <c r="M812">
        <v>396.28</v>
      </c>
      <c r="N812" s="2" t="s">
        <v>4042</v>
      </c>
      <c r="O812">
        <v>56</v>
      </c>
      <c r="P812">
        <v>22191.68</v>
      </c>
      <c r="Q812" t="b">
        <v>1</v>
      </c>
      <c r="R812" t="b">
        <v>0</v>
      </c>
      <c r="S812" t="b">
        <v>0</v>
      </c>
      <c r="T812" t="b">
        <v>0</v>
      </c>
      <c r="U812">
        <v>1</v>
      </c>
      <c r="V812" t="s">
        <v>4073</v>
      </c>
    </row>
    <row r="813" spans="1:22" hidden="1" x14ac:dyDescent="0.45">
      <c r="A813" s="2" t="s">
        <v>241</v>
      </c>
      <c r="B813" s="11">
        <v>45294</v>
      </c>
      <c r="C813" s="2" t="s">
        <v>2014</v>
      </c>
      <c r="D813" s="2" t="s">
        <v>2019</v>
      </c>
      <c r="E813">
        <v>0</v>
      </c>
      <c r="F813">
        <v>0</v>
      </c>
      <c r="G813">
        <v>3938.51</v>
      </c>
      <c r="H813">
        <v>405666.53</v>
      </c>
      <c r="I813" s="2" t="s">
        <v>2023</v>
      </c>
      <c r="J813" s="2" t="s">
        <v>2029</v>
      </c>
      <c r="K813" s="2" t="s">
        <v>2262</v>
      </c>
      <c r="L813" s="2" t="s">
        <v>4031</v>
      </c>
      <c r="M813">
        <v>3938.51</v>
      </c>
      <c r="N813" s="2" t="s">
        <v>4042</v>
      </c>
      <c r="O813">
        <v>103</v>
      </c>
      <c r="P813">
        <v>405666.53</v>
      </c>
      <c r="Q813" t="b">
        <v>0</v>
      </c>
      <c r="R813" t="b">
        <v>0</v>
      </c>
      <c r="S813" t="b">
        <v>0</v>
      </c>
      <c r="T813" t="b">
        <v>1</v>
      </c>
      <c r="U813">
        <v>1</v>
      </c>
      <c r="V813" t="s">
        <v>4073</v>
      </c>
    </row>
    <row r="814" spans="1:22" hidden="1" x14ac:dyDescent="0.45">
      <c r="A814" s="2" t="s">
        <v>207</v>
      </c>
      <c r="B814" s="11">
        <v>44969</v>
      </c>
      <c r="C814" s="2" t="s">
        <v>2011</v>
      </c>
      <c r="D814" s="2" t="s">
        <v>2016</v>
      </c>
      <c r="E814">
        <v>218.2</v>
      </c>
      <c r="F814">
        <v>22474.6</v>
      </c>
      <c r="G814">
        <v>0</v>
      </c>
      <c r="H814">
        <v>0</v>
      </c>
      <c r="I814" s="2" t="s">
        <v>2025</v>
      </c>
      <c r="J814" s="2" t="s">
        <v>2026</v>
      </c>
      <c r="K814" s="2" t="s">
        <v>2228</v>
      </c>
      <c r="L814" s="2" t="s">
        <v>4031</v>
      </c>
      <c r="M814">
        <v>-218.2</v>
      </c>
      <c r="N814" s="2" t="s">
        <v>2016</v>
      </c>
      <c r="O814">
        <v>103</v>
      </c>
      <c r="P814">
        <v>-22474.6</v>
      </c>
      <c r="Q814" t="b">
        <v>1</v>
      </c>
      <c r="R814" t="b">
        <v>0</v>
      </c>
      <c r="S814" t="b">
        <v>0</v>
      </c>
      <c r="T814" t="b">
        <v>0</v>
      </c>
      <c r="U814">
        <v>1</v>
      </c>
      <c r="V814" t="s">
        <v>4073</v>
      </c>
    </row>
    <row r="815" spans="1:22" hidden="1" x14ac:dyDescent="0.45">
      <c r="A815" s="2" t="s">
        <v>888</v>
      </c>
      <c r="B815" s="11">
        <v>45270</v>
      </c>
      <c r="C815" s="2" t="s">
        <v>2013</v>
      </c>
      <c r="D815" s="2" t="s">
        <v>2018</v>
      </c>
      <c r="E815">
        <v>275.32</v>
      </c>
      <c r="F815">
        <v>22576.239999999998</v>
      </c>
      <c r="G815">
        <v>0</v>
      </c>
      <c r="H815">
        <v>0</v>
      </c>
      <c r="I815" s="2" t="s">
        <v>2021</v>
      </c>
      <c r="J815" s="2" t="s">
        <v>2029</v>
      </c>
      <c r="K815" s="2" t="s">
        <v>2909</v>
      </c>
      <c r="L815" s="2" t="s">
        <v>4034</v>
      </c>
      <c r="M815">
        <v>-275.32</v>
      </c>
      <c r="N815" s="2" t="s">
        <v>4044</v>
      </c>
      <c r="O815">
        <v>82</v>
      </c>
      <c r="P815">
        <v>-22576.239999999998</v>
      </c>
      <c r="Q815" t="b">
        <v>1</v>
      </c>
      <c r="R815" t="b">
        <v>0</v>
      </c>
      <c r="S815" t="b">
        <v>0</v>
      </c>
      <c r="T815" t="b">
        <v>0</v>
      </c>
      <c r="U815">
        <v>1</v>
      </c>
      <c r="V815" t="s">
        <v>4073</v>
      </c>
    </row>
    <row r="816" spans="1:22" hidden="1" x14ac:dyDescent="0.45">
      <c r="A816" s="2" t="s">
        <v>490</v>
      </c>
      <c r="B816" s="11">
        <v>45202</v>
      </c>
      <c r="C816" s="2" t="s">
        <v>2010</v>
      </c>
      <c r="D816" s="2" t="s">
        <v>2015</v>
      </c>
      <c r="E816">
        <v>0</v>
      </c>
      <c r="F816">
        <v>0</v>
      </c>
      <c r="G816">
        <v>3947.32</v>
      </c>
      <c r="H816">
        <v>406573.96</v>
      </c>
      <c r="I816" s="2" t="s">
        <v>2020</v>
      </c>
      <c r="J816" s="2" t="s">
        <v>2028</v>
      </c>
      <c r="K816" s="2" t="s">
        <v>2511</v>
      </c>
      <c r="L816" s="2" t="s">
        <v>4031</v>
      </c>
      <c r="M816">
        <v>3947.32</v>
      </c>
      <c r="N816" s="2" t="s">
        <v>4042</v>
      </c>
      <c r="O816">
        <v>103</v>
      </c>
      <c r="P816">
        <v>406573.96</v>
      </c>
      <c r="Q816" t="b">
        <v>0</v>
      </c>
      <c r="R816" t="b">
        <v>0</v>
      </c>
      <c r="S816" t="b">
        <v>0</v>
      </c>
      <c r="T816" t="b">
        <v>1</v>
      </c>
      <c r="U816">
        <v>1</v>
      </c>
      <c r="V816" t="s">
        <v>4073</v>
      </c>
    </row>
    <row r="817" spans="1:22" hidden="1" x14ac:dyDescent="0.45">
      <c r="A817" s="2" t="s">
        <v>265</v>
      </c>
      <c r="B817" s="11">
        <v>45622</v>
      </c>
      <c r="C817" s="2" t="s">
        <v>2010</v>
      </c>
      <c r="D817" s="2" t="s">
        <v>2015</v>
      </c>
      <c r="E817">
        <v>0</v>
      </c>
      <c r="F817">
        <v>0</v>
      </c>
      <c r="G817">
        <v>1523.43</v>
      </c>
      <c r="H817">
        <v>156913.29</v>
      </c>
      <c r="I817" s="2" t="s">
        <v>2024</v>
      </c>
      <c r="J817" s="2" t="s">
        <v>2026</v>
      </c>
      <c r="K817" s="2" t="s">
        <v>2286</v>
      </c>
      <c r="L817" s="2" t="s">
        <v>4031</v>
      </c>
      <c r="M817">
        <v>1523.43</v>
      </c>
      <c r="N817" s="2" t="s">
        <v>4042</v>
      </c>
      <c r="O817">
        <v>103</v>
      </c>
      <c r="P817">
        <v>156913.29</v>
      </c>
      <c r="Q817" t="b">
        <v>0</v>
      </c>
      <c r="R817" t="b">
        <v>1</v>
      </c>
      <c r="S817" t="b">
        <v>0</v>
      </c>
      <c r="T817" t="b">
        <v>0</v>
      </c>
      <c r="U817">
        <v>1</v>
      </c>
      <c r="V817" t="s">
        <v>4073</v>
      </c>
    </row>
    <row r="818" spans="1:22" hidden="1" x14ac:dyDescent="0.45">
      <c r="A818" s="2" t="s">
        <v>1194</v>
      </c>
      <c r="B818" s="11">
        <v>45741</v>
      </c>
      <c r="C818" s="2" t="s">
        <v>2013</v>
      </c>
      <c r="D818" s="2" t="s">
        <v>2018</v>
      </c>
      <c r="E818">
        <v>1972.41</v>
      </c>
      <c r="F818">
        <v>173572.08000000002</v>
      </c>
      <c r="G818">
        <v>0</v>
      </c>
      <c r="H818">
        <v>0</v>
      </c>
      <c r="I818" s="2" t="s">
        <v>2024</v>
      </c>
      <c r="J818" s="2" t="s">
        <v>2028</v>
      </c>
      <c r="K818" s="2" t="s">
        <v>3215</v>
      </c>
      <c r="L818" s="2" t="s">
        <v>4032</v>
      </c>
      <c r="M818">
        <v>-1972.41</v>
      </c>
      <c r="N818" s="2" t="s">
        <v>4044</v>
      </c>
      <c r="O818">
        <v>88</v>
      </c>
      <c r="P818">
        <v>-173572.08000000002</v>
      </c>
      <c r="Q818" t="b">
        <v>0</v>
      </c>
      <c r="R818" t="b">
        <v>1</v>
      </c>
      <c r="S818" t="b">
        <v>0</v>
      </c>
      <c r="T818" t="b">
        <v>0</v>
      </c>
      <c r="U818">
        <v>1</v>
      </c>
      <c r="V818" t="s">
        <v>4073</v>
      </c>
    </row>
    <row r="819" spans="1:22" hidden="1" x14ac:dyDescent="0.45">
      <c r="A819" s="2" t="s">
        <v>916</v>
      </c>
      <c r="B819" s="11">
        <v>45830</v>
      </c>
      <c r="C819" s="2" t="s">
        <v>2012</v>
      </c>
      <c r="D819" s="2" t="s">
        <v>2017</v>
      </c>
      <c r="E819">
        <v>1912.35</v>
      </c>
      <c r="F819">
        <v>156812.69999999998</v>
      </c>
      <c r="G819">
        <v>0</v>
      </c>
      <c r="H819">
        <v>0</v>
      </c>
      <c r="I819" s="2" t="s">
        <v>2020</v>
      </c>
      <c r="J819" s="2" t="s">
        <v>2026</v>
      </c>
      <c r="K819" s="2" t="s">
        <v>2937</v>
      </c>
      <c r="L819" s="2" t="s">
        <v>4034</v>
      </c>
      <c r="M819">
        <v>-1912.35</v>
      </c>
      <c r="N819" s="2" t="s">
        <v>4044</v>
      </c>
      <c r="O819">
        <v>82</v>
      </c>
      <c r="P819">
        <v>-156812.69999999998</v>
      </c>
      <c r="Q819" t="b">
        <v>1</v>
      </c>
      <c r="R819" t="b">
        <v>0</v>
      </c>
      <c r="S819" t="b">
        <v>0</v>
      </c>
      <c r="T819" t="b">
        <v>0</v>
      </c>
      <c r="U819">
        <v>1</v>
      </c>
      <c r="V819" t="s">
        <v>4073</v>
      </c>
    </row>
    <row r="820" spans="1:22" hidden="1" x14ac:dyDescent="0.45">
      <c r="A820" s="2" t="s">
        <v>307</v>
      </c>
      <c r="B820" s="11">
        <v>45625</v>
      </c>
      <c r="C820" s="2" t="s">
        <v>2013</v>
      </c>
      <c r="D820" s="2" t="s">
        <v>2018</v>
      </c>
      <c r="E820">
        <v>275.93</v>
      </c>
      <c r="F820">
        <v>22626.260000000002</v>
      </c>
      <c r="G820">
        <v>0</v>
      </c>
      <c r="H820">
        <v>0</v>
      </c>
      <c r="I820" s="2" t="s">
        <v>2021</v>
      </c>
      <c r="J820" s="2" t="s">
        <v>2027</v>
      </c>
      <c r="K820" s="2" t="s">
        <v>2328</v>
      </c>
      <c r="L820" s="2" t="s">
        <v>4034</v>
      </c>
      <c r="M820">
        <v>-275.93</v>
      </c>
      <c r="N820" s="2" t="s">
        <v>4044</v>
      </c>
      <c r="O820">
        <v>82</v>
      </c>
      <c r="P820">
        <v>-22626.260000000002</v>
      </c>
      <c r="Q820" t="b">
        <v>0</v>
      </c>
      <c r="R820" t="b">
        <v>1</v>
      </c>
      <c r="S820" t="b">
        <v>0</v>
      </c>
      <c r="T820" t="b">
        <v>0</v>
      </c>
      <c r="U820">
        <v>1</v>
      </c>
      <c r="V820" t="s">
        <v>4073</v>
      </c>
    </row>
    <row r="821" spans="1:22" hidden="1" x14ac:dyDescent="0.45">
      <c r="A821" s="2" t="s">
        <v>1458</v>
      </c>
      <c r="B821" s="11">
        <v>45197</v>
      </c>
      <c r="C821" s="2" t="s">
        <v>2012</v>
      </c>
      <c r="D821" s="2" t="s">
        <v>2017</v>
      </c>
      <c r="E821">
        <v>1800.94</v>
      </c>
      <c r="F821">
        <v>158482.72</v>
      </c>
      <c r="G821">
        <v>0</v>
      </c>
      <c r="H821">
        <v>0</v>
      </c>
      <c r="I821" s="2" t="s">
        <v>2025</v>
      </c>
      <c r="J821" s="2" t="s">
        <v>2026</v>
      </c>
      <c r="K821" s="2" t="s">
        <v>3479</v>
      </c>
      <c r="L821" s="2" t="s">
        <v>4032</v>
      </c>
      <c r="M821">
        <v>-1800.94</v>
      </c>
      <c r="N821" s="2" t="s">
        <v>4044</v>
      </c>
      <c r="O821">
        <v>88</v>
      </c>
      <c r="P821">
        <v>-158482.72</v>
      </c>
      <c r="Q821" t="b">
        <v>0</v>
      </c>
      <c r="R821" t="b">
        <v>1</v>
      </c>
      <c r="S821" t="b">
        <v>0</v>
      </c>
      <c r="T821" t="b">
        <v>0</v>
      </c>
      <c r="U821">
        <v>1</v>
      </c>
      <c r="V821" t="s">
        <v>4073</v>
      </c>
    </row>
    <row r="822" spans="1:22" hidden="1" x14ac:dyDescent="0.45">
      <c r="A822" s="2" t="s">
        <v>1760</v>
      </c>
      <c r="B822" s="11">
        <v>45142</v>
      </c>
      <c r="C822" s="2" t="s">
        <v>2010</v>
      </c>
      <c r="D822" s="2" t="s">
        <v>2015</v>
      </c>
      <c r="E822">
        <v>0</v>
      </c>
      <c r="F822">
        <v>0</v>
      </c>
      <c r="G822">
        <v>4978.6499999999996</v>
      </c>
      <c r="H822">
        <v>408249.3</v>
      </c>
      <c r="I822" s="2" t="s">
        <v>2022</v>
      </c>
      <c r="J822" s="2" t="s">
        <v>2026</v>
      </c>
      <c r="K822" s="2" t="s">
        <v>3781</v>
      </c>
      <c r="L822" s="2" t="s">
        <v>4034</v>
      </c>
      <c r="M822">
        <v>4978.6499999999996</v>
      </c>
      <c r="N822" s="2" t="s">
        <v>4042</v>
      </c>
      <c r="O822">
        <v>82</v>
      </c>
      <c r="P822">
        <v>408249.3</v>
      </c>
      <c r="Q822" t="b">
        <v>0</v>
      </c>
      <c r="R822" t="b">
        <v>0</v>
      </c>
      <c r="S822" t="b">
        <v>0</v>
      </c>
      <c r="T822" t="b">
        <v>1</v>
      </c>
      <c r="U822">
        <v>1</v>
      </c>
      <c r="V822" t="s">
        <v>4073</v>
      </c>
    </row>
    <row r="823" spans="1:22" hidden="1" x14ac:dyDescent="0.45">
      <c r="A823" s="2" t="s">
        <v>215</v>
      </c>
      <c r="B823" s="11">
        <v>45548</v>
      </c>
      <c r="C823" s="2" t="s">
        <v>2014</v>
      </c>
      <c r="D823" s="2" t="s">
        <v>2019</v>
      </c>
      <c r="E823">
        <v>0</v>
      </c>
      <c r="F823">
        <v>0</v>
      </c>
      <c r="G823">
        <v>3885.84</v>
      </c>
      <c r="H823">
        <v>400241.52</v>
      </c>
      <c r="I823" s="2" t="s">
        <v>2022</v>
      </c>
      <c r="J823" s="2" t="s">
        <v>2027</v>
      </c>
      <c r="K823" s="2" t="s">
        <v>2236</v>
      </c>
      <c r="L823" s="2" t="s">
        <v>4031</v>
      </c>
      <c r="M823">
        <v>3885.84</v>
      </c>
      <c r="N823" s="2" t="s">
        <v>4042</v>
      </c>
      <c r="O823">
        <v>103</v>
      </c>
      <c r="P823">
        <v>400241.52</v>
      </c>
      <c r="Q823" t="b">
        <v>0</v>
      </c>
      <c r="R823" t="b">
        <v>0</v>
      </c>
      <c r="S823" t="b">
        <v>0</v>
      </c>
      <c r="T823" t="b">
        <v>1</v>
      </c>
      <c r="U823">
        <v>1</v>
      </c>
      <c r="V823" t="s">
        <v>4073</v>
      </c>
    </row>
    <row r="824" spans="1:22" hidden="1" x14ac:dyDescent="0.45">
      <c r="A824" s="2" t="s">
        <v>190</v>
      </c>
      <c r="B824" s="11">
        <v>45770</v>
      </c>
      <c r="C824" s="2" t="s">
        <v>2014</v>
      </c>
      <c r="D824" s="2" t="s">
        <v>2019</v>
      </c>
      <c r="E824">
        <v>0</v>
      </c>
      <c r="F824">
        <v>0</v>
      </c>
      <c r="G824">
        <v>4714.1099999999997</v>
      </c>
      <c r="H824">
        <v>485553.32999999996</v>
      </c>
      <c r="I824" s="2" t="s">
        <v>2020</v>
      </c>
      <c r="J824" s="2" t="s">
        <v>2026</v>
      </c>
      <c r="K824" s="2" t="s">
        <v>2211</v>
      </c>
      <c r="L824" s="2" t="s">
        <v>4031</v>
      </c>
      <c r="M824">
        <v>4714.1099999999997</v>
      </c>
      <c r="N824" s="2" t="s">
        <v>4042</v>
      </c>
      <c r="O824">
        <v>103</v>
      </c>
      <c r="P824">
        <v>485553.32999999996</v>
      </c>
      <c r="Q824" t="b">
        <v>0</v>
      </c>
      <c r="R824" t="b">
        <v>0</v>
      </c>
      <c r="S824" t="b">
        <v>0</v>
      </c>
      <c r="T824" t="b">
        <v>1</v>
      </c>
      <c r="U824">
        <v>1</v>
      </c>
      <c r="V824" t="s">
        <v>4073</v>
      </c>
    </row>
    <row r="825" spans="1:22" hidden="1" x14ac:dyDescent="0.45">
      <c r="A825" s="2" t="s">
        <v>188</v>
      </c>
      <c r="B825" s="11">
        <v>45816</v>
      </c>
      <c r="C825" s="2" t="s">
        <v>2012</v>
      </c>
      <c r="D825" s="2" t="s">
        <v>2017</v>
      </c>
      <c r="E825">
        <v>1783.05</v>
      </c>
      <c r="F825">
        <v>146210.1</v>
      </c>
      <c r="G825">
        <v>0</v>
      </c>
      <c r="H825">
        <v>0</v>
      </c>
      <c r="I825" s="2" t="s">
        <v>2022</v>
      </c>
      <c r="J825" s="2" t="s">
        <v>2029</v>
      </c>
      <c r="K825" s="2" t="s">
        <v>2209</v>
      </c>
      <c r="L825" s="2" t="s">
        <v>4034</v>
      </c>
      <c r="M825">
        <v>-1783.05</v>
      </c>
      <c r="N825" s="2" t="s">
        <v>4044</v>
      </c>
      <c r="O825">
        <v>82</v>
      </c>
      <c r="P825">
        <v>-146210.1</v>
      </c>
      <c r="Q825" t="b">
        <v>1</v>
      </c>
      <c r="R825" t="b">
        <v>0</v>
      </c>
      <c r="S825" t="b">
        <v>0</v>
      </c>
      <c r="T825" t="b">
        <v>0</v>
      </c>
      <c r="U825">
        <v>1</v>
      </c>
      <c r="V825" t="s">
        <v>4073</v>
      </c>
    </row>
    <row r="826" spans="1:22" hidden="1" x14ac:dyDescent="0.45">
      <c r="A826" s="2" t="s">
        <v>687</v>
      </c>
      <c r="B826" s="11">
        <v>45278</v>
      </c>
      <c r="C826" s="2" t="s">
        <v>2010</v>
      </c>
      <c r="D826" s="2" t="s">
        <v>2015</v>
      </c>
      <c r="E826">
        <v>0</v>
      </c>
      <c r="F826">
        <v>0</v>
      </c>
      <c r="G826">
        <v>4819.25</v>
      </c>
      <c r="H826">
        <v>395178.5</v>
      </c>
      <c r="I826" s="2" t="s">
        <v>2025</v>
      </c>
      <c r="J826" s="2" t="s">
        <v>2026</v>
      </c>
      <c r="K826" s="2" t="s">
        <v>2708</v>
      </c>
      <c r="L826" s="2" t="s">
        <v>4034</v>
      </c>
      <c r="M826">
        <v>4819.25</v>
      </c>
      <c r="N826" s="2" t="s">
        <v>4042</v>
      </c>
      <c r="O826">
        <v>82</v>
      </c>
      <c r="P826">
        <v>395178.5</v>
      </c>
      <c r="Q826" t="b">
        <v>0</v>
      </c>
      <c r="R826" t="b">
        <v>0</v>
      </c>
      <c r="S826" t="b">
        <v>0</v>
      </c>
      <c r="T826" t="b">
        <v>1</v>
      </c>
      <c r="U826">
        <v>1</v>
      </c>
      <c r="V826" t="s">
        <v>4073</v>
      </c>
    </row>
    <row r="827" spans="1:22" hidden="1" x14ac:dyDescent="0.45">
      <c r="A827" s="2" t="s">
        <v>18</v>
      </c>
      <c r="B827" s="11">
        <v>45412</v>
      </c>
      <c r="C827" s="2" t="s">
        <v>2011</v>
      </c>
      <c r="D827" s="2" t="s">
        <v>2016</v>
      </c>
      <c r="E827">
        <v>202.02</v>
      </c>
      <c r="F827">
        <v>20808.060000000001</v>
      </c>
      <c r="G827">
        <v>0</v>
      </c>
      <c r="H827">
        <v>0</v>
      </c>
      <c r="I827" s="2" t="s">
        <v>2024</v>
      </c>
      <c r="J827" s="2" t="s">
        <v>2027</v>
      </c>
      <c r="K827" s="2" t="s">
        <v>2039</v>
      </c>
      <c r="L827" s="2" t="s">
        <v>4031</v>
      </c>
      <c r="M827">
        <v>-202.02</v>
      </c>
      <c r="N827" s="2" t="s">
        <v>2016</v>
      </c>
      <c r="O827">
        <v>103</v>
      </c>
      <c r="P827">
        <v>-20808.060000000001</v>
      </c>
      <c r="Q827" t="b">
        <v>0</v>
      </c>
      <c r="R827" t="b">
        <v>1</v>
      </c>
      <c r="S827" t="b">
        <v>0</v>
      </c>
      <c r="T827" t="b">
        <v>0</v>
      </c>
      <c r="U827">
        <v>1</v>
      </c>
      <c r="V827" t="s">
        <v>4073</v>
      </c>
    </row>
    <row r="828" spans="1:22" hidden="1" x14ac:dyDescent="0.45">
      <c r="A828" s="2" t="s">
        <v>991</v>
      </c>
      <c r="B828" s="11">
        <v>45534</v>
      </c>
      <c r="C828" s="2" t="s">
        <v>2013</v>
      </c>
      <c r="D828" s="2" t="s">
        <v>2018</v>
      </c>
      <c r="E828">
        <v>1558.38</v>
      </c>
      <c r="F828">
        <v>160513.14000000001</v>
      </c>
      <c r="G828">
        <v>0</v>
      </c>
      <c r="H828">
        <v>0</v>
      </c>
      <c r="I828" s="2" t="s">
        <v>2024</v>
      </c>
      <c r="J828" s="2" t="s">
        <v>2029</v>
      </c>
      <c r="K828" s="2" t="s">
        <v>3012</v>
      </c>
      <c r="L828" s="2" t="s">
        <v>4031</v>
      </c>
      <c r="M828">
        <v>-1558.38</v>
      </c>
      <c r="N828" s="2" t="s">
        <v>4044</v>
      </c>
      <c r="O828">
        <v>103</v>
      </c>
      <c r="P828">
        <v>-160513.14000000001</v>
      </c>
      <c r="Q828" t="b">
        <v>0</v>
      </c>
      <c r="R828" t="b">
        <v>1</v>
      </c>
      <c r="S828" t="b">
        <v>0</v>
      </c>
      <c r="T828" t="b">
        <v>0</v>
      </c>
      <c r="U828">
        <v>1</v>
      </c>
      <c r="V828" t="s">
        <v>4073</v>
      </c>
    </row>
    <row r="829" spans="1:22" hidden="1" x14ac:dyDescent="0.45">
      <c r="A829" s="2" t="s">
        <v>1509</v>
      </c>
      <c r="B829" s="11">
        <v>45005</v>
      </c>
      <c r="C829" s="2" t="s">
        <v>2010</v>
      </c>
      <c r="D829" s="2" t="s">
        <v>2015</v>
      </c>
      <c r="E829">
        <v>0</v>
      </c>
      <c r="F829">
        <v>0</v>
      </c>
      <c r="G829">
        <v>4859.24</v>
      </c>
      <c r="H829">
        <v>500501.72</v>
      </c>
      <c r="I829" s="2" t="s">
        <v>2024</v>
      </c>
      <c r="J829" s="2" t="s">
        <v>2028</v>
      </c>
      <c r="K829" s="2" t="s">
        <v>3530</v>
      </c>
      <c r="L829" s="2" t="s">
        <v>4031</v>
      </c>
      <c r="M829">
        <v>4859.24</v>
      </c>
      <c r="N829" s="2" t="s">
        <v>4042</v>
      </c>
      <c r="O829">
        <v>103</v>
      </c>
      <c r="P829">
        <v>500501.72</v>
      </c>
      <c r="Q829" t="b">
        <v>0</v>
      </c>
      <c r="R829" t="b">
        <v>0</v>
      </c>
      <c r="S829" t="b">
        <v>0</v>
      </c>
      <c r="T829" t="b">
        <v>1</v>
      </c>
      <c r="U829">
        <v>1</v>
      </c>
      <c r="V829" t="s">
        <v>4073</v>
      </c>
    </row>
    <row r="830" spans="1:22" hidden="1" x14ac:dyDescent="0.45">
      <c r="A830" s="2" t="s">
        <v>269</v>
      </c>
      <c r="B830" s="11">
        <v>45081</v>
      </c>
      <c r="C830" s="2" t="s">
        <v>2013</v>
      </c>
      <c r="D830" s="2" t="s">
        <v>2018</v>
      </c>
      <c r="E830">
        <v>436.8</v>
      </c>
      <c r="F830">
        <v>24460.799999999999</v>
      </c>
      <c r="G830">
        <v>0</v>
      </c>
      <c r="H830">
        <v>0</v>
      </c>
      <c r="I830" s="2" t="s">
        <v>2021</v>
      </c>
      <c r="J830" s="2" t="s">
        <v>2029</v>
      </c>
      <c r="K830" s="2" t="s">
        <v>2290</v>
      </c>
      <c r="L830" s="2" t="s">
        <v>4033</v>
      </c>
      <c r="M830">
        <v>-436.8</v>
      </c>
      <c r="N830" s="2" t="s">
        <v>4044</v>
      </c>
      <c r="O830">
        <v>56</v>
      </c>
      <c r="P830">
        <v>-24460.799999999999</v>
      </c>
      <c r="Q830" t="b">
        <v>1</v>
      </c>
      <c r="R830" t="b">
        <v>0</v>
      </c>
      <c r="S830" t="b">
        <v>0</v>
      </c>
      <c r="T830" t="b">
        <v>0</v>
      </c>
      <c r="U830">
        <v>1</v>
      </c>
      <c r="V830" t="s">
        <v>4073</v>
      </c>
    </row>
    <row r="831" spans="1:22" hidden="1" x14ac:dyDescent="0.45">
      <c r="A831" s="2" t="s">
        <v>1741</v>
      </c>
      <c r="B831" s="11">
        <v>45714</v>
      </c>
      <c r="C831" s="2" t="s">
        <v>2014</v>
      </c>
      <c r="D831" s="2" t="s">
        <v>2019</v>
      </c>
      <c r="E831">
        <v>0</v>
      </c>
      <c r="F831">
        <v>0</v>
      </c>
      <c r="G831">
        <v>2626.2</v>
      </c>
      <c r="H831">
        <v>160198.19999999998</v>
      </c>
      <c r="I831" s="2" t="s">
        <v>2020</v>
      </c>
      <c r="J831" s="2" t="s">
        <v>2028</v>
      </c>
      <c r="K831" s="2" t="s">
        <v>3762</v>
      </c>
      <c r="L831" s="2" t="s">
        <v>4035</v>
      </c>
      <c r="M831">
        <v>2626.2</v>
      </c>
      <c r="N831" s="2" t="s">
        <v>4042</v>
      </c>
      <c r="O831">
        <v>61</v>
      </c>
      <c r="P831">
        <v>160198.19999999998</v>
      </c>
      <c r="Q831" t="b">
        <v>0</v>
      </c>
      <c r="R831" t="b">
        <v>1</v>
      </c>
      <c r="S831" t="b">
        <v>0</v>
      </c>
      <c r="T831" t="b">
        <v>0</v>
      </c>
      <c r="U831">
        <v>1</v>
      </c>
      <c r="V831" t="s">
        <v>4073</v>
      </c>
    </row>
    <row r="832" spans="1:22" hidden="1" x14ac:dyDescent="0.45">
      <c r="A832" s="2" t="s">
        <v>1405</v>
      </c>
      <c r="B832" s="11">
        <v>44951</v>
      </c>
      <c r="C832" s="2" t="s">
        <v>2012</v>
      </c>
      <c r="D832" s="2" t="s">
        <v>2017</v>
      </c>
      <c r="E832">
        <v>1552.9</v>
      </c>
      <c r="F832">
        <v>159948.70000000001</v>
      </c>
      <c r="G832">
        <v>0</v>
      </c>
      <c r="H832">
        <v>0</v>
      </c>
      <c r="I832" s="2" t="s">
        <v>2021</v>
      </c>
      <c r="J832" s="2" t="s">
        <v>2027</v>
      </c>
      <c r="K832" s="2" t="s">
        <v>3426</v>
      </c>
      <c r="L832" s="2" t="s">
        <v>4031</v>
      </c>
      <c r="M832">
        <v>-1552.9</v>
      </c>
      <c r="N832" s="2" t="s">
        <v>4044</v>
      </c>
      <c r="O832">
        <v>103</v>
      </c>
      <c r="P832">
        <v>-159948.70000000001</v>
      </c>
      <c r="Q832" t="b">
        <v>0</v>
      </c>
      <c r="R832" t="b">
        <v>1</v>
      </c>
      <c r="S832" t="b">
        <v>0</v>
      </c>
      <c r="T832" t="b">
        <v>0</v>
      </c>
      <c r="U832">
        <v>1</v>
      </c>
      <c r="V832" t="s">
        <v>4073</v>
      </c>
    </row>
    <row r="833" spans="1:22" hidden="1" x14ac:dyDescent="0.45">
      <c r="A833" s="2" t="s">
        <v>117</v>
      </c>
      <c r="B833" s="11">
        <v>45823</v>
      </c>
      <c r="C833" s="2" t="s">
        <v>2013</v>
      </c>
      <c r="D833" s="2" t="s">
        <v>2018</v>
      </c>
      <c r="E833">
        <v>1552.29</v>
      </c>
      <c r="F833">
        <v>159885.87</v>
      </c>
      <c r="G833">
        <v>0</v>
      </c>
      <c r="H833">
        <v>0</v>
      </c>
      <c r="I833" s="2" t="s">
        <v>2024</v>
      </c>
      <c r="J833" s="2" t="s">
        <v>2028</v>
      </c>
      <c r="K833" s="2" t="s">
        <v>2138</v>
      </c>
      <c r="L833" s="2" t="s">
        <v>4031</v>
      </c>
      <c r="M833">
        <v>-1552.29</v>
      </c>
      <c r="N833" s="2" t="s">
        <v>4044</v>
      </c>
      <c r="O833">
        <v>103</v>
      </c>
      <c r="P833">
        <v>-159885.87</v>
      </c>
      <c r="Q833" t="b">
        <v>1</v>
      </c>
      <c r="R833" t="b">
        <v>0</v>
      </c>
      <c r="S833" t="b">
        <v>0</v>
      </c>
      <c r="T833" t="b">
        <v>0</v>
      </c>
      <c r="U833">
        <v>1</v>
      </c>
      <c r="V833" t="s">
        <v>4073</v>
      </c>
    </row>
    <row r="834" spans="1:22" hidden="1" x14ac:dyDescent="0.45">
      <c r="A834" s="2" t="s">
        <v>1880</v>
      </c>
      <c r="B834" s="11">
        <v>45620</v>
      </c>
      <c r="C834" s="2" t="s">
        <v>2014</v>
      </c>
      <c r="D834" s="2" t="s">
        <v>2019</v>
      </c>
      <c r="E834">
        <v>0</v>
      </c>
      <c r="F834">
        <v>0</v>
      </c>
      <c r="G834">
        <v>258.08</v>
      </c>
      <c r="H834">
        <v>21162.559999999998</v>
      </c>
      <c r="I834" s="2" t="s">
        <v>2024</v>
      </c>
      <c r="J834" s="2" t="s">
        <v>2027</v>
      </c>
      <c r="K834" s="2" t="s">
        <v>3901</v>
      </c>
      <c r="L834" s="2" t="s">
        <v>4034</v>
      </c>
      <c r="M834">
        <v>258.08</v>
      </c>
      <c r="N834" s="2" t="s">
        <v>4042</v>
      </c>
      <c r="O834">
        <v>82</v>
      </c>
      <c r="P834">
        <v>21162.559999999998</v>
      </c>
      <c r="Q834" t="b">
        <v>1</v>
      </c>
      <c r="R834" t="b">
        <v>0</v>
      </c>
      <c r="S834" t="b">
        <v>0</v>
      </c>
      <c r="T834" t="b">
        <v>0</v>
      </c>
      <c r="U834">
        <v>1</v>
      </c>
      <c r="V834" t="s">
        <v>4073</v>
      </c>
    </row>
    <row r="835" spans="1:22" hidden="1" x14ac:dyDescent="0.45">
      <c r="A835" s="2" t="s">
        <v>399</v>
      </c>
      <c r="B835" s="11">
        <v>45317</v>
      </c>
      <c r="C835" s="2" t="s">
        <v>2011</v>
      </c>
      <c r="D835" s="2" t="s">
        <v>2016</v>
      </c>
      <c r="E835">
        <v>1550.28</v>
      </c>
      <c r="F835">
        <v>159678.84</v>
      </c>
      <c r="G835">
        <v>0</v>
      </c>
      <c r="H835">
        <v>0</v>
      </c>
      <c r="I835" s="2" t="s">
        <v>2021</v>
      </c>
      <c r="J835" s="2" t="s">
        <v>2028</v>
      </c>
      <c r="K835" s="2" t="s">
        <v>2420</v>
      </c>
      <c r="L835" s="2" t="s">
        <v>4031</v>
      </c>
      <c r="M835">
        <v>-1550.28</v>
      </c>
      <c r="N835" s="2" t="s">
        <v>2016</v>
      </c>
      <c r="O835">
        <v>103</v>
      </c>
      <c r="P835">
        <v>-159678.84</v>
      </c>
      <c r="Q835" t="b">
        <v>0</v>
      </c>
      <c r="R835" t="b">
        <v>1</v>
      </c>
      <c r="S835" t="b">
        <v>0</v>
      </c>
      <c r="T835" t="b">
        <v>0</v>
      </c>
      <c r="U835">
        <v>1</v>
      </c>
      <c r="V835" t="s">
        <v>4073</v>
      </c>
    </row>
    <row r="836" spans="1:22" hidden="1" x14ac:dyDescent="0.45">
      <c r="A836" s="2" t="s">
        <v>1116</v>
      </c>
      <c r="B836" s="11">
        <v>45325</v>
      </c>
      <c r="C836" s="2" t="s">
        <v>2012</v>
      </c>
      <c r="D836" s="2" t="s">
        <v>2017</v>
      </c>
      <c r="E836">
        <v>1813.03</v>
      </c>
      <c r="F836">
        <v>159546.63999999998</v>
      </c>
      <c r="G836">
        <v>0</v>
      </c>
      <c r="H836">
        <v>0</v>
      </c>
      <c r="I836" s="2" t="s">
        <v>2024</v>
      </c>
      <c r="J836" s="2" t="s">
        <v>2030</v>
      </c>
      <c r="K836" s="2" t="s">
        <v>3137</v>
      </c>
      <c r="L836" s="2" t="s">
        <v>4032</v>
      </c>
      <c r="M836">
        <v>-1813.03</v>
      </c>
      <c r="N836" s="2" t="s">
        <v>4044</v>
      </c>
      <c r="O836">
        <v>88</v>
      </c>
      <c r="P836">
        <v>-159546.63999999998</v>
      </c>
      <c r="Q836" t="b">
        <v>1</v>
      </c>
      <c r="R836" t="b">
        <v>0</v>
      </c>
      <c r="S836" t="b">
        <v>0</v>
      </c>
      <c r="T836" t="b">
        <v>0</v>
      </c>
      <c r="U836">
        <v>1</v>
      </c>
      <c r="V836" t="s">
        <v>4073</v>
      </c>
    </row>
    <row r="837" spans="1:22" hidden="1" x14ac:dyDescent="0.45">
      <c r="A837" s="2" t="s">
        <v>280</v>
      </c>
      <c r="B837" s="11">
        <v>45091</v>
      </c>
      <c r="C837" s="2" t="s">
        <v>2014</v>
      </c>
      <c r="D837" s="2" t="s">
        <v>2019</v>
      </c>
      <c r="E837">
        <v>0</v>
      </c>
      <c r="F837">
        <v>0</v>
      </c>
      <c r="G837">
        <v>4506.28</v>
      </c>
      <c r="H837">
        <v>396552.63999999996</v>
      </c>
      <c r="I837" s="2" t="s">
        <v>2023</v>
      </c>
      <c r="J837" s="2" t="s">
        <v>2027</v>
      </c>
      <c r="K837" s="2" t="s">
        <v>2301</v>
      </c>
      <c r="L837" s="2" t="s">
        <v>4032</v>
      </c>
      <c r="M837">
        <v>4506.28</v>
      </c>
      <c r="N837" s="2" t="s">
        <v>4042</v>
      </c>
      <c r="O837">
        <v>88</v>
      </c>
      <c r="P837">
        <v>396552.63999999996</v>
      </c>
      <c r="Q837" t="b">
        <v>0</v>
      </c>
      <c r="R837" t="b">
        <v>0</v>
      </c>
      <c r="S837" t="b">
        <v>0</v>
      </c>
      <c r="T837" t="b">
        <v>1</v>
      </c>
      <c r="U837">
        <v>1</v>
      </c>
      <c r="V837" t="s">
        <v>4073</v>
      </c>
    </row>
    <row r="838" spans="1:22" hidden="1" x14ac:dyDescent="0.45">
      <c r="A838" s="2" t="s">
        <v>1233</v>
      </c>
      <c r="B838" s="11">
        <v>45194</v>
      </c>
      <c r="C838" s="2" t="s">
        <v>2010</v>
      </c>
      <c r="D838" s="2" t="s">
        <v>2015</v>
      </c>
      <c r="E838">
        <v>0</v>
      </c>
      <c r="F838">
        <v>0</v>
      </c>
      <c r="G838">
        <v>2848.57</v>
      </c>
      <c r="H838">
        <v>159519.92000000001</v>
      </c>
      <c r="I838" s="2" t="s">
        <v>2023</v>
      </c>
      <c r="J838" s="2" t="s">
        <v>2027</v>
      </c>
      <c r="K838" s="2" t="s">
        <v>3254</v>
      </c>
      <c r="L838" s="2" t="s">
        <v>4033</v>
      </c>
      <c r="M838">
        <v>2848.57</v>
      </c>
      <c r="N838" s="2" t="s">
        <v>4042</v>
      </c>
      <c r="O838">
        <v>56</v>
      </c>
      <c r="P838">
        <v>159519.92000000001</v>
      </c>
      <c r="Q838" t="b">
        <v>0</v>
      </c>
      <c r="R838" t="b">
        <v>1</v>
      </c>
      <c r="S838" t="b">
        <v>0</v>
      </c>
      <c r="T838" t="b">
        <v>0</v>
      </c>
      <c r="U838">
        <v>1</v>
      </c>
      <c r="V838" t="s">
        <v>4073</v>
      </c>
    </row>
    <row r="839" spans="1:22" hidden="1" x14ac:dyDescent="0.45">
      <c r="A839" s="2" t="s">
        <v>1365</v>
      </c>
      <c r="B839" s="11">
        <v>45675</v>
      </c>
      <c r="C839" s="2" t="s">
        <v>2012</v>
      </c>
      <c r="D839" s="2" t="s">
        <v>2017</v>
      </c>
      <c r="E839">
        <v>1942.89</v>
      </c>
      <c r="F839">
        <v>159316.98000000001</v>
      </c>
      <c r="G839">
        <v>0</v>
      </c>
      <c r="H839">
        <v>0</v>
      </c>
      <c r="I839" s="2" t="s">
        <v>2020</v>
      </c>
      <c r="J839" s="2" t="s">
        <v>2030</v>
      </c>
      <c r="K839" s="2" t="s">
        <v>3386</v>
      </c>
      <c r="L839" s="2" t="s">
        <v>4034</v>
      </c>
      <c r="M839">
        <v>-1942.89</v>
      </c>
      <c r="N839" s="2" t="s">
        <v>4044</v>
      </c>
      <c r="O839">
        <v>82</v>
      </c>
      <c r="P839">
        <v>-159316.98000000001</v>
      </c>
      <c r="Q839" t="b">
        <v>1</v>
      </c>
      <c r="R839" t="b">
        <v>0</v>
      </c>
      <c r="S839" t="b">
        <v>0</v>
      </c>
      <c r="T839" t="b">
        <v>0</v>
      </c>
      <c r="U839">
        <v>1</v>
      </c>
      <c r="V839" t="s">
        <v>4073</v>
      </c>
    </row>
    <row r="840" spans="1:22" hidden="1" x14ac:dyDescent="0.45">
      <c r="A840" s="2" t="s">
        <v>593</v>
      </c>
      <c r="B840" s="11">
        <v>45262</v>
      </c>
      <c r="C840" s="2" t="s">
        <v>2012</v>
      </c>
      <c r="D840" s="2" t="s">
        <v>2017</v>
      </c>
      <c r="E840">
        <v>350.75</v>
      </c>
      <c r="F840">
        <v>21395.75</v>
      </c>
      <c r="G840">
        <v>0</v>
      </c>
      <c r="H840">
        <v>0</v>
      </c>
      <c r="I840" s="2" t="s">
        <v>2024</v>
      </c>
      <c r="J840" s="2" t="s">
        <v>2028</v>
      </c>
      <c r="K840" s="2" t="s">
        <v>2614</v>
      </c>
      <c r="L840" s="2" t="s">
        <v>4035</v>
      </c>
      <c r="M840">
        <v>-350.75</v>
      </c>
      <c r="N840" s="2" t="s">
        <v>4044</v>
      </c>
      <c r="O840">
        <v>61</v>
      </c>
      <c r="P840">
        <v>-21395.75</v>
      </c>
      <c r="Q840" t="b">
        <v>1</v>
      </c>
      <c r="R840" t="b">
        <v>0</v>
      </c>
      <c r="S840" t="b">
        <v>0</v>
      </c>
      <c r="T840" t="b">
        <v>0</v>
      </c>
      <c r="U840">
        <v>1</v>
      </c>
      <c r="V840" t="s">
        <v>4073</v>
      </c>
    </row>
    <row r="841" spans="1:22" hidden="1" x14ac:dyDescent="0.45">
      <c r="A841" s="2" t="s">
        <v>1440</v>
      </c>
      <c r="B841" s="11">
        <v>45088</v>
      </c>
      <c r="C841" s="2" t="s">
        <v>2010</v>
      </c>
      <c r="D841" s="2" t="s">
        <v>2015</v>
      </c>
      <c r="E841">
        <v>0</v>
      </c>
      <c r="F841">
        <v>0</v>
      </c>
      <c r="G841">
        <v>352.44</v>
      </c>
      <c r="H841">
        <v>21498.84</v>
      </c>
      <c r="I841" s="2" t="s">
        <v>2024</v>
      </c>
      <c r="J841" s="2" t="s">
        <v>2028</v>
      </c>
      <c r="K841" s="2" t="s">
        <v>3461</v>
      </c>
      <c r="L841" s="2" t="s">
        <v>4035</v>
      </c>
      <c r="M841">
        <v>352.44</v>
      </c>
      <c r="N841" s="2" t="s">
        <v>4042</v>
      </c>
      <c r="O841">
        <v>61</v>
      </c>
      <c r="P841">
        <v>21498.84</v>
      </c>
      <c r="Q841" t="b">
        <v>1</v>
      </c>
      <c r="R841" t="b">
        <v>0</v>
      </c>
      <c r="S841" t="b">
        <v>0</v>
      </c>
      <c r="T841" t="b">
        <v>0</v>
      </c>
      <c r="U841">
        <v>1</v>
      </c>
      <c r="V841" t="s">
        <v>4073</v>
      </c>
    </row>
    <row r="842" spans="1:22" hidden="1" x14ac:dyDescent="0.45">
      <c r="A842" s="2" t="s">
        <v>1750</v>
      </c>
      <c r="B842" s="11">
        <v>45397</v>
      </c>
      <c r="C842" s="2" t="s">
        <v>2010</v>
      </c>
      <c r="D842" s="2" t="s">
        <v>2015</v>
      </c>
      <c r="E842">
        <v>0</v>
      </c>
      <c r="F842">
        <v>0</v>
      </c>
      <c r="G842">
        <v>3884.34</v>
      </c>
      <c r="H842">
        <v>400087.02</v>
      </c>
      <c r="I842" s="2" t="s">
        <v>2022</v>
      </c>
      <c r="J842" s="2" t="s">
        <v>2026</v>
      </c>
      <c r="K842" s="2" t="s">
        <v>3771</v>
      </c>
      <c r="L842" s="2" t="s">
        <v>4031</v>
      </c>
      <c r="M842">
        <v>3884.34</v>
      </c>
      <c r="N842" s="2" t="s">
        <v>4042</v>
      </c>
      <c r="O842">
        <v>103</v>
      </c>
      <c r="P842">
        <v>400087.02</v>
      </c>
      <c r="Q842" t="b">
        <v>0</v>
      </c>
      <c r="R842" t="b">
        <v>0</v>
      </c>
      <c r="S842" t="b">
        <v>0</v>
      </c>
      <c r="T842" t="b">
        <v>1</v>
      </c>
      <c r="U842">
        <v>1</v>
      </c>
      <c r="V842" t="s">
        <v>4073</v>
      </c>
    </row>
    <row r="843" spans="1:22" hidden="1" x14ac:dyDescent="0.45">
      <c r="A843" s="2" t="s">
        <v>978</v>
      </c>
      <c r="B843" s="11">
        <v>45138</v>
      </c>
      <c r="C843" s="2" t="s">
        <v>2010</v>
      </c>
      <c r="D843" s="2" t="s">
        <v>2015</v>
      </c>
      <c r="E843">
        <v>0</v>
      </c>
      <c r="F843">
        <v>0</v>
      </c>
      <c r="G843">
        <v>2558.2800000000002</v>
      </c>
      <c r="H843">
        <v>156055.08000000002</v>
      </c>
      <c r="I843" s="2" t="s">
        <v>2021</v>
      </c>
      <c r="J843" s="2" t="s">
        <v>2026</v>
      </c>
      <c r="K843" s="2" t="s">
        <v>2999</v>
      </c>
      <c r="L843" s="2" t="s">
        <v>4035</v>
      </c>
      <c r="M843">
        <v>2558.2800000000002</v>
      </c>
      <c r="N843" s="2" t="s">
        <v>4042</v>
      </c>
      <c r="O843">
        <v>61</v>
      </c>
      <c r="P843">
        <v>156055.08000000002</v>
      </c>
      <c r="Q843" t="b">
        <v>0</v>
      </c>
      <c r="R843" t="b">
        <v>1</v>
      </c>
      <c r="S843" t="b">
        <v>0</v>
      </c>
      <c r="T843" t="b">
        <v>0</v>
      </c>
      <c r="U843">
        <v>1</v>
      </c>
      <c r="V843" t="s">
        <v>4073</v>
      </c>
    </row>
    <row r="844" spans="1:22" hidden="1" x14ac:dyDescent="0.45">
      <c r="A844" s="2" t="s">
        <v>1342</v>
      </c>
      <c r="B844" s="11">
        <v>45272</v>
      </c>
      <c r="C844" s="2" t="s">
        <v>2014</v>
      </c>
      <c r="D844" s="2" t="s">
        <v>2019</v>
      </c>
      <c r="E844">
        <v>0</v>
      </c>
      <c r="F844">
        <v>0</v>
      </c>
      <c r="G844">
        <v>4603.0200000000004</v>
      </c>
      <c r="H844">
        <v>474111.06000000006</v>
      </c>
      <c r="I844" s="2" t="s">
        <v>2023</v>
      </c>
      <c r="J844" s="2" t="s">
        <v>2027</v>
      </c>
      <c r="K844" s="2" t="s">
        <v>3363</v>
      </c>
      <c r="L844" s="2" t="s">
        <v>4031</v>
      </c>
      <c r="M844">
        <v>4603.0200000000004</v>
      </c>
      <c r="N844" s="2" t="s">
        <v>4042</v>
      </c>
      <c r="O844">
        <v>103</v>
      </c>
      <c r="P844">
        <v>474111.06000000006</v>
      </c>
      <c r="Q844" t="b">
        <v>0</v>
      </c>
      <c r="R844" t="b">
        <v>0</v>
      </c>
      <c r="S844" t="b">
        <v>0</v>
      </c>
      <c r="T844" t="b">
        <v>1</v>
      </c>
      <c r="U844">
        <v>1</v>
      </c>
      <c r="V844" t="s">
        <v>4073</v>
      </c>
    </row>
    <row r="845" spans="1:22" hidden="1" x14ac:dyDescent="0.45">
      <c r="A845" s="2" t="s">
        <v>992</v>
      </c>
      <c r="B845" s="11">
        <v>45270</v>
      </c>
      <c r="C845" s="2" t="s">
        <v>2010</v>
      </c>
      <c r="D845" s="2" t="s">
        <v>2015</v>
      </c>
      <c r="E845">
        <v>0</v>
      </c>
      <c r="F845">
        <v>0</v>
      </c>
      <c r="G845">
        <v>1902.31</v>
      </c>
      <c r="H845">
        <v>155989.41999999998</v>
      </c>
      <c r="I845" s="2" t="s">
        <v>2023</v>
      </c>
      <c r="J845" s="2" t="s">
        <v>2028</v>
      </c>
      <c r="K845" s="2" t="s">
        <v>3013</v>
      </c>
      <c r="L845" s="2" t="s">
        <v>4034</v>
      </c>
      <c r="M845">
        <v>1902.31</v>
      </c>
      <c r="N845" s="2" t="s">
        <v>4042</v>
      </c>
      <c r="O845">
        <v>82</v>
      </c>
      <c r="P845">
        <v>155989.41999999998</v>
      </c>
      <c r="Q845" t="b">
        <v>1</v>
      </c>
      <c r="R845" t="b">
        <v>0</v>
      </c>
      <c r="S845" t="b">
        <v>0</v>
      </c>
      <c r="T845" t="b">
        <v>0</v>
      </c>
      <c r="U845">
        <v>1</v>
      </c>
      <c r="V845" t="s">
        <v>4073</v>
      </c>
    </row>
    <row r="846" spans="1:22" hidden="1" x14ac:dyDescent="0.45">
      <c r="A846" s="2" t="s">
        <v>1845</v>
      </c>
      <c r="B846" s="11">
        <v>45025</v>
      </c>
      <c r="C846" s="2" t="s">
        <v>2011</v>
      </c>
      <c r="D846" s="2" t="s">
        <v>2016</v>
      </c>
      <c r="E846">
        <v>229.78</v>
      </c>
      <c r="F846">
        <v>23667.34</v>
      </c>
      <c r="G846">
        <v>0</v>
      </c>
      <c r="H846">
        <v>0</v>
      </c>
      <c r="I846" s="2" t="s">
        <v>2023</v>
      </c>
      <c r="J846" s="2" t="s">
        <v>2029</v>
      </c>
      <c r="K846" s="2" t="s">
        <v>3866</v>
      </c>
      <c r="L846" s="2" t="s">
        <v>4031</v>
      </c>
      <c r="M846">
        <v>-229.78</v>
      </c>
      <c r="N846" s="2" t="s">
        <v>2016</v>
      </c>
      <c r="O846">
        <v>103</v>
      </c>
      <c r="P846">
        <v>-23667.34</v>
      </c>
      <c r="Q846" t="b">
        <v>1</v>
      </c>
      <c r="R846" t="b">
        <v>0</v>
      </c>
      <c r="S846" t="b">
        <v>0</v>
      </c>
      <c r="T846" t="b">
        <v>0</v>
      </c>
      <c r="U846">
        <v>1</v>
      </c>
      <c r="V846" t="s">
        <v>4073</v>
      </c>
    </row>
    <row r="847" spans="1:22" hidden="1" x14ac:dyDescent="0.45">
      <c r="A847" s="2" t="s">
        <v>710</v>
      </c>
      <c r="B847" s="11">
        <v>44988</v>
      </c>
      <c r="C847" s="2" t="s">
        <v>2014</v>
      </c>
      <c r="D847" s="2" t="s">
        <v>2019</v>
      </c>
      <c r="E847">
        <v>0</v>
      </c>
      <c r="F847">
        <v>0</v>
      </c>
      <c r="G847">
        <v>4145.3100000000004</v>
      </c>
      <c r="H847">
        <v>426966.93000000005</v>
      </c>
      <c r="I847" s="2" t="s">
        <v>2023</v>
      </c>
      <c r="J847" s="2" t="s">
        <v>2030</v>
      </c>
      <c r="K847" s="2" t="s">
        <v>2731</v>
      </c>
      <c r="L847" s="2" t="s">
        <v>4031</v>
      </c>
      <c r="M847">
        <v>4145.3100000000004</v>
      </c>
      <c r="N847" s="2" t="s">
        <v>4042</v>
      </c>
      <c r="O847">
        <v>103</v>
      </c>
      <c r="P847">
        <v>426966.93000000005</v>
      </c>
      <c r="Q847" t="b">
        <v>0</v>
      </c>
      <c r="R847" t="b">
        <v>0</v>
      </c>
      <c r="S847" t="b">
        <v>0</v>
      </c>
      <c r="T847" t="b">
        <v>1</v>
      </c>
      <c r="U847">
        <v>1</v>
      </c>
      <c r="V847" t="s">
        <v>4073</v>
      </c>
    </row>
    <row r="848" spans="1:22" hidden="1" x14ac:dyDescent="0.45">
      <c r="A848" s="2" t="s">
        <v>1626</v>
      </c>
      <c r="B848" s="11">
        <v>45601</v>
      </c>
      <c r="C848" s="2" t="s">
        <v>2010</v>
      </c>
      <c r="D848" s="2" t="s">
        <v>2015</v>
      </c>
      <c r="E848">
        <v>0</v>
      </c>
      <c r="F848">
        <v>0</v>
      </c>
      <c r="G848">
        <v>4897.22</v>
      </c>
      <c r="H848">
        <v>430955.36000000004</v>
      </c>
      <c r="I848" s="2" t="s">
        <v>2023</v>
      </c>
      <c r="J848" s="2" t="s">
        <v>2030</v>
      </c>
      <c r="K848" s="2" t="s">
        <v>3647</v>
      </c>
      <c r="L848" s="2" t="s">
        <v>4032</v>
      </c>
      <c r="M848">
        <v>4897.22</v>
      </c>
      <c r="N848" s="2" t="s">
        <v>4042</v>
      </c>
      <c r="O848">
        <v>88</v>
      </c>
      <c r="P848">
        <v>430955.36000000004</v>
      </c>
      <c r="Q848" t="b">
        <v>0</v>
      </c>
      <c r="R848" t="b">
        <v>0</v>
      </c>
      <c r="S848" t="b">
        <v>0</v>
      </c>
      <c r="T848" t="b">
        <v>1</v>
      </c>
      <c r="U848">
        <v>1</v>
      </c>
      <c r="V848" t="s">
        <v>4073</v>
      </c>
    </row>
    <row r="849" spans="1:22" hidden="1" x14ac:dyDescent="0.45">
      <c r="A849" s="2" t="s">
        <v>828</v>
      </c>
      <c r="B849" s="11">
        <v>45635</v>
      </c>
      <c r="C849" s="2" t="s">
        <v>2014</v>
      </c>
      <c r="D849" s="2" t="s">
        <v>2019</v>
      </c>
      <c r="E849">
        <v>0</v>
      </c>
      <c r="F849">
        <v>0</v>
      </c>
      <c r="G849">
        <v>4254.72</v>
      </c>
      <c r="H849">
        <v>438236.16000000003</v>
      </c>
      <c r="I849" s="2" t="s">
        <v>2022</v>
      </c>
      <c r="J849" s="2" t="s">
        <v>2026</v>
      </c>
      <c r="K849" s="2" t="s">
        <v>2849</v>
      </c>
      <c r="L849" s="2" t="s">
        <v>4031</v>
      </c>
      <c r="M849">
        <v>4254.72</v>
      </c>
      <c r="N849" s="2" t="s">
        <v>4042</v>
      </c>
      <c r="O849">
        <v>103</v>
      </c>
      <c r="P849">
        <v>438236.16000000003</v>
      </c>
      <c r="Q849" t="b">
        <v>0</v>
      </c>
      <c r="R849" t="b">
        <v>0</v>
      </c>
      <c r="S849" t="b">
        <v>0</v>
      </c>
      <c r="T849" t="b">
        <v>1</v>
      </c>
      <c r="U849">
        <v>1</v>
      </c>
      <c r="V849" t="s">
        <v>4073</v>
      </c>
    </row>
    <row r="850" spans="1:22" hidden="1" x14ac:dyDescent="0.45">
      <c r="A850" s="2" t="s">
        <v>202</v>
      </c>
      <c r="B850" s="11">
        <v>45276</v>
      </c>
      <c r="C850" s="2" t="s">
        <v>2010</v>
      </c>
      <c r="D850" s="2" t="s">
        <v>2015</v>
      </c>
      <c r="E850">
        <v>0</v>
      </c>
      <c r="F850">
        <v>0</v>
      </c>
      <c r="G850">
        <v>1470.69</v>
      </c>
      <c r="H850">
        <v>151481.07</v>
      </c>
      <c r="I850" s="2" t="s">
        <v>2022</v>
      </c>
      <c r="J850" s="2" t="s">
        <v>2027</v>
      </c>
      <c r="K850" s="2" t="s">
        <v>2223</v>
      </c>
      <c r="L850" s="2" t="s">
        <v>4031</v>
      </c>
      <c r="M850">
        <v>1470.69</v>
      </c>
      <c r="N850" s="2" t="s">
        <v>4042</v>
      </c>
      <c r="O850">
        <v>103</v>
      </c>
      <c r="P850">
        <v>151481.07</v>
      </c>
      <c r="Q850" t="b">
        <v>1</v>
      </c>
      <c r="R850" t="b">
        <v>0</v>
      </c>
      <c r="S850" t="b">
        <v>0</v>
      </c>
      <c r="T850" t="b">
        <v>0</v>
      </c>
      <c r="U850">
        <v>1</v>
      </c>
      <c r="V850" t="s">
        <v>4073</v>
      </c>
    </row>
    <row r="851" spans="1:22" hidden="1" x14ac:dyDescent="0.45">
      <c r="A851" s="2" t="s">
        <v>63</v>
      </c>
      <c r="B851" s="11">
        <v>45249</v>
      </c>
      <c r="C851" s="2" t="s">
        <v>2011</v>
      </c>
      <c r="D851" s="2" t="s">
        <v>2016</v>
      </c>
      <c r="E851">
        <v>425.12</v>
      </c>
      <c r="F851">
        <v>23806.720000000001</v>
      </c>
      <c r="G851">
        <v>0</v>
      </c>
      <c r="H851">
        <v>0</v>
      </c>
      <c r="I851" s="2" t="s">
        <v>2023</v>
      </c>
      <c r="J851" s="2" t="s">
        <v>2026</v>
      </c>
      <c r="K851" s="2" t="s">
        <v>2084</v>
      </c>
      <c r="L851" s="2" t="s">
        <v>4033</v>
      </c>
      <c r="M851">
        <v>-425.12</v>
      </c>
      <c r="N851" s="2" t="s">
        <v>2016</v>
      </c>
      <c r="O851">
        <v>56</v>
      </c>
      <c r="P851">
        <v>-23806.720000000001</v>
      </c>
      <c r="Q851" t="b">
        <v>1</v>
      </c>
      <c r="R851" t="b">
        <v>0</v>
      </c>
      <c r="S851" t="b">
        <v>0</v>
      </c>
      <c r="T851" t="b">
        <v>0</v>
      </c>
      <c r="U851">
        <v>1</v>
      </c>
      <c r="V851" t="s">
        <v>4073</v>
      </c>
    </row>
    <row r="852" spans="1:22" hidden="1" x14ac:dyDescent="0.45">
      <c r="A852" s="2" t="s">
        <v>494</v>
      </c>
      <c r="B852" s="11">
        <v>45675</v>
      </c>
      <c r="C852" s="2" t="s">
        <v>2010</v>
      </c>
      <c r="D852" s="2" t="s">
        <v>2015</v>
      </c>
      <c r="E852">
        <v>0</v>
      </c>
      <c r="F852">
        <v>0</v>
      </c>
      <c r="G852">
        <v>1712.94</v>
      </c>
      <c r="H852">
        <v>150738.72</v>
      </c>
      <c r="I852" s="2" t="s">
        <v>2024</v>
      </c>
      <c r="J852" s="2" t="s">
        <v>2026</v>
      </c>
      <c r="K852" s="2" t="s">
        <v>2515</v>
      </c>
      <c r="L852" s="2" t="s">
        <v>4032</v>
      </c>
      <c r="M852">
        <v>1712.94</v>
      </c>
      <c r="N852" s="2" t="s">
        <v>4042</v>
      </c>
      <c r="O852">
        <v>88</v>
      </c>
      <c r="P852">
        <v>150738.72</v>
      </c>
      <c r="Q852" t="b">
        <v>1</v>
      </c>
      <c r="R852" t="b">
        <v>0</v>
      </c>
      <c r="S852" t="b">
        <v>0</v>
      </c>
      <c r="T852" t="b">
        <v>0</v>
      </c>
      <c r="U852">
        <v>1</v>
      </c>
      <c r="V852" t="s">
        <v>4073</v>
      </c>
    </row>
    <row r="853" spans="1:22" hidden="1" x14ac:dyDescent="0.45">
      <c r="A853" s="2" t="s">
        <v>1883</v>
      </c>
      <c r="B853" s="11">
        <v>45095</v>
      </c>
      <c r="C853" s="2" t="s">
        <v>2013</v>
      </c>
      <c r="D853" s="2" t="s">
        <v>2018</v>
      </c>
      <c r="E853">
        <v>1711.71</v>
      </c>
      <c r="F853">
        <v>150630.48000000001</v>
      </c>
      <c r="G853">
        <v>0</v>
      </c>
      <c r="H853">
        <v>0</v>
      </c>
      <c r="I853" s="2" t="s">
        <v>2020</v>
      </c>
      <c r="J853" s="2" t="s">
        <v>2028</v>
      </c>
      <c r="K853" s="2" t="s">
        <v>3904</v>
      </c>
      <c r="L853" s="2" t="s">
        <v>4032</v>
      </c>
      <c r="M853">
        <v>-1711.71</v>
      </c>
      <c r="N853" s="2" t="s">
        <v>4044</v>
      </c>
      <c r="O853">
        <v>88</v>
      </c>
      <c r="P853">
        <v>-150630.48000000001</v>
      </c>
      <c r="Q853" t="b">
        <v>1</v>
      </c>
      <c r="R853" t="b">
        <v>0</v>
      </c>
      <c r="S853" t="b">
        <v>0</v>
      </c>
      <c r="T853" t="b">
        <v>0</v>
      </c>
      <c r="U853">
        <v>1</v>
      </c>
      <c r="V853" t="s">
        <v>4073</v>
      </c>
    </row>
    <row r="854" spans="1:22" hidden="1" x14ac:dyDescent="0.45">
      <c r="A854" s="2" t="s">
        <v>255</v>
      </c>
      <c r="B854" s="11">
        <v>45495</v>
      </c>
      <c r="C854" s="2" t="s">
        <v>2014</v>
      </c>
      <c r="D854" s="2" t="s">
        <v>2019</v>
      </c>
      <c r="E854">
        <v>0</v>
      </c>
      <c r="F854">
        <v>0</v>
      </c>
      <c r="G854">
        <v>4264.16</v>
      </c>
      <c r="H854">
        <v>439208.48</v>
      </c>
      <c r="I854" s="2" t="s">
        <v>2021</v>
      </c>
      <c r="J854" s="2" t="s">
        <v>2027</v>
      </c>
      <c r="K854" s="2" t="s">
        <v>2276</v>
      </c>
      <c r="L854" s="2" t="s">
        <v>4031</v>
      </c>
      <c r="M854">
        <v>4264.16</v>
      </c>
      <c r="N854" s="2" t="s">
        <v>4042</v>
      </c>
      <c r="O854">
        <v>103</v>
      </c>
      <c r="P854">
        <v>439208.48</v>
      </c>
      <c r="Q854" t="b">
        <v>0</v>
      </c>
      <c r="R854" t="b">
        <v>0</v>
      </c>
      <c r="S854" t="b">
        <v>0</v>
      </c>
      <c r="T854" t="b">
        <v>1</v>
      </c>
      <c r="U854">
        <v>1</v>
      </c>
      <c r="V854" t="s">
        <v>4073</v>
      </c>
    </row>
    <row r="855" spans="1:22" hidden="1" x14ac:dyDescent="0.45">
      <c r="A855" s="2" t="s">
        <v>602</v>
      </c>
      <c r="B855" s="11">
        <v>45670</v>
      </c>
      <c r="C855" s="2" t="s">
        <v>2014</v>
      </c>
      <c r="D855" s="2" t="s">
        <v>2019</v>
      </c>
      <c r="E855">
        <v>0</v>
      </c>
      <c r="F855">
        <v>0</v>
      </c>
      <c r="G855">
        <v>4295.83</v>
      </c>
      <c r="H855">
        <v>442470.49</v>
      </c>
      <c r="I855" s="2" t="s">
        <v>2022</v>
      </c>
      <c r="J855" s="2" t="s">
        <v>2026</v>
      </c>
      <c r="K855" s="2" t="s">
        <v>2623</v>
      </c>
      <c r="L855" s="2" t="s">
        <v>4031</v>
      </c>
      <c r="M855">
        <v>4295.83</v>
      </c>
      <c r="N855" s="2" t="s">
        <v>4042</v>
      </c>
      <c r="O855">
        <v>103</v>
      </c>
      <c r="P855">
        <v>442470.49</v>
      </c>
      <c r="Q855" t="b">
        <v>0</v>
      </c>
      <c r="R855" t="b">
        <v>0</v>
      </c>
      <c r="S855" t="b">
        <v>0</v>
      </c>
      <c r="T855" t="b">
        <v>1</v>
      </c>
      <c r="U855">
        <v>1</v>
      </c>
      <c r="V855" t="s">
        <v>4073</v>
      </c>
    </row>
    <row r="856" spans="1:22" hidden="1" x14ac:dyDescent="0.45">
      <c r="A856" s="2" t="s">
        <v>1842</v>
      </c>
      <c r="B856" s="11">
        <v>45711</v>
      </c>
      <c r="C856" s="2" t="s">
        <v>2014</v>
      </c>
      <c r="D856" s="2" t="s">
        <v>2019</v>
      </c>
      <c r="E856">
        <v>0</v>
      </c>
      <c r="F856">
        <v>0</v>
      </c>
      <c r="G856">
        <v>432.36</v>
      </c>
      <c r="H856">
        <v>24212.16</v>
      </c>
      <c r="I856" s="2" t="s">
        <v>2020</v>
      </c>
      <c r="J856" s="2" t="s">
        <v>2028</v>
      </c>
      <c r="K856" s="2" t="s">
        <v>3863</v>
      </c>
      <c r="L856" s="2" t="s">
        <v>4033</v>
      </c>
      <c r="M856">
        <v>432.36</v>
      </c>
      <c r="N856" s="2" t="s">
        <v>4042</v>
      </c>
      <c r="O856">
        <v>56</v>
      </c>
      <c r="P856">
        <v>24212.16</v>
      </c>
      <c r="Q856" t="b">
        <v>1</v>
      </c>
      <c r="R856" t="b">
        <v>0</v>
      </c>
      <c r="S856" t="b">
        <v>0</v>
      </c>
      <c r="T856" t="b">
        <v>0</v>
      </c>
      <c r="U856">
        <v>1</v>
      </c>
      <c r="V856" t="s">
        <v>4073</v>
      </c>
    </row>
    <row r="857" spans="1:22" hidden="1" x14ac:dyDescent="0.45">
      <c r="A857" s="2" t="s">
        <v>1109</v>
      </c>
      <c r="B857" s="11">
        <v>45094</v>
      </c>
      <c r="C857" s="2" t="s">
        <v>2012</v>
      </c>
      <c r="D857" s="2" t="s">
        <v>2017</v>
      </c>
      <c r="E857">
        <v>1814.7</v>
      </c>
      <c r="F857">
        <v>148805.4</v>
      </c>
      <c r="G857">
        <v>0</v>
      </c>
      <c r="H857">
        <v>0</v>
      </c>
      <c r="I857" s="2" t="s">
        <v>2022</v>
      </c>
      <c r="J857" s="2" t="s">
        <v>2030</v>
      </c>
      <c r="K857" s="2" t="s">
        <v>3130</v>
      </c>
      <c r="L857" s="2" t="s">
        <v>4034</v>
      </c>
      <c r="M857">
        <v>-1814.7</v>
      </c>
      <c r="N857" s="2" t="s">
        <v>4044</v>
      </c>
      <c r="O857">
        <v>82</v>
      </c>
      <c r="P857">
        <v>-148805.4</v>
      </c>
      <c r="Q857" t="b">
        <v>1</v>
      </c>
      <c r="R857" t="b">
        <v>0</v>
      </c>
      <c r="S857" t="b">
        <v>0</v>
      </c>
      <c r="T857" t="b">
        <v>0</v>
      </c>
      <c r="U857">
        <v>1</v>
      </c>
      <c r="V857" t="s">
        <v>4073</v>
      </c>
    </row>
    <row r="858" spans="1:22" hidden="1" x14ac:dyDescent="0.45">
      <c r="A858" s="2" t="s">
        <v>1847</v>
      </c>
      <c r="B858" s="11">
        <v>44978</v>
      </c>
      <c r="C858" s="2" t="s">
        <v>2014</v>
      </c>
      <c r="D858" s="2" t="s">
        <v>2019</v>
      </c>
      <c r="E858">
        <v>0</v>
      </c>
      <c r="F858">
        <v>0</v>
      </c>
      <c r="G858">
        <v>4316.26</v>
      </c>
      <c r="H858">
        <v>444574.78</v>
      </c>
      <c r="I858" s="2" t="s">
        <v>2021</v>
      </c>
      <c r="J858" s="2" t="s">
        <v>2030</v>
      </c>
      <c r="K858" s="2" t="s">
        <v>3868</v>
      </c>
      <c r="L858" s="2" t="s">
        <v>4031</v>
      </c>
      <c r="M858">
        <v>4316.26</v>
      </c>
      <c r="N858" s="2" t="s">
        <v>4042</v>
      </c>
      <c r="O858">
        <v>103</v>
      </c>
      <c r="P858">
        <v>444574.78</v>
      </c>
      <c r="Q858" t="b">
        <v>0</v>
      </c>
      <c r="R858" t="b">
        <v>0</v>
      </c>
      <c r="S858" t="b">
        <v>0</v>
      </c>
      <c r="T858" t="b">
        <v>1</v>
      </c>
      <c r="U858">
        <v>1</v>
      </c>
      <c r="V858" t="s">
        <v>4073</v>
      </c>
    </row>
    <row r="859" spans="1:22" hidden="1" x14ac:dyDescent="0.45">
      <c r="A859" s="2" t="s">
        <v>250</v>
      </c>
      <c r="B859" s="11">
        <v>45712</v>
      </c>
      <c r="C859" s="2" t="s">
        <v>2010</v>
      </c>
      <c r="D859" s="2" t="s">
        <v>2015</v>
      </c>
      <c r="E859">
        <v>0</v>
      </c>
      <c r="F859">
        <v>0</v>
      </c>
      <c r="G859">
        <v>4495.32</v>
      </c>
      <c r="H859">
        <v>463017.95999999996</v>
      </c>
      <c r="I859" s="2" t="s">
        <v>2024</v>
      </c>
      <c r="J859" s="2" t="s">
        <v>2029</v>
      </c>
      <c r="K859" s="2" t="s">
        <v>2271</v>
      </c>
      <c r="L859" s="2" t="s">
        <v>4031</v>
      </c>
      <c r="M859">
        <v>4495.32</v>
      </c>
      <c r="N859" s="2" t="s">
        <v>4042</v>
      </c>
      <c r="O859">
        <v>103</v>
      </c>
      <c r="P859">
        <v>463017.95999999996</v>
      </c>
      <c r="Q859" t="b">
        <v>0</v>
      </c>
      <c r="R859" t="b">
        <v>0</v>
      </c>
      <c r="S859" t="b">
        <v>0</v>
      </c>
      <c r="T859" t="b">
        <v>1</v>
      </c>
      <c r="U859">
        <v>1</v>
      </c>
      <c r="V859" t="s">
        <v>4073</v>
      </c>
    </row>
    <row r="860" spans="1:22" hidden="1" x14ac:dyDescent="0.45">
      <c r="A860" s="2" t="s">
        <v>897</v>
      </c>
      <c r="B860" s="11">
        <v>45468</v>
      </c>
      <c r="C860" s="2" t="s">
        <v>2010</v>
      </c>
      <c r="D860" s="2" t="s">
        <v>2015</v>
      </c>
      <c r="E860">
        <v>0</v>
      </c>
      <c r="F860">
        <v>0</v>
      </c>
      <c r="G860">
        <v>1700.49</v>
      </c>
      <c r="H860">
        <v>149643.12</v>
      </c>
      <c r="I860" s="2" t="s">
        <v>2024</v>
      </c>
      <c r="J860" s="2" t="s">
        <v>2030</v>
      </c>
      <c r="K860" s="2" t="s">
        <v>2918</v>
      </c>
      <c r="L860" s="2" t="s">
        <v>4032</v>
      </c>
      <c r="M860">
        <v>1700.49</v>
      </c>
      <c r="N860" s="2" t="s">
        <v>4042</v>
      </c>
      <c r="O860">
        <v>88</v>
      </c>
      <c r="P860">
        <v>149643.12</v>
      </c>
      <c r="Q860" t="b">
        <v>0</v>
      </c>
      <c r="R860" t="b">
        <v>1</v>
      </c>
      <c r="S860" t="b">
        <v>0</v>
      </c>
      <c r="T860" t="b">
        <v>0</v>
      </c>
      <c r="U860">
        <v>1</v>
      </c>
      <c r="V860" t="s">
        <v>4073</v>
      </c>
    </row>
    <row r="861" spans="1:22" hidden="1" x14ac:dyDescent="0.45">
      <c r="A861" s="2" t="s">
        <v>148</v>
      </c>
      <c r="B861" s="11">
        <v>45661</v>
      </c>
      <c r="C861" s="2" t="s">
        <v>2013</v>
      </c>
      <c r="D861" s="2" t="s">
        <v>2018</v>
      </c>
      <c r="E861">
        <v>1695.8</v>
      </c>
      <c r="F861">
        <v>149230.39999999999</v>
      </c>
      <c r="G861">
        <v>0</v>
      </c>
      <c r="H861">
        <v>0</v>
      </c>
      <c r="I861" s="2" t="s">
        <v>2021</v>
      </c>
      <c r="J861" s="2" t="s">
        <v>2030</v>
      </c>
      <c r="K861" s="2" t="s">
        <v>2169</v>
      </c>
      <c r="L861" s="2" t="s">
        <v>4032</v>
      </c>
      <c r="M861">
        <v>-1695.8</v>
      </c>
      <c r="N861" s="2" t="s">
        <v>4044</v>
      </c>
      <c r="O861">
        <v>88</v>
      </c>
      <c r="P861">
        <v>-149230.39999999999</v>
      </c>
      <c r="Q861" t="b">
        <v>1</v>
      </c>
      <c r="R861" t="b">
        <v>0</v>
      </c>
      <c r="S861" t="b">
        <v>0</v>
      </c>
      <c r="T861" t="b">
        <v>0</v>
      </c>
      <c r="U861">
        <v>1</v>
      </c>
      <c r="V861" t="s">
        <v>4073</v>
      </c>
    </row>
    <row r="862" spans="1:22" hidden="1" x14ac:dyDescent="0.45">
      <c r="A862" s="2" t="s">
        <v>1193</v>
      </c>
      <c r="B862" s="11">
        <v>45457</v>
      </c>
      <c r="C862" s="2" t="s">
        <v>2010</v>
      </c>
      <c r="D862" s="2" t="s">
        <v>2015</v>
      </c>
      <c r="E862">
        <v>0</v>
      </c>
      <c r="F862">
        <v>0</v>
      </c>
      <c r="G862">
        <v>4440.72</v>
      </c>
      <c r="H862">
        <v>457394.16000000003</v>
      </c>
      <c r="I862" s="2" t="s">
        <v>2020</v>
      </c>
      <c r="J862" s="2" t="s">
        <v>2029</v>
      </c>
      <c r="K862" s="2" t="s">
        <v>3214</v>
      </c>
      <c r="L862" s="2" t="s">
        <v>4031</v>
      </c>
      <c r="M862">
        <v>4440.72</v>
      </c>
      <c r="N862" s="2" t="s">
        <v>4042</v>
      </c>
      <c r="O862">
        <v>103</v>
      </c>
      <c r="P862">
        <v>457394.16000000003</v>
      </c>
      <c r="Q862" t="b">
        <v>0</v>
      </c>
      <c r="R862" t="b">
        <v>0</v>
      </c>
      <c r="S862" t="b">
        <v>0</v>
      </c>
      <c r="T862" t="b">
        <v>1</v>
      </c>
      <c r="U862">
        <v>1</v>
      </c>
      <c r="V862" t="s">
        <v>4073</v>
      </c>
    </row>
    <row r="863" spans="1:22" hidden="1" x14ac:dyDescent="0.45">
      <c r="A863" s="2" t="s">
        <v>966</v>
      </c>
      <c r="B863" s="11">
        <v>45196</v>
      </c>
      <c r="C863" s="2" t="s">
        <v>2011</v>
      </c>
      <c r="D863" s="2" t="s">
        <v>2016</v>
      </c>
      <c r="E863">
        <v>1444.24</v>
      </c>
      <c r="F863">
        <v>148756.72</v>
      </c>
      <c r="G863">
        <v>0</v>
      </c>
      <c r="H863">
        <v>0</v>
      </c>
      <c r="I863" s="2" t="s">
        <v>2024</v>
      </c>
      <c r="J863" s="2" t="s">
        <v>2027</v>
      </c>
      <c r="K863" s="2" t="s">
        <v>2987</v>
      </c>
      <c r="L863" s="2" t="s">
        <v>4031</v>
      </c>
      <c r="M863">
        <v>-1444.24</v>
      </c>
      <c r="N863" s="2" t="s">
        <v>2016</v>
      </c>
      <c r="O863">
        <v>103</v>
      </c>
      <c r="P863">
        <v>-148756.72</v>
      </c>
      <c r="Q863" t="b">
        <v>0</v>
      </c>
      <c r="R863" t="b">
        <v>1</v>
      </c>
      <c r="S863" t="b">
        <v>0</v>
      </c>
      <c r="T863" t="b">
        <v>0</v>
      </c>
      <c r="U863">
        <v>1</v>
      </c>
      <c r="V863" t="s">
        <v>4073</v>
      </c>
    </row>
    <row r="864" spans="1:22" hidden="1" x14ac:dyDescent="0.45">
      <c r="A864" s="2" t="s">
        <v>923</v>
      </c>
      <c r="B864" s="11">
        <v>45560</v>
      </c>
      <c r="C864" s="2" t="s">
        <v>2013</v>
      </c>
      <c r="D864" s="2" t="s">
        <v>2018</v>
      </c>
      <c r="E864">
        <v>287.52</v>
      </c>
      <c r="F864">
        <v>23576.639999999999</v>
      </c>
      <c r="G864">
        <v>0</v>
      </c>
      <c r="H864">
        <v>0</v>
      </c>
      <c r="I864" s="2" t="s">
        <v>2024</v>
      </c>
      <c r="J864" s="2" t="s">
        <v>2030</v>
      </c>
      <c r="K864" s="2" t="s">
        <v>2944</v>
      </c>
      <c r="L864" s="2" t="s">
        <v>4034</v>
      </c>
      <c r="M864">
        <v>-287.52</v>
      </c>
      <c r="N864" s="2" t="s">
        <v>4044</v>
      </c>
      <c r="O864">
        <v>82</v>
      </c>
      <c r="P864">
        <v>-23576.639999999999</v>
      </c>
      <c r="Q864" t="b">
        <v>0</v>
      </c>
      <c r="R864" t="b">
        <v>1</v>
      </c>
      <c r="S864" t="b">
        <v>0</v>
      </c>
      <c r="T864" t="b">
        <v>0</v>
      </c>
      <c r="U864">
        <v>1</v>
      </c>
      <c r="V864" t="s">
        <v>4073</v>
      </c>
    </row>
    <row r="865" spans="1:22" hidden="1" x14ac:dyDescent="0.45">
      <c r="A865" s="2" t="s">
        <v>1420</v>
      </c>
      <c r="B865" s="11">
        <v>45793</v>
      </c>
      <c r="C865" s="2" t="s">
        <v>2014</v>
      </c>
      <c r="D865" s="2" t="s">
        <v>2019</v>
      </c>
      <c r="E865">
        <v>0</v>
      </c>
      <c r="F865">
        <v>0</v>
      </c>
      <c r="G865">
        <v>4806.1400000000003</v>
      </c>
      <c r="H865">
        <v>422940.32</v>
      </c>
      <c r="I865" s="2" t="s">
        <v>2023</v>
      </c>
      <c r="J865" s="2" t="s">
        <v>2030</v>
      </c>
      <c r="K865" s="2" t="s">
        <v>3441</v>
      </c>
      <c r="L865" s="2" t="s">
        <v>4032</v>
      </c>
      <c r="M865">
        <v>4806.1400000000003</v>
      </c>
      <c r="N865" s="2" t="s">
        <v>4042</v>
      </c>
      <c r="O865">
        <v>88</v>
      </c>
      <c r="P865">
        <v>422940.32</v>
      </c>
      <c r="Q865" t="b">
        <v>0</v>
      </c>
      <c r="R865" t="b">
        <v>0</v>
      </c>
      <c r="S865" t="b">
        <v>0</v>
      </c>
      <c r="T865" t="b">
        <v>1</v>
      </c>
      <c r="U865">
        <v>1</v>
      </c>
      <c r="V865" t="s">
        <v>4073</v>
      </c>
    </row>
    <row r="866" spans="1:22" hidden="1" x14ac:dyDescent="0.45">
      <c r="A866" s="2" t="s">
        <v>560</v>
      </c>
      <c r="B866" s="11">
        <v>45536</v>
      </c>
      <c r="C866" s="2" t="s">
        <v>2012</v>
      </c>
      <c r="D866" s="2" t="s">
        <v>2017</v>
      </c>
      <c r="E866">
        <v>225.82</v>
      </c>
      <c r="F866">
        <v>23259.46</v>
      </c>
      <c r="G866">
        <v>0</v>
      </c>
      <c r="H866">
        <v>0</v>
      </c>
      <c r="I866" s="2" t="s">
        <v>2023</v>
      </c>
      <c r="J866" s="2" t="s">
        <v>2028</v>
      </c>
      <c r="K866" s="2" t="s">
        <v>2581</v>
      </c>
      <c r="L866" s="2" t="s">
        <v>4031</v>
      </c>
      <c r="M866">
        <v>-225.82</v>
      </c>
      <c r="N866" s="2" t="s">
        <v>4044</v>
      </c>
      <c r="O866">
        <v>103</v>
      </c>
      <c r="P866">
        <v>-23259.46</v>
      </c>
      <c r="Q866" t="b">
        <v>1</v>
      </c>
      <c r="R866" t="b">
        <v>0</v>
      </c>
      <c r="S866" t="b">
        <v>0</v>
      </c>
      <c r="T866" t="b">
        <v>0</v>
      </c>
      <c r="U866">
        <v>1</v>
      </c>
      <c r="V866" t="s">
        <v>4073</v>
      </c>
    </row>
    <row r="867" spans="1:22" hidden="1" x14ac:dyDescent="0.45">
      <c r="A867" s="2" t="s">
        <v>951</v>
      </c>
      <c r="B867" s="11">
        <v>45408</v>
      </c>
      <c r="C867" s="2" t="s">
        <v>2012</v>
      </c>
      <c r="D867" s="2" t="s">
        <v>2017</v>
      </c>
      <c r="E867">
        <v>1900.12</v>
      </c>
      <c r="F867">
        <v>155809.84</v>
      </c>
      <c r="G867">
        <v>0</v>
      </c>
      <c r="H867">
        <v>0</v>
      </c>
      <c r="I867" s="2" t="s">
        <v>2025</v>
      </c>
      <c r="J867" s="2" t="s">
        <v>2027</v>
      </c>
      <c r="K867" s="2" t="s">
        <v>2972</v>
      </c>
      <c r="L867" s="2" t="s">
        <v>4034</v>
      </c>
      <c r="M867">
        <v>-1900.12</v>
      </c>
      <c r="N867" s="2" t="s">
        <v>4044</v>
      </c>
      <c r="O867">
        <v>82</v>
      </c>
      <c r="P867">
        <v>-155809.84</v>
      </c>
      <c r="Q867" t="b">
        <v>0</v>
      </c>
      <c r="R867" t="b">
        <v>1</v>
      </c>
      <c r="S867" t="b">
        <v>0</v>
      </c>
      <c r="T867" t="b">
        <v>0</v>
      </c>
      <c r="U867">
        <v>1</v>
      </c>
      <c r="V867" t="s">
        <v>4073</v>
      </c>
    </row>
    <row r="868" spans="1:22" hidden="1" x14ac:dyDescent="0.45">
      <c r="A868" s="2" t="s">
        <v>1259</v>
      </c>
      <c r="B868" s="11">
        <v>45449</v>
      </c>
      <c r="C868" s="2" t="s">
        <v>2014</v>
      </c>
      <c r="D868" s="2" t="s">
        <v>2019</v>
      </c>
      <c r="E868">
        <v>0</v>
      </c>
      <c r="F868">
        <v>0</v>
      </c>
      <c r="G868">
        <v>4699.12</v>
      </c>
      <c r="H868">
        <v>413522.56</v>
      </c>
      <c r="I868" s="2" t="s">
        <v>2023</v>
      </c>
      <c r="J868" s="2" t="s">
        <v>2029</v>
      </c>
      <c r="K868" s="2" t="s">
        <v>3280</v>
      </c>
      <c r="L868" s="2" t="s">
        <v>4032</v>
      </c>
      <c r="M868">
        <v>4699.12</v>
      </c>
      <c r="N868" s="2" t="s">
        <v>4042</v>
      </c>
      <c r="O868">
        <v>88</v>
      </c>
      <c r="P868">
        <v>413522.56</v>
      </c>
      <c r="Q868" t="b">
        <v>0</v>
      </c>
      <c r="R868" t="b">
        <v>0</v>
      </c>
      <c r="S868" t="b">
        <v>0</v>
      </c>
      <c r="T868" t="b">
        <v>1</v>
      </c>
      <c r="U868">
        <v>1</v>
      </c>
      <c r="V868" t="s">
        <v>4073</v>
      </c>
    </row>
    <row r="869" spans="1:22" hidden="1" x14ac:dyDescent="0.45">
      <c r="A869" s="2" t="s">
        <v>1055</v>
      </c>
      <c r="B869" s="11">
        <v>45052</v>
      </c>
      <c r="C869" s="2" t="s">
        <v>2014</v>
      </c>
      <c r="D869" s="2" t="s">
        <v>2019</v>
      </c>
      <c r="E869">
        <v>0</v>
      </c>
      <c r="F869">
        <v>0</v>
      </c>
      <c r="G869">
        <v>1435.58</v>
      </c>
      <c r="H869">
        <v>147864.74</v>
      </c>
      <c r="I869" s="2" t="s">
        <v>2023</v>
      </c>
      <c r="J869" s="2" t="s">
        <v>2029</v>
      </c>
      <c r="K869" s="2" t="s">
        <v>3076</v>
      </c>
      <c r="L869" s="2" t="s">
        <v>4031</v>
      </c>
      <c r="M869">
        <v>1435.58</v>
      </c>
      <c r="N869" s="2" t="s">
        <v>4042</v>
      </c>
      <c r="O869">
        <v>103</v>
      </c>
      <c r="P869">
        <v>147864.74</v>
      </c>
      <c r="Q869" t="b">
        <v>1</v>
      </c>
      <c r="R869" t="b">
        <v>0</v>
      </c>
      <c r="S869" t="b">
        <v>0</v>
      </c>
      <c r="T869" t="b">
        <v>0</v>
      </c>
      <c r="U869">
        <v>1</v>
      </c>
      <c r="V869" t="s">
        <v>4073</v>
      </c>
    </row>
    <row r="870" spans="1:22" hidden="1" x14ac:dyDescent="0.45">
      <c r="A870" s="2" t="s">
        <v>682</v>
      </c>
      <c r="B870" s="11">
        <v>44969</v>
      </c>
      <c r="C870" s="2" t="s">
        <v>2013</v>
      </c>
      <c r="D870" s="2" t="s">
        <v>2018</v>
      </c>
      <c r="E870">
        <v>222.19</v>
      </c>
      <c r="F870">
        <v>22885.57</v>
      </c>
      <c r="G870">
        <v>0</v>
      </c>
      <c r="H870">
        <v>0</v>
      </c>
      <c r="I870" s="2" t="s">
        <v>2023</v>
      </c>
      <c r="J870" s="2" t="s">
        <v>2029</v>
      </c>
      <c r="K870" s="2" t="s">
        <v>2703</v>
      </c>
      <c r="L870" s="2" t="s">
        <v>4031</v>
      </c>
      <c r="M870">
        <v>-222.19</v>
      </c>
      <c r="N870" s="2" t="s">
        <v>4044</v>
      </c>
      <c r="O870">
        <v>103</v>
      </c>
      <c r="P870">
        <v>-22885.57</v>
      </c>
      <c r="Q870" t="b">
        <v>1</v>
      </c>
      <c r="R870" t="b">
        <v>0</v>
      </c>
      <c r="S870" t="b">
        <v>0</v>
      </c>
      <c r="T870" t="b">
        <v>0</v>
      </c>
      <c r="U870">
        <v>1</v>
      </c>
      <c r="V870" t="s">
        <v>4073</v>
      </c>
    </row>
    <row r="871" spans="1:22" hidden="1" x14ac:dyDescent="0.45">
      <c r="A871" s="2" t="s">
        <v>1758</v>
      </c>
      <c r="B871" s="11">
        <v>45238</v>
      </c>
      <c r="C871" s="2" t="s">
        <v>2010</v>
      </c>
      <c r="D871" s="2" t="s">
        <v>2015</v>
      </c>
      <c r="E871">
        <v>0</v>
      </c>
      <c r="F871">
        <v>0</v>
      </c>
      <c r="G871">
        <v>4703.2</v>
      </c>
      <c r="H871">
        <v>413881.59999999998</v>
      </c>
      <c r="I871" s="2" t="s">
        <v>2025</v>
      </c>
      <c r="J871" s="2" t="s">
        <v>2028</v>
      </c>
      <c r="K871" s="2" t="s">
        <v>3779</v>
      </c>
      <c r="L871" s="2" t="s">
        <v>4032</v>
      </c>
      <c r="M871">
        <v>4703.2</v>
      </c>
      <c r="N871" s="2" t="s">
        <v>4042</v>
      </c>
      <c r="O871">
        <v>88</v>
      </c>
      <c r="P871">
        <v>413881.59999999998</v>
      </c>
      <c r="Q871" t="b">
        <v>0</v>
      </c>
      <c r="R871" t="b">
        <v>0</v>
      </c>
      <c r="S871" t="b">
        <v>0</v>
      </c>
      <c r="T871" t="b">
        <v>1</v>
      </c>
      <c r="U871">
        <v>1</v>
      </c>
      <c r="V871" t="s">
        <v>4073</v>
      </c>
    </row>
    <row r="872" spans="1:22" hidden="1" x14ac:dyDescent="0.45">
      <c r="A872" s="2" t="s">
        <v>975</v>
      </c>
      <c r="B872" s="11">
        <v>45092</v>
      </c>
      <c r="C872" s="2" t="s">
        <v>2014</v>
      </c>
      <c r="D872" s="2" t="s">
        <v>2019</v>
      </c>
      <c r="E872">
        <v>0</v>
      </c>
      <c r="F872">
        <v>0</v>
      </c>
      <c r="G872">
        <v>4555.41</v>
      </c>
      <c r="H872">
        <v>469207.23</v>
      </c>
      <c r="I872" s="2" t="s">
        <v>2025</v>
      </c>
      <c r="J872" s="2" t="s">
        <v>2029</v>
      </c>
      <c r="K872" s="2" t="s">
        <v>2996</v>
      </c>
      <c r="L872" s="2" t="s">
        <v>4031</v>
      </c>
      <c r="M872">
        <v>4555.41</v>
      </c>
      <c r="N872" s="2" t="s">
        <v>4042</v>
      </c>
      <c r="O872">
        <v>103</v>
      </c>
      <c r="P872">
        <v>469207.23</v>
      </c>
      <c r="Q872" t="b">
        <v>0</v>
      </c>
      <c r="R872" t="b">
        <v>0</v>
      </c>
      <c r="S872" t="b">
        <v>0</v>
      </c>
      <c r="T872" t="b">
        <v>1</v>
      </c>
      <c r="U872">
        <v>1</v>
      </c>
      <c r="V872" t="s">
        <v>4073</v>
      </c>
    </row>
    <row r="873" spans="1:22" hidden="1" x14ac:dyDescent="0.45">
      <c r="A873" s="2" t="s">
        <v>515</v>
      </c>
      <c r="B873" s="11">
        <v>45295</v>
      </c>
      <c r="C873" s="2" t="s">
        <v>2010</v>
      </c>
      <c r="D873" s="2" t="s">
        <v>2015</v>
      </c>
      <c r="E873">
        <v>0</v>
      </c>
      <c r="F873">
        <v>0</v>
      </c>
      <c r="G873">
        <v>4713.8999999999996</v>
      </c>
      <c r="H873">
        <v>414823.19999999995</v>
      </c>
      <c r="I873" s="2" t="s">
        <v>2021</v>
      </c>
      <c r="J873" s="2" t="s">
        <v>2030</v>
      </c>
      <c r="K873" s="2" t="s">
        <v>2536</v>
      </c>
      <c r="L873" s="2" t="s">
        <v>4032</v>
      </c>
      <c r="M873">
        <v>4713.8999999999996</v>
      </c>
      <c r="N873" s="2" t="s">
        <v>4042</v>
      </c>
      <c r="O873">
        <v>88</v>
      </c>
      <c r="P873">
        <v>414823.19999999995</v>
      </c>
      <c r="Q873" t="b">
        <v>0</v>
      </c>
      <c r="R873" t="b">
        <v>0</v>
      </c>
      <c r="S873" t="b">
        <v>0</v>
      </c>
      <c r="T873" t="b">
        <v>1</v>
      </c>
      <c r="U873">
        <v>1</v>
      </c>
      <c r="V873" t="s">
        <v>4073</v>
      </c>
    </row>
    <row r="874" spans="1:22" hidden="1" x14ac:dyDescent="0.45">
      <c r="A874" s="2" t="s">
        <v>1906</v>
      </c>
      <c r="B874" s="11">
        <v>45166</v>
      </c>
      <c r="C874" s="2" t="s">
        <v>2012</v>
      </c>
      <c r="D874" s="2" t="s">
        <v>2017</v>
      </c>
      <c r="E874">
        <v>1756.28</v>
      </c>
      <c r="F874">
        <v>154552.63999999998</v>
      </c>
      <c r="G874">
        <v>0</v>
      </c>
      <c r="H874">
        <v>0</v>
      </c>
      <c r="I874" s="2" t="s">
        <v>2022</v>
      </c>
      <c r="J874" s="2" t="s">
        <v>2030</v>
      </c>
      <c r="K874" s="2" t="s">
        <v>3927</v>
      </c>
      <c r="L874" s="2" t="s">
        <v>4032</v>
      </c>
      <c r="M874">
        <v>-1756.28</v>
      </c>
      <c r="N874" s="2" t="s">
        <v>4044</v>
      </c>
      <c r="O874">
        <v>88</v>
      </c>
      <c r="P874">
        <v>-154552.63999999998</v>
      </c>
      <c r="Q874" t="b">
        <v>0</v>
      </c>
      <c r="R874" t="b">
        <v>1</v>
      </c>
      <c r="S874" t="b">
        <v>0</v>
      </c>
      <c r="T874" t="b">
        <v>0</v>
      </c>
      <c r="U874">
        <v>1</v>
      </c>
      <c r="V874" t="s">
        <v>4073</v>
      </c>
    </row>
    <row r="875" spans="1:22" hidden="1" x14ac:dyDescent="0.45">
      <c r="A875" s="2" t="s">
        <v>994</v>
      </c>
      <c r="B875" s="11">
        <v>45502</v>
      </c>
      <c r="C875" s="2" t="s">
        <v>2014</v>
      </c>
      <c r="D875" s="2" t="s">
        <v>2019</v>
      </c>
      <c r="E875">
        <v>0</v>
      </c>
      <c r="F875">
        <v>0</v>
      </c>
      <c r="G875">
        <v>369.23</v>
      </c>
      <c r="H875">
        <v>20676.88</v>
      </c>
      <c r="I875" s="2" t="s">
        <v>2025</v>
      </c>
      <c r="J875" s="2" t="s">
        <v>2027</v>
      </c>
      <c r="K875" s="2" t="s">
        <v>3015</v>
      </c>
      <c r="L875" s="2" t="s">
        <v>4033</v>
      </c>
      <c r="M875">
        <v>369.23</v>
      </c>
      <c r="N875" s="2" t="s">
        <v>4042</v>
      </c>
      <c r="O875">
        <v>56</v>
      </c>
      <c r="P875">
        <v>20676.88</v>
      </c>
      <c r="Q875" t="b">
        <v>0</v>
      </c>
      <c r="R875" t="b">
        <v>1</v>
      </c>
      <c r="S875" t="b">
        <v>0</v>
      </c>
      <c r="T875" t="b">
        <v>0</v>
      </c>
      <c r="U875">
        <v>1</v>
      </c>
      <c r="V875" t="s">
        <v>4073</v>
      </c>
    </row>
    <row r="876" spans="1:22" hidden="1" x14ac:dyDescent="0.45">
      <c r="A876" s="2" t="s">
        <v>344</v>
      </c>
      <c r="B876" s="11">
        <v>45232</v>
      </c>
      <c r="C876" s="2" t="s">
        <v>2014</v>
      </c>
      <c r="D876" s="2" t="s">
        <v>2019</v>
      </c>
      <c r="E876">
        <v>0</v>
      </c>
      <c r="F876">
        <v>0</v>
      </c>
      <c r="G876">
        <v>4032.89</v>
      </c>
      <c r="H876">
        <v>415387.67</v>
      </c>
      <c r="I876" s="2" t="s">
        <v>2021</v>
      </c>
      <c r="J876" s="2" t="s">
        <v>2027</v>
      </c>
      <c r="K876" s="2" t="s">
        <v>2365</v>
      </c>
      <c r="L876" s="2" t="s">
        <v>4031</v>
      </c>
      <c r="M876">
        <v>4032.89</v>
      </c>
      <c r="N876" s="2" t="s">
        <v>4042</v>
      </c>
      <c r="O876">
        <v>103</v>
      </c>
      <c r="P876">
        <v>415387.67</v>
      </c>
      <c r="Q876" t="b">
        <v>0</v>
      </c>
      <c r="R876" t="b">
        <v>0</v>
      </c>
      <c r="S876" t="b">
        <v>0</v>
      </c>
      <c r="T876" t="b">
        <v>1</v>
      </c>
      <c r="U876">
        <v>1</v>
      </c>
      <c r="V876" t="s">
        <v>4073</v>
      </c>
    </row>
    <row r="877" spans="1:22" hidden="1" x14ac:dyDescent="0.45">
      <c r="A877" s="2" t="s">
        <v>363</v>
      </c>
      <c r="B877" s="11">
        <v>45715</v>
      </c>
      <c r="C877" s="2" t="s">
        <v>2013</v>
      </c>
      <c r="D877" s="2" t="s">
        <v>2018</v>
      </c>
      <c r="E877">
        <v>443.79</v>
      </c>
      <c r="F877">
        <v>24852.240000000002</v>
      </c>
      <c r="G877">
        <v>0</v>
      </c>
      <c r="H877">
        <v>0</v>
      </c>
      <c r="I877" s="2" t="s">
        <v>2021</v>
      </c>
      <c r="J877" s="2" t="s">
        <v>2028</v>
      </c>
      <c r="K877" s="2" t="s">
        <v>2384</v>
      </c>
      <c r="L877" s="2" t="s">
        <v>4033</v>
      </c>
      <c r="M877">
        <v>-443.79</v>
      </c>
      <c r="N877" s="2" t="s">
        <v>4044</v>
      </c>
      <c r="O877">
        <v>56</v>
      </c>
      <c r="P877">
        <v>-24852.240000000002</v>
      </c>
      <c r="Q877" t="b">
        <v>0</v>
      </c>
      <c r="R877" t="b">
        <v>1</v>
      </c>
      <c r="S877" t="b">
        <v>0</v>
      </c>
      <c r="T877" t="b">
        <v>0</v>
      </c>
      <c r="U877">
        <v>1</v>
      </c>
      <c r="V877" t="s">
        <v>4073</v>
      </c>
    </row>
    <row r="878" spans="1:22" hidden="1" x14ac:dyDescent="0.45">
      <c r="A878" s="2" t="s">
        <v>1958</v>
      </c>
      <c r="B878" s="11">
        <v>45657</v>
      </c>
      <c r="C878" s="2" t="s">
        <v>2014</v>
      </c>
      <c r="D878" s="2" t="s">
        <v>2019</v>
      </c>
      <c r="E878">
        <v>0</v>
      </c>
      <c r="F878">
        <v>0</v>
      </c>
      <c r="G878">
        <v>2650.78</v>
      </c>
      <c r="H878">
        <v>148443.68000000002</v>
      </c>
      <c r="I878" s="2" t="s">
        <v>2024</v>
      </c>
      <c r="J878" s="2" t="s">
        <v>2028</v>
      </c>
      <c r="K878" s="2" t="s">
        <v>3979</v>
      </c>
      <c r="L878" s="2" t="s">
        <v>4033</v>
      </c>
      <c r="M878">
        <v>2650.78</v>
      </c>
      <c r="N878" s="2" t="s">
        <v>4042</v>
      </c>
      <c r="O878">
        <v>56</v>
      </c>
      <c r="P878">
        <v>148443.68000000002</v>
      </c>
      <c r="Q878" t="b">
        <v>0</v>
      </c>
      <c r="R878" t="b">
        <v>1</v>
      </c>
      <c r="S878" t="b">
        <v>0</v>
      </c>
      <c r="T878" t="b">
        <v>0</v>
      </c>
      <c r="U878">
        <v>1</v>
      </c>
      <c r="V878" t="s">
        <v>4073</v>
      </c>
    </row>
    <row r="879" spans="1:22" hidden="1" x14ac:dyDescent="0.45">
      <c r="A879" s="2" t="s">
        <v>599</v>
      </c>
      <c r="B879" s="11">
        <v>44992</v>
      </c>
      <c r="C879" s="2" t="s">
        <v>2010</v>
      </c>
      <c r="D879" s="2" t="s">
        <v>2015</v>
      </c>
      <c r="E879">
        <v>0</v>
      </c>
      <c r="F879">
        <v>0</v>
      </c>
      <c r="G879">
        <v>4725.13</v>
      </c>
      <c r="H879">
        <v>415811.44</v>
      </c>
      <c r="I879" s="2" t="s">
        <v>2024</v>
      </c>
      <c r="J879" s="2" t="s">
        <v>2026</v>
      </c>
      <c r="K879" s="2" t="s">
        <v>2620</v>
      </c>
      <c r="L879" s="2" t="s">
        <v>4032</v>
      </c>
      <c r="M879">
        <v>4725.13</v>
      </c>
      <c r="N879" s="2" t="s">
        <v>4042</v>
      </c>
      <c r="O879">
        <v>88</v>
      </c>
      <c r="P879">
        <v>415811.44</v>
      </c>
      <c r="Q879" t="b">
        <v>0</v>
      </c>
      <c r="R879" t="b">
        <v>0</v>
      </c>
      <c r="S879" t="b">
        <v>0</v>
      </c>
      <c r="T879" t="b">
        <v>1</v>
      </c>
      <c r="U879">
        <v>1</v>
      </c>
      <c r="V879" t="s">
        <v>4073</v>
      </c>
    </row>
    <row r="880" spans="1:22" hidden="1" x14ac:dyDescent="0.45">
      <c r="A880" s="2" t="s">
        <v>81</v>
      </c>
      <c r="B880" s="11">
        <v>45781</v>
      </c>
      <c r="C880" s="2" t="s">
        <v>2010</v>
      </c>
      <c r="D880" s="2" t="s">
        <v>2015</v>
      </c>
      <c r="E880">
        <v>0</v>
      </c>
      <c r="F880">
        <v>0</v>
      </c>
      <c r="G880">
        <v>2434.5500000000002</v>
      </c>
      <c r="H880">
        <v>148507.55000000002</v>
      </c>
      <c r="I880" s="2" t="s">
        <v>2024</v>
      </c>
      <c r="J880" s="2" t="s">
        <v>2027</v>
      </c>
      <c r="K880" s="2" t="s">
        <v>2102</v>
      </c>
      <c r="L880" s="2" t="s">
        <v>4035</v>
      </c>
      <c r="M880">
        <v>2434.5500000000002</v>
      </c>
      <c r="N880" s="2" t="s">
        <v>4042</v>
      </c>
      <c r="O880">
        <v>61</v>
      </c>
      <c r="P880">
        <v>148507.55000000002</v>
      </c>
      <c r="Q880" t="b">
        <v>1</v>
      </c>
      <c r="R880" t="b">
        <v>0</v>
      </c>
      <c r="S880" t="b">
        <v>0</v>
      </c>
      <c r="T880" t="b">
        <v>0</v>
      </c>
      <c r="U880">
        <v>1</v>
      </c>
      <c r="V880" t="s">
        <v>4073</v>
      </c>
    </row>
    <row r="881" spans="1:22" hidden="1" x14ac:dyDescent="0.45">
      <c r="A881" s="2" t="s">
        <v>237</v>
      </c>
      <c r="B881" s="11">
        <v>45779</v>
      </c>
      <c r="C881" s="2" t="s">
        <v>2014</v>
      </c>
      <c r="D881" s="2" t="s">
        <v>2019</v>
      </c>
      <c r="E881">
        <v>0</v>
      </c>
      <c r="F881">
        <v>0</v>
      </c>
      <c r="G881">
        <v>4048.34</v>
      </c>
      <c r="H881">
        <v>416979.02</v>
      </c>
      <c r="I881" s="2" t="s">
        <v>2024</v>
      </c>
      <c r="J881" s="2" t="s">
        <v>2027</v>
      </c>
      <c r="K881" s="2" t="s">
        <v>2258</v>
      </c>
      <c r="L881" s="2" t="s">
        <v>4031</v>
      </c>
      <c r="M881">
        <v>4048.34</v>
      </c>
      <c r="N881" s="2" t="s">
        <v>4042</v>
      </c>
      <c r="O881">
        <v>103</v>
      </c>
      <c r="P881">
        <v>416979.02</v>
      </c>
      <c r="Q881" t="b">
        <v>0</v>
      </c>
      <c r="R881" t="b">
        <v>0</v>
      </c>
      <c r="S881" t="b">
        <v>0</v>
      </c>
      <c r="T881" t="b">
        <v>1</v>
      </c>
      <c r="U881">
        <v>1</v>
      </c>
      <c r="V881" t="s">
        <v>4073</v>
      </c>
    </row>
    <row r="882" spans="1:22" hidden="1" x14ac:dyDescent="0.45">
      <c r="A882" s="2" t="s">
        <v>1517</v>
      </c>
      <c r="B882" s="11">
        <v>45366</v>
      </c>
      <c r="C882" s="2" t="s">
        <v>2014</v>
      </c>
      <c r="D882" s="2" t="s">
        <v>2019</v>
      </c>
      <c r="E882">
        <v>0</v>
      </c>
      <c r="F882">
        <v>0</v>
      </c>
      <c r="G882">
        <v>4055.84</v>
      </c>
      <c r="H882">
        <v>417751.52</v>
      </c>
      <c r="I882" s="2" t="s">
        <v>2025</v>
      </c>
      <c r="J882" s="2" t="s">
        <v>2030</v>
      </c>
      <c r="K882" s="2" t="s">
        <v>3538</v>
      </c>
      <c r="L882" s="2" t="s">
        <v>4031</v>
      </c>
      <c r="M882">
        <v>4055.84</v>
      </c>
      <c r="N882" s="2" t="s">
        <v>4042</v>
      </c>
      <c r="O882">
        <v>103</v>
      </c>
      <c r="P882">
        <v>417751.52</v>
      </c>
      <c r="Q882" t="b">
        <v>0</v>
      </c>
      <c r="R882" t="b">
        <v>0</v>
      </c>
      <c r="S882" t="b">
        <v>0</v>
      </c>
      <c r="T882" t="b">
        <v>1</v>
      </c>
      <c r="U882">
        <v>1</v>
      </c>
      <c r="V882" t="s">
        <v>4073</v>
      </c>
    </row>
    <row r="883" spans="1:22" hidden="1" x14ac:dyDescent="0.45">
      <c r="A883" s="2" t="s">
        <v>958</v>
      </c>
      <c r="B883" s="11">
        <v>45195</v>
      </c>
      <c r="C883" s="2" t="s">
        <v>2011</v>
      </c>
      <c r="D883" s="2" t="s">
        <v>2016</v>
      </c>
      <c r="E883">
        <v>1875.24</v>
      </c>
      <c r="F883">
        <v>153769.68</v>
      </c>
      <c r="G883">
        <v>0</v>
      </c>
      <c r="H883">
        <v>0</v>
      </c>
      <c r="I883" s="2" t="s">
        <v>2021</v>
      </c>
      <c r="J883" s="2" t="s">
        <v>2026</v>
      </c>
      <c r="K883" s="2" t="s">
        <v>2979</v>
      </c>
      <c r="L883" s="2" t="s">
        <v>4034</v>
      </c>
      <c r="M883">
        <v>-1875.24</v>
      </c>
      <c r="N883" s="2" t="s">
        <v>2016</v>
      </c>
      <c r="O883">
        <v>82</v>
      </c>
      <c r="P883">
        <v>-153769.68</v>
      </c>
      <c r="Q883" t="b">
        <v>0</v>
      </c>
      <c r="R883" t="b">
        <v>1</v>
      </c>
      <c r="S883" t="b">
        <v>0</v>
      </c>
      <c r="T883" t="b">
        <v>0</v>
      </c>
      <c r="U883">
        <v>1</v>
      </c>
      <c r="V883" t="s">
        <v>4073</v>
      </c>
    </row>
    <row r="884" spans="1:22" hidden="1" x14ac:dyDescent="0.45">
      <c r="A884" s="2" t="s">
        <v>24</v>
      </c>
      <c r="B884" s="11">
        <v>45776</v>
      </c>
      <c r="C884" s="2" t="s">
        <v>2014</v>
      </c>
      <c r="D884" s="2" t="s">
        <v>2019</v>
      </c>
      <c r="E884">
        <v>0</v>
      </c>
      <c r="F884">
        <v>0</v>
      </c>
      <c r="G884">
        <v>1490.43</v>
      </c>
      <c r="H884">
        <v>153514.29</v>
      </c>
      <c r="I884" s="2" t="s">
        <v>2020</v>
      </c>
      <c r="J884" s="2" t="s">
        <v>2028</v>
      </c>
      <c r="K884" s="2" t="s">
        <v>2045</v>
      </c>
      <c r="L884" s="2" t="s">
        <v>4031</v>
      </c>
      <c r="M884">
        <v>1490.43</v>
      </c>
      <c r="N884" s="2" t="s">
        <v>4042</v>
      </c>
      <c r="O884">
        <v>103</v>
      </c>
      <c r="P884">
        <v>153514.29</v>
      </c>
      <c r="Q884" t="b">
        <v>0</v>
      </c>
      <c r="R884" t="b">
        <v>1</v>
      </c>
      <c r="S884" t="b">
        <v>0</v>
      </c>
      <c r="T884" t="b">
        <v>0</v>
      </c>
      <c r="U884">
        <v>1</v>
      </c>
      <c r="V884" t="s">
        <v>4073</v>
      </c>
    </row>
    <row r="885" spans="1:22" hidden="1" x14ac:dyDescent="0.45">
      <c r="A885" s="2" t="s">
        <v>779</v>
      </c>
      <c r="B885" s="11">
        <v>45445</v>
      </c>
      <c r="C885" s="2" t="s">
        <v>2011</v>
      </c>
      <c r="D885" s="2" t="s">
        <v>2016</v>
      </c>
      <c r="E885">
        <v>1754.04</v>
      </c>
      <c r="F885">
        <v>154355.51999999999</v>
      </c>
      <c r="G885">
        <v>0</v>
      </c>
      <c r="H885">
        <v>0</v>
      </c>
      <c r="I885" s="2" t="s">
        <v>2023</v>
      </c>
      <c r="J885" s="2" t="s">
        <v>2029</v>
      </c>
      <c r="K885" s="2" t="s">
        <v>2800</v>
      </c>
      <c r="L885" s="2" t="s">
        <v>4032</v>
      </c>
      <c r="M885">
        <v>-1754.04</v>
      </c>
      <c r="N885" s="2" t="s">
        <v>2016</v>
      </c>
      <c r="O885">
        <v>88</v>
      </c>
      <c r="P885">
        <v>-154355.51999999999</v>
      </c>
      <c r="Q885" t="b">
        <v>1</v>
      </c>
      <c r="R885" t="b">
        <v>0</v>
      </c>
      <c r="S885" t="b">
        <v>0</v>
      </c>
      <c r="T885" t="b">
        <v>0</v>
      </c>
      <c r="U885">
        <v>1</v>
      </c>
      <c r="V885" t="s">
        <v>4073</v>
      </c>
    </row>
    <row r="886" spans="1:22" hidden="1" x14ac:dyDescent="0.45">
      <c r="A886" s="2" t="s">
        <v>136</v>
      </c>
      <c r="B886" s="11">
        <v>45276</v>
      </c>
      <c r="C886" s="2" t="s">
        <v>2013</v>
      </c>
      <c r="D886" s="2" t="s">
        <v>2018</v>
      </c>
      <c r="E886">
        <v>367.4</v>
      </c>
      <c r="F886">
        <v>20574.399999999998</v>
      </c>
      <c r="G886">
        <v>0</v>
      </c>
      <c r="H886">
        <v>0</v>
      </c>
      <c r="I886" s="2" t="s">
        <v>2022</v>
      </c>
      <c r="J886" s="2" t="s">
        <v>2026</v>
      </c>
      <c r="K886" s="2" t="s">
        <v>2157</v>
      </c>
      <c r="L886" s="2" t="s">
        <v>4033</v>
      </c>
      <c r="M886">
        <v>-367.4</v>
      </c>
      <c r="N886" s="2" t="s">
        <v>4044</v>
      </c>
      <c r="O886">
        <v>56</v>
      </c>
      <c r="P886">
        <v>-20574.399999999998</v>
      </c>
      <c r="Q886" t="b">
        <v>1</v>
      </c>
      <c r="R886" t="b">
        <v>0</v>
      </c>
      <c r="S886" t="b">
        <v>0</v>
      </c>
      <c r="T886" t="b">
        <v>0</v>
      </c>
      <c r="U886">
        <v>1</v>
      </c>
      <c r="V886" t="s">
        <v>4073</v>
      </c>
    </row>
    <row r="887" spans="1:22" hidden="1" x14ac:dyDescent="0.45">
      <c r="A887" s="2" t="s">
        <v>752</v>
      </c>
      <c r="B887" s="11">
        <v>45139</v>
      </c>
      <c r="C887" s="2" t="s">
        <v>2014</v>
      </c>
      <c r="D887" s="2" t="s">
        <v>2019</v>
      </c>
      <c r="E887">
        <v>0</v>
      </c>
      <c r="F887">
        <v>0</v>
      </c>
      <c r="G887">
        <v>4474.66</v>
      </c>
      <c r="H887">
        <v>460889.98</v>
      </c>
      <c r="I887" s="2" t="s">
        <v>2021</v>
      </c>
      <c r="J887" s="2" t="s">
        <v>2027</v>
      </c>
      <c r="K887" s="2" t="s">
        <v>2773</v>
      </c>
      <c r="L887" s="2" t="s">
        <v>4031</v>
      </c>
      <c r="M887">
        <v>4474.66</v>
      </c>
      <c r="N887" s="2" t="s">
        <v>4042</v>
      </c>
      <c r="O887">
        <v>103</v>
      </c>
      <c r="P887">
        <v>460889.98</v>
      </c>
      <c r="Q887" t="b">
        <v>0</v>
      </c>
      <c r="R887" t="b">
        <v>0</v>
      </c>
      <c r="S887" t="b">
        <v>0</v>
      </c>
      <c r="T887" t="b">
        <v>1</v>
      </c>
      <c r="U887">
        <v>1</v>
      </c>
      <c r="V887" t="s">
        <v>4073</v>
      </c>
    </row>
    <row r="888" spans="1:22" hidden="1" x14ac:dyDescent="0.45">
      <c r="A888" s="2" t="s">
        <v>64</v>
      </c>
      <c r="B888" s="11">
        <v>45408</v>
      </c>
      <c r="C888" s="2" t="s">
        <v>2012</v>
      </c>
      <c r="D888" s="2" t="s">
        <v>2017</v>
      </c>
      <c r="E888">
        <v>1830.18</v>
      </c>
      <c r="F888">
        <v>161055.84</v>
      </c>
      <c r="G888">
        <v>0</v>
      </c>
      <c r="H888">
        <v>0</v>
      </c>
      <c r="I888" s="2" t="s">
        <v>2024</v>
      </c>
      <c r="J888" s="2" t="s">
        <v>2026</v>
      </c>
      <c r="K888" s="2" t="s">
        <v>2085</v>
      </c>
      <c r="L888" s="2" t="s">
        <v>4032</v>
      </c>
      <c r="M888">
        <v>-1830.18</v>
      </c>
      <c r="N888" s="2" t="s">
        <v>4044</v>
      </c>
      <c r="O888">
        <v>88</v>
      </c>
      <c r="P888">
        <v>-161055.84</v>
      </c>
      <c r="Q888" t="b">
        <v>0</v>
      </c>
      <c r="R888" t="b">
        <v>1</v>
      </c>
      <c r="S888" t="b">
        <v>0</v>
      </c>
      <c r="T888" t="b">
        <v>0</v>
      </c>
      <c r="U888">
        <v>1</v>
      </c>
      <c r="V888" t="s">
        <v>4073</v>
      </c>
    </row>
    <row r="889" spans="1:22" hidden="1" x14ac:dyDescent="0.45">
      <c r="A889" s="2" t="s">
        <v>387</v>
      </c>
      <c r="B889" s="11">
        <v>45699</v>
      </c>
      <c r="C889" s="2" t="s">
        <v>2014</v>
      </c>
      <c r="D889" s="2" t="s">
        <v>2019</v>
      </c>
      <c r="E889">
        <v>0</v>
      </c>
      <c r="F889">
        <v>0</v>
      </c>
      <c r="G889">
        <v>4450.59</v>
      </c>
      <c r="H889">
        <v>364948.38</v>
      </c>
      <c r="I889" s="2" t="s">
        <v>2023</v>
      </c>
      <c r="J889" s="2" t="s">
        <v>2030</v>
      </c>
      <c r="K889" s="2" t="s">
        <v>2408</v>
      </c>
      <c r="L889" s="2" t="s">
        <v>4034</v>
      </c>
      <c r="M889">
        <v>4450.59</v>
      </c>
      <c r="N889" s="2" t="s">
        <v>4042</v>
      </c>
      <c r="O889">
        <v>82</v>
      </c>
      <c r="P889">
        <v>364948.38</v>
      </c>
      <c r="Q889" t="b">
        <v>0</v>
      </c>
      <c r="R889" t="b">
        <v>0</v>
      </c>
      <c r="S889" t="b">
        <v>0</v>
      </c>
      <c r="T889" t="b">
        <v>1</v>
      </c>
      <c r="U889">
        <v>1</v>
      </c>
      <c r="V889" t="s">
        <v>4073</v>
      </c>
    </row>
    <row r="890" spans="1:22" hidden="1" x14ac:dyDescent="0.45">
      <c r="A890" s="2" t="s">
        <v>1476</v>
      </c>
      <c r="B890" s="11">
        <v>45247</v>
      </c>
      <c r="C890" s="2" t="s">
        <v>2010</v>
      </c>
      <c r="D890" s="2" t="s">
        <v>2015</v>
      </c>
      <c r="E890">
        <v>0</v>
      </c>
      <c r="F890">
        <v>0</v>
      </c>
      <c r="G890">
        <v>4453.8</v>
      </c>
      <c r="H890">
        <v>365211.60000000003</v>
      </c>
      <c r="I890" s="2" t="s">
        <v>2024</v>
      </c>
      <c r="J890" s="2" t="s">
        <v>2028</v>
      </c>
      <c r="K890" s="2" t="s">
        <v>3497</v>
      </c>
      <c r="L890" s="2" t="s">
        <v>4034</v>
      </c>
      <c r="M890">
        <v>4453.8</v>
      </c>
      <c r="N890" s="2" t="s">
        <v>4042</v>
      </c>
      <c r="O890">
        <v>82</v>
      </c>
      <c r="P890">
        <v>365211.60000000003</v>
      </c>
      <c r="Q890" t="b">
        <v>0</v>
      </c>
      <c r="R890" t="b">
        <v>0</v>
      </c>
      <c r="S890" t="b">
        <v>0</v>
      </c>
      <c r="T890" t="b">
        <v>1</v>
      </c>
      <c r="U890">
        <v>1</v>
      </c>
      <c r="V890" t="s">
        <v>4073</v>
      </c>
    </row>
    <row r="891" spans="1:22" hidden="1" x14ac:dyDescent="0.45">
      <c r="A891" s="2" t="s">
        <v>1613</v>
      </c>
      <c r="B891" s="11">
        <v>45782</v>
      </c>
      <c r="C891" s="2" t="s">
        <v>2010</v>
      </c>
      <c r="D891" s="2" t="s">
        <v>2015</v>
      </c>
      <c r="E891">
        <v>0</v>
      </c>
      <c r="F891">
        <v>0</v>
      </c>
      <c r="G891">
        <v>3550.01</v>
      </c>
      <c r="H891">
        <v>365651.03</v>
      </c>
      <c r="I891" s="2" t="s">
        <v>2024</v>
      </c>
      <c r="J891" s="2" t="s">
        <v>2029</v>
      </c>
      <c r="K891" s="2" t="s">
        <v>3634</v>
      </c>
      <c r="L891" s="2" t="s">
        <v>4031</v>
      </c>
      <c r="M891">
        <v>3550.01</v>
      </c>
      <c r="N891" s="2" t="s">
        <v>4042</v>
      </c>
      <c r="O891">
        <v>103</v>
      </c>
      <c r="P891">
        <v>365651.03</v>
      </c>
      <c r="Q891" t="b">
        <v>0</v>
      </c>
      <c r="R891" t="b">
        <v>0</v>
      </c>
      <c r="S891" t="b">
        <v>0</v>
      </c>
      <c r="T891" t="b">
        <v>1</v>
      </c>
      <c r="U891">
        <v>1</v>
      </c>
      <c r="V891" t="s">
        <v>4073</v>
      </c>
    </row>
    <row r="892" spans="1:22" hidden="1" x14ac:dyDescent="0.45">
      <c r="A892" s="2" t="s">
        <v>1888</v>
      </c>
      <c r="B892" s="11">
        <v>45221</v>
      </c>
      <c r="C892" s="2" t="s">
        <v>2012</v>
      </c>
      <c r="D892" s="2" t="s">
        <v>2017</v>
      </c>
      <c r="E892">
        <v>316.08</v>
      </c>
      <c r="F892">
        <v>19280.879999999997</v>
      </c>
      <c r="G892">
        <v>0</v>
      </c>
      <c r="H892">
        <v>0</v>
      </c>
      <c r="I892" s="2" t="s">
        <v>2021</v>
      </c>
      <c r="J892" s="2" t="s">
        <v>2026</v>
      </c>
      <c r="K892" s="2" t="s">
        <v>3909</v>
      </c>
      <c r="L892" s="2" t="s">
        <v>4035</v>
      </c>
      <c r="M892">
        <v>-316.08</v>
      </c>
      <c r="N892" s="2" t="s">
        <v>4044</v>
      </c>
      <c r="O892">
        <v>61</v>
      </c>
      <c r="P892">
        <v>-19280.879999999997</v>
      </c>
      <c r="Q892" t="b">
        <v>1</v>
      </c>
      <c r="R892" t="b">
        <v>0</v>
      </c>
      <c r="S892" t="b">
        <v>0</v>
      </c>
      <c r="T892" t="b">
        <v>0</v>
      </c>
      <c r="U892">
        <v>1</v>
      </c>
      <c r="V892" t="s">
        <v>4073</v>
      </c>
    </row>
    <row r="893" spans="1:22" hidden="1" x14ac:dyDescent="0.45">
      <c r="A893" s="2" t="s">
        <v>814</v>
      </c>
      <c r="B893" s="11">
        <v>45200</v>
      </c>
      <c r="C893" s="2" t="s">
        <v>2014</v>
      </c>
      <c r="D893" s="2" t="s">
        <v>2019</v>
      </c>
      <c r="E893">
        <v>0</v>
      </c>
      <c r="F893">
        <v>0</v>
      </c>
      <c r="G893">
        <v>2568.02</v>
      </c>
      <c r="H893">
        <v>143809.12</v>
      </c>
      <c r="I893" s="2" t="s">
        <v>2025</v>
      </c>
      <c r="J893" s="2" t="s">
        <v>2026</v>
      </c>
      <c r="K893" s="2" t="s">
        <v>2835</v>
      </c>
      <c r="L893" s="2" t="s">
        <v>4033</v>
      </c>
      <c r="M893">
        <v>2568.02</v>
      </c>
      <c r="N893" s="2" t="s">
        <v>4042</v>
      </c>
      <c r="O893">
        <v>56</v>
      </c>
      <c r="P893">
        <v>143809.12</v>
      </c>
      <c r="Q893" t="b">
        <v>1</v>
      </c>
      <c r="R893" t="b">
        <v>0</v>
      </c>
      <c r="S893" t="b">
        <v>0</v>
      </c>
      <c r="T893" t="b">
        <v>0</v>
      </c>
      <c r="U893">
        <v>1</v>
      </c>
      <c r="V893" t="s">
        <v>4073</v>
      </c>
    </row>
    <row r="894" spans="1:22" hidden="1" x14ac:dyDescent="0.45">
      <c r="A894" s="2" t="s">
        <v>341</v>
      </c>
      <c r="B894" s="11">
        <v>45570</v>
      </c>
      <c r="C894" s="2" t="s">
        <v>2011</v>
      </c>
      <c r="D894" s="2" t="s">
        <v>2016</v>
      </c>
      <c r="E894">
        <v>1763.39</v>
      </c>
      <c r="F894">
        <v>144597.98000000001</v>
      </c>
      <c r="G894">
        <v>0</v>
      </c>
      <c r="H894">
        <v>0</v>
      </c>
      <c r="I894" s="2" t="s">
        <v>2024</v>
      </c>
      <c r="J894" s="2" t="s">
        <v>2030</v>
      </c>
      <c r="K894" s="2" t="s">
        <v>2362</v>
      </c>
      <c r="L894" s="2" t="s">
        <v>4034</v>
      </c>
      <c r="M894">
        <v>-1763.39</v>
      </c>
      <c r="N894" s="2" t="s">
        <v>2016</v>
      </c>
      <c r="O894">
        <v>82</v>
      </c>
      <c r="P894">
        <v>-144597.98000000001</v>
      </c>
      <c r="Q894" t="b">
        <v>1</v>
      </c>
      <c r="R894" t="b">
        <v>0</v>
      </c>
      <c r="S894" t="b">
        <v>0</v>
      </c>
      <c r="T894" t="b">
        <v>0</v>
      </c>
      <c r="U894">
        <v>1</v>
      </c>
      <c r="V894" t="s">
        <v>4073</v>
      </c>
    </row>
    <row r="895" spans="1:22" hidden="1" x14ac:dyDescent="0.45">
      <c r="A895" s="2" t="s">
        <v>1561</v>
      </c>
      <c r="B895" s="11">
        <v>45453</v>
      </c>
      <c r="C895" s="2" t="s">
        <v>2010</v>
      </c>
      <c r="D895" s="2" t="s">
        <v>2015</v>
      </c>
      <c r="E895">
        <v>0</v>
      </c>
      <c r="F895">
        <v>0</v>
      </c>
      <c r="G895">
        <v>4170.5</v>
      </c>
      <c r="H895">
        <v>367004</v>
      </c>
      <c r="I895" s="2" t="s">
        <v>2022</v>
      </c>
      <c r="J895" s="2" t="s">
        <v>2030</v>
      </c>
      <c r="K895" s="2" t="s">
        <v>3582</v>
      </c>
      <c r="L895" s="2" t="s">
        <v>4032</v>
      </c>
      <c r="M895">
        <v>4170.5</v>
      </c>
      <c r="N895" s="2" t="s">
        <v>4042</v>
      </c>
      <c r="O895">
        <v>88</v>
      </c>
      <c r="P895">
        <v>367004</v>
      </c>
      <c r="Q895" t="b">
        <v>0</v>
      </c>
      <c r="R895" t="b">
        <v>0</v>
      </c>
      <c r="S895" t="b">
        <v>0</v>
      </c>
      <c r="T895" t="b">
        <v>1</v>
      </c>
      <c r="U895">
        <v>1</v>
      </c>
      <c r="V895" t="s">
        <v>4073</v>
      </c>
    </row>
    <row r="896" spans="1:22" hidden="1" x14ac:dyDescent="0.45">
      <c r="A896" s="2" t="s">
        <v>417</v>
      </c>
      <c r="B896" s="11">
        <v>45742</v>
      </c>
      <c r="C896" s="2" t="s">
        <v>2011</v>
      </c>
      <c r="D896" s="2" t="s">
        <v>2016</v>
      </c>
      <c r="E896">
        <v>341.06</v>
      </c>
      <c r="F896">
        <v>19099.36</v>
      </c>
      <c r="G896">
        <v>0</v>
      </c>
      <c r="H896">
        <v>0</v>
      </c>
      <c r="I896" s="2" t="s">
        <v>2025</v>
      </c>
      <c r="J896" s="2" t="s">
        <v>2030</v>
      </c>
      <c r="K896" s="2" t="s">
        <v>2438</v>
      </c>
      <c r="L896" s="2" t="s">
        <v>4033</v>
      </c>
      <c r="M896">
        <v>-341.06</v>
      </c>
      <c r="N896" s="2" t="s">
        <v>2016</v>
      </c>
      <c r="O896">
        <v>56</v>
      </c>
      <c r="P896">
        <v>-19099.36</v>
      </c>
      <c r="Q896" t="b">
        <v>0</v>
      </c>
      <c r="R896" t="b">
        <v>1</v>
      </c>
      <c r="S896" t="b">
        <v>0</v>
      </c>
      <c r="T896" t="b">
        <v>0</v>
      </c>
      <c r="U896">
        <v>1</v>
      </c>
      <c r="V896" t="s">
        <v>4073</v>
      </c>
    </row>
    <row r="897" spans="1:22" hidden="1" x14ac:dyDescent="0.45">
      <c r="A897" s="2" t="s">
        <v>1827</v>
      </c>
      <c r="B897" s="11">
        <v>45704</v>
      </c>
      <c r="C897" s="2" t="s">
        <v>2011</v>
      </c>
      <c r="D897" s="2" t="s">
        <v>2016</v>
      </c>
      <c r="E897">
        <v>1914.11</v>
      </c>
      <c r="F897">
        <v>168441.68</v>
      </c>
      <c r="G897">
        <v>0</v>
      </c>
      <c r="H897">
        <v>0</v>
      </c>
      <c r="I897" s="2" t="s">
        <v>2025</v>
      </c>
      <c r="J897" s="2" t="s">
        <v>2029</v>
      </c>
      <c r="K897" s="2" t="s">
        <v>3848</v>
      </c>
      <c r="L897" s="2" t="s">
        <v>4032</v>
      </c>
      <c r="M897">
        <v>-1914.11</v>
      </c>
      <c r="N897" s="2" t="s">
        <v>2016</v>
      </c>
      <c r="O897">
        <v>88</v>
      </c>
      <c r="P897">
        <v>-168441.68</v>
      </c>
      <c r="Q897" t="b">
        <v>1</v>
      </c>
      <c r="R897" t="b">
        <v>0</v>
      </c>
      <c r="S897" t="b">
        <v>0</v>
      </c>
      <c r="T897" t="b">
        <v>0</v>
      </c>
      <c r="U897">
        <v>1</v>
      </c>
      <c r="V897" t="s">
        <v>4073</v>
      </c>
    </row>
    <row r="898" spans="1:22" hidden="1" x14ac:dyDescent="0.45">
      <c r="A898" s="2" t="s">
        <v>421</v>
      </c>
      <c r="B898" s="11">
        <v>45242</v>
      </c>
      <c r="C898" s="2" t="s">
        <v>2011</v>
      </c>
      <c r="D898" s="2" t="s">
        <v>2016</v>
      </c>
      <c r="E898">
        <v>1644.1</v>
      </c>
      <c r="F898">
        <v>144680.79999999999</v>
      </c>
      <c r="G898">
        <v>0</v>
      </c>
      <c r="H898">
        <v>0</v>
      </c>
      <c r="I898" s="2" t="s">
        <v>2020</v>
      </c>
      <c r="J898" s="2" t="s">
        <v>2028</v>
      </c>
      <c r="K898" s="2" t="s">
        <v>2442</v>
      </c>
      <c r="L898" s="2" t="s">
        <v>4032</v>
      </c>
      <c r="M898">
        <v>-1644.1</v>
      </c>
      <c r="N898" s="2" t="s">
        <v>2016</v>
      </c>
      <c r="O898">
        <v>88</v>
      </c>
      <c r="P898">
        <v>-144680.79999999999</v>
      </c>
      <c r="Q898" t="b">
        <v>1</v>
      </c>
      <c r="R898" t="b">
        <v>0</v>
      </c>
      <c r="S898" t="b">
        <v>0</v>
      </c>
      <c r="T898" t="b">
        <v>0</v>
      </c>
      <c r="U898">
        <v>1</v>
      </c>
      <c r="V898" t="s">
        <v>4073</v>
      </c>
    </row>
    <row r="899" spans="1:22" hidden="1" x14ac:dyDescent="0.45">
      <c r="A899" s="2" t="s">
        <v>1382</v>
      </c>
      <c r="B899" s="11">
        <v>45744</v>
      </c>
      <c r="C899" s="2" t="s">
        <v>2010</v>
      </c>
      <c r="D899" s="2" t="s">
        <v>2015</v>
      </c>
      <c r="E899">
        <v>0</v>
      </c>
      <c r="F899">
        <v>0</v>
      </c>
      <c r="G899">
        <v>1624.21</v>
      </c>
      <c r="H899">
        <v>167293.63</v>
      </c>
      <c r="I899" s="2" t="s">
        <v>2023</v>
      </c>
      <c r="J899" s="2" t="s">
        <v>2029</v>
      </c>
      <c r="K899" s="2" t="s">
        <v>3403</v>
      </c>
      <c r="L899" s="2" t="s">
        <v>4031</v>
      </c>
      <c r="M899">
        <v>1624.21</v>
      </c>
      <c r="N899" s="2" t="s">
        <v>4042</v>
      </c>
      <c r="O899">
        <v>103</v>
      </c>
      <c r="P899">
        <v>167293.63</v>
      </c>
      <c r="Q899" t="b">
        <v>0</v>
      </c>
      <c r="R899" t="b">
        <v>1</v>
      </c>
      <c r="S899" t="b">
        <v>0</v>
      </c>
      <c r="T899" t="b">
        <v>0</v>
      </c>
      <c r="U899">
        <v>1</v>
      </c>
      <c r="V899" t="s">
        <v>4073</v>
      </c>
    </row>
    <row r="900" spans="1:22" hidden="1" x14ac:dyDescent="0.45">
      <c r="A900" s="2" t="s">
        <v>871</v>
      </c>
      <c r="B900" s="11">
        <v>45443</v>
      </c>
      <c r="C900" s="2" t="s">
        <v>2013</v>
      </c>
      <c r="D900" s="2" t="s">
        <v>2018</v>
      </c>
      <c r="E900">
        <v>316.45</v>
      </c>
      <c r="F900">
        <v>25948.899999999998</v>
      </c>
      <c r="G900">
        <v>0</v>
      </c>
      <c r="H900">
        <v>0</v>
      </c>
      <c r="I900" s="2" t="s">
        <v>2024</v>
      </c>
      <c r="J900" s="2" t="s">
        <v>2029</v>
      </c>
      <c r="K900" s="2" t="s">
        <v>2892</v>
      </c>
      <c r="L900" s="2" t="s">
        <v>4034</v>
      </c>
      <c r="M900">
        <v>-316.45</v>
      </c>
      <c r="N900" s="2" t="s">
        <v>4044</v>
      </c>
      <c r="O900">
        <v>82</v>
      </c>
      <c r="P900">
        <v>-25948.899999999998</v>
      </c>
      <c r="Q900" t="b">
        <v>0</v>
      </c>
      <c r="R900" t="b">
        <v>1</v>
      </c>
      <c r="S900" t="b">
        <v>0</v>
      </c>
      <c r="T900" t="b">
        <v>0</v>
      </c>
      <c r="U900">
        <v>1</v>
      </c>
      <c r="V900" t="s">
        <v>4073</v>
      </c>
    </row>
    <row r="901" spans="1:22" hidden="1" x14ac:dyDescent="0.45">
      <c r="A901" s="2" t="s">
        <v>1477</v>
      </c>
      <c r="B901" s="11">
        <v>45173</v>
      </c>
      <c r="C901" s="2" t="s">
        <v>2010</v>
      </c>
      <c r="D901" s="2" t="s">
        <v>2015</v>
      </c>
      <c r="E901">
        <v>0</v>
      </c>
      <c r="F901">
        <v>0</v>
      </c>
      <c r="G901">
        <v>4929.5200000000004</v>
      </c>
      <c r="H901">
        <v>507740.56000000006</v>
      </c>
      <c r="I901" s="2" t="s">
        <v>2025</v>
      </c>
      <c r="J901" s="2" t="s">
        <v>2028</v>
      </c>
      <c r="K901" s="2" t="s">
        <v>3498</v>
      </c>
      <c r="L901" s="2" t="s">
        <v>4031</v>
      </c>
      <c r="M901">
        <v>4929.5200000000004</v>
      </c>
      <c r="N901" s="2" t="s">
        <v>4042</v>
      </c>
      <c r="O901">
        <v>103</v>
      </c>
      <c r="P901">
        <v>507740.56000000006</v>
      </c>
      <c r="Q901" t="b">
        <v>0</v>
      </c>
      <c r="R901" t="b">
        <v>0</v>
      </c>
      <c r="S901" t="b">
        <v>0</v>
      </c>
      <c r="T901" t="b">
        <v>1</v>
      </c>
      <c r="U901">
        <v>1</v>
      </c>
      <c r="V901" t="s">
        <v>4073</v>
      </c>
    </row>
    <row r="902" spans="1:22" hidden="1" x14ac:dyDescent="0.45">
      <c r="A902" s="2" t="s">
        <v>51</v>
      </c>
      <c r="B902" s="11">
        <v>45196</v>
      </c>
      <c r="C902" s="2" t="s">
        <v>2013</v>
      </c>
      <c r="D902" s="2" t="s">
        <v>2018</v>
      </c>
      <c r="E902">
        <v>1647.4</v>
      </c>
      <c r="F902">
        <v>144971.20000000001</v>
      </c>
      <c r="G902">
        <v>0</v>
      </c>
      <c r="H902">
        <v>0</v>
      </c>
      <c r="I902" s="2" t="s">
        <v>2021</v>
      </c>
      <c r="J902" s="2" t="s">
        <v>2030</v>
      </c>
      <c r="K902" s="2" t="s">
        <v>2072</v>
      </c>
      <c r="L902" s="2" t="s">
        <v>4032</v>
      </c>
      <c r="M902">
        <v>-1647.4</v>
      </c>
      <c r="N902" s="2" t="s">
        <v>4044</v>
      </c>
      <c r="O902">
        <v>88</v>
      </c>
      <c r="P902">
        <v>-144971.20000000001</v>
      </c>
      <c r="Q902" t="b">
        <v>0</v>
      </c>
      <c r="R902" t="b">
        <v>1</v>
      </c>
      <c r="S902" t="b">
        <v>0</v>
      </c>
      <c r="T902" t="b">
        <v>0</v>
      </c>
      <c r="U902">
        <v>1</v>
      </c>
      <c r="V902" t="s">
        <v>4073</v>
      </c>
    </row>
    <row r="903" spans="1:22" hidden="1" x14ac:dyDescent="0.45">
      <c r="A903" s="2" t="s">
        <v>1468</v>
      </c>
      <c r="B903" s="11">
        <v>45430</v>
      </c>
      <c r="C903" s="2" t="s">
        <v>2010</v>
      </c>
      <c r="D903" s="2" t="s">
        <v>2015</v>
      </c>
      <c r="E903">
        <v>0</v>
      </c>
      <c r="F903">
        <v>0</v>
      </c>
      <c r="G903">
        <v>2980.92</v>
      </c>
      <c r="H903">
        <v>166931.52000000002</v>
      </c>
      <c r="I903" s="2" t="s">
        <v>2023</v>
      </c>
      <c r="J903" s="2" t="s">
        <v>2028</v>
      </c>
      <c r="K903" s="2" t="s">
        <v>3489</v>
      </c>
      <c r="L903" s="2" t="s">
        <v>4033</v>
      </c>
      <c r="M903">
        <v>2980.92</v>
      </c>
      <c r="N903" s="2" t="s">
        <v>4042</v>
      </c>
      <c r="O903">
        <v>56</v>
      </c>
      <c r="P903">
        <v>166931.52000000002</v>
      </c>
      <c r="Q903" t="b">
        <v>1</v>
      </c>
      <c r="R903" t="b">
        <v>0</v>
      </c>
      <c r="S903" t="b">
        <v>0</v>
      </c>
      <c r="T903" t="b">
        <v>0</v>
      </c>
      <c r="U903">
        <v>1</v>
      </c>
      <c r="V903" t="s">
        <v>4073</v>
      </c>
    </row>
    <row r="904" spans="1:22" hidden="1" x14ac:dyDescent="0.45">
      <c r="A904" s="2" t="s">
        <v>1788</v>
      </c>
      <c r="B904" s="11">
        <v>44997</v>
      </c>
      <c r="C904" s="2" t="s">
        <v>2013</v>
      </c>
      <c r="D904" s="2" t="s">
        <v>2018</v>
      </c>
      <c r="E904">
        <v>324.08</v>
      </c>
      <c r="F904">
        <v>19768.879999999997</v>
      </c>
      <c r="G904">
        <v>0</v>
      </c>
      <c r="H904">
        <v>0</v>
      </c>
      <c r="I904" s="2" t="s">
        <v>2020</v>
      </c>
      <c r="J904" s="2" t="s">
        <v>2029</v>
      </c>
      <c r="K904" s="2" t="s">
        <v>3809</v>
      </c>
      <c r="L904" s="2" t="s">
        <v>4035</v>
      </c>
      <c r="M904">
        <v>-324.08</v>
      </c>
      <c r="N904" s="2" t="s">
        <v>4044</v>
      </c>
      <c r="O904">
        <v>61</v>
      </c>
      <c r="P904">
        <v>-19768.879999999997</v>
      </c>
      <c r="Q904" t="b">
        <v>1</v>
      </c>
      <c r="R904" t="b">
        <v>0</v>
      </c>
      <c r="S904" t="b">
        <v>0</v>
      </c>
      <c r="T904" t="b">
        <v>0</v>
      </c>
      <c r="U904">
        <v>1</v>
      </c>
      <c r="V904" t="s">
        <v>4073</v>
      </c>
    </row>
    <row r="905" spans="1:22" hidden="1" x14ac:dyDescent="0.45">
      <c r="A905" s="2" t="s">
        <v>555</v>
      </c>
      <c r="B905" s="11">
        <v>45077</v>
      </c>
      <c r="C905" s="2" t="s">
        <v>2012</v>
      </c>
      <c r="D905" s="2" t="s">
        <v>2017</v>
      </c>
      <c r="E905">
        <v>344.52</v>
      </c>
      <c r="F905">
        <v>19293.12</v>
      </c>
      <c r="G905">
        <v>0</v>
      </c>
      <c r="H905">
        <v>0</v>
      </c>
      <c r="I905" s="2" t="s">
        <v>2024</v>
      </c>
      <c r="J905" s="2" t="s">
        <v>2028</v>
      </c>
      <c r="K905" s="2" t="s">
        <v>2576</v>
      </c>
      <c r="L905" s="2" t="s">
        <v>4033</v>
      </c>
      <c r="M905">
        <v>-344.52</v>
      </c>
      <c r="N905" s="2" t="s">
        <v>4044</v>
      </c>
      <c r="O905">
        <v>56</v>
      </c>
      <c r="P905">
        <v>-19293.12</v>
      </c>
      <c r="Q905" t="b">
        <v>0</v>
      </c>
      <c r="R905" t="b">
        <v>1</v>
      </c>
      <c r="S905" t="b">
        <v>0</v>
      </c>
      <c r="T905" t="b">
        <v>0</v>
      </c>
      <c r="U905">
        <v>1</v>
      </c>
      <c r="V905" t="s">
        <v>4073</v>
      </c>
    </row>
    <row r="906" spans="1:22" hidden="1" x14ac:dyDescent="0.45">
      <c r="A906" s="2" t="s">
        <v>1547</v>
      </c>
      <c r="B906" s="11">
        <v>45375</v>
      </c>
      <c r="C906" s="2" t="s">
        <v>2011</v>
      </c>
      <c r="D906" s="2" t="s">
        <v>2016</v>
      </c>
      <c r="E906">
        <v>339.89</v>
      </c>
      <c r="F906">
        <v>19033.84</v>
      </c>
      <c r="G906">
        <v>0</v>
      </c>
      <c r="H906">
        <v>0</v>
      </c>
      <c r="I906" s="2" t="s">
        <v>2024</v>
      </c>
      <c r="J906" s="2" t="s">
        <v>2030</v>
      </c>
      <c r="K906" s="2" t="s">
        <v>3568</v>
      </c>
      <c r="L906" s="2" t="s">
        <v>4033</v>
      </c>
      <c r="M906">
        <v>-339.89</v>
      </c>
      <c r="N906" s="2" t="s">
        <v>2016</v>
      </c>
      <c r="O906">
        <v>56</v>
      </c>
      <c r="P906">
        <v>-19033.84</v>
      </c>
      <c r="Q906" t="b">
        <v>1</v>
      </c>
      <c r="R906" t="b">
        <v>0</v>
      </c>
      <c r="S906" t="b">
        <v>0</v>
      </c>
      <c r="T906" t="b">
        <v>0</v>
      </c>
      <c r="U906">
        <v>1</v>
      </c>
      <c r="V906" t="s">
        <v>4073</v>
      </c>
    </row>
    <row r="907" spans="1:22" hidden="1" x14ac:dyDescent="0.45">
      <c r="A907" s="2" t="s">
        <v>701</v>
      </c>
      <c r="B907" s="11">
        <v>45733</v>
      </c>
      <c r="C907" s="2" t="s">
        <v>2010</v>
      </c>
      <c r="D907" s="2" t="s">
        <v>2015</v>
      </c>
      <c r="E907">
        <v>0</v>
      </c>
      <c r="F907">
        <v>0</v>
      </c>
      <c r="G907">
        <v>3502.79</v>
      </c>
      <c r="H907">
        <v>360787.37</v>
      </c>
      <c r="I907" s="2" t="s">
        <v>2025</v>
      </c>
      <c r="J907" s="2" t="s">
        <v>2026</v>
      </c>
      <c r="K907" s="2" t="s">
        <v>2722</v>
      </c>
      <c r="L907" s="2" t="s">
        <v>4031</v>
      </c>
      <c r="M907">
        <v>3502.79</v>
      </c>
      <c r="N907" s="2" t="s">
        <v>4042</v>
      </c>
      <c r="O907">
        <v>103</v>
      </c>
      <c r="P907">
        <v>360787.37</v>
      </c>
      <c r="Q907" t="b">
        <v>0</v>
      </c>
      <c r="R907" t="b">
        <v>0</v>
      </c>
      <c r="S907" t="b">
        <v>0</v>
      </c>
      <c r="T907" t="b">
        <v>1</v>
      </c>
      <c r="U907">
        <v>1</v>
      </c>
      <c r="V907" t="s">
        <v>4073</v>
      </c>
    </row>
    <row r="908" spans="1:22" hidden="1" x14ac:dyDescent="0.45">
      <c r="A908" s="2" t="s">
        <v>793</v>
      </c>
      <c r="B908" s="11">
        <v>45016</v>
      </c>
      <c r="C908" s="2" t="s">
        <v>2013</v>
      </c>
      <c r="D908" s="2" t="s">
        <v>2018</v>
      </c>
      <c r="E908">
        <v>1650.02</v>
      </c>
      <c r="F908">
        <v>169952.06</v>
      </c>
      <c r="G908">
        <v>0</v>
      </c>
      <c r="H908">
        <v>0</v>
      </c>
      <c r="I908" s="2" t="s">
        <v>2025</v>
      </c>
      <c r="J908" s="2" t="s">
        <v>2028</v>
      </c>
      <c r="K908" s="2" t="s">
        <v>2814</v>
      </c>
      <c r="L908" s="2" t="s">
        <v>4031</v>
      </c>
      <c r="M908">
        <v>-1650.02</v>
      </c>
      <c r="N908" s="2" t="s">
        <v>4044</v>
      </c>
      <c r="O908">
        <v>103</v>
      </c>
      <c r="P908">
        <v>-169952.06</v>
      </c>
      <c r="Q908" t="b">
        <v>0</v>
      </c>
      <c r="R908" t="b">
        <v>1</v>
      </c>
      <c r="S908" t="b">
        <v>0</v>
      </c>
      <c r="T908" t="b">
        <v>0</v>
      </c>
      <c r="U908">
        <v>1</v>
      </c>
      <c r="V908" t="s">
        <v>4073</v>
      </c>
    </row>
    <row r="909" spans="1:22" hidden="1" x14ac:dyDescent="0.45">
      <c r="A909" s="2" t="s">
        <v>1624</v>
      </c>
      <c r="B909" s="11">
        <v>45312</v>
      </c>
      <c r="C909" s="2" t="s">
        <v>2012</v>
      </c>
      <c r="D909" s="2" t="s">
        <v>2017</v>
      </c>
      <c r="E909">
        <v>210.81</v>
      </c>
      <c r="F909">
        <v>18551.28</v>
      </c>
      <c r="G909">
        <v>0</v>
      </c>
      <c r="H909">
        <v>0</v>
      </c>
      <c r="I909" s="2" t="s">
        <v>2024</v>
      </c>
      <c r="J909" s="2" t="s">
        <v>2029</v>
      </c>
      <c r="K909" s="2" t="s">
        <v>3645</v>
      </c>
      <c r="L909" s="2" t="s">
        <v>4032</v>
      </c>
      <c r="M909">
        <v>-210.81</v>
      </c>
      <c r="N909" s="2" t="s">
        <v>4044</v>
      </c>
      <c r="O909">
        <v>88</v>
      </c>
      <c r="P909">
        <v>-18551.28</v>
      </c>
      <c r="Q909" t="b">
        <v>1</v>
      </c>
      <c r="R909" t="b">
        <v>0</v>
      </c>
      <c r="S909" t="b">
        <v>0</v>
      </c>
      <c r="T909" t="b">
        <v>0</v>
      </c>
      <c r="U909">
        <v>1</v>
      </c>
      <c r="V909" t="s">
        <v>4073</v>
      </c>
    </row>
    <row r="910" spans="1:22" hidden="1" x14ac:dyDescent="0.45">
      <c r="A910" s="2" t="s">
        <v>1167</v>
      </c>
      <c r="B910" s="11">
        <v>44953</v>
      </c>
      <c r="C910" s="2" t="s">
        <v>2012</v>
      </c>
      <c r="D910" s="2" t="s">
        <v>2017</v>
      </c>
      <c r="E910">
        <v>320.36</v>
      </c>
      <c r="F910">
        <v>26269.52</v>
      </c>
      <c r="G910">
        <v>0</v>
      </c>
      <c r="H910">
        <v>0</v>
      </c>
      <c r="I910" s="2" t="s">
        <v>2025</v>
      </c>
      <c r="J910" s="2" t="s">
        <v>2029</v>
      </c>
      <c r="K910" s="2" t="s">
        <v>3188</v>
      </c>
      <c r="L910" s="2" t="s">
        <v>4034</v>
      </c>
      <c r="M910">
        <v>-320.36</v>
      </c>
      <c r="N910" s="2" t="s">
        <v>4044</v>
      </c>
      <c r="O910">
        <v>82</v>
      </c>
      <c r="P910">
        <v>-26269.52</v>
      </c>
      <c r="Q910" t="b">
        <v>0</v>
      </c>
      <c r="R910" t="b">
        <v>1</v>
      </c>
      <c r="S910" t="b">
        <v>0</v>
      </c>
      <c r="T910" t="b">
        <v>0</v>
      </c>
      <c r="U910">
        <v>1</v>
      </c>
      <c r="V910" t="s">
        <v>4073</v>
      </c>
    </row>
    <row r="911" spans="1:22" hidden="1" x14ac:dyDescent="0.45">
      <c r="A911" s="2" t="s">
        <v>88</v>
      </c>
      <c r="B911" s="11">
        <v>45742</v>
      </c>
      <c r="C911" s="2" t="s">
        <v>2011</v>
      </c>
      <c r="D911" s="2" t="s">
        <v>2016</v>
      </c>
      <c r="E911">
        <v>1671.57</v>
      </c>
      <c r="F911">
        <v>172171.71</v>
      </c>
      <c r="G911">
        <v>0</v>
      </c>
      <c r="H911">
        <v>0</v>
      </c>
      <c r="I911" s="2" t="s">
        <v>2024</v>
      </c>
      <c r="J911" s="2" t="s">
        <v>2027</v>
      </c>
      <c r="K911" s="2" t="s">
        <v>2109</v>
      </c>
      <c r="L911" s="2" t="s">
        <v>4031</v>
      </c>
      <c r="M911">
        <v>-1671.57</v>
      </c>
      <c r="N911" s="2" t="s">
        <v>2016</v>
      </c>
      <c r="O911">
        <v>103</v>
      </c>
      <c r="P911">
        <v>-172171.71</v>
      </c>
      <c r="Q911" t="b">
        <v>0</v>
      </c>
      <c r="R911" t="b">
        <v>1</v>
      </c>
      <c r="S911" t="b">
        <v>0</v>
      </c>
      <c r="T911" t="b">
        <v>0</v>
      </c>
      <c r="U911">
        <v>1</v>
      </c>
      <c r="V911" t="s">
        <v>4073</v>
      </c>
    </row>
    <row r="912" spans="1:22" hidden="1" x14ac:dyDescent="0.45">
      <c r="A912" s="2" t="s">
        <v>1309</v>
      </c>
      <c r="B912" s="11">
        <v>45550</v>
      </c>
      <c r="C912" s="2" t="s">
        <v>2013</v>
      </c>
      <c r="D912" s="2" t="s">
        <v>2018</v>
      </c>
      <c r="E912">
        <v>468.89</v>
      </c>
      <c r="F912">
        <v>26257.84</v>
      </c>
      <c r="G912">
        <v>0</v>
      </c>
      <c r="H912">
        <v>0</v>
      </c>
      <c r="I912" s="2" t="s">
        <v>2024</v>
      </c>
      <c r="J912" s="2" t="s">
        <v>2027</v>
      </c>
      <c r="K912" s="2" t="s">
        <v>3330</v>
      </c>
      <c r="L912" s="2" t="s">
        <v>4033</v>
      </c>
      <c r="M912">
        <v>-468.89</v>
      </c>
      <c r="N912" s="2" t="s">
        <v>4044</v>
      </c>
      <c r="O912">
        <v>56</v>
      </c>
      <c r="P912">
        <v>-26257.84</v>
      </c>
      <c r="Q912" t="b">
        <v>1</v>
      </c>
      <c r="R912" t="b">
        <v>0</v>
      </c>
      <c r="S912" t="b">
        <v>0</v>
      </c>
      <c r="T912" t="b">
        <v>0</v>
      </c>
      <c r="U912">
        <v>1</v>
      </c>
      <c r="V912" t="s">
        <v>4073</v>
      </c>
    </row>
    <row r="913" spans="1:22" hidden="1" x14ac:dyDescent="0.45">
      <c r="A913" s="2" t="s">
        <v>214</v>
      </c>
      <c r="B913" s="11">
        <v>45156</v>
      </c>
      <c r="C913" s="2" t="s">
        <v>2010</v>
      </c>
      <c r="D913" s="2" t="s">
        <v>2015</v>
      </c>
      <c r="E913">
        <v>0</v>
      </c>
      <c r="F913">
        <v>0</v>
      </c>
      <c r="G913">
        <v>4036.79</v>
      </c>
      <c r="H913">
        <v>355237.52</v>
      </c>
      <c r="I913" s="2" t="s">
        <v>2022</v>
      </c>
      <c r="J913" s="2" t="s">
        <v>2026</v>
      </c>
      <c r="K913" s="2" t="s">
        <v>2235</v>
      </c>
      <c r="L913" s="2" t="s">
        <v>4032</v>
      </c>
      <c r="M913">
        <v>4036.79</v>
      </c>
      <c r="N913" s="2" t="s">
        <v>4042</v>
      </c>
      <c r="O913">
        <v>88</v>
      </c>
      <c r="P913">
        <v>355237.52</v>
      </c>
      <c r="Q913" t="b">
        <v>0</v>
      </c>
      <c r="R913" t="b">
        <v>0</v>
      </c>
      <c r="S913" t="b">
        <v>0</v>
      </c>
      <c r="T913" t="b">
        <v>1</v>
      </c>
      <c r="U913">
        <v>1</v>
      </c>
      <c r="V913" t="s">
        <v>4073</v>
      </c>
    </row>
    <row r="914" spans="1:22" hidden="1" x14ac:dyDescent="0.45">
      <c r="A914" s="2" t="s">
        <v>38</v>
      </c>
      <c r="B914" s="11">
        <v>45735</v>
      </c>
      <c r="C914" s="2" t="s">
        <v>2014</v>
      </c>
      <c r="D914" s="2" t="s">
        <v>2019</v>
      </c>
      <c r="E914">
        <v>0</v>
      </c>
      <c r="F914">
        <v>0</v>
      </c>
      <c r="G914">
        <v>3466</v>
      </c>
      <c r="H914">
        <v>356998</v>
      </c>
      <c r="I914" s="2" t="s">
        <v>2024</v>
      </c>
      <c r="J914" s="2" t="s">
        <v>2028</v>
      </c>
      <c r="K914" s="2" t="s">
        <v>2059</v>
      </c>
      <c r="L914" s="2" t="s">
        <v>4031</v>
      </c>
      <c r="M914">
        <v>3466</v>
      </c>
      <c r="N914" s="2" t="s">
        <v>4042</v>
      </c>
      <c r="O914">
        <v>103</v>
      </c>
      <c r="P914">
        <v>356998</v>
      </c>
      <c r="Q914" t="b">
        <v>0</v>
      </c>
      <c r="R914" t="b">
        <v>0</v>
      </c>
      <c r="S914" t="b">
        <v>0</v>
      </c>
      <c r="T914" t="b">
        <v>1</v>
      </c>
      <c r="U914">
        <v>1</v>
      </c>
      <c r="V914" t="s">
        <v>4073</v>
      </c>
    </row>
    <row r="915" spans="1:22" hidden="1" x14ac:dyDescent="0.45">
      <c r="A915" s="2" t="s">
        <v>940</v>
      </c>
      <c r="B915" s="11">
        <v>45525</v>
      </c>
      <c r="C915" s="2" t="s">
        <v>2014</v>
      </c>
      <c r="D915" s="2" t="s">
        <v>2019</v>
      </c>
      <c r="E915">
        <v>0</v>
      </c>
      <c r="F915">
        <v>0</v>
      </c>
      <c r="G915">
        <v>4074.77</v>
      </c>
      <c r="H915">
        <v>358579.76</v>
      </c>
      <c r="I915" s="2" t="s">
        <v>2023</v>
      </c>
      <c r="J915" s="2" t="s">
        <v>2027</v>
      </c>
      <c r="K915" s="2" t="s">
        <v>2961</v>
      </c>
      <c r="L915" s="2" t="s">
        <v>4032</v>
      </c>
      <c r="M915">
        <v>4074.77</v>
      </c>
      <c r="N915" s="2" t="s">
        <v>4042</v>
      </c>
      <c r="O915">
        <v>88</v>
      </c>
      <c r="P915">
        <v>358579.76</v>
      </c>
      <c r="Q915" t="b">
        <v>0</v>
      </c>
      <c r="R915" t="b">
        <v>0</v>
      </c>
      <c r="S915" t="b">
        <v>0</v>
      </c>
      <c r="T915" t="b">
        <v>1</v>
      </c>
      <c r="U915">
        <v>1</v>
      </c>
      <c r="V915" t="s">
        <v>4073</v>
      </c>
    </row>
    <row r="916" spans="1:22" hidden="1" x14ac:dyDescent="0.45">
      <c r="A916" s="2" t="s">
        <v>1395</v>
      </c>
      <c r="B916" s="11">
        <v>45311</v>
      </c>
      <c r="C916" s="2" t="s">
        <v>2013</v>
      </c>
      <c r="D916" s="2" t="s">
        <v>2018</v>
      </c>
      <c r="E916">
        <v>182.89</v>
      </c>
      <c r="F916">
        <v>18837.669999999998</v>
      </c>
      <c r="G916">
        <v>0</v>
      </c>
      <c r="H916">
        <v>0</v>
      </c>
      <c r="I916" s="2" t="s">
        <v>2023</v>
      </c>
      <c r="J916" s="2" t="s">
        <v>2027</v>
      </c>
      <c r="K916" s="2" t="s">
        <v>3416</v>
      </c>
      <c r="L916" s="2" t="s">
        <v>4031</v>
      </c>
      <c r="M916">
        <v>-182.89</v>
      </c>
      <c r="N916" s="2" t="s">
        <v>4044</v>
      </c>
      <c r="O916">
        <v>103</v>
      </c>
      <c r="P916">
        <v>-18837.669999999998</v>
      </c>
      <c r="Q916" t="b">
        <v>1</v>
      </c>
      <c r="R916" t="b">
        <v>0</v>
      </c>
      <c r="S916" t="b">
        <v>0</v>
      </c>
      <c r="T916" t="b">
        <v>0</v>
      </c>
      <c r="U916">
        <v>1</v>
      </c>
      <c r="V916" t="s">
        <v>4073</v>
      </c>
    </row>
    <row r="917" spans="1:22" hidden="1" x14ac:dyDescent="0.45">
      <c r="A917" s="2" t="s">
        <v>32</v>
      </c>
      <c r="B917" s="11">
        <v>45441</v>
      </c>
      <c r="C917" s="2" t="s">
        <v>2011</v>
      </c>
      <c r="D917" s="2" t="s">
        <v>2016</v>
      </c>
      <c r="E917">
        <v>319.7</v>
      </c>
      <c r="F917">
        <v>26215.399999999998</v>
      </c>
      <c r="G917">
        <v>0</v>
      </c>
      <c r="H917">
        <v>0</v>
      </c>
      <c r="I917" s="2" t="s">
        <v>2022</v>
      </c>
      <c r="J917" s="2" t="s">
        <v>2026</v>
      </c>
      <c r="K917" s="2" t="s">
        <v>2053</v>
      </c>
      <c r="L917" s="2" t="s">
        <v>4034</v>
      </c>
      <c r="M917">
        <v>-319.7</v>
      </c>
      <c r="N917" s="2" t="s">
        <v>2016</v>
      </c>
      <c r="O917">
        <v>82</v>
      </c>
      <c r="P917">
        <v>-26215.399999999998</v>
      </c>
      <c r="Q917" t="b">
        <v>0</v>
      </c>
      <c r="R917" t="b">
        <v>1</v>
      </c>
      <c r="S917" t="b">
        <v>0</v>
      </c>
      <c r="T917" t="b">
        <v>0</v>
      </c>
      <c r="U917">
        <v>1</v>
      </c>
      <c r="V917" t="s">
        <v>4073</v>
      </c>
    </row>
    <row r="918" spans="1:22" hidden="1" x14ac:dyDescent="0.45">
      <c r="A918" s="2" t="s">
        <v>1224</v>
      </c>
      <c r="B918" s="11">
        <v>45064</v>
      </c>
      <c r="C918" s="2" t="s">
        <v>2010</v>
      </c>
      <c r="D918" s="2" t="s">
        <v>2015</v>
      </c>
      <c r="E918">
        <v>0</v>
      </c>
      <c r="F918">
        <v>0</v>
      </c>
      <c r="G918">
        <v>4939.1400000000003</v>
      </c>
      <c r="H918">
        <v>508731.42000000004</v>
      </c>
      <c r="I918" s="2" t="s">
        <v>2023</v>
      </c>
      <c r="J918" s="2" t="s">
        <v>2026</v>
      </c>
      <c r="K918" s="2" t="s">
        <v>3245</v>
      </c>
      <c r="L918" s="2" t="s">
        <v>4031</v>
      </c>
      <c r="M918">
        <v>4939.1400000000003</v>
      </c>
      <c r="N918" s="2" t="s">
        <v>4042</v>
      </c>
      <c r="O918">
        <v>103</v>
      </c>
      <c r="P918">
        <v>508731.42000000004</v>
      </c>
      <c r="Q918" t="b">
        <v>0</v>
      </c>
      <c r="R918" t="b">
        <v>0</v>
      </c>
      <c r="S918" t="b">
        <v>0</v>
      </c>
      <c r="T918" t="b">
        <v>1</v>
      </c>
      <c r="U918">
        <v>1</v>
      </c>
      <c r="V918" t="s">
        <v>4073</v>
      </c>
    </row>
    <row r="919" spans="1:22" hidden="1" x14ac:dyDescent="0.45">
      <c r="A919" s="2" t="s">
        <v>1772</v>
      </c>
      <c r="B919" s="11">
        <v>45051</v>
      </c>
      <c r="C919" s="2" t="s">
        <v>2014</v>
      </c>
      <c r="D919" s="2" t="s">
        <v>2019</v>
      </c>
      <c r="E919">
        <v>0</v>
      </c>
      <c r="F919">
        <v>0</v>
      </c>
      <c r="G919">
        <v>4088.16</v>
      </c>
      <c r="H919">
        <v>359758.07999999996</v>
      </c>
      <c r="I919" s="2" t="s">
        <v>2021</v>
      </c>
      <c r="J919" s="2" t="s">
        <v>2029</v>
      </c>
      <c r="K919" s="2" t="s">
        <v>3793</v>
      </c>
      <c r="L919" s="2" t="s">
        <v>4032</v>
      </c>
      <c r="M919">
        <v>4088.16</v>
      </c>
      <c r="N919" s="2" t="s">
        <v>4042</v>
      </c>
      <c r="O919">
        <v>88</v>
      </c>
      <c r="P919">
        <v>359758.07999999996</v>
      </c>
      <c r="Q919" t="b">
        <v>0</v>
      </c>
      <c r="R919" t="b">
        <v>0</v>
      </c>
      <c r="S919" t="b">
        <v>0</v>
      </c>
      <c r="T919" t="b">
        <v>1</v>
      </c>
      <c r="U919">
        <v>1</v>
      </c>
      <c r="V919" t="s">
        <v>4073</v>
      </c>
    </row>
    <row r="920" spans="1:22" hidden="1" x14ac:dyDescent="0.45">
      <c r="A920" s="2" t="s">
        <v>539</v>
      </c>
      <c r="B920" s="11">
        <v>45027</v>
      </c>
      <c r="C920" s="2" t="s">
        <v>2014</v>
      </c>
      <c r="D920" s="2" t="s">
        <v>2019</v>
      </c>
      <c r="E920">
        <v>0</v>
      </c>
      <c r="F920">
        <v>0</v>
      </c>
      <c r="G920">
        <v>4936.62</v>
      </c>
      <c r="H920">
        <v>508471.86</v>
      </c>
      <c r="I920" s="2" t="s">
        <v>2022</v>
      </c>
      <c r="J920" s="2" t="s">
        <v>2028</v>
      </c>
      <c r="K920" s="2" t="s">
        <v>2560</v>
      </c>
      <c r="L920" s="2" t="s">
        <v>4031</v>
      </c>
      <c r="M920">
        <v>4936.62</v>
      </c>
      <c r="N920" s="2" t="s">
        <v>4042</v>
      </c>
      <c r="O920">
        <v>103</v>
      </c>
      <c r="P920">
        <v>508471.86</v>
      </c>
      <c r="Q920" t="b">
        <v>0</v>
      </c>
      <c r="R920" t="b">
        <v>0</v>
      </c>
      <c r="S920" t="b">
        <v>0</v>
      </c>
      <c r="T920" t="b">
        <v>1</v>
      </c>
      <c r="U920">
        <v>1</v>
      </c>
      <c r="V920" t="s">
        <v>4073</v>
      </c>
    </row>
    <row r="921" spans="1:22" hidden="1" x14ac:dyDescent="0.45">
      <c r="A921" s="2" t="s">
        <v>847</v>
      </c>
      <c r="B921" s="11">
        <v>45370</v>
      </c>
      <c r="C921" s="2" t="s">
        <v>2014</v>
      </c>
      <c r="D921" s="2" t="s">
        <v>2019</v>
      </c>
      <c r="E921">
        <v>0</v>
      </c>
      <c r="F921">
        <v>0</v>
      </c>
      <c r="G921">
        <v>4092.61</v>
      </c>
      <c r="H921">
        <v>360149.68</v>
      </c>
      <c r="I921" s="2" t="s">
        <v>2025</v>
      </c>
      <c r="J921" s="2" t="s">
        <v>2028</v>
      </c>
      <c r="K921" s="2" t="s">
        <v>2868</v>
      </c>
      <c r="L921" s="2" t="s">
        <v>4032</v>
      </c>
      <c r="M921">
        <v>4092.61</v>
      </c>
      <c r="N921" s="2" t="s">
        <v>4042</v>
      </c>
      <c r="O921">
        <v>88</v>
      </c>
      <c r="P921">
        <v>360149.68</v>
      </c>
      <c r="Q921" t="b">
        <v>0</v>
      </c>
      <c r="R921" t="b">
        <v>0</v>
      </c>
      <c r="S921" t="b">
        <v>0</v>
      </c>
      <c r="T921" t="b">
        <v>1</v>
      </c>
      <c r="U921">
        <v>1</v>
      </c>
      <c r="V921" t="s">
        <v>4073</v>
      </c>
    </row>
    <row r="922" spans="1:22" hidden="1" x14ac:dyDescent="0.45">
      <c r="A922" s="2" t="s">
        <v>1921</v>
      </c>
      <c r="B922" s="11">
        <v>45739</v>
      </c>
      <c r="C922" s="2" t="s">
        <v>2014</v>
      </c>
      <c r="D922" s="2" t="s">
        <v>2019</v>
      </c>
      <c r="E922">
        <v>0</v>
      </c>
      <c r="F922">
        <v>0</v>
      </c>
      <c r="G922">
        <v>1937.71</v>
      </c>
      <c r="H922">
        <v>170518.48</v>
      </c>
      <c r="I922" s="2" t="s">
        <v>2022</v>
      </c>
      <c r="J922" s="2" t="s">
        <v>2030</v>
      </c>
      <c r="K922" s="2" t="s">
        <v>3942</v>
      </c>
      <c r="L922" s="2" t="s">
        <v>4032</v>
      </c>
      <c r="M922">
        <v>1937.71</v>
      </c>
      <c r="N922" s="2" t="s">
        <v>4042</v>
      </c>
      <c r="O922">
        <v>88</v>
      </c>
      <c r="P922">
        <v>170518.48</v>
      </c>
      <c r="Q922" t="b">
        <v>1</v>
      </c>
      <c r="R922" t="b">
        <v>0</v>
      </c>
      <c r="S922" t="b">
        <v>0</v>
      </c>
      <c r="T922" t="b">
        <v>0</v>
      </c>
      <c r="U922">
        <v>1</v>
      </c>
      <c r="V922" t="s">
        <v>4073</v>
      </c>
    </row>
    <row r="923" spans="1:22" hidden="1" x14ac:dyDescent="0.45">
      <c r="A923" s="2" t="s">
        <v>1572</v>
      </c>
      <c r="B923" s="11">
        <v>45276</v>
      </c>
      <c r="C923" s="2" t="s">
        <v>2013</v>
      </c>
      <c r="D923" s="2" t="s">
        <v>2018</v>
      </c>
      <c r="E923">
        <v>1936.61</v>
      </c>
      <c r="F923">
        <v>170421.68</v>
      </c>
      <c r="G923">
        <v>0</v>
      </c>
      <c r="H923">
        <v>0</v>
      </c>
      <c r="I923" s="2" t="s">
        <v>2024</v>
      </c>
      <c r="J923" s="2" t="s">
        <v>2027</v>
      </c>
      <c r="K923" s="2" t="s">
        <v>3593</v>
      </c>
      <c r="L923" s="2" t="s">
        <v>4032</v>
      </c>
      <c r="M923">
        <v>-1936.61</v>
      </c>
      <c r="N923" s="2" t="s">
        <v>4044</v>
      </c>
      <c r="O923">
        <v>88</v>
      </c>
      <c r="P923">
        <v>-170421.68</v>
      </c>
      <c r="Q923" t="b">
        <v>1</v>
      </c>
      <c r="R923" t="b">
        <v>0</v>
      </c>
      <c r="S923" t="b">
        <v>0</v>
      </c>
      <c r="T923" t="b">
        <v>0</v>
      </c>
      <c r="U923">
        <v>1</v>
      </c>
      <c r="V923" t="s">
        <v>4073</v>
      </c>
    </row>
    <row r="924" spans="1:22" hidden="1" x14ac:dyDescent="0.45">
      <c r="A924" s="2" t="s">
        <v>1932</v>
      </c>
      <c r="B924" s="11">
        <v>45003</v>
      </c>
      <c r="C924" s="2" t="s">
        <v>2014</v>
      </c>
      <c r="D924" s="2" t="s">
        <v>2019</v>
      </c>
      <c r="E924">
        <v>0</v>
      </c>
      <c r="F924">
        <v>0</v>
      </c>
      <c r="G924">
        <v>2791.71</v>
      </c>
      <c r="H924">
        <v>170294.31</v>
      </c>
      <c r="I924" s="2" t="s">
        <v>2021</v>
      </c>
      <c r="J924" s="2" t="s">
        <v>2029</v>
      </c>
      <c r="K924" s="2" t="s">
        <v>3953</v>
      </c>
      <c r="L924" s="2" t="s">
        <v>4035</v>
      </c>
      <c r="M924">
        <v>2791.71</v>
      </c>
      <c r="N924" s="2" t="s">
        <v>4042</v>
      </c>
      <c r="O924">
        <v>61</v>
      </c>
      <c r="P924">
        <v>170294.31</v>
      </c>
      <c r="Q924" t="b">
        <v>1</v>
      </c>
      <c r="R924" t="b">
        <v>0</v>
      </c>
      <c r="S924" t="b">
        <v>0</v>
      </c>
      <c r="T924" t="b">
        <v>0</v>
      </c>
      <c r="U924">
        <v>1</v>
      </c>
      <c r="V924" t="s">
        <v>4073</v>
      </c>
    </row>
    <row r="925" spans="1:22" hidden="1" x14ac:dyDescent="0.45">
      <c r="A925" s="2" t="s">
        <v>1328</v>
      </c>
      <c r="B925" s="11">
        <v>45106</v>
      </c>
      <c r="C925" s="2" t="s">
        <v>2010</v>
      </c>
      <c r="D925" s="2" t="s">
        <v>2015</v>
      </c>
      <c r="E925">
        <v>0</v>
      </c>
      <c r="F925">
        <v>0</v>
      </c>
      <c r="G925">
        <v>2075.2600000000002</v>
      </c>
      <c r="H925">
        <v>170171.32</v>
      </c>
      <c r="I925" s="2" t="s">
        <v>2021</v>
      </c>
      <c r="J925" s="2" t="s">
        <v>2026</v>
      </c>
      <c r="K925" s="2" t="s">
        <v>3349</v>
      </c>
      <c r="L925" s="2" t="s">
        <v>4034</v>
      </c>
      <c r="M925">
        <v>2075.2600000000002</v>
      </c>
      <c r="N925" s="2" t="s">
        <v>4042</v>
      </c>
      <c r="O925">
        <v>82</v>
      </c>
      <c r="P925">
        <v>170171.32</v>
      </c>
      <c r="Q925" t="b">
        <v>0</v>
      </c>
      <c r="R925" t="b">
        <v>1</v>
      </c>
      <c r="S925" t="b">
        <v>0</v>
      </c>
      <c r="T925" t="b">
        <v>0</v>
      </c>
      <c r="U925">
        <v>1</v>
      </c>
      <c r="V925" t="s">
        <v>4073</v>
      </c>
    </row>
    <row r="926" spans="1:22" hidden="1" x14ac:dyDescent="0.45">
      <c r="A926" s="2" t="s">
        <v>275</v>
      </c>
      <c r="B926" s="11">
        <v>45220</v>
      </c>
      <c r="C926" s="2" t="s">
        <v>2010</v>
      </c>
      <c r="D926" s="2" t="s">
        <v>2015</v>
      </c>
      <c r="E926">
        <v>0</v>
      </c>
      <c r="F926">
        <v>0</v>
      </c>
      <c r="G926">
        <v>2597.25</v>
      </c>
      <c r="H926">
        <v>145446</v>
      </c>
      <c r="I926" s="2" t="s">
        <v>2025</v>
      </c>
      <c r="J926" s="2" t="s">
        <v>2026</v>
      </c>
      <c r="K926" s="2" t="s">
        <v>2296</v>
      </c>
      <c r="L926" s="2" t="s">
        <v>4033</v>
      </c>
      <c r="M926">
        <v>2597.25</v>
      </c>
      <c r="N926" s="2" t="s">
        <v>4042</v>
      </c>
      <c r="O926">
        <v>56</v>
      </c>
      <c r="P926">
        <v>145446</v>
      </c>
      <c r="Q926" t="b">
        <v>1</v>
      </c>
      <c r="R926" t="b">
        <v>0</v>
      </c>
      <c r="S926" t="b">
        <v>0</v>
      </c>
      <c r="T926" t="b">
        <v>0</v>
      </c>
      <c r="U926">
        <v>1</v>
      </c>
      <c r="V926" t="s">
        <v>4073</v>
      </c>
    </row>
    <row r="927" spans="1:22" hidden="1" x14ac:dyDescent="0.45">
      <c r="A927" s="2" t="s">
        <v>816</v>
      </c>
      <c r="B927" s="11">
        <v>45772</v>
      </c>
      <c r="C927" s="2" t="s">
        <v>2014</v>
      </c>
      <c r="D927" s="2" t="s">
        <v>2019</v>
      </c>
      <c r="E927">
        <v>0</v>
      </c>
      <c r="F927">
        <v>0</v>
      </c>
      <c r="G927">
        <v>1614.33</v>
      </c>
      <c r="H927">
        <v>166275.99</v>
      </c>
      <c r="I927" s="2" t="s">
        <v>2020</v>
      </c>
      <c r="J927" s="2" t="s">
        <v>2029</v>
      </c>
      <c r="K927" s="2" t="s">
        <v>2837</v>
      </c>
      <c r="L927" s="2" t="s">
        <v>4031</v>
      </c>
      <c r="M927">
        <v>1614.33</v>
      </c>
      <c r="N927" s="2" t="s">
        <v>4042</v>
      </c>
      <c r="O927">
        <v>103</v>
      </c>
      <c r="P927">
        <v>166275.99</v>
      </c>
      <c r="Q927" t="b">
        <v>0</v>
      </c>
      <c r="R927" t="b">
        <v>1</v>
      </c>
      <c r="S927" t="b">
        <v>0</v>
      </c>
      <c r="T927" t="b">
        <v>0</v>
      </c>
      <c r="U927">
        <v>1</v>
      </c>
      <c r="V927" t="s">
        <v>4073</v>
      </c>
    </row>
    <row r="928" spans="1:22" hidden="1" x14ac:dyDescent="0.45">
      <c r="A928" s="2" t="s">
        <v>711</v>
      </c>
      <c r="B928" s="11">
        <v>45249</v>
      </c>
      <c r="C928" s="2" t="s">
        <v>2013</v>
      </c>
      <c r="D928" s="2" t="s">
        <v>2018</v>
      </c>
      <c r="E928">
        <v>322.43</v>
      </c>
      <c r="F928">
        <v>19668.23</v>
      </c>
      <c r="G928">
        <v>0</v>
      </c>
      <c r="H928">
        <v>0</v>
      </c>
      <c r="I928" s="2" t="s">
        <v>2024</v>
      </c>
      <c r="J928" s="2" t="s">
        <v>2029</v>
      </c>
      <c r="K928" s="2" t="s">
        <v>2732</v>
      </c>
      <c r="L928" s="2" t="s">
        <v>4035</v>
      </c>
      <c r="M928">
        <v>-322.43</v>
      </c>
      <c r="N928" s="2" t="s">
        <v>4044</v>
      </c>
      <c r="O928">
        <v>61</v>
      </c>
      <c r="P928">
        <v>-19668.23</v>
      </c>
      <c r="Q928" t="b">
        <v>1</v>
      </c>
      <c r="R928" t="b">
        <v>0</v>
      </c>
      <c r="S928" t="b">
        <v>0</v>
      </c>
      <c r="T928" t="b">
        <v>0</v>
      </c>
      <c r="U928">
        <v>1</v>
      </c>
      <c r="V928" t="s">
        <v>4073</v>
      </c>
    </row>
    <row r="929" spans="1:22" hidden="1" x14ac:dyDescent="0.45">
      <c r="A929" s="2" t="s">
        <v>50</v>
      </c>
      <c r="B929" s="11">
        <v>45648</v>
      </c>
      <c r="C929" s="2" t="s">
        <v>2012</v>
      </c>
      <c r="D929" s="2" t="s">
        <v>2017</v>
      </c>
      <c r="E929">
        <v>358.23</v>
      </c>
      <c r="F929">
        <v>20060.88</v>
      </c>
      <c r="G929">
        <v>0</v>
      </c>
      <c r="H929">
        <v>0</v>
      </c>
      <c r="I929" s="2" t="s">
        <v>2020</v>
      </c>
      <c r="J929" s="2" t="s">
        <v>2028</v>
      </c>
      <c r="K929" s="2" t="s">
        <v>2071</v>
      </c>
      <c r="L929" s="2" t="s">
        <v>4033</v>
      </c>
      <c r="M929">
        <v>-358.23</v>
      </c>
      <c r="N929" s="2" t="s">
        <v>4044</v>
      </c>
      <c r="O929">
        <v>56</v>
      </c>
      <c r="P929">
        <v>-20060.88</v>
      </c>
      <c r="Q929" t="b">
        <v>1</v>
      </c>
      <c r="R929" t="b">
        <v>0</v>
      </c>
      <c r="S929" t="b">
        <v>0</v>
      </c>
      <c r="T929" t="b">
        <v>0</v>
      </c>
      <c r="U929">
        <v>1</v>
      </c>
      <c r="V929" t="s">
        <v>4073</v>
      </c>
    </row>
    <row r="930" spans="1:22" hidden="1" x14ac:dyDescent="0.45">
      <c r="A930" s="2" t="s">
        <v>628</v>
      </c>
      <c r="B930" s="11">
        <v>45838</v>
      </c>
      <c r="C930" s="2" t="s">
        <v>2014</v>
      </c>
      <c r="D930" s="2" t="s">
        <v>2019</v>
      </c>
      <c r="E930">
        <v>0</v>
      </c>
      <c r="F930">
        <v>0</v>
      </c>
      <c r="G930">
        <v>2665.08</v>
      </c>
      <c r="H930">
        <v>162569.88</v>
      </c>
      <c r="I930" s="2" t="s">
        <v>2024</v>
      </c>
      <c r="J930" s="2" t="s">
        <v>2026</v>
      </c>
      <c r="K930" s="2" t="s">
        <v>2649</v>
      </c>
      <c r="L930" s="2" t="s">
        <v>4035</v>
      </c>
      <c r="M930">
        <v>2665.08</v>
      </c>
      <c r="N930" s="2" t="s">
        <v>4042</v>
      </c>
      <c r="O930">
        <v>61</v>
      </c>
      <c r="P930">
        <v>162569.88</v>
      </c>
      <c r="Q930" t="b">
        <v>0</v>
      </c>
      <c r="R930" t="b">
        <v>1</v>
      </c>
      <c r="S930" t="b">
        <v>0</v>
      </c>
      <c r="T930" t="b">
        <v>0</v>
      </c>
      <c r="U930">
        <v>1</v>
      </c>
      <c r="V930" t="s">
        <v>4073</v>
      </c>
    </row>
    <row r="931" spans="1:22" hidden="1" x14ac:dyDescent="0.45">
      <c r="A931" s="2" t="s">
        <v>1684</v>
      </c>
      <c r="B931" s="11">
        <v>45570</v>
      </c>
      <c r="C931" s="2" t="s">
        <v>2010</v>
      </c>
      <c r="D931" s="2" t="s">
        <v>2015</v>
      </c>
      <c r="E931">
        <v>0</v>
      </c>
      <c r="F931">
        <v>0</v>
      </c>
      <c r="G931">
        <v>1661.02</v>
      </c>
      <c r="H931">
        <v>146169.76</v>
      </c>
      <c r="I931" s="2" t="s">
        <v>2024</v>
      </c>
      <c r="J931" s="2" t="s">
        <v>2028</v>
      </c>
      <c r="K931" s="2" t="s">
        <v>3705</v>
      </c>
      <c r="L931" s="2" t="s">
        <v>4032</v>
      </c>
      <c r="M931">
        <v>1661.02</v>
      </c>
      <c r="N931" s="2" t="s">
        <v>4042</v>
      </c>
      <c r="O931">
        <v>88</v>
      </c>
      <c r="P931">
        <v>146169.76</v>
      </c>
      <c r="Q931" t="b">
        <v>1</v>
      </c>
      <c r="R931" t="b">
        <v>0</v>
      </c>
      <c r="S931" t="b">
        <v>0</v>
      </c>
      <c r="T931" t="b">
        <v>0</v>
      </c>
      <c r="U931">
        <v>1</v>
      </c>
      <c r="V931" t="s">
        <v>4073</v>
      </c>
    </row>
    <row r="932" spans="1:22" hidden="1" x14ac:dyDescent="0.45">
      <c r="A932" s="2" t="s">
        <v>304</v>
      </c>
      <c r="B932" s="11">
        <v>45679</v>
      </c>
      <c r="C932" s="2" t="s">
        <v>2010</v>
      </c>
      <c r="D932" s="2" t="s">
        <v>2015</v>
      </c>
      <c r="E932">
        <v>0</v>
      </c>
      <c r="F932">
        <v>0</v>
      </c>
      <c r="G932">
        <v>4378.1899999999996</v>
      </c>
      <c r="H932">
        <v>385280.72</v>
      </c>
      <c r="I932" s="2" t="s">
        <v>2023</v>
      </c>
      <c r="J932" s="2" t="s">
        <v>2028</v>
      </c>
      <c r="K932" s="2" t="s">
        <v>2325</v>
      </c>
      <c r="L932" s="2" t="s">
        <v>4032</v>
      </c>
      <c r="M932">
        <v>4378.1899999999996</v>
      </c>
      <c r="N932" s="2" t="s">
        <v>4042</v>
      </c>
      <c r="O932">
        <v>88</v>
      </c>
      <c r="P932">
        <v>385280.72</v>
      </c>
      <c r="Q932" t="b">
        <v>0</v>
      </c>
      <c r="R932" t="b">
        <v>0</v>
      </c>
      <c r="S932" t="b">
        <v>0</v>
      </c>
      <c r="T932" t="b">
        <v>1</v>
      </c>
      <c r="U932">
        <v>1</v>
      </c>
      <c r="V932" t="s">
        <v>4073</v>
      </c>
    </row>
    <row r="933" spans="1:22" hidden="1" x14ac:dyDescent="0.45">
      <c r="A933" s="2" t="s">
        <v>273</v>
      </c>
      <c r="B933" s="11">
        <v>45300</v>
      </c>
      <c r="C933" s="2" t="s">
        <v>2010</v>
      </c>
      <c r="D933" s="2" t="s">
        <v>2015</v>
      </c>
      <c r="E933">
        <v>0</v>
      </c>
      <c r="F933">
        <v>0</v>
      </c>
      <c r="G933">
        <v>4354.13</v>
      </c>
      <c r="H933">
        <v>383163.44</v>
      </c>
      <c r="I933" s="2" t="s">
        <v>2023</v>
      </c>
      <c r="J933" s="2" t="s">
        <v>2028</v>
      </c>
      <c r="K933" s="2" t="s">
        <v>2294</v>
      </c>
      <c r="L933" s="2" t="s">
        <v>4032</v>
      </c>
      <c r="M933">
        <v>4354.13</v>
      </c>
      <c r="N933" s="2" t="s">
        <v>4042</v>
      </c>
      <c r="O933">
        <v>88</v>
      </c>
      <c r="P933">
        <v>383163.44</v>
      </c>
      <c r="Q933" t="b">
        <v>0</v>
      </c>
      <c r="R933" t="b">
        <v>0</v>
      </c>
      <c r="S933" t="b">
        <v>0</v>
      </c>
      <c r="T933" t="b">
        <v>1</v>
      </c>
      <c r="U933">
        <v>1</v>
      </c>
      <c r="V933" t="s">
        <v>4073</v>
      </c>
    </row>
    <row r="934" spans="1:22" hidden="1" x14ac:dyDescent="0.45">
      <c r="A934" s="2" t="s">
        <v>1762</v>
      </c>
      <c r="B934" s="11">
        <v>45721</v>
      </c>
      <c r="C934" s="2" t="s">
        <v>2010</v>
      </c>
      <c r="D934" s="2" t="s">
        <v>2015</v>
      </c>
      <c r="E934">
        <v>0</v>
      </c>
      <c r="F934">
        <v>0</v>
      </c>
      <c r="G934">
        <v>3719.23</v>
      </c>
      <c r="H934">
        <v>383080.69</v>
      </c>
      <c r="I934" s="2" t="s">
        <v>2022</v>
      </c>
      <c r="J934" s="2" t="s">
        <v>2030</v>
      </c>
      <c r="K934" s="2" t="s">
        <v>3783</v>
      </c>
      <c r="L934" s="2" t="s">
        <v>4031</v>
      </c>
      <c r="M934">
        <v>3719.23</v>
      </c>
      <c r="N934" s="2" t="s">
        <v>4042</v>
      </c>
      <c r="O934">
        <v>103</v>
      </c>
      <c r="P934">
        <v>383080.69</v>
      </c>
      <c r="Q934" t="b">
        <v>0</v>
      </c>
      <c r="R934" t="b">
        <v>0</v>
      </c>
      <c r="S934" t="b">
        <v>0</v>
      </c>
      <c r="T934" t="b">
        <v>1</v>
      </c>
      <c r="U934">
        <v>1</v>
      </c>
      <c r="V934" t="s">
        <v>4073</v>
      </c>
    </row>
    <row r="935" spans="1:22" hidden="1" x14ac:dyDescent="0.45">
      <c r="A935" s="2" t="s">
        <v>1059</v>
      </c>
      <c r="B935" s="11">
        <v>45508</v>
      </c>
      <c r="C935" s="2" t="s">
        <v>2013</v>
      </c>
      <c r="D935" s="2" t="s">
        <v>2018</v>
      </c>
      <c r="E935">
        <v>1888.6</v>
      </c>
      <c r="F935">
        <v>166196.79999999999</v>
      </c>
      <c r="G935">
        <v>0</v>
      </c>
      <c r="H935">
        <v>0</v>
      </c>
      <c r="I935" s="2" t="s">
        <v>2024</v>
      </c>
      <c r="J935" s="2" t="s">
        <v>2029</v>
      </c>
      <c r="K935" s="2" t="s">
        <v>3080</v>
      </c>
      <c r="L935" s="2" t="s">
        <v>4032</v>
      </c>
      <c r="M935">
        <v>-1888.6</v>
      </c>
      <c r="N935" s="2" t="s">
        <v>4044</v>
      </c>
      <c r="O935">
        <v>88</v>
      </c>
      <c r="P935">
        <v>-166196.79999999999</v>
      </c>
      <c r="Q935" t="b">
        <v>1</v>
      </c>
      <c r="R935" t="b">
        <v>0</v>
      </c>
      <c r="S935" t="b">
        <v>0</v>
      </c>
      <c r="T935" t="b">
        <v>0</v>
      </c>
      <c r="U935">
        <v>1</v>
      </c>
      <c r="V935" t="s">
        <v>4073</v>
      </c>
    </row>
    <row r="936" spans="1:22" hidden="1" x14ac:dyDescent="0.45">
      <c r="A936" s="2" t="s">
        <v>1518</v>
      </c>
      <c r="B936" s="11">
        <v>45394</v>
      </c>
      <c r="C936" s="2" t="s">
        <v>2010</v>
      </c>
      <c r="D936" s="2" t="s">
        <v>2015</v>
      </c>
      <c r="E936">
        <v>0</v>
      </c>
      <c r="F936">
        <v>0</v>
      </c>
      <c r="G936">
        <v>3804.94</v>
      </c>
      <c r="H936">
        <v>391908.82</v>
      </c>
      <c r="I936" s="2" t="s">
        <v>2020</v>
      </c>
      <c r="J936" s="2" t="s">
        <v>2030</v>
      </c>
      <c r="K936" s="2" t="s">
        <v>3539</v>
      </c>
      <c r="L936" s="2" t="s">
        <v>4031</v>
      </c>
      <c r="M936">
        <v>3804.94</v>
      </c>
      <c r="N936" s="2" t="s">
        <v>4042</v>
      </c>
      <c r="O936">
        <v>103</v>
      </c>
      <c r="P936">
        <v>391908.82</v>
      </c>
      <c r="Q936" t="b">
        <v>0</v>
      </c>
      <c r="R936" t="b">
        <v>0</v>
      </c>
      <c r="S936" t="b">
        <v>0</v>
      </c>
      <c r="T936" t="b">
        <v>1</v>
      </c>
      <c r="U936">
        <v>1</v>
      </c>
      <c r="V936" t="s">
        <v>4073</v>
      </c>
    </row>
    <row r="937" spans="1:22" hidden="1" x14ac:dyDescent="0.45">
      <c r="A937" s="2" t="s">
        <v>1682</v>
      </c>
      <c r="B937" s="11">
        <v>45169</v>
      </c>
      <c r="C937" s="2" t="s">
        <v>2012</v>
      </c>
      <c r="D937" s="2" t="s">
        <v>2017</v>
      </c>
      <c r="E937">
        <v>423.96</v>
      </c>
      <c r="F937">
        <v>25861.559999999998</v>
      </c>
      <c r="G937">
        <v>0</v>
      </c>
      <c r="H937">
        <v>0</v>
      </c>
      <c r="I937" s="2" t="s">
        <v>2021</v>
      </c>
      <c r="J937" s="2" t="s">
        <v>2029</v>
      </c>
      <c r="K937" s="2" t="s">
        <v>3703</v>
      </c>
      <c r="L937" s="2" t="s">
        <v>4035</v>
      </c>
      <c r="M937">
        <v>-423.96</v>
      </c>
      <c r="N937" s="2" t="s">
        <v>4044</v>
      </c>
      <c r="O937">
        <v>61</v>
      </c>
      <c r="P937">
        <v>-25861.559999999998</v>
      </c>
      <c r="Q937" t="b">
        <v>0</v>
      </c>
      <c r="R937" t="b">
        <v>1</v>
      </c>
      <c r="S937" t="b">
        <v>0</v>
      </c>
      <c r="T937" t="b">
        <v>0</v>
      </c>
      <c r="U937">
        <v>1</v>
      </c>
      <c r="V937" t="s">
        <v>4073</v>
      </c>
    </row>
    <row r="938" spans="1:22" hidden="1" x14ac:dyDescent="0.45">
      <c r="A938" s="2" t="s">
        <v>528</v>
      </c>
      <c r="B938" s="11">
        <v>45279</v>
      </c>
      <c r="C938" s="2" t="s">
        <v>2014</v>
      </c>
      <c r="D938" s="2" t="s">
        <v>2019</v>
      </c>
      <c r="E938">
        <v>0</v>
      </c>
      <c r="F938">
        <v>0</v>
      </c>
      <c r="G938">
        <v>4808.83</v>
      </c>
      <c r="H938">
        <v>394324.06</v>
      </c>
      <c r="I938" s="2" t="s">
        <v>2025</v>
      </c>
      <c r="J938" s="2" t="s">
        <v>2030</v>
      </c>
      <c r="K938" s="2" t="s">
        <v>2549</v>
      </c>
      <c r="L938" s="2" t="s">
        <v>4034</v>
      </c>
      <c r="M938">
        <v>4808.83</v>
      </c>
      <c r="N938" s="2" t="s">
        <v>4042</v>
      </c>
      <c r="O938">
        <v>82</v>
      </c>
      <c r="P938">
        <v>394324.06</v>
      </c>
      <c r="Q938" t="b">
        <v>0</v>
      </c>
      <c r="R938" t="b">
        <v>0</v>
      </c>
      <c r="S938" t="b">
        <v>0</v>
      </c>
      <c r="T938" t="b">
        <v>1</v>
      </c>
      <c r="U938">
        <v>1</v>
      </c>
      <c r="V938" t="s">
        <v>4073</v>
      </c>
    </row>
    <row r="939" spans="1:22" hidden="1" x14ac:dyDescent="0.45">
      <c r="A939" s="2" t="s">
        <v>1286</v>
      </c>
      <c r="B939" s="11">
        <v>45031</v>
      </c>
      <c r="C939" s="2" t="s">
        <v>2013</v>
      </c>
      <c r="D939" s="2" t="s">
        <v>2018</v>
      </c>
      <c r="E939">
        <v>233.68</v>
      </c>
      <c r="F939">
        <v>20563.84</v>
      </c>
      <c r="G939">
        <v>0</v>
      </c>
      <c r="H939">
        <v>0</v>
      </c>
      <c r="I939" s="2" t="s">
        <v>2025</v>
      </c>
      <c r="J939" s="2" t="s">
        <v>2028</v>
      </c>
      <c r="K939" s="2" t="s">
        <v>3307</v>
      </c>
      <c r="L939" s="2" t="s">
        <v>4032</v>
      </c>
      <c r="M939">
        <v>-233.68</v>
      </c>
      <c r="N939" s="2" t="s">
        <v>4044</v>
      </c>
      <c r="O939">
        <v>88</v>
      </c>
      <c r="P939">
        <v>-20563.84</v>
      </c>
      <c r="Q939" t="b">
        <v>1</v>
      </c>
      <c r="R939" t="b">
        <v>0</v>
      </c>
      <c r="S939" t="b">
        <v>0</v>
      </c>
      <c r="T939" t="b">
        <v>0</v>
      </c>
      <c r="U939">
        <v>1</v>
      </c>
      <c r="V939" t="s">
        <v>4073</v>
      </c>
    </row>
    <row r="940" spans="1:22" hidden="1" x14ac:dyDescent="0.45">
      <c r="A940" s="2" t="s">
        <v>1662</v>
      </c>
      <c r="B940" s="11">
        <v>45493</v>
      </c>
      <c r="C940" s="2" t="s">
        <v>2013</v>
      </c>
      <c r="D940" s="2" t="s">
        <v>2018</v>
      </c>
      <c r="E940">
        <v>1657.22</v>
      </c>
      <c r="F940">
        <v>145835.36000000002</v>
      </c>
      <c r="G940">
        <v>0</v>
      </c>
      <c r="H940">
        <v>0</v>
      </c>
      <c r="I940" s="2" t="s">
        <v>2022</v>
      </c>
      <c r="J940" s="2" t="s">
        <v>2026</v>
      </c>
      <c r="K940" s="2" t="s">
        <v>3683</v>
      </c>
      <c r="L940" s="2" t="s">
        <v>4032</v>
      </c>
      <c r="M940">
        <v>-1657.22</v>
      </c>
      <c r="N940" s="2" t="s">
        <v>4044</v>
      </c>
      <c r="O940">
        <v>88</v>
      </c>
      <c r="P940">
        <v>-145835.36000000002</v>
      </c>
      <c r="Q940" t="b">
        <v>1</v>
      </c>
      <c r="R940" t="b">
        <v>0</v>
      </c>
      <c r="S940" t="b">
        <v>0</v>
      </c>
      <c r="T940" t="b">
        <v>0</v>
      </c>
      <c r="U940">
        <v>1</v>
      </c>
      <c r="V940" t="s">
        <v>4073</v>
      </c>
    </row>
    <row r="941" spans="1:22" hidden="1" x14ac:dyDescent="0.45">
      <c r="A941" s="2" t="s">
        <v>1142</v>
      </c>
      <c r="B941" s="11">
        <v>45544</v>
      </c>
      <c r="C941" s="2" t="s">
        <v>2010</v>
      </c>
      <c r="D941" s="2" t="s">
        <v>2015</v>
      </c>
      <c r="E941">
        <v>0</v>
      </c>
      <c r="F941">
        <v>0</v>
      </c>
      <c r="G941">
        <v>4439.8900000000003</v>
      </c>
      <c r="H941">
        <v>390710.32</v>
      </c>
      <c r="I941" s="2" t="s">
        <v>2020</v>
      </c>
      <c r="J941" s="2" t="s">
        <v>2028</v>
      </c>
      <c r="K941" s="2" t="s">
        <v>3163</v>
      </c>
      <c r="L941" s="2" t="s">
        <v>4032</v>
      </c>
      <c r="M941">
        <v>4439.8900000000003</v>
      </c>
      <c r="N941" s="2" t="s">
        <v>4042</v>
      </c>
      <c r="O941">
        <v>88</v>
      </c>
      <c r="P941">
        <v>390710.32</v>
      </c>
      <c r="Q941" t="b">
        <v>0</v>
      </c>
      <c r="R941" t="b">
        <v>0</v>
      </c>
      <c r="S941" t="b">
        <v>0</v>
      </c>
      <c r="T941" t="b">
        <v>1</v>
      </c>
      <c r="U941">
        <v>1</v>
      </c>
      <c r="V941" t="s">
        <v>4073</v>
      </c>
    </row>
    <row r="942" spans="1:22" hidden="1" x14ac:dyDescent="0.45">
      <c r="A942" s="2" t="s">
        <v>785</v>
      </c>
      <c r="B942" s="11">
        <v>45400</v>
      </c>
      <c r="C942" s="2" t="s">
        <v>2014</v>
      </c>
      <c r="D942" s="2" t="s">
        <v>2019</v>
      </c>
      <c r="E942">
        <v>0</v>
      </c>
      <c r="F942">
        <v>0</v>
      </c>
      <c r="G942">
        <v>4324.54</v>
      </c>
      <c r="H942">
        <v>380559.52</v>
      </c>
      <c r="I942" s="2" t="s">
        <v>2022</v>
      </c>
      <c r="J942" s="2" t="s">
        <v>2026</v>
      </c>
      <c r="K942" s="2" t="s">
        <v>2806</v>
      </c>
      <c r="L942" s="2" t="s">
        <v>4032</v>
      </c>
      <c r="M942">
        <v>4324.54</v>
      </c>
      <c r="N942" s="2" t="s">
        <v>4042</v>
      </c>
      <c r="O942">
        <v>88</v>
      </c>
      <c r="P942">
        <v>380559.52</v>
      </c>
      <c r="Q942" t="b">
        <v>0</v>
      </c>
      <c r="R942" t="b">
        <v>0</v>
      </c>
      <c r="S942" t="b">
        <v>0</v>
      </c>
      <c r="T942" t="b">
        <v>1</v>
      </c>
      <c r="U942">
        <v>1</v>
      </c>
      <c r="V942" t="s">
        <v>4073</v>
      </c>
    </row>
    <row r="943" spans="1:22" hidden="1" x14ac:dyDescent="0.45">
      <c r="A943" s="2" t="s">
        <v>1278</v>
      </c>
      <c r="B943" s="11">
        <v>45813</v>
      </c>
      <c r="C943" s="2" t="s">
        <v>2010</v>
      </c>
      <c r="D943" s="2" t="s">
        <v>2015</v>
      </c>
      <c r="E943">
        <v>0</v>
      </c>
      <c r="F943">
        <v>0</v>
      </c>
      <c r="G943">
        <v>3830.15</v>
      </c>
      <c r="H943">
        <v>394505.45</v>
      </c>
      <c r="I943" s="2" t="s">
        <v>2020</v>
      </c>
      <c r="J943" s="2" t="s">
        <v>2027</v>
      </c>
      <c r="K943" s="2" t="s">
        <v>3299</v>
      </c>
      <c r="L943" s="2" t="s">
        <v>4031</v>
      </c>
      <c r="M943">
        <v>3830.15</v>
      </c>
      <c r="N943" s="2" t="s">
        <v>4042</v>
      </c>
      <c r="O943">
        <v>103</v>
      </c>
      <c r="P943">
        <v>394505.45</v>
      </c>
      <c r="Q943" t="b">
        <v>0</v>
      </c>
      <c r="R943" t="b">
        <v>0</v>
      </c>
      <c r="S943" t="b">
        <v>0</v>
      </c>
      <c r="T943" t="b">
        <v>1</v>
      </c>
      <c r="U943">
        <v>1</v>
      </c>
      <c r="V943" t="s">
        <v>4073</v>
      </c>
    </row>
    <row r="944" spans="1:22" hidden="1" x14ac:dyDescent="0.45">
      <c r="A944" s="2" t="s">
        <v>778</v>
      </c>
      <c r="B944" s="11">
        <v>45720</v>
      </c>
      <c r="C944" s="2" t="s">
        <v>2010</v>
      </c>
      <c r="D944" s="2" t="s">
        <v>2015</v>
      </c>
      <c r="E944">
        <v>0</v>
      </c>
      <c r="F944">
        <v>0</v>
      </c>
      <c r="G944">
        <v>4262.2299999999996</v>
      </c>
      <c r="H944">
        <v>375076.24</v>
      </c>
      <c r="I944" s="2" t="s">
        <v>2025</v>
      </c>
      <c r="J944" s="2" t="s">
        <v>2027</v>
      </c>
      <c r="K944" s="2" t="s">
        <v>2799</v>
      </c>
      <c r="L944" s="2" t="s">
        <v>4032</v>
      </c>
      <c r="M944">
        <v>4262.2299999999996</v>
      </c>
      <c r="N944" s="2" t="s">
        <v>4042</v>
      </c>
      <c r="O944">
        <v>88</v>
      </c>
      <c r="P944">
        <v>375076.24</v>
      </c>
      <c r="Q944" t="b">
        <v>0</v>
      </c>
      <c r="R944" t="b">
        <v>0</v>
      </c>
      <c r="S944" t="b">
        <v>0</v>
      </c>
      <c r="T944" t="b">
        <v>1</v>
      </c>
      <c r="U944">
        <v>1</v>
      </c>
      <c r="V944" t="s">
        <v>4073</v>
      </c>
    </row>
    <row r="945" spans="1:22" hidden="1" x14ac:dyDescent="0.45">
      <c r="A945" s="2" t="s">
        <v>343</v>
      </c>
      <c r="B945" s="11">
        <v>45196</v>
      </c>
      <c r="C945" s="2" t="s">
        <v>2010</v>
      </c>
      <c r="D945" s="2" t="s">
        <v>2015</v>
      </c>
      <c r="E945">
        <v>0</v>
      </c>
      <c r="F945">
        <v>0</v>
      </c>
      <c r="G945">
        <v>312.52</v>
      </c>
      <c r="H945">
        <v>25626.639999999999</v>
      </c>
      <c r="I945" s="2" t="s">
        <v>2020</v>
      </c>
      <c r="J945" s="2" t="s">
        <v>2028</v>
      </c>
      <c r="K945" s="2" t="s">
        <v>2364</v>
      </c>
      <c r="L945" s="2" t="s">
        <v>4034</v>
      </c>
      <c r="M945">
        <v>312.52</v>
      </c>
      <c r="N945" s="2" t="s">
        <v>4042</v>
      </c>
      <c r="O945">
        <v>82</v>
      </c>
      <c r="P945">
        <v>25626.639999999999</v>
      </c>
      <c r="Q945" t="b">
        <v>0</v>
      </c>
      <c r="R945" t="b">
        <v>1</v>
      </c>
      <c r="S945" t="b">
        <v>0</v>
      </c>
      <c r="T945" t="b">
        <v>0</v>
      </c>
      <c r="U945">
        <v>1</v>
      </c>
      <c r="V945" t="s">
        <v>4073</v>
      </c>
    </row>
    <row r="946" spans="1:22" hidden="1" x14ac:dyDescent="0.45">
      <c r="A946" s="2" t="s">
        <v>950</v>
      </c>
      <c r="B946" s="11">
        <v>45248</v>
      </c>
      <c r="C946" s="2" t="s">
        <v>2010</v>
      </c>
      <c r="D946" s="2" t="s">
        <v>2015</v>
      </c>
      <c r="E946">
        <v>0</v>
      </c>
      <c r="F946">
        <v>0</v>
      </c>
      <c r="G946">
        <v>2941.46</v>
      </c>
      <c r="H946">
        <v>164721.76</v>
      </c>
      <c r="I946" s="2" t="s">
        <v>2021</v>
      </c>
      <c r="J946" s="2" t="s">
        <v>2030</v>
      </c>
      <c r="K946" s="2" t="s">
        <v>2971</v>
      </c>
      <c r="L946" s="2" t="s">
        <v>4033</v>
      </c>
      <c r="M946">
        <v>2941.46</v>
      </c>
      <c r="N946" s="2" t="s">
        <v>4042</v>
      </c>
      <c r="O946">
        <v>56</v>
      </c>
      <c r="P946">
        <v>164721.76</v>
      </c>
      <c r="Q946" t="b">
        <v>1</v>
      </c>
      <c r="R946" t="b">
        <v>0</v>
      </c>
      <c r="S946" t="b">
        <v>0</v>
      </c>
      <c r="T946" t="b">
        <v>0</v>
      </c>
      <c r="U946">
        <v>1</v>
      </c>
      <c r="V946" t="s">
        <v>4073</v>
      </c>
    </row>
    <row r="947" spans="1:22" hidden="1" x14ac:dyDescent="0.45">
      <c r="A947" s="2" t="s">
        <v>1727</v>
      </c>
      <c r="B947" s="11">
        <v>45192</v>
      </c>
      <c r="C947" s="2" t="s">
        <v>2014</v>
      </c>
      <c r="D947" s="2" t="s">
        <v>2019</v>
      </c>
      <c r="E947">
        <v>0</v>
      </c>
      <c r="F947">
        <v>0</v>
      </c>
      <c r="G947">
        <v>2005.29</v>
      </c>
      <c r="H947">
        <v>164433.78</v>
      </c>
      <c r="I947" s="2" t="s">
        <v>2024</v>
      </c>
      <c r="J947" s="2" t="s">
        <v>2027</v>
      </c>
      <c r="K947" s="2" t="s">
        <v>3748</v>
      </c>
      <c r="L947" s="2" t="s">
        <v>4034</v>
      </c>
      <c r="M947">
        <v>2005.29</v>
      </c>
      <c r="N947" s="2" t="s">
        <v>4042</v>
      </c>
      <c r="O947">
        <v>82</v>
      </c>
      <c r="P947">
        <v>164433.78</v>
      </c>
      <c r="Q947" t="b">
        <v>1</v>
      </c>
      <c r="R947" t="b">
        <v>0</v>
      </c>
      <c r="S947" t="b">
        <v>0</v>
      </c>
      <c r="T947" t="b">
        <v>0</v>
      </c>
      <c r="U947">
        <v>1</v>
      </c>
      <c r="V947" t="s">
        <v>4073</v>
      </c>
    </row>
    <row r="948" spans="1:22" hidden="1" x14ac:dyDescent="0.45">
      <c r="A948" s="2" t="s">
        <v>249</v>
      </c>
      <c r="B948" s="11">
        <v>45113</v>
      </c>
      <c r="C948" s="2" t="s">
        <v>2010</v>
      </c>
      <c r="D948" s="2" t="s">
        <v>2015</v>
      </c>
      <c r="E948">
        <v>0</v>
      </c>
      <c r="F948">
        <v>0</v>
      </c>
      <c r="G948">
        <v>4864.04</v>
      </c>
      <c r="H948">
        <v>500996.12</v>
      </c>
      <c r="I948" s="2" t="s">
        <v>2021</v>
      </c>
      <c r="J948" s="2" t="s">
        <v>2026</v>
      </c>
      <c r="K948" s="2" t="s">
        <v>2270</v>
      </c>
      <c r="L948" s="2" t="s">
        <v>4031</v>
      </c>
      <c r="M948">
        <v>4864.04</v>
      </c>
      <c r="N948" s="2" t="s">
        <v>4042</v>
      </c>
      <c r="O948">
        <v>103</v>
      </c>
      <c r="P948">
        <v>500996.12</v>
      </c>
      <c r="Q948" t="b">
        <v>0</v>
      </c>
      <c r="R948" t="b">
        <v>0</v>
      </c>
      <c r="S948" t="b">
        <v>0</v>
      </c>
      <c r="T948" t="b">
        <v>1</v>
      </c>
      <c r="U948">
        <v>1</v>
      </c>
      <c r="V948" t="s">
        <v>4073</v>
      </c>
    </row>
    <row r="949" spans="1:22" hidden="1" x14ac:dyDescent="0.45">
      <c r="A949" s="2" t="s">
        <v>1268</v>
      </c>
      <c r="B949" s="11">
        <v>45781</v>
      </c>
      <c r="C949" s="2" t="s">
        <v>2010</v>
      </c>
      <c r="D949" s="2" t="s">
        <v>2015</v>
      </c>
      <c r="E949">
        <v>0</v>
      </c>
      <c r="F949">
        <v>0</v>
      </c>
      <c r="G949">
        <v>2967.52</v>
      </c>
      <c r="H949">
        <v>166181.12</v>
      </c>
      <c r="I949" s="2" t="s">
        <v>2020</v>
      </c>
      <c r="J949" s="2" t="s">
        <v>2029</v>
      </c>
      <c r="K949" s="2" t="s">
        <v>3289</v>
      </c>
      <c r="L949" s="2" t="s">
        <v>4033</v>
      </c>
      <c r="M949">
        <v>2967.52</v>
      </c>
      <c r="N949" s="2" t="s">
        <v>4042</v>
      </c>
      <c r="O949">
        <v>56</v>
      </c>
      <c r="P949">
        <v>166181.12</v>
      </c>
      <c r="Q949" t="b">
        <v>1</v>
      </c>
      <c r="R949" t="b">
        <v>0</v>
      </c>
      <c r="S949" t="b">
        <v>0</v>
      </c>
      <c r="T949" t="b">
        <v>0</v>
      </c>
      <c r="U949">
        <v>1</v>
      </c>
      <c r="V949" t="s">
        <v>4073</v>
      </c>
    </row>
    <row r="950" spans="1:22" hidden="1" x14ac:dyDescent="0.45">
      <c r="A950" s="2" t="s">
        <v>1450</v>
      </c>
      <c r="B950" s="11">
        <v>45818</v>
      </c>
      <c r="C950" s="2" t="s">
        <v>2014</v>
      </c>
      <c r="D950" s="2" t="s">
        <v>2019</v>
      </c>
      <c r="E950">
        <v>0</v>
      </c>
      <c r="F950">
        <v>0</v>
      </c>
      <c r="G950">
        <v>4553.74</v>
      </c>
      <c r="H950">
        <v>373406.68</v>
      </c>
      <c r="I950" s="2" t="s">
        <v>2022</v>
      </c>
      <c r="J950" s="2" t="s">
        <v>2026</v>
      </c>
      <c r="K950" s="2" t="s">
        <v>3471</v>
      </c>
      <c r="L950" s="2" t="s">
        <v>4034</v>
      </c>
      <c r="M950">
        <v>4553.74</v>
      </c>
      <c r="N950" s="2" t="s">
        <v>4042</v>
      </c>
      <c r="O950">
        <v>82</v>
      </c>
      <c r="P950">
        <v>373406.68</v>
      </c>
      <c r="Q950" t="b">
        <v>0</v>
      </c>
      <c r="R950" t="b">
        <v>0</v>
      </c>
      <c r="S950" t="b">
        <v>0</v>
      </c>
      <c r="T950" t="b">
        <v>1</v>
      </c>
      <c r="U950">
        <v>1</v>
      </c>
      <c r="V950" t="s">
        <v>4073</v>
      </c>
    </row>
    <row r="951" spans="1:22" hidden="1" x14ac:dyDescent="0.45">
      <c r="A951" s="2" t="s">
        <v>1053</v>
      </c>
      <c r="B951" s="11">
        <v>45236</v>
      </c>
      <c r="C951" s="2" t="s">
        <v>2014</v>
      </c>
      <c r="D951" s="2" t="s">
        <v>2019</v>
      </c>
      <c r="E951">
        <v>0</v>
      </c>
      <c r="F951">
        <v>0</v>
      </c>
      <c r="G951">
        <v>3835.49</v>
      </c>
      <c r="H951">
        <v>395055.47</v>
      </c>
      <c r="I951" s="2" t="s">
        <v>2020</v>
      </c>
      <c r="J951" s="2" t="s">
        <v>2027</v>
      </c>
      <c r="K951" s="2" t="s">
        <v>3074</v>
      </c>
      <c r="L951" s="2" t="s">
        <v>4031</v>
      </c>
      <c r="M951">
        <v>3835.49</v>
      </c>
      <c r="N951" s="2" t="s">
        <v>4042</v>
      </c>
      <c r="O951">
        <v>103</v>
      </c>
      <c r="P951">
        <v>395055.47</v>
      </c>
      <c r="Q951" t="b">
        <v>0</v>
      </c>
      <c r="R951" t="b">
        <v>0</v>
      </c>
      <c r="S951" t="b">
        <v>0</v>
      </c>
      <c r="T951" t="b">
        <v>1</v>
      </c>
      <c r="U951">
        <v>1</v>
      </c>
      <c r="V951" t="s">
        <v>4073</v>
      </c>
    </row>
    <row r="952" spans="1:22" hidden="1" x14ac:dyDescent="0.45">
      <c r="A952" s="2" t="s">
        <v>318</v>
      </c>
      <c r="B952" s="11">
        <v>44989</v>
      </c>
      <c r="C952" s="2" t="s">
        <v>2014</v>
      </c>
      <c r="D952" s="2" t="s">
        <v>2019</v>
      </c>
      <c r="E952">
        <v>0</v>
      </c>
      <c r="F952">
        <v>0</v>
      </c>
      <c r="G952">
        <v>2008.6</v>
      </c>
      <c r="H952">
        <v>164705.19999999998</v>
      </c>
      <c r="I952" s="2" t="s">
        <v>2024</v>
      </c>
      <c r="J952" s="2" t="s">
        <v>2028</v>
      </c>
      <c r="K952" s="2" t="s">
        <v>2339</v>
      </c>
      <c r="L952" s="2" t="s">
        <v>4034</v>
      </c>
      <c r="M952">
        <v>2008.6</v>
      </c>
      <c r="N952" s="2" t="s">
        <v>4042</v>
      </c>
      <c r="O952">
        <v>82</v>
      </c>
      <c r="P952">
        <v>164705.19999999998</v>
      </c>
      <c r="Q952" t="b">
        <v>1</v>
      </c>
      <c r="R952" t="b">
        <v>0</v>
      </c>
      <c r="S952" t="b">
        <v>0</v>
      </c>
      <c r="T952" t="b">
        <v>0</v>
      </c>
      <c r="U952">
        <v>1</v>
      </c>
      <c r="V952" t="s">
        <v>4073</v>
      </c>
    </row>
    <row r="953" spans="1:22" hidden="1" x14ac:dyDescent="0.45">
      <c r="A953" s="2" t="s">
        <v>543</v>
      </c>
      <c r="B953" s="11">
        <v>45662</v>
      </c>
      <c r="C953" s="2" t="s">
        <v>2010</v>
      </c>
      <c r="D953" s="2" t="s">
        <v>2015</v>
      </c>
      <c r="E953">
        <v>0</v>
      </c>
      <c r="F953">
        <v>0</v>
      </c>
      <c r="G953">
        <v>1831.2</v>
      </c>
      <c r="H953">
        <v>161145.60000000001</v>
      </c>
      <c r="I953" s="2" t="s">
        <v>2023</v>
      </c>
      <c r="J953" s="2" t="s">
        <v>2030</v>
      </c>
      <c r="K953" s="2" t="s">
        <v>2564</v>
      </c>
      <c r="L953" s="2" t="s">
        <v>4032</v>
      </c>
      <c r="M953">
        <v>1831.2</v>
      </c>
      <c r="N953" s="2" t="s">
        <v>4042</v>
      </c>
      <c r="O953">
        <v>88</v>
      </c>
      <c r="P953">
        <v>161145.60000000001</v>
      </c>
      <c r="Q953" t="b">
        <v>1</v>
      </c>
      <c r="R953" t="b">
        <v>0</v>
      </c>
      <c r="S953" t="b">
        <v>0</v>
      </c>
      <c r="T953" t="b">
        <v>0</v>
      </c>
      <c r="U953">
        <v>1</v>
      </c>
      <c r="V953" t="s">
        <v>4073</v>
      </c>
    </row>
    <row r="954" spans="1:22" hidden="1" x14ac:dyDescent="0.45">
      <c r="A954" s="2" t="s">
        <v>1612</v>
      </c>
      <c r="B954" s="11">
        <v>45276</v>
      </c>
      <c r="C954" s="2" t="s">
        <v>2010</v>
      </c>
      <c r="D954" s="2" t="s">
        <v>2015</v>
      </c>
      <c r="E954">
        <v>0</v>
      </c>
      <c r="F954">
        <v>0</v>
      </c>
      <c r="G954">
        <v>2694.28</v>
      </c>
      <c r="H954">
        <v>164351.08000000002</v>
      </c>
      <c r="I954" s="2" t="s">
        <v>2022</v>
      </c>
      <c r="J954" s="2" t="s">
        <v>2027</v>
      </c>
      <c r="K954" s="2" t="s">
        <v>3633</v>
      </c>
      <c r="L954" s="2" t="s">
        <v>4035</v>
      </c>
      <c r="M954">
        <v>2694.28</v>
      </c>
      <c r="N954" s="2" t="s">
        <v>4042</v>
      </c>
      <c r="O954">
        <v>61</v>
      </c>
      <c r="P954">
        <v>164351.08000000002</v>
      </c>
      <c r="Q954" t="b">
        <v>1</v>
      </c>
      <c r="R954" t="b">
        <v>0</v>
      </c>
      <c r="S954" t="b">
        <v>0</v>
      </c>
      <c r="T954" t="b">
        <v>0</v>
      </c>
      <c r="U954">
        <v>1</v>
      </c>
      <c r="V954" t="s">
        <v>4073</v>
      </c>
    </row>
    <row r="955" spans="1:22" hidden="1" x14ac:dyDescent="0.45">
      <c r="A955" s="2" t="s">
        <v>191</v>
      </c>
      <c r="B955" s="11">
        <v>44936</v>
      </c>
      <c r="C955" s="2" t="s">
        <v>2013</v>
      </c>
      <c r="D955" s="2" t="s">
        <v>2018</v>
      </c>
      <c r="E955">
        <v>782.32</v>
      </c>
      <c r="F955">
        <v>64150.240000000005</v>
      </c>
      <c r="G955">
        <v>0</v>
      </c>
      <c r="H955">
        <v>0</v>
      </c>
      <c r="I955" s="2" t="s">
        <v>2023</v>
      </c>
      <c r="J955" s="2" t="s">
        <v>2030</v>
      </c>
      <c r="K955" s="2" t="s">
        <v>2212</v>
      </c>
      <c r="L955" s="2" t="s">
        <v>4034</v>
      </c>
      <c r="M955">
        <v>-782.32</v>
      </c>
      <c r="N955" s="2" t="s">
        <v>4044</v>
      </c>
      <c r="O955">
        <v>82</v>
      </c>
      <c r="P955">
        <v>-64150.240000000005</v>
      </c>
      <c r="Q955" t="b">
        <v>0</v>
      </c>
      <c r="R955" t="b">
        <v>0</v>
      </c>
      <c r="S955" t="b">
        <v>0</v>
      </c>
      <c r="T955" t="b">
        <v>0</v>
      </c>
      <c r="U955">
        <v>0</v>
      </c>
      <c r="V955" t="s">
        <v>4073</v>
      </c>
    </row>
    <row r="956" spans="1:22" hidden="1" x14ac:dyDescent="0.45">
      <c r="A956" s="2" t="s">
        <v>1830</v>
      </c>
      <c r="B956" s="11">
        <v>45118</v>
      </c>
      <c r="C956" s="2" t="s">
        <v>2010</v>
      </c>
      <c r="D956" s="2" t="s">
        <v>2015</v>
      </c>
      <c r="E956">
        <v>0</v>
      </c>
      <c r="F956">
        <v>0</v>
      </c>
      <c r="G956">
        <v>737.9</v>
      </c>
      <c r="H956">
        <v>64935.199999999997</v>
      </c>
      <c r="I956" s="2" t="s">
        <v>2025</v>
      </c>
      <c r="J956" s="2" t="s">
        <v>2027</v>
      </c>
      <c r="K956" s="2" t="s">
        <v>3851</v>
      </c>
      <c r="L956" s="2" t="s">
        <v>4032</v>
      </c>
      <c r="M956">
        <v>737.9</v>
      </c>
      <c r="N956" s="2" t="s">
        <v>4042</v>
      </c>
      <c r="O956">
        <v>88</v>
      </c>
      <c r="P956">
        <v>64935.199999999997</v>
      </c>
      <c r="Q956" t="b">
        <v>0</v>
      </c>
      <c r="R956" t="b">
        <v>0</v>
      </c>
      <c r="S956" t="b">
        <v>0</v>
      </c>
      <c r="T956" t="b">
        <v>0</v>
      </c>
      <c r="U956">
        <v>0</v>
      </c>
      <c r="V956" t="s">
        <v>4073</v>
      </c>
    </row>
    <row r="957" spans="1:22" hidden="1" x14ac:dyDescent="0.45">
      <c r="A957" s="2" t="s">
        <v>567</v>
      </c>
      <c r="B957" s="11">
        <v>45327</v>
      </c>
      <c r="C957" s="2" t="s">
        <v>2013</v>
      </c>
      <c r="D957" s="2" t="s">
        <v>2018</v>
      </c>
      <c r="E957">
        <v>618.39</v>
      </c>
      <c r="F957">
        <v>63694.17</v>
      </c>
      <c r="G957">
        <v>0</v>
      </c>
      <c r="H957">
        <v>0</v>
      </c>
      <c r="I957" s="2" t="s">
        <v>2021</v>
      </c>
      <c r="J957" s="2" t="s">
        <v>2028</v>
      </c>
      <c r="K957" s="2" t="s">
        <v>2588</v>
      </c>
      <c r="L957" s="2" t="s">
        <v>4031</v>
      </c>
      <c r="M957">
        <v>-618.39</v>
      </c>
      <c r="N957" s="2" t="s">
        <v>4044</v>
      </c>
      <c r="O957">
        <v>103</v>
      </c>
      <c r="P957">
        <v>-63694.17</v>
      </c>
      <c r="Q957" t="b">
        <v>0</v>
      </c>
      <c r="R957" t="b">
        <v>0</v>
      </c>
      <c r="S957" t="b">
        <v>0</v>
      </c>
      <c r="T957" t="b">
        <v>0</v>
      </c>
      <c r="U957">
        <v>0</v>
      </c>
      <c r="V957" t="s">
        <v>4073</v>
      </c>
    </row>
    <row r="958" spans="1:22" hidden="1" x14ac:dyDescent="0.45">
      <c r="A958" s="2" t="s">
        <v>755</v>
      </c>
      <c r="B958" s="11">
        <v>44988</v>
      </c>
      <c r="C958" s="2" t="s">
        <v>2011</v>
      </c>
      <c r="D958" s="2" t="s">
        <v>2016</v>
      </c>
      <c r="E958">
        <v>937.56</v>
      </c>
      <c r="F958">
        <v>52503.360000000001</v>
      </c>
      <c r="G958">
        <v>0</v>
      </c>
      <c r="H958">
        <v>0</v>
      </c>
      <c r="I958" s="2" t="s">
        <v>2020</v>
      </c>
      <c r="J958" s="2" t="s">
        <v>2030</v>
      </c>
      <c r="K958" s="2" t="s">
        <v>2776</v>
      </c>
      <c r="L958" s="2" t="s">
        <v>4033</v>
      </c>
      <c r="M958">
        <v>-937.56</v>
      </c>
      <c r="N958" s="2" t="s">
        <v>2016</v>
      </c>
      <c r="O958">
        <v>56</v>
      </c>
      <c r="P958">
        <v>-52503.360000000001</v>
      </c>
      <c r="Q958" t="b">
        <v>0</v>
      </c>
      <c r="R958" t="b">
        <v>0</v>
      </c>
      <c r="S958" t="b">
        <v>0</v>
      </c>
      <c r="T958" t="b">
        <v>0</v>
      </c>
      <c r="U958">
        <v>0</v>
      </c>
      <c r="V958" t="s">
        <v>4073</v>
      </c>
    </row>
    <row r="959" spans="1:22" hidden="1" x14ac:dyDescent="0.45">
      <c r="A959" s="2" t="s">
        <v>1674</v>
      </c>
      <c r="B959" s="11">
        <v>45062</v>
      </c>
      <c r="C959" s="2" t="s">
        <v>2012</v>
      </c>
      <c r="D959" s="2" t="s">
        <v>2017</v>
      </c>
      <c r="E959">
        <v>1149.3599999999999</v>
      </c>
      <c r="F959">
        <v>64364.159999999996</v>
      </c>
      <c r="G959">
        <v>0</v>
      </c>
      <c r="H959">
        <v>0</v>
      </c>
      <c r="I959" s="2" t="s">
        <v>2023</v>
      </c>
      <c r="J959" s="2" t="s">
        <v>2028</v>
      </c>
      <c r="K959" s="2" t="s">
        <v>3695</v>
      </c>
      <c r="L959" s="2" t="s">
        <v>4033</v>
      </c>
      <c r="M959">
        <v>-1149.3599999999999</v>
      </c>
      <c r="N959" s="2" t="s">
        <v>4044</v>
      </c>
      <c r="O959">
        <v>56</v>
      </c>
      <c r="P959">
        <v>-64364.159999999996</v>
      </c>
      <c r="Q959" t="b">
        <v>0</v>
      </c>
      <c r="R959" t="b">
        <v>0</v>
      </c>
      <c r="S959" t="b">
        <v>0</v>
      </c>
      <c r="T959" t="b">
        <v>0</v>
      </c>
      <c r="U959">
        <v>0</v>
      </c>
      <c r="V959" t="s">
        <v>4073</v>
      </c>
    </row>
    <row r="960" spans="1:22" hidden="1" x14ac:dyDescent="0.45">
      <c r="A960" s="2" t="s">
        <v>219</v>
      </c>
      <c r="B960" s="11">
        <v>45182</v>
      </c>
      <c r="C960" s="2" t="s">
        <v>2011</v>
      </c>
      <c r="D960" s="2" t="s">
        <v>2016</v>
      </c>
      <c r="E960">
        <v>1138.92</v>
      </c>
      <c r="F960">
        <v>63779.520000000004</v>
      </c>
      <c r="G960">
        <v>0</v>
      </c>
      <c r="H960">
        <v>0</v>
      </c>
      <c r="I960" s="2" t="s">
        <v>2021</v>
      </c>
      <c r="J960" s="2" t="s">
        <v>2030</v>
      </c>
      <c r="K960" s="2" t="s">
        <v>2240</v>
      </c>
      <c r="L960" s="2" t="s">
        <v>4033</v>
      </c>
      <c r="M960">
        <v>-1138.92</v>
      </c>
      <c r="N960" s="2" t="s">
        <v>2016</v>
      </c>
      <c r="O960">
        <v>56</v>
      </c>
      <c r="P960">
        <v>-63779.520000000004</v>
      </c>
      <c r="Q960" t="b">
        <v>0</v>
      </c>
      <c r="R960" t="b">
        <v>0</v>
      </c>
      <c r="S960" t="b">
        <v>0</v>
      </c>
      <c r="T960" t="b">
        <v>0</v>
      </c>
      <c r="U960">
        <v>0</v>
      </c>
      <c r="V960" t="s">
        <v>4073</v>
      </c>
    </row>
    <row r="961" spans="1:22" hidden="1" x14ac:dyDescent="0.45">
      <c r="A961" s="2" t="s">
        <v>158</v>
      </c>
      <c r="B961" s="11">
        <v>45352</v>
      </c>
      <c r="C961" s="2" t="s">
        <v>2013</v>
      </c>
      <c r="D961" s="2" t="s">
        <v>2018</v>
      </c>
      <c r="E961">
        <v>1139.5</v>
      </c>
      <c r="F961">
        <v>63812</v>
      </c>
      <c r="G961">
        <v>0</v>
      </c>
      <c r="H961">
        <v>0</v>
      </c>
      <c r="I961" s="2" t="s">
        <v>2025</v>
      </c>
      <c r="J961" s="2" t="s">
        <v>2029</v>
      </c>
      <c r="K961" s="2" t="s">
        <v>2179</v>
      </c>
      <c r="L961" s="2" t="s">
        <v>4033</v>
      </c>
      <c r="M961">
        <v>-1139.5</v>
      </c>
      <c r="N961" s="2" t="s">
        <v>4044</v>
      </c>
      <c r="O961">
        <v>56</v>
      </c>
      <c r="P961">
        <v>-63812</v>
      </c>
      <c r="Q961" t="b">
        <v>0</v>
      </c>
      <c r="R961" t="b">
        <v>0</v>
      </c>
      <c r="S961" t="b">
        <v>0</v>
      </c>
      <c r="T961" t="b">
        <v>0</v>
      </c>
      <c r="U961">
        <v>0</v>
      </c>
      <c r="V961" t="s">
        <v>4073</v>
      </c>
    </row>
    <row r="962" spans="1:22" hidden="1" x14ac:dyDescent="0.45">
      <c r="A962" s="2" t="s">
        <v>963</v>
      </c>
      <c r="B962" s="11">
        <v>45098</v>
      </c>
      <c r="C962" s="2" t="s">
        <v>2014</v>
      </c>
      <c r="D962" s="2" t="s">
        <v>2019</v>
      </c>
      <c r="E962">
        <v>0</v>
      </c>
      <c r="F962">
        <v>0</v>
      </c>
      <c r="G962">
        <v>1052.22</v>
      </c>
      <c r="H962">
        <v>64185.42</v>
      </c>
      <c r="I962" s="2" t="s">
        <v>2022</v>
      </c>
      <c r="J962" s="2" t="s">
        <v>2029</v>
      </c>
      <c r="K962" s="2" t="s">
        <v>2984</v>
      </c>
      <c r="L962" s="2" t="s">
        <v>4035</v>
      </c>
      <c r="M962">
        <v>1052.22</v>
      </c>
      <c r="N962" s="2" t="s">
        <v>4042</v>
      </c>
      <c r="O962">
        <v>61</v>
      </c>
      <c r="P962">
        <v>64185.42</v>
      </c>
      <c r="Q962" t="b">
        <v>0</v>
      </c>
      <c r="R962" t="b">
        <v>0</v>
      </c>
      <c r="S962" t="b">
        <v>0</v>
      </c>
      <c r="T962" t="b">
        <v>0</v>
      </c>
      <c r="U962">
        <v>0</v>
      </c>
      <c r="V962" t="s">
        <v>4073</v>
      </c>
    </row>
    <row r="963" spans="1:22" hidden="1" x14ac:dyDescent="0.45">
      <c r="A963" s="2" t="s">
        <v>336</v>
      </c>
      <c r="B963" s="11">
        <v>45243</v>
      </c>
      <c r="C963" s="2" t="s">
        <v>2012</v>
      </c>
      <c r="D963" s="2" t="s">
        <v>2017</v>
      </c>
      <c r="E963">
        <v>870.26</v>
      </c>
      <c r="F963">
        <v>53085.86</v>
      </c>
      <c r="G963">
        <v>0</v>
      </c>
      <c r="H963">
        <v>0</v>
      </c>
      <c r="I963" s="2" t="s">
        <v>2025</v>
      </c>
      <c r="J963" s="2" t="s">
        <v>2028</v>
      </c>
      <c r="K963" s="2" t="s">
        <v>2357</v>
      </c>
      <c r="L963" s="2" t="s">
        <v>4035</v>
      </c>
      <c r="M963">
        <v>-870.26</v>
      </c>
      <c r="N963" s="2" t="s">
        <v>4044</v>
      </c>
      <c r="O963">
        <v>61</v>
      </c>
      <c r="P963">
        <v>-53085.86</v>
      </c>
      <c r="Q963" t="b">
        <v>0</v>
      </c>
      <c r="R963" t="b">
        <v>0</v>
      </c>
      <c r="S963" t="b">
        <v>0</v>
      </c>
      <c r="T963" t="b">
        <v>0</v>
      </c>
      <c r="U963">
        <v>0</v>
      </c>
      <c r="V963" t="s">
        <v>4073</v>
      </c>
    </row>
    <row r="964" spans="1:22" hidden="1" x14ac:dyDescent="0.45">
      <c r="A964" s="2" t="s">
        <v>1971</v>
      </c>
      <c r="B964" s="11">
        <v>45050</v>
      </c>
      <c r="C964" s="2" t="s">
        <v>2012</v>
      </c>
      <c r="D964" s="2" t="s">
        <v>2017</v>
      </c>
      <c r="E964">
        <v>1137.76</v>
      </c>
      <c r="F964">
        <v>63714.559999999998</v>
      </c>
      <c r="G964">
        <v>0</v>
      </c>
      <c r="H964">
        <v>0</v>
      </c>
      <c r="I964" s="2" t="s">
        <v>2021</v>
      </c>
      <c r="J964" s="2" t="s">
        <v>2030</v>
      </c>
      <c r="K964" s="2" t="s">
        <v>3992</v>
      </c>
      <c r="L964" s="2" t="s">
        <v>4033</v>
      </c>
      <c r="M964">
        <v>-1137.76</v>
      </c>
      <c r="N964" s="2" t="s">
        <v>4044</v>
      </c>
      <c r="O964">
        <v>56</v>
      </c>
      <c r="P964">
        <v>-63714.559999999998</v>
      </c>
      <c r="Q964" t="b">
        <v>0</v>
      </c>
      <c r="R964" t="b">
        <v>0</v>
      </c>
      <c r="S964" t="b">
        <v>0</v>
      </c>
      <c r="T964" t="b">
        <v>0</v>
      </c>
      <c r="U964">
        <v>0</v>
      </c>
      <c r="V964" t="s">
        <v>4073</v>
      </c>
    </row>
    <row r="965" spans="1:22" hidden="1" x14ac:dyDescent="0.45">
      <c r="A965" s="2" t="s">
        <v>1704</v>
      </c>
      <c r="B965" s="11">
        <v>45435</v>
      </c>
      <c r="C965" s="2" t="s">
        <v>2014</v>
      </c>
      <c r="D965" s="2" t="s">
        <v>2019</v>
      </c>
      <c r="E965">
        <v>0</v>
      </c>
      <c r="F965">
        <v>0</v>
      </c>
      <c r="G965">
        <v>724.9</v>
      </c>
      <c r="H965">
        <v>63791.199999999997</v>
      </c>
      <c r="I965" s="2" t="s">
        <v>2025</v>
      </c>
      <c r="J965" s="2" t="s">
        <v>2030</v>
      </c>
      <c r="K965" s="2" t="s">
        <v>3725</v>
      </c>
      <c r="L965" s="2" t="s">
        <v>4032</v>
      </c>
      <c r="M965">
        <v>724.9</v>
      </c>
      <c r="N965" s="2" t="s">
        <v>4042</v>
      </c>
      <c r="O965">
        <v>88</v>
      </c>
      <c r="P965">
        <v>63791.199999999997</v>
      </c>
      <c r="Q965" t="b">
        <v>0</v>
      </c>
      <c r="R965" t="b">
        <v>0</v>
      </c>
      <c r="S965" t="b">
        <v>0</v>
      </c>
      <c r="T965" t="b">
        <v>0</v>
      </c>
      <c r="U965">
        <v>0</v>
      </c>
      <c r="V965" t="s">
        <v>4073</v>
      </c>
    </row>
    <row r="966" spans="1:22" hidden="1" x14ac:dyDescent="0.45">
      <c r="A966" s="2" t="s">
        <v>1871</v>
      </c>
      <c r="B966" s="11">
        <v>45022</v>
      </c>
      <c r="C966" s="2" t="s">
        <v>2011</v>
      </c>
      <c r="D966" s="2" t="s">
        <v>2016</v>
      </c>
      <c r="E966">
        <v>585.89</v>
      </c>
      <c r="F966">
        <v>51558.32</v>
      </c>
      <c r="G966">
        <v>0</v>
      </c>
      <c r="H966">
        <v>0</v>
      </c>
      <c r="I966" s="2" t="s">
        <v>2021</v>
      </c>
      <c r="J966" s="2" t="s">
        <v>2027</v>
      </c>
      <c r="K966" s="2" t="s">
        <v>3892</v>
      </c>
      <c r="L966" s="2" t="s">
        <v>4032</v>
      </c>
      <c r="M966">
        <v>-585.89</v>
      </c>
      <c r="N966" s="2" t="s">
        <v>2016</v>
      </c>
      <c r="O966">
        <v>88</v>
      </c>
      <c r="P966">
        <v>-51558.32</v>
      </c>
      <c r="Q966" t="b">
        <v>0</v>
      </c>
      <c r="R966" t="b">
        <v>0</v>
      </c>
      <c r="S966" t="b">
        <v>0</v>
      </c>
      <c r="T966" t="b">
        <v>0</v>
      </c>
      <c r="U966">
        <v>0</v>
      </c>
      <c r="V966" t="s">
        <v>4073</v>
      </c>
    </row>
    <row r="967" spans="1:22" hidden="1" x14ac:dyDescent="0.45">
      <c r="A967" s="2" t="s">
        <v>1991</v>
      </c>
      <c r="B967" s="11">
        <v>44965</v>
      </c>
      <c r="C967" s="2" t="s">
        <v>2014</v>
      </c>
      <c r="D967" s="2" t="s">
        <v>2019</v>
      </c>
      <c r="E967">
        <v>0</v>
      </c>
      <c r="F967">
        <v>0</v>
      </c>
      <c r="G967">
        <v>118.67</v>
      </c>
      <c r="H967">
        <v>7238.87</v>
      </c>
      <c r="I967" s="2" t="s">
        <v>2020</v>
      </c>
      <c r="J967" s="2" t="s">
        <v>2028</v>
      </c>
      <c r="K967" s="2" t="s">
        <v>4012</v>
      </c>
      <c r="L967" s="2" t="s">
        <v>4035</v>
      </c>
      <c r="M967">
        <v>118.67</v>
      </c>
      <c r="N967" s="2" t="s">
        <v>4042</v>
      </c>
      <c r="O967">
        <v>61</v>
      </c>
      <c r="P967">
        <v>7238.87</v>
      </c>
      <c r="Q967" t="b">
        <v>0</v>
      </c>
      <c r="R967" t="b">
        <v>0</v>
      </c>
      <c r="S967" t="b">
        <v>0</v>
      </c>
      <c r="T967" t="b">
        <v>0</v>
      </c>
      <c r="U967">
        <v>0</v>
      </c>
      <c r="V967" t="s">
        <v>4073</v>
      </c>
    </row>
    <row r="968" spans="1:22" hidden="1" x14ac:dyDescent="0.45">
      <c r="A968" s="2" t="s">
        <v>1168</v>
      </c>
      <c r="B968" s="11">
        <v>45541</v>
      </c>
      <c r="C968" s="2" t="s">
        <v>2013</v>
      </c>
      <c r="D968" s="2" t="s">
        <v>2018</v>
      </c>
      <c r="E968">
        <v>727.24</v>
      </c>
      <c r="F968">
        <v>63997.120000000003</v>
      </c>
      <c r="G968">
        <v>0</v>
      </c>
      <c r="H968">
        <v>0</v>
      </c>
      <c r="I968" s="2" t="s">
        <v>2023</v>
      </c>
      <c r="J968" s="2" t="s">
        <v>2030</v>
      </c>
      <c r="K968" s="2" t="s">
        <v>3189</v>
      </c>
      <c r="L968" s="2" t="s">
        <v>4032</v>
      </c>
      <c r="M968">
        <v>-727.24</v>
      </c>
      <c r="N968" s="2" t="s">
        <v>4044</v>
      </c>
      <c r="O968">
        <v>88</v>
      </c>
      <c r="P968">
        <v>-63997.120000000003</v>
      </c>
      <c r="Q968" t="b">
        <v>0</v>
      </c>
      <c r="R968" t="b">
        <v>0</v>
      </c>
      <c r="S968" t="b">
        <v>0</v>
      </c>
      <c r="T968" t="b">
        <v>0</v>
      </c>
      <c r="U968">
        <v>0</v>
      </c>
      <c r="V968" t="s">
        <v>4073</v>
      </c>
    </row>
    <row r="969" spans="1:22" hidden="1" x14ac:dyDescent="0.45">
      <c r="A969" s="2" t="s">
        <v>1854</v>
      </c>
      <c r="B969" s="11">
        <v>45527</v>
      </c>
      <c r="C969" s="2" t="s">
        <v>2013</v>
      </c>
      <c r="D969" s="2" t="s">
        <v>2018</v>
      </c>
      <c r="E969">
        <v>597.86</v>
      </c>
      <c r="F969">
        <v>52611.68</v>
      </c>
      <c r="G969">
        <v>0</v>
      </c>
      <c r="H969">
        <v>0</v>
      </c>
      <c r="I969" s="2" t="s">
        <v>2023</v>
      </c>
      <c r="J969" s="2" t="s">
        <v>2030</v>
      </c>
      <c r="K969" s="2" t="s">
        <v>3875</v>
      </c>
      <c r="L969" s="2" t="s">
        <v>4032</v>
      </c>
      <c r="M969">
        <v>-597.86</v>
      </c>
      <c r="N969" s="2" t="s">
        <v>4044</v>
      </c>
      <c r="O969">
        <v>88</v>
      </c>
      <c r="P969">
        <v>-52611.68</v>
      </c>
      <c r="Q969" t="b">
        <v>0</v>
      </c>
      <c r="R969" t="b">
        <v>0</v>
      </c>
      <c r="S969" t="b">
        <v>0</v>
      </c>
      <c r="T969" t="b">
        <v>0</v>
      </c>
      <c r="U969">
        <v>0</v>
      </c>
      <c r="V969" t="s">
        <v>4073</v>
      </c>
    </row>
    <row r="970" spans="1:22" hidden="1" x14ac:dyDescent="0.45">
      <c r="A970" s="2" t="s">
        <v>1189</v>
      </c>
      <c r="B970" s="11">
        <v>45541</v>
      </c>
      <c r="C970" s="2" t="s">
        <v>2012</v>
      </c>
      <c r="D970" s="2" t="s">
        <v>2017</v>
      </c>
      <c r="E970">
        <v>933.21</v>
      </c>
      <c r="F970">
        <v>52259.76</v>
      </c>
      <c r="G970">
        <v>0</v>
      </c>
      <c r="H970">
        <v>0</v>
      </c>
      <c r="I970" s="2" t="s">
        <v>2022</v>
      </c>
      <c r="J970" s="2" t="s">
        <v>2030</v>
      </c>
      <c r="K970" s="2" t="s">
        <v>3210</v>
      </c>
      <c r="L970" s="2" t="s">
        <v>4033</v>
      </c>
      <c r="M970">
        <v>-933.21</v>
      </c>
      <c r="N970" s="2" t="s">
        <v>4044</v>
      </c>
      <c r="O970">
        <v>56</v>
      </c>
      <c r="P970">
        <v>-52259.76</v>
      </c>
      <c r="Q970" t="b">
        <v>0</v>
      </c>
      <c r="R970" t="b">
        <v>0</v>
      </c>
      <c r="S970" t="b">
        <v>0</v>
      </c>
      <c r="T970" t="b">
        <v>0</v>
      </c>
      <c r="U970">
        <v>0</v>
      </c>
      <c r="V970" t="s">
        <v>4073</v>
      </c>
    </row>
    <row r="971" spans="1:22" hidden="1" x14ac:dyDescent="0.45">
      <c r="A971" s="2" t="s">
        <v>166</v>
      </c>
      <c r="B971" s="11">
        <v>45035</v>
      </c>
      <c r="C971" s="2" t="s">
        <v>2012</v>
      </c>
      <c r="D971" s="2" t="s">
        <v>2017</v>
      </c>
      <c r="E971">
        <v>511.34</v>
      </c>
      <c r="F971">
        <v>52668.02</v>
      </c>
      <c r="G971">
        <v>0</v>
      </c>
      <c r="H971">
        <v>0</v>
      </c>
      <c r="I971" s="2" t="s">
        <v>2023</v>
      </c>
      <c r="J971" s="2" t="s">
        <v>2029</v>
      </c>
      <c r="K971" s="2" t="s">
        <v>2187</v>
      </c>
      <c r="L971" s="2" t="s">
        <v>4031</v>
      </c>
      <c r="M971">
        <v>-511.34</v>
      </c>
      <c r="N971" s="2" t="s">
        <v>4044</v>
      </c>
      <c r="O971">
        <v>103</v>
      </c>
      <c r="P971">
        <v>-52668.02</v>
      </c>
      <c r="Q971" t="b">
        <v>0</v>
      </c>
      <c r="R971" t="b">
        <v>0</v>
      </c>
      <c r="S971" t="b">
        <v>0</v>
      </c>
      <c r="T971" t="b">
        <v>0</v>
      </c>
      <c r="U971">
        <v>0</v>
      </c>
      <c r="V971" t="s">
        <v>4073</v>
      </c>
    </row>
    <row r="972" spans="1:22" hidden="1" x14ac:dyDescent="0.45">
      <c r="A972" s="2" t="s">
        <v>108</v>
      </c>
      <c r="B972" s="11">
        <v>44972</v>
      </c>
      <c r="C972" s="2" t="s">
        <v>2013</v>
      </c>
      <c r="D972" s="2" t="s">
        <v>2018</v>
      </c>
      <c r="E972">
        <v>137.87</v>
      </c>
      <c r="F972">
        <v>7720.72</v>
      </c>
      <c r="G972">
        <v>0</v>
      </c>
      <c r="H972">
        <v>0</v>
      </c>
      <c r="I972" s="2" t="s">
        <v>2020</v>
      </c>
      <c r="J972" s="2" t="s">
        <v>2026</v>
      </c>
      <c r="K972" s="2" t="s">
        <v>2129</v>
      </c>
      <c r="L972" s="2" t="s">
        <v>4033</v>
      </c>
      <c r="M972">
        <v>-137.87</v>
      </c>
      <c r="N972" s="2" t="s">
        <v>4044</v>
      </c>
      <c r="O972">
        <v>56</v>
      </c>
      <c r="P972">
        <v>-7720.72</v>
      </c>
      <c r="Q972" t="b">
        <v>0</v>
      </c>
      <c r="R972" t="b">
        <v>0</v>
      </c>
      <c r="S972" t="b">
        <v>0</v>
      </c>
      <c r="T972" t="b">
        <v>0</v>
      </c>
      <c r="U972">
        <v>0</v>
      </c>
      <c r="V972" t="s">
        <v>4073</v>
      </c>
    </row>
    <row r="973" spans="1:22" hidden="1" x14ac:dyDescent="0.45">
      <c r="A973" s="2" t="s">
        <v>538</v>
      </c>
      <c r="B973" s="11">
        <v>45435</v>
      </c>
      <c r="C973" s="2" t="s">
        <v>2011</v>
      </c>
      <c r="D973" s="2" t="s">
        <v>2016</v>
      </c>
      <c r="E973">
        <v>928.81</v>
      </c>
      <c r="F973">
        <v>52013.36</v>
      </c>
      <c r="G973">
        <v>0</v>
      </c>
      <c r="H973">
        <v>0</v>
      </c>
      <c r="I973" s="2" t="s">
        <v>2025</v>
      </c>
      <c r="J973" s="2" t="s">
        <v>2027</v>
      </c>
      <c r="K973" s="2" t="s">
        <v>2559</v>
      </c>
      <c r="L973" s="2" t="s">
        <v>4033</v>
      </c>
      <c r="M973">
        <v>-928.81</v>
      </c>
      <c r="N973" s="2" t="s">
        <v>2016</v>
      </c>
      <c r="O973">
        <v>56</v>
      </c>
      <c r="P973">
        <v>-52013.36</v>
      </c>
      <c r="Q973" t="b">
        <v>0</v>
      </c>
      <c r="R973" t="b">
        <v>0</v>
      </c>
      <c r="S973" t="b">
        <v>0</v>
      </c>
      <c r="T973" t="b">
        <v>0</v>
      </c>
      <c r="U973">
        <v>0</v>
      </c>
      <c r="V973" t="s">
        <v>4073</v>
      </c>
    </row>
    <row r="974" spans="1:22" hidden="1" x14ac:dyDescent="0.45">
      <c r="A974" s="2" t="s">
        <v>1960</v>
      </c>
      <c r="B974" s="11">
        <v>45525</v>
      </c>
      <c r="C974" s="2" t="s">
        <v>2012</v>
      </c>
      <c r="D974" s="2" t="s">
        <v>2017</v>
      </c>
      <c r="E974">
        <v>866.51</v>
      </c>
      <c r="F974">
        <v>52857.11</v>
      </c>
      <c r="G974">
        <v>0</v>
      </c>
      <c r="H974">
        <v>0</v>
      </c>
      <c r="I974" s="2" t="s">
        <v>2022</v>
      </c>
      <c r="J974" s="2" t="s">
        <v>2029</v>
      </c>
      <c r="K974" s="2" t="s">
        <v>3981</v>
      </c>
      <c r="L974" s="2" t="s">
        <v>4035</v>
      </c>
      <c r="M974">
        <v>-866.51</v>
      </c>
      <c r="N974" s="2" t="s">
        <v>4044</v>
      </c>
      <c r="O974">
        <v>61</v>
      </c>
      <c r="P974">
        <v>-52857.11</v>
      </c>
      <c r="Q974" t="b">
        <v>0</v>
      </c>
      <c r="R974" t="b">
        <v>0</v>
      </c>
      <c r="S974" t="b">
        <v>0</v>
      </c>
      <c r="T974" t="b">
        <v>0</v>
      </c>
      <c r="U974">
        <v>0</v>
      </c>
      <c r="V974" t="s">
        <v>4073</v>
      </c>
    </row>
    <row r="975" spans="1:22" hidden="1" x14ac:dyDescent="0.45">
      <c r="A975" s="2" t="s">
        <v>1700</v>
      </c>
      <c r="B975" s="11">
        <v>45831</v>
      </c>
      <c r="C975" s="2" t="s">
        <v>2010</v>
      </c>
      <c r="D975" s="2" t="s">
        <v>2015</v>
      </c>
      <c r="E975">
        <v>0</v>
      </c>
      <c r="F975">
        <v>0</v>
      </c>
      <c r="G975">
        <v>129.38999999999999</v>
      </c>
      <c r="H975">
        <v>7892.7899999999991</v>
      </c>
      <c r="I975" s="2" t="s">
        <v>2024</v>
      </c>
      <c r="J975" s="2" t="s">
        <v>2028</v>
      </c>
      <c r="K975" s="2" t="s">
        <v>3721</v>
      </c>
      <c r="L975" s="2" t="s">
        <v>4035</v>
      </c>
      <c r="M975">
        <v>129.38999999999999</v>
      </c>
      <c r="N975" s="2" t="s">
        <v>4042</v>
      </c>
      <c r="O975">
        <v>61</v>
      </c>
      <c r="P975">
        <v>7892.7899999999991</v>
      </c>
      <c r="Q975" t="b">
        <v>0</v>
      </c>
      <c r="R975" t="b">
        <v>0</v>
      </c>
      <c r="S975" t="b">
        <v>0</v>
      </c>
      <c r="T975" t="b">
        <v>0</v>
      </c>
      <c r="U975">
        <v>0</v>
      </c>
      <c r="V975" t="s">
        <v>4073</v>
      </c>
    </row>
    <row r="976" spans="1:22" hidden="1" x14ac:dyDescent="0.45">
      <c r="A976" s="2" t="s">
        <v>1638</v>
      </c>
      <c r="B976" s="11">
        <v>45588</v>
      </c>
      <c r="C976" s="2" t="s">
        <v>2011</v>
      </c>
      <c r="D976" s="2" t="s">
        <v>2016</v>
      </c>
      <c r="E976">
        <v>123.85</v>
      </c>
      <c r="F976">
        <v>6935.5999999999995</v>
      </c>
      <c r="G976">
        <v>0</v>
      </c>
      <c r="H976">
        <v>0</v>
      </c>
      <c r="I976" s="2" t="s">
        <v>2023</v>
      </c>
      <c r="J976" s="2" t="s">
        <v>2026</v>
      </c>
      <c r="K976" s="2" t="s">
        <v>3659</v>
      </c>
      <c r="L976" s="2" t="s">
        <v>4033</v>
      </c>
      <c r="M976">
        <v>-123.85</v>
      </c>
      <c r="N976" s="2" t="s">
        <v>2016</v>
      </c>
      <c r="O976">
        <v>56</v>
      </c>
      <c r="P976">
        <v>-6935.5999999999995</v>
      </c>
      <c r="Q976" t="b">
        <v>0</v>
      </c>
      <c r="R976" t="b">
        <v>0</v>
      </c>
      <c r="S976" t="b">
        <v>0</v>
      </c>
      <c r="T976" t="b">
        <v>0</v>
      </c>
      <c r="U976">
        <v>0</v>
      </c>
      <c r="V976" t="s">
        <v>4073</v>
      </c>
    </row>
    <row r="977" spans="1:22" hidden="1" x14ac:dyDescent="0.45">
      <c r="A977" s="2" t="s">
        <v>1173</v>
      </c>
      <c r="B977" s="11">
        <v>45121</v>
      </c>
      <c r="C977" s="2" t="s">
        <v>2012</v>
      </c>
      <c r="D977" s="2" t="s">
        <v>2017</v>
      </c>
      <c r="E977">
        <v>626.96</v>
      </c>
      <c r="F977">
        <v>64576.880000000005</v>
      </c>
      <c r="G977">
        <v>0</v>
      </c>
      <c r="H977">
        <v>0</v>
      </c>
      <c r="I977" s="2" t="s">
        <v>2025</v>
      </c>
      <c r="J977" s="2" t="s">
        <v>2030</v>
      </c>
      <c r="K977" s="2" t="s">
        <v>3194</v>
      </c>
      <c r="L977" s="2" t="s">
        <v>4031</v>
      </c>
      <c r="M977">
        <v>-626.96</v>
      </c>
      <c r="N977" s="2" t="s">
        <v>4044</v>
      </c>
      <c r="O977">
        <v>103</v>
      </c>
      <c r="P977">
        <v>-64576.880000000005</v>
      </c>
      <c r="Q977" t="b">
        <v>0</v>
      </c>
      <c r="R977" t="b">
        <v>0</v>
      </c>
      <c r="S977" t="b">
        <v>0</v>
      </c>
      <c r="T977" t="b">
        <v>0</v>
      </c>
      <c r="U977">
        <v>0</v>
      </c>
      <c r="V977" t="s">
        <v>4073</v>
      </c>
    </row>
    <row r="978" spans="1:22" hidden="1" x14ac:dyDescent="0.45">
      <c r="A978" s="2" t="s">
        <v>1898</v>
      </c>
      <c r="B978" s="11">
        <v>45810</v>
      </c>
      <c r="C978" s="2" t="s">
        <v>2013</v>
      </c>
      <c r="D978" s="2" t="s">
        <v>2018</v>
      </c>
      <c r="E978">
        <v>729.53</v>
      </c>
      <c r="F978">
        <v>64198.64</v>
      </c>
      <c r="G978">
        <v>0</v>
      </c>
      <c r="H978">
        <v>0</v>
      </c>
      <c r="I978" s="2" t="s">
        <v>2023</v>
      </c>
      <c r="J978" s="2" t="s">
        <v>2026</v>
      </c>
      <c r="K978" s="2" t="s">
        <v>3919</v>
      </c>
      <c r="L978" s="2" t="s">
        <v>4032</v>
      </c>
      <c r="M978">
        <v>-729.53</v>
      </c>
      <c r="N978" s="2" t="s">
        <v>4044</v>
      </c>
      <c r="O978">
        <v>88</v>
      </c>
      <c r="P978">
        <v>-64198.64</v>
      </c>
      <c r="Q978" t="b">
        <v>0</v>
      </c>
      <c r="R978" t="b">
        <v>0</v>
      </c>
      <c r="S978" t="b">
        <v>0</v>
      </c>
      <c r="T978" t="b">
        <v>0</v>
      </c>
      <c r="U978">
        <v>0</v>
      </c>
      <c r="V978" t="s">
        <v>4073</v>
      </c>
    </row>
    <row r="979" spans="1:22" hidden="1" x14ac:dyDescent="0.45">
      <c r="A979" s="2" t="s">
        <v>1966</v>
      </c>
      <c r="B979" s="11">
        <v>45447</v>
      </c>
      <c r="C979" s="2" t="s">
        <v>2013</v>
      </c>
      <c r="D979" s="2" t="s">
        <v>2018</v>
      </c>
      <c r="E979">
        <v>780.7</v>
      </c>
      <c r="F979">
        <v>64017.4</v>
      </c>
      <c r="G979">
        <v>0</v>
      </c>
      <c r="H979">
        <v>0</v>
      </c>
      <c r="I979" s="2" t="s">
        <v>2022</v>
      </c>
      <c r="J979" s="2" t="s">
        <v>2027</v>
      </c>
      <c r="K979" s="2" t="s">
        <v>3987</v>
      </c>
      <c r="L979" s="2" t="s">
        <v>4034</v>
      </c>
      <c r="M979">
        <v>-780.7</v>
      </c>
      <c r="N979" s="2" t="s">
        <v>4044</v>
      </c>
      <c r="O979">
        <v>82</v>
      </c>
      <c r="P979">
        <v>-64017.4</v>
      </c>
      <c r="Q979" t="b">
        <v>0</v>
      </c>
      <c r="R979" t="b">
        <v>0</v>
      </c>
      <c r="S979" t="b">
        <v>0</v>
      </c>
      <c r="T979" t="b">
        <v>0</v>
      </c>
      <c r="U979">
        <v>0</v>
      </c>
      <c r="V979" t="s">
        <v>4073</v>
      </c>
    </row>
    <row r="980" spans="1:22" hidden="1" x14ac:dyDescent="0.45">
      <c r="A980" s="2" t="s">
        <v>1963</v>
      </c>
      <c r="B980" s="11">
        <v>45649</v>
      </c>
      <c r="C980" s="2" t="s">
        <v>2010</v>
      </c>
      <c r="D980" s="2" t="s">
        <v>2015</v>
      </c>
      <c r="E980">
        <v>0</v>
      </c>
      <c r="F980">
        <v>0</v>
      </c>
      <c r="G980">
        <v>944.88</v>
      </c>
      <c r="H980">
        <v>52913.279999999999</v>
      </c>
      <c r="I980" s="2" t="s">
        <v>2023</v>
      </c>
      <c r="J980" s="2" t="s">
        <v>2027</v>
      </c>
      <c r="K980" s="2" t="s">
        <v>3984</v>
      </c>
      <c r="L980" s="2" t="s">
        <v>4033</v>
      </c>
      <c r="M980">
        <v>944.88</v>
      </c>
      <c r="N980" s="2" t="s">
        <v>4042</v>
      </c>
      <c r="O980">
        <v>56</v>
      </c>
      <c r="P980">
        <v>52913.279999999999</v>
      </c>
      <c r="Q980" t="b">
        <v>0</v>
      </c>
      <c r="R980" t="b">
        <v>0</v>
      </c>
      <c r="S980" t="b">
        <v>0</v>
      </c>
      <c r="T980" t="b">
        <v>0</v>
      </c>
      <c r="U980">
        <v>0</v>
      </c>
      <c r="V980" t="s">
        <v>4073</v>
      </c>
    </row>
    <row r="981" spans="1:22" hidden="1" x14ac:dyDescent="0.45">
      <c r="A981" s="2" t="s">
        <v>441</v>
      </c>
      <c r="B981" s="11">
        <v>45695</v>
      </c>
      <c r="C981" s="2" t="s">
        <v>2012</v>
      </c>
      <c r="D981" s="2" t="s">
        <v>2017</v>
      </c>
      <c r="E981">
        <v>66.08</v>
      </c>
      <c r="F981">
        <v>6806.24</v>
      </c>
      <c r="G981">
        <v>0</v>
      </c>
      <c r="H981">
        <v>0</v>
      </c>
      <c r="I981" s="2" t="s">
        <v>2022</v>
      </c>
      <c r="J981" s="2" t="s">
        <v>2029</v>
      </c>
      <c r="K981" s="2" t="s">
        <v>2462</v>
      </c>
      <c r="L981" s="2" t="s">
        <v>4031</v>
      </c>
      <c r="M981">
        <v>-66.08</v>
      </c>
      <c r="N981" s="2" t="s">
        <v>4044</v>
      </c>
      <c r="O981">
        <v>103</v>
      </c>
      <c r="P981">
        <v>-6806.24</v>
      </c>
      <c r="Q981" t="b">
        <v>0</v>
      </c>
      <c r="R981" t="b">
        <v>0</v>
      </c>
      <c r="S981" t="b">
        <v>0</v>
      </c>
      <c r="T981" t="b">
        <v>0</v>
      </c>
      <c r="U981">
        <v>0</v>
      </c>
      <c r="V981" t="s">
        <v>4073</v>
      </c>
    </row>
    <row r="982" spans="1:22" hidden="1" x14ac:dyDescent="0.45">
      <c r="A982" s="2" t="s">
        <v>681</v>
      </c>
      <c r="B982" s="11">
        <v>45099</v>
      </c>
      <c r="C982" s="2" t="s">
        <v>2013</v>
      </c>
      <c r="D982" s="2" t="s">
        <v>2018</v>
      </c>
      <c r="E982">
        <v>644.58000000000004</v>
      </c>
      <c r="F982">
        <v>52855.560000000005</v>
      </c>
      <c r="G982">
        <v>0</v>
      </c>
      <c r="H982">
        <v>0</v>
      </c>
      <c r="I982" s="2" t="s">
        <v>2025</v>
      </c>
      <c r="J982" s="2" t="s">
        <v>2028</v>
      </c>
      <c r="K982" s="2" t="s">
        <v>2702</v>
      </c>
      <c r="L982" s="2" t="s">
        <v>4034</v>
      </c>
      <c r="M982">
        <v>-644.58000000000004</v>
      </c>
      <c r="N982" s="2" t="s">
        <v>4044</v>
      </c>
      <c r="O982">
        <v>82</v>
      </c>
      <c r="P982">
        <v>-52855.560000000005</v>
      </c>
      <c r="Q982" t="b">
        <v>0</v>
      </c>
      <c r="R982" t="b">
        <v>0</v>
      </c>
      <c r="S982" t="b">
        <v>0</v>
      </c>
      <c r="T982" t="b">
        <v>0</v>
      </c>
      <c r="U982">
        <v>0</v>
      </c>
      <c r="V982" t="s">
        <v>4073</v>
      </c>
    </row>
    <row r="983" spans="1:22" hidden="1" x14ac:dyDescent="0.45">
      <c r="A983" s="2" t="s">
        <v>1746</v>
      </c>
      <c r="B983" s="11">
        <v>45792</v>
      </c>
      <c r="C983" s="2" t="s">
        <v>2011</v>
      </c>
      <c r="D983" s="2" t="s">
        <v>2016</v>
      </c>
      <c r="E983">
        <v>600.07000000000005</v>
      </c>
      <c r="F983">
        <v>52806.16</v>
      </c>
      <c r="G983">
        <v>0</v>
      </c>
      <c r="H983">
        <v>0</v>
      </c>
      <c r="I983" s="2" t="s">
        <v>2021</v>
      </c>
      <c r="J983" s="2" t="s">
        <v>2027</v>
      </c>
      <c r="K983" s="2" t="s">
        <v>3767</v>
      </c>
      <c r="L983" s="2" t="s">
        <v>4032</v>
      </c>
      <c r="M983">
        <v>-600.07000000000005</v>
      </c>
      <c r="N983" s="2" t="s">
        <v>2016</v>
      </c>
      <c r="O983">
        <v>88</v>
      </c>
      <c r="P983">
        <v>-52806.16</v>
      </c>
      <c r="Q983" t="b">
        <v>0</v>
      </c>
      <c r="R983" t="b">
        <v>0</v>
      </c>
      <c r="S983" t="b">
        <v>0</v>
      </c>
      <c r="T983" t="b">
        <v>0</v>
      </c>
      <c r="U983">
        <v>0</v>
      </c>
      <c r="V983" t="s">
        <v>4073</v>
      </c>
    </row>
    <row r="984" spans="1:22" hidden="1" x14ac:dyDescent="0.45">
      <c r="A984" s="2" t="s">
        <v>1467</v>
      </c>
      <c r="B984" s="11">
        <v>45327</v>
      </c>
      <c r="C984" s="2" t="s">
        <v>2011</v>
      </c>
      <c r="D984" s="2" t="s">
        <v>2016</v>
      </c>
      <c r="E984">
        <v>67.56</v>
      </c>
      <c r="F984">
        <v>6958.68</v>
      </c>
      <c r="G984">
        <v>0</v>
      </c>
      <c r="H984">
        <v>0</v>
      </c>
      <c r="I984" s="2" t="s">
        <v>2025</v>
      </c>
      <c r="J984" s="2" t="s">
        <v>2026</v>
      </c>
      <c r="K984" s="2" t="s">
        <v>3488</v>
      </c>
      <c r="L984" s="2" t="s">
        <v>4031</v>
      </c>
      <c r="M984">
        <v>-67.56</v>
      </c>
      <c r="N984" s="2" t="s">
        <v>2016</v>
      </c>
      <c r="O984">
        <v>103</v>
      </c>
      <c r="P984">
        <v>-6958.68</v>
      </c>
      <c r="Q984" t="b">
        <v>0</v>
      </c>
      <c r="R984" t="b">
        <v>0</v>
      </c>
      <c r="S984" t="b">
        <v>0</v>
      </c>
      <c r="T984" t="b">
        <v>0</v>
      </c>
      <c r="U984">
        <v>0</v>
      </c>
      <c r="V984" t="s">
        <v>4073</v>
      </c>
    </row>
    <row r="985" spans="1:22" hidden="1" x14ac:dyDescent="0.45">
      <c r="A985" s="2" t="s">
        <v>1302</v>
      </c>
      <c r="B985" s="11">
        <v>45643</v>
      </c>
      <c r="C985" s="2" t="s">
        <v>2011</v>
      </c>
      <c r="D985" s="2" t="s">
        <v>2016</v>
      </c>
      <c r="E985">
        <v>637.88</v>
      </c>
      <c r="F985">
        <v>52306.159999999996</v>
      </c>
      <c r="G985">
        <v>0</v>
      </c>
      <c r="H985">
        <v>0</v>
      </c>
      <c r="I985" s="2" t="s">
        <v>2020</v>
      </c>
      <c r="J985" s="2" t="s">
        <v>2027</v>
      </c>
      <c r="K985" s="2" t="s">
        <v>3323</v>
      </c>
      <c r="L985" s="2" t="s">
        <v>4034</v>
      </c>
      <c r="M985">
        <v>-637.88</v>
      </c>
      <c r="N985" s="2" t="s">
        <v>2016</v>
      </c>
      <c r="O985">
        <v>82</v>
      </c>
      <c r="P985">
        <v>-52306.159999999996</v>
      </c>
      <c r="Q985" t="b">
        <v>0</v>
      </c>
      <c r="R985" t="b">
        <v>0</v>
      </c>
      <c r="S985" t="b">
        <v>0</v>
      </c>
      <c r="T985" t="b">
        <v>0</v>
      </c>
      <c r="U985">
        <v>0</v>
      </c>
      <c r="V985" t="s">
        <v>4073</v>
      </c>
    </row>
    <row r="986" spans="1:22" hidden="1" x14ac:dyDescent="0.45">
      <c r="A986" s="2" t="s">
        <v>115</v>
      </c>
      <c r="B986" s="11">
        <v>45162</v>
      </c>
      <c r="C986" s="2" t="s">
        <v>2010</v>
      </c>
      <c r="D986" s="2" t="s">
        <v>2015</v>
      </c>
      <c r="E986">
        <v>0</v>
      </c>
      <c r="F986">
        <v>0</v>
      </c>
      <c r="G986">
        <v>734.03</v>
      </c>
      <c r="H986">
        <v>64594.64</v>
      </c>
      <c r="I986" s="2" t="s">
        <v>2020</v>
      </c>
      <c r="J986" s="2" t="s">
        <v>2030</v>
      </c>
      <c r="K986" s="2" t="s">
        <v>2136</v>
      </c>
      <c r="L986" s="2" t="s">
        <v>4032</v>
      </c>
      <c r="M986">
        <v>734.03</v>
      </c>
      <c r="N986" s="2" t="s">
        <v>4042</v>
      </c>
      <c r="O986">
        <v>88</v>
      </c>
      <c r="P986">
        <v>64594.64</v>
      </c>
      <c r="Q986" t="b">
        <v>0</v>
      </c>
      <c r="R986" t="b">
        <v>0</v>
      </c>
      <c r="S986" t="b">
        <v>0</v>
      </c>
      <c r="T986" t="b">
        <v>0</v>
      </c>
      <c r="U986">
        <v>0</v>
      </c>
      <c r="V986" t="s">
        <v>4073</v>
      </c>
    </row>
    <row r="987" spans="1:22" hidden="1" x14ac:dyDescent="0.45">
      <c r="A987" s="2" t="s">
        <v>1428</v>
      </c>
      <c r="B987" s="11">
        <v>45750</v>
      </c>
      <c r="C987" s="2" t="s">
        <v>2014</v>
      </c>
      <c r="D987" s="2" t="s">
        <v>2019</v>
      </c>
      <c r="E987">
        <v>0</v>
      </c>
      <c r="F987">
        <v>0</v>
      </c>
      <c r="G987">
        <v>1057.72</v>
      </c>
      <c r="H987">
        <v>64520.92</v>
      </c>
      <c r="I987" s="2" t="s">
        <v>2024</v>
      </c>
      <c r="J987" s="2" t="s">
        <v>2026</v>
      </c>
      <c r="K987" s="2" t="s">
        <v>3449</v>
      </c>
      <c r="L987" s="2" t="s">
        <v>4035</v>
      </c>
      <c r="M987">
        <v>1057.72</v>
      </c>
      <c r="N987" s="2" t="s">
        <v>4042</v>
      </c>
      <c r="O987">
        <v>61</v>
      </c>
      <c r="P987">
        <v>64520.92</v>
      </c>
      <c r="Q987" t="b">
        <v>0</v>
      </c>
      <c r="R987" t="b">
        <v>0</v>
      </c>
      <c r="S987" t="b">
        <v>0</v>
      </c>
      <c r="T987" t="b">
        <v>0</v>
      </c>
      <c r="U987">
        <v>0</v>
      </c>
      <c r="V987" t="s">
        <v>4073</v>
      </c>
    </row>
    <row r="988" spans="1:22" hidden="1" x14ac:dyDescent="0.45">
      <c r="A988" s="2" t="s">
        <v>1552</v>
      </c>
      <c r="B988" s="11">
        <v>45336</v>
      </c>
      <c r="C988" s="2" t="s">
        <v>2011</v>
      </c>
      <c r="D988" s="2" t="s">
        <v>2016</v>
      </c>
      <c r="E988">
        <v>1155.53</v>
      </c>
      <c r="F988">
        <v>64709.68</v>
      </c>
      <c r="G988">
        <v>0</v>
      </c>
      <c r="H988">
        <v>0</v>
      </c>
      <c r="I988" s="2" t="s">
        <v>2021</v>
      </c>
      <c r="J988" s="2" t="s">
        <v>2028</v>
      </c>
      <c r="K988" s="2" t="s">
        <v>3573</v>
      </c>
      <c r="L988" s="2" t="s">
        <v>4033</v>
      </c>
      <c r="M988">
        <v>-1155.53</v>
      </c>
      <c r="N988" s="2" t="s">
        <v>2016</v>
      </c>
      <c r="O988">
        <v>56</v>
      </c>
      <c r="P988">
        <v>-64709.68</v>
      </c>
      <c r="Q988" t="b">
        <v>0</v>
      </c>
      <c r="R988" t="b">
        <v>0</v>
      </c>
      <c r="S988" t="b">
        <v>0</v>
      </c>
      <c r="T988" t="b">
        <v>0</v>
      </c>
      <c r="U988">
        <v>0</v>
      </c>
      <c r="V988" t="s">
        <v>4073</v>
      </c>
    </row>
    <row r="989" spans="1:22" hidden="1" x14ac:dyDescent="0.45">
      <c r="A989" s="2" t="s">
        <v>52</v>
      </c>
      <c r="B989" s="11">
        <v>44965</v>
      </c>
      <c r="C989" s="2" t="s">
        <v>2011</v>
      </c>
      <c r="D989" s="2" t="s">
        <v>2016</v>
      </c>
      <c r="E989">
        <v>945.76</v>
      </c>
      <c r="F989">
        <v>52962.559999999998</v>
      </c>
      <c r="G989">
        <v>0</v>
      </c>
      <c r="H989">
        <v>0</v>
      </c>
      <c r="I989" s="2" t="s">
        <v>2023</v>
      </c>
      <c r="J989" s="2" t="s">
        <v>2027</v>
      </c>
      <c r="K989" s="2" t="s">
        <v>2073</v>
      </c>
      <c r="L989" s="2" t="s">
        <v>4033</v>
      </c>
      <c r="M989">
        <v>-945.76</v>
      </c>
      <c r="N989" s="2" t="s">
        <v>2016</v>
      </c>
      <c r="O989">
        <v>56</v>
      </c>
      <c r="P989">
        <v>-52962.559999999998</v>
      </c>
      <c r="Q989" t="b">
        <v>0</v>
      </c>
      <c r="R989" t="b">
        <v>0</v>
      </c>
      <c r="S989" t="b">
        <v>0</v>
      </c>
      <c r="T989" t="b">
        <v>0</v>
      </c>
      <c r="U989">
        <v>0</v>
      </c>
      <c r="V989" t="s">
        <v>4073</v>
      </c>
    </row>
    <row r="990" spans="1:22" hidden="1" x14ac:dyDescent="0.45">
      <c r="A990" s="2" t="s">
        <v>257</v>
      </c>
      <c r="B990" s="11">
        <v>45824</v>
      </c>
      <c r="C990" s="2" t="s">
        <v>2011</v>
      </c>
      <c r="D990" s="2" t="s">
        <v>2016</v>
      </c>
      <c r="E990">
        <v>736.75</v>
      </c>
      <c r="F990">
        <v>64834</v>
      </c>
      <c r="G990">
        <v>0</v>
      </c>
      <c r="H990">
        <v>0</v>
      </c>
      <c r="I990" s="2" t="s">
        <v>2023</v>
      </c>
      <c r="J990" s="2" t="s">
        <v>2029</v>
      </c>
      <c r="K990" s="2" t="s">
        <v>2278</v>
      </c>
      <c r="L990" s="2" t="s">
        <v>4032</v>
      </c>
      <c r="M990">
        <v>-736.75</v>
      </c>
      <c r="N990" s="2" t="s">
        <v>2016</v>
      </c>
      <c r="O990">
        <v>88</v>
      </c>
      <c r="P990">
        <v>-64834</v>
      </c>
      <c r="Q990" t="b">
        <v>0</v>
      </c>
      <c r="R990" t="b">
        <v>0</v>
      </c>
      <c r="S990" t="b">
        <v>0</v>
      </c>
      <c r="T990" t="b">
        <v>0</v>
      </c>
      <c r="U990">
        <v>0</v>
      </c>
      <c r="V990" t="s">
        <v>4073</v>
      </c>
    </row>
    <row r="991" spans="1:22" hidden="1" x14ac:dyDescent="0.45">
      <c r="A991" s="2" t="s">
        <v>506</v>
      </c>
      <c r="B991" s="11">
        <v>45602</v>
      </c>
      <c r="C991" s="2" t="s">
        <v>2011</v>
      </c>
      <c r="D991" s="2" t="s">
        <v>2016</v>
      </c>
      <c r="E991">
        <v>630.34</v>
      </c>
      <c r="F991">
        <v>51687.880000000005</v>
      </c>
      <c r="G991">
        <v>0</v>
      </c>
      <c r="H991">
        <v>0</v>
      </c>
      <c r="I991" s="2" t="s">
        <v>2020</v>
      </c>
      <c r="J991" s="2" t="s">
        <v>2026</v>
      </c>
      <c r="K991" s="2" t="s">
        <v>2527</v>
      </c>
      <c r="L991" s="2" t="s">
        <v>4034</v>
      </c>
      <c r="M991">
        <v>-630.34</v>
      </c>
      <c r="N991" s="2" t="s">
        <v>2016</v>
      </c>
      <c r="O991">
        <v>82</v>
      </c>
      <c r="P991">
        <v>-51687.880000000005</v>
      </c>
      <c r="Q991" t="b">
        <v>0</v>
      </c>
      <c r="R991" t="b">
        <v>0</v>
      </c>
      <c r="S991" t="b">
        <v>0</v>
      </c>
      <c r="T991" t="b">
        <v>0</v>
      </c>
      <c r="U991">
        <v>0</v>
      </c>
      <c r="V991" t="s">
        <v>4073</v>
      </c>
    </row>
    <row r="992" spans="1:22" hidden="1" x14ac:dyDescent="0.45">
      <c r="A992" s="2" t="s">
        <v>335</v>
      </c>
      <c r="B992" s="11">
        <v>45251</v>
      </c>
      <c r="C992" s="2" t="s">
        <v>2011</v>
      </c>
      <c r="D992" s="2" t="s">
        <v>2016</v>
      </c>
      <c r="E992">
        <v>76.959999999999994</v>
      </c>
      <c r="F992">
        <v>7926.8799999999992</v>
      </c>
      <c r="G992">
        <v>0</v>
      </c>
      <c r="H992">
        <v>0</v>
      </c>
      <c r="I992" s="2" t="s">
        <v>2024</v>
      </c>
      <c r="J992" s="2" t="s">
        <v>2028</v>
      </c>
      <c r="K992" s="2" t="s">
        <v>2356</v>
      </c>
      <c r="L992" s="2" t="s">
        <v>4031</v>
      </c>
      <c r="M992">
        <v>-76.959999999999994</v>
      </c>
      <c r="N992" s="2" t="s">
        <v>2016</v>
      </c>
      <c r="O992">
        <v>103</v>
      </c>
      <c r="P992">
        <v>-7926.8799999999992</v>
      </c>
      <c r="Q992" t="b">
        <v>0</v>
      </c>
      <c r="R992" t="b">
        <v>0</v>
      </c>
      <c r="S992" t="b">
        <v>0</v>
      </c>
      <c r="T992" t="b">
        <v>0</v>
      </c>
      <c r="U992">
        <v>0</v>
      </c>
      <c r="V992" t="s">
        <v>4073</v>
      </c>
    </row>
    <row r="993" spans="1:22" hidden="1" x14ac:dyDescent="0.45">
      <c r="A993" s="2" t="s">
        <v>633</v>
      </c>
      <c r="B993" s="11">
        <v>45202</v>
      </c>
      <c r="C993" s="2" t="s">
        <v>2011</v>
      </c>
      <c r="D993" s="2" t="s">
        <v>2016</v>
      </c>
      <c r="E993">
        <v>1047.55</v>
      </c>
      <c r="F993">
        <v>58662.799999999996</v>
      </c>
      <c r="G993">
        <v>0</v>
      </c>
      <c r="H993">
        <v>0</v>
      </c>
      <c r="I993" s="2" t="s">
        <v>2021</v>
      </c>
      <c r="J993" s="2" t="s">
        <v>2028</v>
      </c>
      <c r="K993" s="2" t="s">
        <v>2654</v>
      </c>
      <c r="L993" s="2" t="s">
        <v>4033</v>
      </c>
      <c r="M993">
        <v>-1047.55</v>
      </c>
      <c r="N993" s="2" t="s">
        <v>2016</v>
      </c>
      <c r="O993">
        <v>56</v>
      </c>
      <c r="P993">
        <v>-58662.799999999996</v>
      </c>
      <c r="Q993" t="b">
        <v>0</v>
      </c>
      <c r="R993" t="b">
        <v>0</v>
      </c>
      <c r="S993" t="b">
        <v>0</v>
      </c>
      <c r="T993" t="b">
        <v>0</v>
      </c>
      <c r="U993">
        <v>0</v>
      </c>
      <c r="V993" t="s">
        <v>4073</v>
      </c>
    </row>
    <row r="994" spans="1:22" hidden="1" x14ac:dyDescent="0.45">
      <c r="A994" s="2" t="s">
        <v>470</v>
      </c>
      <c r="B994" s="11">
        <v>44977</v>
      </c>
      <c r="C994" s="2" t="s">
        <v>2012</v>
      </c>
      <c r="D994" s="2" t="s">
        <v>2017</v>
      </c>
      <c r="E994">
        <v>670.27</v>
      </c>
      <c r="F994">
        <v>54962.14</v>
      </c>
      <c r="G994">
        <v>0</v>
      </c>
      <c r="H994">
        <v>0</v>
      </c>
      <c r="I994" s="2" t="s">
        <v>2023</v>
      </c>
      <c r="J994" s="2" t="s">
        <v>2030</v>
      </c>
      <c r="K994" s="2" t="s">
        <v>2491</v>
      </c>
      <c r="L994" s="2" t="s">
        <v>4034</v>
      </c>
      <c r="M994">
        <v>-670.27</v>
      </c>
      <c r="N994" s="2" t="s">
        <v>4044</v>
      </c>
      <c r="O994">
        <v>82</v>
      </c>
      <c r="P994">
        <v>-54962.14</v>
      </c>
      <c r="Q994" t="b">
        <v>0</v>
      </c>
      <c r="R994" t="b">
        <v>0</v>
      </c>
      <c r="S994" t="b">
        <v>0</v>
      </c>
      <c r="T994" t="b">
        <v>0</v>
      </c>
      <c r="U994">
        <v>0</v>
      </c>
      <c r="V994" t="s">
        <v>4073</v>
      </c>
    </row>
    <row r="995" spans="1:22" hidden="1" x14ac:dyDescent="0.45">
      <c r="A995" s="2" t="s">
        <v>36</v>
      </c>
      <c r="B995" s="11">
        <v>45610</v>
      </c>
      <c r="C995" s="2" t="s">
        <v>2011</v>
      </c>
      <c r="D995" s="2" t="s">
        <v>2016</v>
      </c>
      <c r="E995">
        <v>115</v>
      </c>
      <c r="F995">
        <v>6440</v>
      </c>
      <c r="G995">
        <v>0</v>
      </c>
      <c r="H995">
        <v>0</v>
      </c>
      <c r="I995" s="2" t="s">
        <v>2020</v>
      </c>
      <c r="J995" s="2" t="s">
        <v>2030</v>
      </c>
      <c r="K995" s="2" t="s">
        <v>2057</v>
      </c>
      <c r="L995" s="2" t="s">
        <v>4033</v>
      </c>
      <c r="M995">
        <v>-115</v>
      </c>
      <c r="N995" s="2" t="s">
        <v>2016</v>
      </c>
      <c r="O995">
        <v>56</v>
      </c>
      <c r="P995">
        <v>-6440</v>
      </c>
      <c r="Q995" t="b">
        <v>0</v>
      </c>
      <c r="R995" t="b">
        <v>0</v>
      </c>
      <c r="S995" t="b">
        <v>0</v>
      </c>
      <c r="T995" t="b">
        <v>0</v>
      </c>
      <c r="U995">
        <v>0</v>
      </c>
      <c r="V995" t="s">
        <v>4073</v>
      </c>
    </row>
    <row r="996" spans="1:22" hidden="1" x14ac:dyDescent="0.45">
      <c r="A996" s="2" t="s">
        <v>1908</v>
      </c>
      <c r="B996" s="11">
        <v>45637</v>
      </c>
      <c r="C996" s="2" t="s">
        <v>2010</v>
      </c>
      <c r="D996" s="2" t="s">
        <v>2015</v>
      </c>
      <c r="E996">
        <v>0</v>
      </c>
      <c r="F996">
        <v>0</v>
      </c>
      <c r="G996">
        <v>994.95</v>
      </c>
      <c r="H996">
        <v>60691.950000000004</v>
      </c>
      <c r="I996" s="2" t="s">
        <v>2021</v>
      </c>
      <c r="J996" s="2" t="s">
        <v>2026</v>
      </c>
      <c r="K996" s="2" t="s">
        <v>3929</v>
      </c>
      <c r="L996" s="2" t="s">
        <v>4035</v>
      </c>
      <c r="M996">
        <v>994.95</v>
      </c>
      <c r="N996" s="2" t="s">
        <v>4042</v>
      </c>
      <c r="O996">
        <v>61</v>
      </c>
      <c r="P996">
        <v>60691.950000000004</v>
      </c>
      <c r="Q996" t="b">
        <v>0</v>
      </c>
      <c r="R996" t="b">
        <v>0</v>
      </c>
      <c r="S996" t="b">
        <v>0</v>
      </c>
      <c r="T996" t="b">
        <v>0</v>
      </c>
      <c r="U996">
        <v>0</v>
      </c>
      <c r="V996" t="s">
        <v>4073</v>
      </c>
    </row>
    <row r="997" spans="1:22" hidden="1" x14ac:dyDescent="0.45">
      <c r="A997" s="2" t="s">
        <v>1036</v>
      </c>
      <c r="B997" s="11">
        <v>45406</v>
      </c>
      <c r="C997" s="2" t="s">
        <v>2013</v>
      </c>
      <c r="D997" s="2" t="s">
        <v>2018</v>
      </c>
      <c r="E997">
        <v>1085.95</v>
      </c>
      <c r="F997">
        <v>60813.200000000004</v>
      </c>
      <c r="G997">
        <v>0</v>
      </c>
      <c r="H997">
        <v>0</v>
      </c>
      <c r="I997" s="2" t="s">
        <v>2020</v>
      </c>
      <c r="J997" s="2" t="s">
        <v>2029</v>
      </c>
      <c r="K997" s="2" t="s">
        <v>3057</v>
      </c>
      <c r="L997" s="2" t="s">
        <v>4033</v>
      </c>
      <c r="M997">
        <v>-1085.95</v>
      </c>
      <c r="N997" s="2" t="s">
        <v>4044</v>
      </c>
      <c r="O997">
        <v>56</v>
      </c>
      <c r="P997">
        <v>-60813.200000000004</v>
      </c>
      <c r="Q997" t="b">
        <v>0</v>
      </c>
      <c r="R997" t="b">
        <v>0</v>
      </c>
      <c r="S997" t="b">
        <v>0</v>
      </c>
      <c r="T997" t="b">
        <v>0</v>
      </c>
      <c r="U997">
        <v>0</v>
      </c>
      <c r="V997" t="s">
        <v>4073</v>
      </c>
    </row>
    <row r="998" spans="1:22" hidden="1" x14ac:dyDescent="0.45">
      <c r="A998" s="2" t="s">
        <v>495</v>
      </c>
      <c r="B998" s="11">
        <v>45139</v>
      </c>
      <c r="C998" s="2" t="s">
        <v>2013</v>
      </c>
      <c r="D998" s="2" t="s">
        <v>2018</v>
      </c>
      <c r="E998">
        <v>551.23</v>
      </c>
      <c r="F998">
        <v>56776.69</v>
      </c>
      <c r="G998">
        <v>0</v>
      </c>
      <c r="H998">
        <v>0</v>
      </c>
      <c r="I998" s="2" t="s">
        <v>2025</v>
      </c>
      <c r="J998" s="2" t="s">
        <v>2029</v>
      </c>
      <c r="K998" s="2" t="s">
        <v>2516</v>
      </c>
      <c r="L998" s="2" t="s">
        <v>4031</v>
      </c>
      <c r="M998">
        <v>-551.23</v>
      </c>
      <c r="N998" s="2" t="s">
        <v>4044</v>
      </c>
      <c r="O998">
        <v>103</v>
      </c>
      <c r="P998">
        <v>-56776.69</v>
      </c>
      <c r="Q998" t="b">
        <v>0</v>
      </c>
      <c r="R998" t="b">
        <v>0</v>
      </c>
      <c r="S998" t="b">
        <v>0</v>
      </c>
      <c r="T998" t="b">
        <v>0</v>
      </c>
      <c r="U998">
        <v>0</v>
      </c>
      <c r="V998" t="s">
        <v>4073</v>
      </c>
    </row>
    <row r="999" spans="1:22" hidden="1" x14ac:dyDescent="0.45">
      <c r="A999" s="2" t="s">
        <v>829</v>
      </c>
      <c r="B999" s="11">
        <v>45211</v>
      </c>
      <c r="C999" s="2" t="s">
        <v>2013</v>
      </c>
      <c r="D999" s="2" t="s">
        <v>2018</v>
      </c>
      <c r="E999">
        <v>1013.65</v>
      </c>
      <c r="F999">
        <v>56764.4</v>
      </c>
      <c r="G999">
        <v>0</v>
      </c>
      <c r="H999">
        <v>0</v>
      </c>
      <c r="I999" s="2" t="s">
        <v>2020</v>
      </c>
      <c r="J999" s="2" t="s">
        <v>2029</v>
      </c>
      <c r="K999" s="2" t="s">
        <v>2850</v>
      </c>
      <c r="L999" s="2" t="s">
        <v>4033</v>
      </c>
      <c r="M999">
        <v>-1013.65</v>
      </c>
      <c r="N999" s="2" t="s">
        <v>4044</v>
      </c>
      <c r="O999">
        <v>56</v>
      </c>
      <c r="P999">
        <v>-56764.4</v>
      </c>
      <c r="Q999" t="b">
        <v>0</v>
      </c>
      <c r="R999" t="b">
        <v>0</v>
      </c>
      <c r="S999" t="b">
        <v>0</v>
      </c>
      <c r="T999" t="b">
        <v>0</v>
      </c>
      <c r="U999">
        <v>0</v>
      </c>
      <c r="V999" t="s">
        <v>4073</v>
      </c>
    </row>
    <row r="1000" spans="1:22" hidden="1" x14ac:dyDescent="0.45">
      <c r="A1000" s="2" t="s">
        <v>1710</v>
      </c>
      <c r="B1000" s="11">
        <v>45274</v>
      </c>
      <c r="C1000" s="2" t="s">
        <v>2013</v>
      </c>
      <c r="D1000" s="2" t="s">
        <v>2018</v>
      </c>
      <c r="E1000">
        <v>1012.66</v>
      </c>
      <c r="F1000">
        <v>56708.959999999999</v>
      </c>
      <c r="G1000">
        <v>0</v>
      </c>
      <c r="H1000">
        <v>0</v>
      </c>
      <c r="I1000" s="2" t="s">
        <v>2024</v>
      </c>
      <c r="J1000" s="2" t="s">
        <v>2027</v>
      </c>
      <c r="K1000" s="2" t="s">
        <v>3731</v>
      </c>
      <c r="L1000" s="2" t="s">
        <v>4033</v>
      </c>
      <c r="M1000">
        <v>-1012.66</v>
      </c>
      <c r="N1000" s="2" t="s">
        <v>4044</v>
      </c>
      <c r="O1000">
        <v>56</v>
      </c>
      <c r="P1000">
        <v>-56708.959999999999</v>
      </c>
      <c r="Q1000" t="b">
        <v>0</v>
      </c>
      <c r="R1000" t="b">
        <v>0</v>
      </c>
      <c r="S1000" t="b">
        <v>0</v>
      </c>
      <c r="T1000" t="b">
        <v>0</v>
      </c>
      <c r="U1000">
        <v>0</v>
      </c>
      <c r="V1000" t="s">
        <v>4073</v>
      </c>
    </row>
    <row r="1001" spans="1:22" hidden="1" x14ac:dyDescent="0.45">
      <c r="A1001" s="2" t="s">
        <v>281</v>
      </c>
      <c r="B1001" s="11">
        <v>45254</v>
      </c>
      <c r="C1001" s="2" t="s">
        <v>2013</v>
      </c>
      <c r="D1001" s="2" t="s">
        <v>2018</v>
      </c>
      <c r="E1001">
        <v>1000.3</v>
      </c>
      <c r="F1001">
        <v>61018.299999999996</v>
      </c>
      <c r="G1001">
        <v>0</v>
      </c>
      <c r="H1001">
        <v>0</v>
      </c>
      <c r="I1001" s="2" t="s">
        <v>2025</v>
      </c>
      <c r="J1001" s="2" t="s">
        <v>2030</v>
      </c>
      <c r="K1001" s="2" t="s">
        <v>2302</v>
      </c>
      <c r="L1001" s="2" t="s">
        <v>4035</v>
      </c>
      <c r="M1001">
        <v>-1000.3</v>
      </c>
      <c r="N1001" s="2" t="s">
        <v>4044</v>
      </c>
      <c r="O1001">
        <v>61</v>
      </c>
      <c r="P1001">
        <v>-61018.299999999996</v>
      </c>
      <c r="Q1001" t="b">
        <v>0</v>
      </c>
      <c r="R1001" t="b">
        <v>0</v>
      </c>
      <c r="S1001" t="b">
        <v>0</v>
      </c>
      <c r="T1001" t="b">
        <v>0</v>
      </c>
      <c r="U1001">
        <v>0</v>
      </c>
      <c r="V1001" t="s">
        <v>4073</v>
      </c>
    </row>
    <row r="1002" spans="1:22" hidden="1" x14ac:dyDescent="0.45">
      <c r="A1002" s="2" t="s">
        <v>496</v>
      </c>
      <c r="B1002" s="11">
        <v>45518</v>
      </c>
      <c r="C1002" s="2" t="s">
        <v>2010</v>
      </c>
      <c r="D1002" s="2" t="s">
        <v>2015</v>
      </c>
      <c r="E1002">
        <v>0</v>
      </c>
      <c r="F1002">
        <v>0</v>
      </c>
      <c r="G1002">
        <v>588.37</v>
      </c>
      <c r="H1002">
        <v>60602.11</v>
      </c>
      <c r="I1002" s="2" t="s">
        <v>2020</v>
      </c>
      <c r="J1002" s="2" t="s">
        <v>2028</v>
      </c>
      <c r="K1002" s="2" t="s">
        <v>2517</v>
      </c>
      <c r="L1002" s="2" t="s">
        <v>4031</v>
      </c>
      <c r="M1002">
        <v>588.37</v>
      </c>
      <c r="N1002" s="2" t="s">
        <v>4042</v>
      </c>
      <c r="O1002">
        <v>103</v>
      </c>
      <c r="P1002">
        <v>60602.11</v>
      </c>
      <c r="Q1002" t="b">
        <v>0</v>
      </c>
      <c r="R1002" t="b">
        <v>0</v>
      </c>
      <c r="S1002" t="b">
        <v>0</v>
      </c>
      <c r="T1002" t="b">
        <v>0</v>
      </c>
      <c r="U1002">
        <v>0</v>
      </c>
      <c r="V1002" t="s">
        <v>4073</v>
      </c>
    </row>
    <row r="1003" spans="1:22" hidden="1" x14ac:dyDescent="0.45">
      <c r="A1003" s="2" t="s">
        <v>967</v>
      </c>
      <c r="B1003" s="11">
        <v>45812</v>
      </c>
      <c r="C1003" s="2" t="s">
        <v>2012</v>
      </c>
      <c r="D1003" s="2" t="s">
        <v>2017</v>
      </c>
      <c r="E1003">
        <v>746.97</v>
      </c>
      <c r="F1003">
        <v>61251.54</v>
      </c>
      <c r="G1003">
        <v>0</v>
      </c>
      <c r="H1003">
        <v>0</v>
      </c>
      <c r="I1003" s="2" t="s">
        <v>2025</v>
      </c>
      <c r="J1003" s="2" t="s">
        <v>2030</v>
      </c>
      <c r="K1003" s="2" t="s">
        <v>2988</v>
      </c>
      <c r="L1003" s="2" t="s">
        <v>4034</v>
      </c>
      <c r="M1003">
        <v>-746.97</v>
      </c>
      <c r="N1003" s="2" t="s">
        <v>4044</v>
      </c>
      <c r="O1003">
        <v>82</v>
      </c>
      <c r="P1003">
        <v>-61251.54</v>
      </c>
      <c r="Q1003" t="b">
        <v>0</v>
      </c>
      <c r="R1003" t="b">
        <v>0</v>
      </c>
      <c r="S1003" t="b">
        <v>0</v>
      </c>
      <c r="T1003" t="b">
        <v>0</v>
      </c>
      <c r="U1003">
        <v>0</v>
      </c>
      <c r="V1003" t="s">
        <v>4073</v>
      </c>
    </row>
    <row r="1004" spans="1:22" hidden="1" x14ac:dyDescent="0.45">
      <c r="A1004" s="2" t="s">
        <v>79</v>
      </c>
      <c r="B1004" s="11">
        <v>45826</v>
      </c>
      <c r="C1004" s="2" t="s">
        <v>2012</v>
      </c>
      <c r="D1004" s="2" t="s">
        <v>2017</v>
      </c>
      <c r="E1004">
        <v>1095.32</v>
      </c>
      <c r="F1004">
        <v>61337.919999999998</v>
      </c>
      <c r="G1004">
        <v>0</v>
      </c>
      <c r="H1004">
        <v>0</v>
      </c>
      <c r="I1004" s="2" t="s">
        <v>2024</v>
      </c>
      <c r="J1004" s="2" t="s">
        <v>2026</v>
      </c>
      <c r="K1004" s="2" t="s">
        <v>2100</v>
      </c>
      <c r="L1004" s="2" t="s">
        <v>4033</v>
      </c>
      <c r="M1004">
        <v>-1095.32</v>
      </c>
      <c r="N1004" s="2" t="s">
        <v>4044</v>
      </c>
      <c r="O1004">
        <v>56</v>
      </c>
      <c r="P1004">
        <v>-61337.919999999998</v>
      </c>
      <c r="Q1004" t="b">
        <v>0</v>
      </c>
      <c r="R1004" t="b">
        <v>0</v>
      </c>
      <c r="S1004" t="b">
        <v>0</v>
      </c>
      <c r="T1004" t="b">
        <v>0</v>
      </c>
      <c r="U1004">
        <v>0</v>
      </c>
      <c r="V1004" t="s">
        <v>4073</v>
      </c>
    </row>
    <row r="1005" spans="1:22" hidden="1" x14ac:dyDescent="0.45">
      <c r="A1005" s="2" t="s">
        <v>826</v>
      </c>
      <c r="B1005" s="11">
        <v>45231</v>
      </c>
      <c r="C1005" s="2" t="s">
        <v>2012</v>
      </c>
      <c r="D1005" s="2" t="s">
        <v>2017</v>
      </c>
      <c r="E1005">
        <v>927.04</v>
      </c>
      <c r="F1005">
        <v>56549.439999999995</v>
      </c>
      <c r="G1005">
        <v>0</v>
      </c>
      <c r="H1005">
        <v>0</v>
      </c>
      <c r="I1005" s="2" t="s">
        <v>2023</v>
      </c>
      <c r="J1005" s="2" t="s">
        <v>2029</v>
      </c>
      <c r="K1005" s="2" t="s">
        <v>2847</v>
      </c>
      <c r="L1005" s="2" t="s">
        <v>4035</v>
      </c>
      <c r="M1005">
        <v>-927.04</v>
      </c>
      <c r="N1005" s="2" t="s">
        <v>4044</v>
      </c>
      <c r="O1005">
        <v>61</v>
      </c>
      <c r="P1005">
        <v>-56549.439999999995</v>
      </c>
      <c r="Q1005" t="b">
        <v>0</v>
      </c>
      <c r="R1005" t="b">
        <v>0</v>
      </c>
      <c r="S1005" t="b">
        <v>0</v>
      </c>
      <c r="T1005" t="b">
        <v>0</v>
      </c>
      <c r="U1005">
        <v>0</v>
      </c>
      <c r="V1005" t="s">
        <v>4073</v>
      </c>
    </row>
    <row r="1006" spans="1:22" hidden="1" x14ac:dyDescent="0.45">
      <c r="A1006" s="2" t="s">
        <v>696</v>
      </c>
      <c r="B1006" s="11">
        <v>45299</v>
      </c>
      <c r="C1006" s="2" t="s">
        <v>2013</v>
      </c>
      <c r="D1006" s="2" t="s">
        <v>2018</v>
      </c>
      <c r="E1006">
        <v>753.12</v>
      </c>
      <c r="F1006">
        <v>61755.840000000004</v>
      </c>
      <c r="G1006">
        <v>0</v>
      </c>
      <c r="H1006">
        <v>0</v>
      </c>
      <c r="I1006" s="2" t="s">
        <v>2024</v>
      </c>
      <c r="J1006" s="2" t="s">
        <v>2028</v>
      </c>
      <c r="K1006" s="2" t="s">
        <v>2717</v>
      </c>
      <c r="L1006" s="2" t="s">
        <v>4034</v>
      </c>
      <c r="M1006">
        <v>-753.12</v>
      </c>
      <c r="N1006" s="2" t="s">
        <v>4044</v>
      </c>
      <c r="O1006">
        <v>82</v>
      </c>
      <c r="P1006">
        <v>-61755.840000000004</v>
      </c>
      <c r="Q1006" t="b">
        <v>0</v>
      </c>
      <c r="R1006" t="b">
        <v>0</v>
      </c>
      <c r="S1006" t="b">
        <v>0</v>
      </c>
      <c r="T1006" t="b">
        <v>0</v>
      </c>
      <c r="U1006">
        <v>0</v>
      </c>
      <c r="V1006" t="s">
        <v>4073</v>
      </c>
    </row>
    <row r="1007" spans="1:22" hidden="1" x14ac:dyDescent="0.45">
      <c r="A1007" s="2" t="s">
        <v>1993</v>
      </c>
      <c r="B1007" s="11">
        <v>45180</v>
      </c>
      <c r="C1007" s="2" t="s">
        <v>2013</v>
      </c>
      <c r="D1007" s="2" t="s">
        <v>2018</v>
      </c>
      <c r="E1007">
        <v>1104.31</v>
      </c>
      <c r="F1007">
        <v>61841.36</v>
      </c>
      <c r="G1007">
        <v>0</v>
      </c>
      <c r="H1007">
        <v>0</v>
      </c>
      <c r="I1007" s="2" t="s">
        <v>2023</v>
      </c>
      <c r="J1007" s="2" t="s">
        <v>2026</v>
      </c>
      <c r="K1007" s="2" t="s">
        <v>4014</v>
      </c>
      <c r="L1007" s="2" t="s">
        <v>4033</v>
      </c>
      <c r="M1007">
        <v>-1104.31</v>
      </c>
      <c r="N1007" s="2" t="s">
        <v>4044</v>
      </c>
      <c r="O1007">
        <v>56</v>
      </c>
      <c r="P1007">
        <v>-61841.36</v>
      </c>
      <c r="Q1007" t="b">
        <v>0</v>
      </c>
      <c r="R1007" t="b">
        <v>0</v>
      </c>
      <c r="S1007" t="b">
        <v>0</v>
      </c>
      <c r="T1007" t="b">
        <v>0</v>
      </c>
      <c r="U1007">
        <v>0</v>
      </c>
      <c r="V1007" t="s">
        <v>4073</v>
      </c>
    </row>
    <row r="1008" spans="1:22" hidden="1" x14ac:dyDescent="0.45">
      <c r="A1008" s="2" t="s">
        <v>2000</v>
      </c>
      <c r="B1008" s="11">
        <v>45188</v>
      </c>
      <c r="C1008" s="2" t="s">
        <v>2011</v>
      </c>
      <c r="D1008" s="2" t="s">
        <v>2016</v>
      </c>
      <c r="E1008">
        <v>688.11</v>
      </c>
      <c r="F1008">
        <v>56425.020000000004</v>
      </c>
      <c r="G1008">
        <v>0</v>
      </c>
      <c r="H1008">
        <v>0</v>
      </c>
      <c r="I1008" s="2" t="s">
        <v>2021</v>
      </c>
      <c r="J1008" s="2" t="s">
        <v>2029</v>
      </c>
      <c r="K1008" s="2" t="s">
        <v>4021</v>
      </c>
      <c r="L1008" s="2" t="s">
        <v>4034</v>
      </c>
      <c r="M1008">
        <v>-688.11</v>
      </c>
      <c r="N1008" s="2" t="s">
        <v>2016</v>
      </c>
      <c r="O1008">
        <v>82</v>
      </c>
      <c r="P1008">
        <v>-56425.020000000004</v>
      </c>
      <c r="Q1008" t="b">
        <v>0</v>
      </c>
      <c r="R1008" t="b">
        <v>0</v>
      </c>
      <c r="S1008" t="b">
        <v>0</v>
      </c>
      <c r="T1008" t="b">
        <v>0</v>
      </c>
      <c r="U1008">
        <v>0</v>
      </c>
      <c r="V1008" t="s">
        <v>4073</v>
      </c>
    </row>
    <row r="1009" spans="1:22" hidden="1" x14ac:dyDescent="0.45">
      <c r="A1009" s="2" t="s">
        <v>1660</v>
      </c>
      <c r="B1009" s="11">
        <v>45784</v>
      </c>
      <c r="C1009" s="2" t="s">
        <v>2011</v>
      </c>
      <c r="D1009" s="2" t="s">
        <v>2016</v>
      </c>
      <c r="E1009">
        <v>686.31</v>
      </c>
      <c r="F1009">
        <v>56277.42</v>
      </c>
      <c r="G1009">
        <v>0</v>
      </c>
      <c r="H1009">
        <v>0</v>
      </c>
      <c r="I1009" s="2" t="s">
        <v>2024</v>
      </c>
      <c r="J1009" s="2" t="s">
        <v>2028</v>
      </c>
      <c r="K1009" s="2" t="s">
        <v>3681</v>
      </c>
      <c r="L1009" s="2" t="s">
        <v>4034</v>
      </c>
      <c r="M1009">
        <v>-686.31</v>
      </c>
      <c r="N1009" s="2" t="s">
        <v>2016</v>
      </c>
      <c r="O1009">
        <v>82</v>
      </c>
      <c r="P1009">
        <v>-56277.42</v>
      </c>
      <c r="Q1009" t="b">
        <v>0</v>
      </c>
      <c r="R1009" t="b">
        <v>0</v>
      </c>
      <c r="S1009" t="b">
        <v>0</v>
      </c>
      <c r="T1009" t="b">
        <v>0</v>
      </c>
      <c r="U1009">
        <v>0</v>
      </c>
      <c r="V1009" t="s">
        <v>4073</v>
      </c>
    </row>
    <row r="1010" spans="1:22" hidden="1" x14ac:dyDescent="0.45">
      <c r="A1010" s="2" t="s">
        <v>314</v>
      </c>
      <c r="B1010" s="11">
        <v>45729</v>
      </c>
      <c r="C1010" s="2" t="s">
        <v>2013</v>
      </c>
      <c r="D1010" s="2" t="s">
        <v>2018</v>
      </c>
      <c r="E1010">
        <v>1010.88</v>
      </c>
      <c r="F1010">
        <v>56609.279999999999</v>
      </c>
      <c r="G1010">
        <v>0</v>
      </c>
      <c r="H1010">
        <v>0</v>
      </c>
      <c r="I1010" s="2" t="s">
        <v>2020</v>
      </c>
      <c r="J1010" s="2" t="s">
        <v>2028</v>
      </c>
      <c r="K1010" s="2" t="s">
        <v>2335</v>
      </c>
      <c r="L1010" s="2" t="s">
        <v>4033</v>
      </c>
      <c r="M1010">
        <v>-1010.88</v>
      </c>
      <c r="N1010" s="2" t="s">
        <v>4044</v>
      </c>
      <c r="O1010">
        <v>56</v>
      </c>
      <c r="P1010">
        <v>-56609.279999999999</v>
      </c>
      <c r="Q1010" t="b">
        <v>0</v>
      </c>
      <c r="R1010" t="b">
        <v>0</v>
      </c>
      <c r="S1010" t="b">
        <v>0</v>
      </c>
      <c r="T1010" t="b">
        <v>0</v>
      </c>
      <c r="U1010">
        <v>0</v>
      </c>
      <c r="V1010" t="s">
        <v>4073</v>
      </c>
    </row>
    <row r="1011" spans="1:22" hidden="1" x14ac:dyDescent="0.45">
      <c r="A1011" s="2" t="s">
        <v>725</v>
      </c>
      <c r="B1011" s="11">
        <v>45222</v>
      </c>
      <c r="C1011" s="2" t="s">
        <v>2014</v>
      </c>
      <c r="D1011" s="2" t="s">
        <v>2019</v>
      </c>
      <c r="E1011">
        <v>0</v>
      </c>
      <c r="F1011">
        <v>0</v>
      </c>
      <c r="G1011">
        <v>1019.92</v>
      </c>
      <c r="H1011">
        <v>57115.519999999997</v>
      </c>
      <c r="I1011" s="2" t="s">
        <v>2022</v>
      </c>
      <c r="J1011" s="2" t="s">
        <v>2027</v>
      </c>
      <c r="K1011" s="2" t="s">
        <v>2746</v>
      </c>
      <c r="L1011" s="2" t="s">
        <v>4033</v>
      </c>
      <c r="M1011">
        <v>1019.92</v>
      </c>
      <c r="N1011" s="2" t="s">
        <v>4042</v>
      </c>
      <c r="O1011">
        <v>56</v>
      </c>
      <c r="P1011">
        <v>57115.519999999997</v>
      </c>
      <c r="Q1011" t="b">
        <v>0</v>
      </c>
      <c r="R1011" t="b">
        <v>0</v>
      </c>
      <c r="S1011" t="b">
        <v>0</v>
      </c>
      <c r="T1011" t="b">
        <v>0</v>
      </c>
      <c r="U1011">
        <v>0</v>
      </c>
      <c r="V1011" t="s">
        <v>4073</v>
      </c>
    </row>
    <row r="1012" spans="1:22" hidden="1" x14ac:dyDescent="0.45">
      <c r="A1012" s="2" t="s">
        <v>282</v>
      </c>
      <c r="B1012" s="11">
        <v>45145</v>
      </c>
      <c r="C1012" s="2" t="s">
        <v>2011</v>
      </c>
      <c r="D1012" s="2" t="s">
        <v>2016</v>
      </c>
      <c r="E1012">
        <v>991.08</v>
      </c>
      <c r="F1012">
        <v>60455.880000000005</v>
      </c>
      <c r="G1012">
        <v>0</v>
      </c>
      <c r="H1012">
        <v>0</v>
      </c>
      <c r="I1012" s="2" t="s">
        <v>2024</v>
      </c>
      <c r="J1012" s="2" t="s">
        <v>2027</v>
      </c>
      <c r="K1012" s="2" t="s">
        <v>2303</v>
      </c>
      <c r="L1012" s="2" t="s">
        <v>4035</v>
      </c>
      <c r="M1012">
        <v>-991.08</v>
      </c>
      <c r="N1012" s="2" t="s">
        <v>2016</v>
      </c>
      <c r="O1012">
        <v>61</v>
      </c>
      <c r="P1012">
        <v>-60455.880000000005</v>
      </c>
      <c r="Q1012" t="b">
        <v>0</v>
      </c>
      <c r="R1012" t="b">
        <v>0</v>
      </c>
      <c r="S1012" t="b">
        <v>0</v>
      </c>
      <c r="T1012" t="b">
        <v>0</v>
      </c>
      <c r="U1012">
        <v>0</v>
      </c>
      <c r="V1012" t="s">
        <v>4073</v>
      </c>
    </row>
    <row r="1013" spans="1:22" hidden="1" x14ac:dyDescent="0.45">
      <c r="A1013" s="2" t="s">
        <v>784</v>
      </c>
      <c r="B1013" s="11">
        <v>45538</v>
      </c>
      <c r="C1013" s="2" t="s">
        <v>2011</v>
      </c>
      <c r="D1013" s="2" t="s">
        <v>2016</v>
      </c>
      <c r="E1013">
        <v>1078.52</v>
      </c>
      <c r="F1013">
        <v>60397.119999999995</v>
      </c>
      <c r="G1013">
        <v>0</v>
      </c>
      <c r="H1013">
        <v>0</v>
      </c>
      <c r="I1013" s="2" t="s">
        <v>2023</v>
      </c>
      <c r="J1013" s="2" t="s">
        <v>2027</v>
      </c>
      <c r="K1013" s="2" t="s">
        <v>2805</v>
      </c>
      <c r="L1013" s="2" t="s">
        <v>4033</v>
      </c>
      <c r="M1013">
        <v>-1078.52</v>
      </c>
      <c r="N1013" s="2" t="s">
        <v>2016</v>
      </c>
      <c r="O1013">
        <v>56</v>
      </c>
      <c r="P1013">
        <v>-60397.119999999995</v>
      </c>
      <c r="Q1013" t="b">
        <v>0</v>
      </c>
      <c r="R1013" t="b">
        <v>0</v>
      </c>
      <c r="S1013" t="b">
        <v>0</v>
      </c>
      <c r="T1013" t="b">
        <v>0</v>
      </c>
      <c r="U1013">
        <v>0</v>
      </c>
      <c r="V1013" t="s">
        <v>4073</v>
      </c>
    </row>
    <row r="1014" spans="1:22" hidden="1" x14ac:dyDescent="0.45">
      <c r="A1014" s="2" t="s">
        <v>1672</v>
      </c>
      <c r="B1014" s="11">
        <v>45740</v>
      </c>
      <c r="C1014" s="2" t="s">
        <v>2011</v>
      </c>
      <c r="D1014" s="2" t="s">
        <v>2016</v>
      </c>
      <c r="E1014">
        <v>1047.3399999999999</v>
      </c>
      <c r="F1014">
        <v>58651.039999999994</v>
      </c>
      <c r="G1014">
        <v>0</v>
      </c>
      <c r="H1014">
        <v>0</v>
      </c>
      <c r="I1014" s="2" t="s">
        <v>2021</v>
      </c>
      <c r="J1014" s="2" t="s">
        <v>2030</v>
      </c>
      <c r="K1014" s="2" t="s">
        <v>3693</v>
      </c>
      <c r="L1014" s="2" t="s">
        <v>4033</v>
      </c>
      <c r="M1014">
        <v>-1047.3399999999999</v>
      </c>
      <c r="N1014" s="2" t="s">
        <v>2016</v>
      </c>
      <c r="O1014">
        <v>56</v>
      </c>
      <c r="P1014">
        <v>-58651.039999999994</v>
      </c>
      <c r="Q1014" t="b">
        <v>0</v>
      </c>
      <c r="R1014" t="b">
        <v>0</v>
      </c>
      <c r="S1014" t="b">
        <v>0</v>
      </c>
      <c r="T1014" t="b">
        <v>0</v>
      </c>
      <c r="U1014">
        <v>0</v>
      </c>
      <c r="V1014" t="s">
        <v>4073</v>
      </c>
    </row>
    <row r="1015" spans="1:22" hidden="1" x14ac:dyDescent="0.45">
      <c r="A1015" s="2" t="s">
        <v>111</v>
      </c>
      <c r="B1015" s="11">
        <v>45478</v>
      </c>
      <c r="C1015" s="2" t="s">
        <v>2014</v>
      </c>
      <c r="D1015" s="2" t="s">
        <v>2019</v>
      </c>
      <c r="E1015">
        <v>0</v>
      </c>
      <c r="F1015">
        <v>0</v>
      </c>
      <c r="G1015">
        <v>961.26</v>
      </c>
      <c r="H1015">
        <v>58636.86</v>
      </c>
      <c r="I1015" s="2" t="s">
        <v>2025</v>
      </c>
      <c r="J1015" s="2" t="s">
        <v>2027</v>
      </c>
      <c r="K1015" s="2" t="s">
        <v>2132</v>
      </c>
      <c r="L1015" s="2" t="s">
        <v>4035</v>
      </c>
      <c r="M1015">
        <v>961.26</v>
      </c>
      <c r="N1015" s="2" t="s">
        <v>4042</v>
      </c>
      <c r="O1015">
        <v>61</v>
      </c>
      <c r="P1015">
        <v>58636.86</v>
      </c>
      <c r="Q1015" t="b">
        <v>0</v>
      </c>
      <c r="R1015" t="b">
        <v>0</v>
      </c>
      <c r="S1015" t="b">
        <v>0</v>
      </c>
      <c r="T1015" t="b">
        <v>0</v>
      </c>
      <c r="U1015">
        <v>0</v>
      </c>
      <c r="V1015" t="s">
        <v>4073</v>
      </c>
    </row>
    <row r="1016" spans="1:22" hidden="1" x14ac:dyDescent="0.45">
      <c r="A1016" s="2" t="s">
        <v>198</v>
      </c>
      <c r="B1016" s="11">
        <v>45597</v>
      </c>
      <c r="C1016" s="2" t="s">
        <v>2010</v>
      </c>
      <c r="D1016" s="2" t="s">
        <v>2015</v>
      </c>
      <c r="E1016">
        <v>0</v>
      </c>
      <c r="F1016">
        <v>0</v>
      </c>
      <c r="G1016">
        <v>1046.78</v>
      </c>
      <c r="H1016">
        <v>58619.68</v>
      </c>
      <c r="I1016" s="2" t="s">
        <v>2023</v>
      </c>
      <c r="J1016" s="2" t="s">
        <v>2026</v>
      </c>
      <c r="K1016" s="2" t="s">
        <v>2219</v>
      </c>
      <c r="L1016" s="2" t="s">
        <v>4033</v>
      </c>
      <c r="M1016">
        <v>1046.78</v>
      </c>
      <c r="N1016" s="2" t="s">
        <v>4042</v>
      </c>
      <c r="O1016">
        <v>56</v>
      </c>
      <c r="P1016">
        <v>58619.68</v>
      </c>
      <c r="Q1016" t="b">
        <v>0</v>
      </c>
      <c r="R1016" t="b">
        <v>0</v>
      </c>
      <c r="S1016" t="b">
        <v>0</v>
      </c>
      <c r="T1016" t="b">
        <v>0</v>
      </c>
      <c r="U1016">
        <v>0</v>
      </c>
      <c r="V1016" t="s">
        <v>4073</v>
      </c>
    </row>
    <row r="1017" spans="1:22" hidden="1" x14ac:dyDescent="0.45">
      <c r="A1017" s="2" t="s">
        <v>1377</v>
      </c>
      <c r="B1017" s="11">
        <v>45261</v>
      </c>
      <c r="C1017" s="2" t="s">
        <v>2014</v>
      </c>
      <c r="D1017" s="2" t="s">
        <v>2019</v>
      </c>
      <c r="E1017">
        <v>0</v>
      </c>
      <c r="F1017">
        <v>0</v>
      </c>
      <c r="G1017">
        <v>1049.58</v>
      </c>
      <c r="H1017">
        <v>58776.479999999996</v>
      </c>
      <c r="I1017" s="2" t="s">
        <v>2022</v>
      </c>
      <c r="J1017" s="2" t="s">
        <v>2026</v>
      </c>
      <c r="K1017" s="2" t="s">
        <v>3398</v>
      </c>
      <c r="L1017" s="2" t="s">
        <v>4033</v>
      </c>
      <c r="M1017">
        <v>1049.58</v>
      </c>
      <c r="N1017" s="2" t="s">
        <v>4042</v>
      </c>
      <c r="O1017">
        <v>56</v>
      </c>
      <c r="P1017">
        <v>58776.479999999996</v>
      </c>
      <c r="Q1017" t="b">
        <v>0</v>
      </c>
      <c r="R1017" t="b">
        <v>0</v>
      </c>
      <c r="S1017" t="b">
        <v>0</v>
      </c>
      <c r="T1017" t="b">
        <v>0</v>
      </c>
      <c r="U1017">
        <v>0</v>
      </c>
      <c r="V1017" t="s">
        <v>4073</v>
      </c>
    </row>
    <row r="1018" spans="1:22" hidden="1" x14ac:dyDescent="0.45">
      <c r="A1018" s="2" t="s">
        <v>1068</v>
      </c>
      <c r="B1018" s="11">
        <v>45791</v>
      </c>
      <c r="C1018" s="2" t="s">
        <v>2010</v>
      </c>
      <c r="D1018" s="2" t="s">
        <v>2015</v>
      </c>
      <c r="E1018">
        <v>0</v>
      </c>
      <c r="F1018">
        <v>0</v>
      </c>
      <c r="G1018">
        <v>723.85</v>
      </c>
      <c r="H1018">
        <v>59355.700000000004</v>
      </c>
      <c r="I1018" s="2" t="s">
        <v>2025</v>
      </c>
      <c r="J1018" s="2" t="s">
        <v>2026</v>
      </c>
      <c r="K1018" s="2" t="s">
        <v>3089</v>
      </c>
      <c r="L1018" s="2" t="s">
        <v>4034</v>
      </c>
      <c r="M1018">
        <v>723.85</v>
      </c>
      <c r="N1018" s="2" t="s">
        <v>4042</v>
      </c>
      <c r="O1018">
        <v>82</v>
      </c>
      <c r="P1018">
        <v>59355.700000000004</v>
      </c>
      <c r="Q1018" t="b">
        <v>0</v>
      </c>
      <c r="R1018" t="b">
        <v>0</v>
      </c>
      <c r="S1018" t="b">
        <v>0</v>
      </c>
      <c r="T1018" t="b">
        <v>0</v>
      </c>
      <c r="U1018">
        <v>0</v>
      </c>
      <c r="V1018" t="s">
        <v>4073</v>
      </c>
    </row>
    <row r="1019" spans="1:22" hidden="1" x14ac:dyDescent="0.45">
      <c r="A1019" s="2" t="s">
        <v>402</v>
      </c>
      <c r="B1019" s="11">
        <v>45233</v>
      </c>
      <c r="C1019" s="2" t="s">
        <v>2010</v>
      </c>
      <c r="D1019" s="2" t="s">
        <v>2015</v>
      </c>
      <c r="E1019">
        <v>0</v>
      </c>
      <c r="F1019">
        <v>0</v>
      </c>
      <c r="G1019">
        <v>958.3</v>
      </c>
      <c r="H1019">
        <v>58456.299999999996</v>
      </c>
      <c r="I1019" s="2" t="s">
        <v>2021</v>
      </c>
      <c r="J1019" s="2" t="s">
        <v>2029</v>
      </c>
      <c r="K1019" s="2" t="s">
        <v>2423</v>
      </c>
      <c r="L1019" s="2" t="s">
        <v>4035</v>
      </c>
      <c r="M1019">
        <v>958.3</v>
      </c>
      <c r="N1019" s="2" t="s">
        <v>4042</v>
      </c>
      <c r="O1019">
        <v>61</v>
      </c>
      <c r="P1019">
        <v>58456.299999999996</v>
      </c>
      <c r="Q1019" t="b">
        <v>0</v>
      </c>
      <c r="R1019" t="b">
        <v>0</v>
      </c>
      <c r="S1019" t="b">
        <v>0</v>
      </c>
      <c r="T1019" t="b">
        <v>0</v>
      </c>
      <c r="U1019">
        <v>0</v>
      </c>
      <c r="V1019" t="s">
        <v>4073</v>
      </c>
    </row>
    <row r="1020" spans="1:22" hidden="1" x14ac:dyDescent="0.45">
      <c r="A1020" s="2" t="s">
        <v>1951</v>
      </c>
      <c r="B1020" s="11">
        <v>45421</v>
      </c>
      <c r="C1020" s="2" t="s">
        <v>2014</v>
      </c>
      <c r="D1020" s="2" t="s">
        <v>2019</v>
      </c>
      <c r="E1020">
        <v>0</v>
      </c>
      <c r="F1020">
        <v>0</v>
      </c>
      <c r="G1020">
        <v>955.35</v>
      </c>
      <c r="H1020">
        <v>58276.35</v>
      </c>
      <c r="I1020" s="2" t="s">
        <v>2023</v>
      </c>
      <c r="J1020" s="2" t="s">
        <v>2029</v>
      </c>
      <c r="K1020" s="2" t="s">
        <v>3972</v>
      </c>
      <c r="L1020" s="2" t="s">
        <v>4035</v>
      </c>
      <c r="M1020">
        <v>955.35</v>
      </c>
      <c r="N1020" s="2" t="s">
        <v>4042</v>
      </c>
      <c r="O1020">
        <v>61</v>
      </c>
      <c r="P1020">
        <v>58276.35</v>
      </c>
      <c r="Q1020" t="b">
        <v>0</v>
      </c>
      <c r="R1020" t="b">
        <v>0</v>
      </c>
      <c r="S1020" t="b">
        <v>0</v>
      </c>
      <c r="T1020" t="b">
        <v>0</v>
      </c>
      <c r="U1020">
        <v>0</v>
      </c>
      <c r="V1020" t="s">
        <v>4073</v>
      </c>
    </row>
    <row r="1021" spans="1:22" hidden="1" x14ac:dyDescent="0.45">
      <c r="A1021" s="2" t="s">
        <v>1828</v>
      </c>
      <c r="B1021" s="11">
        <v>45027</v>
      </c>
      <c r="C1021" s="2" t="s">
        <v>2013</v>
      </c>
      <c r="D1021" s="2" t="s">
        <v>2018</v>
      </c>
      <c r="E1021">
        <v>1033.2</v>
      </c>
      <c r="F1021">
        <v>57859.200000000004</v>
      </c>
      <c r="G1021">
        <v>0</v>
      </c>
      <c r="H1021">
        <v>0</v>
      </c>
      <c r="I1021" s="2" t="s">
        <v>2021</v>
      </c>
      <c r="J1021" s="2" t="s">
        <v>2026</v>
      </c>
      <c r="K1021" s="2" t="s">
        <v>3849</v>
      </c>
      <c r="L1021" s="2" t="s">
        <v>4033</v>
      </c>
      <c r="M1021">
        <v>-1033.2</v>
      </c>
      <c r="N1021" s="2" t="s">
        <v>4044</v>
      </c>
      <c r="O1021">
        <v>56</v>
      </c>
      <c r="P1021">
        <v>-57859.200000000004</v>
      </c>
      <c r="Q1021" t="b">
        <v>0</v>
      </c>
      <c r="R1021" t="b">
        <v>0</v>
      </c>
      <c r="S1021" t="b">
        <v>0</v>
      </c>
      <c r="T1021" t="b">
        <v>0</v>
      </c>
      <c r="U1021">
        <v>0</v>
      </c>
      <c r="V1021" t="s">
        <v>4073</v>
      </c>
    </row>
    <row r="1022" spans="1:22" hidden="1" x14ac:dyDescent="0.45">
      <c r="A1022" s="2" t="s">
        <v>322</v>
      </c>
      <c r="B1022" s="11">
        <v>45796</v>
      </c>
      <c r="C1022" s="2" t="s">
        <v>2010</v>
      </c>
      <c r="D1022" s="2" t="s">
        <v>2015</v>
      </c>
      <c r="E1022">
        <v>0</v>
      </c>
      <c r="F1022">
        <v>0</v>
      </c>
      <c r="G1022">
        <v>561.46</v>
      </c>
      <c r="H1022">
        <v>57830.380000000005</v>
      </c>
      <c r="I1022" s="2" t="s">
        <v>2024</v>
      </c>
      <c r="J1022" s="2" t="s">
        <v>2030</v>
      </c>
      <c r="K1022" s="2" t="s">
        <v>2343</v>
      </c>
      <c r="L1022" s="2" t="s">
        <v>4031</v>
      </c>
      <c r="M1022">
        <v>561.46</v>
      </c>
      <c r="N1022" s="2" t="s">
        <v>4042</v>
      </c>
      <c r="O1022">
        <v>103</v>
      </c>
      <c r="P1022">
        <v>57830.380000000005</v>
      </c>
      <c r="Q1022" t="b">
        <v>0</v>
      </c>
      <c r="R1022" t="b">
        <v>0</v>
      </c>
      <c r="S1022" t="b">
        <v>0</v>
      </c>
      <c r="T1022" t="b">
        <v>0</v>
      </c>
      <c r="U1022">
        <v>0</v>
      </c>
      <c r="V1022" t="s">
        <v>4073</v>
      </c>
    </row>
    <row r="1023" spans="1:22" hidden="1" x14ac:dyDescent="0.45">
      <c r="A1023" s="2" t="s">
        <v>1267</v>
      </c>
      <c r="B1023" s="11">
        <v>45050</v>
      </c>
      <c r="C1023" s="2" t="s">
        <v>2012</v>
      </c>
      <c r="D1023" s="2" t="s">
        <v>2017</v>
      </c>
      <c r="E1023">
        <v>981.35</v>
      </c>
      <c r="F1023">
        <v>59862.35</v>
      </c>
      <c r="G1023">
        <v>0</v>
      </c>
      <c r="H1023">
        <v>0</v>
      </c>
      <c r="I1023" s="2" t="s">
        <v>2023</v>
      </c>
      <c r="J1023" s="2" t="s">
        <v>2029</v>
      </c>
      <c r="K1023" s="2" t="s">
        <v>3288</v>
      </c>
      <c r="L1023" s="2" t="s">
        <v>4035</v>
      </c>
      <c r="M1023">
        <v>-981.35</v>
      </c>
      <c r="N1023" s="2" t="s">
        <v>4044</v>
      </c>
      <c r="O1023">
        <v>61</v>
      </c>
      <c r="P1023">
        <v>-59862.35</v>
      </c>
      <c r="Q1023" t="b">
        <v>0</v>
      </c>
      <c r="R1023" t="b">
        <v>0</v>
      </c>
      <c r="S1023" t="b">
        <v>0</v>
      </c>
      <c r="T1023" t="b">
        <v>0</v>
      </c>
      <c r="U1023">
        <v>0</v>
      </c>
      <c r="V1023" t="s">
        <v>4073</v>
      </c>
    </row>
    <row r="1024" spans="1:22" hidden="1" x14ac:dyDescent="0.45">
      <c r="A1024" s="2" t="s">
        <v>1227</v>
      </c>
      <c r="B1024" s="11">
        <v>45707</v>
      </c>
      <c r="C1024" s="2" t="s">
        <v>2012</v>
      </c>
      <c r="D1024" s="2" t="s">
        <v>2017</v>
      </c>
      <c r="E1024">
        <v>701.24</v>
      </c>
      <c r="F1024">
        <v>57501.68</v>
      </c>
      <c r="G1024">
        <v>0</v>
      </c>
      <c r="H1024">
        <v>0</v>
      </c>
      <c r="I1024" s="2" t="s">
        <v>2020</v>
      </c>
      <c r="J1024" s="2" t="s">
        <v>2028</v>
      </c>
      <c r="K1024" s="2" t="s">
        <v>3248</v>
      </c>
      <c r="L1024" s="2" t="s">
        <v>4034</v>
      </c>
      <c r="M1024">
        <v>-701.24</v>
      </c>
      <c r="N1024" s="2" t="s">
        <v>4044</v>
      </c>
      <c r="O1024">
        <v>82</v>
      </c>
      <c r="P1024">
        <v>-57501.68</v>
      </c>
      <c r="Q1024" t="b">
        <v>0</v>
      </c>
      <c r="R1024" t="b">
        <v>0</v>
      </c>
      <c r="S1024" t="b">
        <v>0</v>
      </c>
      <c r="T1024" t="b">
        <v>0</v>
      </c>
      <c r="U1024">
        <v>0</v>
      </c>
      <c r="V1024" t="s">
        <v>4073</v>
      </c>
    </row>
    <row r="1025" spans="1:22" hidden="1" x14ac:dyDescent="0.45">
      <c r="A1025" s="2" t="s">
        <v>1074</v>
      </c>
      <c r="B1025" s="11">
        <v>45462</v>
      </c>
      <c r="C1025" s="2" t="s">
        <v>2013</v>
      </c>
      <c r="D1025" s="2" t="s">
        <v>2018</v>
      </c>
      <c r="E1025">
        <v>556.48</v>
      </c>
      <c r="F1025">
        <v>57317.440000000002</v>
      </c>
      <c r="G1025">
        <v>0</v>
      </c>
      <c r="H1025">
        <v>0</v>
      </c>
      <c r="I1025" s="2" t="s">
        <v>2023</v>
      </c>
      <c r="J1025" s="2" t="s">
        <v>2030</v>
      </c>
      <c r="K1025" s="2" t="s">
        <v>3095</v>
      </c>
      <c r="L1025" s="2" t="s">
        <v>4031</v>
      </c>
      <c r="M1025">
        <v>-556.48</v>
      </c>
      <c r="N1025" s="2" t="s">
        <v>4044</v>
      </c>
      <c r="O1025">
        <v>103</v>
      </c>
      <c r="P1025">
        <v>-57317.440000000002</v>
      </c>
      <c r="Q1025" t="b">
        <v>0</v>
      </c>
      <c r="R1025" t="b">
        <v>0</v>
      </c>
      <c r="S1025" t="b">
        <v>0</v>
      </c>
      <c r="T1025" t="b">
        <v>0</v>
      </c>
      <c r="U1025">
        <v>0</v>
      </c>
      <c r="V1025" t="s">
        <v>4073</v>
      </c>
    </row>
    <row r="1026" spans="1:22" hidden="1" x14ac:dyDescent="0.45">
      <c r="A1026" s="2" t="s">
        <v>532</v>
      </c>
      <c r="B1026" s="11">
        <v>45188</v>
      </c>
      <c r="C1026" s="2" t="s">
        <v>2011</v>
      </c>
      <c r="D1026" s="2" t="s">
        <v>2016</v>
      </c>
      <c r="E1026">
        <v>649.98</v>
      </c>
      <c r="F1026">
        <v>57198.240000000005</v>
      </c>
      <c r="G1026">
        <v>0</v>
      </c>
      <c r="H1026">
        <v>0</v>
      </c>
      <c r="I1026" s="2" t="s">
        <v>2022</v>
      </c>
      <c r="J1026" s="2" t="s">
        <v>2029</v>
      </c>
      <c r="K1026" s="2" t="s">
        <v>2553</v>
      </c>
      <c r="L1026" s="2" t="s">
        <v>4032</v>
      </c>
      <c r="M1026">
        <v>-649.98</v>
      </c>
      <c r="N1026" s="2" t="s">
        <v>2016</v>
      </c>
      <c r="O1026">
        <v>88</v>
      </c>
      <c r="P1026">
        <v>-57198.240000000005</v>
      </c>
      <c r="Q1026" t="b">
        <v>0</v>
      </c>
      <c r="R1026" t="b">
        <v>0</v>
      </c>
      <c r="S1026" t="b">
        <v>0</v>
      </c>
      <c r="T1026" t="b">
        <v>0</v>
      </c>
      <c r="U1026">
        <v>0</v>
      </c>
      <c r="V1026" t="s">
        <v>4073</v>
      </c>
    </row>
    <row r="1027" spans="1:22" hidden="1" x14ac:dyDescent="0.45">
      <c r="A1027" s="2" t="s">
        <v>1471</v>
      </c>
      <c r="B1027" s="11">
        <v>45649</v>
      </c>
      <c r="C1027" s="2" t="s">
        <v>2012</v>
      </c>
      <c r="D1027" s="2" t="s">
        <v>2017</v>
      </c>
      <c r="E1027">
        <v>1020.63</v>
      </c>
      <c r="F1027">
        <v>57155.28</v>
      </c>
      <c r="G1027">
        <v>0</v>
      </c>
      <c r="H1027">
        <v>0</v>
      </c>
      <c r="I1027" s="2" t="s">
        <v>2023</v>
      </c>
      <c r="J1027" s="2" t="s">
        <v>2028</v>
      </c>
      <c r="K1027" s="2" t="s">
        <v>3492</v>
      </c>
      <c r="L1027" s="2" t="s">
        <v>4033</v>
      </c>
      <c r="M1027">
        <v>-1020.63</v>
      </c>
      <c r="N1027" s="2" t="s">
        <v>4044</v>
      </c>
      <c r="O1027">
        <v>56</v>
      </c>
      <c r="P1027">
        <v>-57155.28</v>
      </c>
      <c r="Q1027" t="b">
        <v>0</v>
      </c>
      <c r="R1027" t="b">
        <v>0</v>
      </c>
      <c r="S1027" t="b">
        <v>0</v>
      </c>
      <c r="T1027" t="b">
        <v>0</v>
      </c>
      <c r="U1027">
        <v>0</v>
      </c>
      <c r="V1027" t="s">
        <v>4073</v>
      </c>
    </row>
    <row r="1028" spans="1:22" hidden="1" x14ac:dyDescent="0.45">
      <c r="A1028" s="2" t="s">
        <v>37</v>
      </c>
      <c r="B1028" s="11">
        <v>45820</v>
      </c>
      <c r="C1028" s="2" t="s">
        <v>2014</v>
      </c>
      <c r="D1028" s="2" t="s">
        <v>2019</v>
      </c>
      <c r="E1028">
        <v>0</v>
      </c>
      <c r="F1028">
        <v>0</v>
      </c>
      <c r="G1028">
        <v>1073.4100000000001</v>
      </c>
      <c r="H1028">
        <v>60110.960000000006</v>
      </c>
      <c r="I1028" s="2" t="s">
        <v>2020</v>
      </c>
      <c r="J1028" s="2" t="s">
        <v>2028</v>
      </c>
      <c r="K1028" s="2" t="s">
        <v>2058</v>
      </c>
      <c r="L1028" s="2" t="s">
        <v>4033</v>
      </c>
      <c r="M1028">
        <v>1073.4100000000001</v>
      </c>
      <c r="N1028" s="2" t="s">
        <v>4042</v>
      </c>
      <c r="O1028">
        <v>56</v>
      </c>
      <c r="P1028">
        <v>60110.960000000006</v>
      </c>
      <c r="Q1028" t="b">
        <v>0</v>
      </c>
      <c r="R1028" t="b">
        <v>0</v>
      </c>
      <c r="S1028" t="b">
        <v>0</v>
      </c>
      <c r="T1028" t="b">
        <v>0</v>
      </c>
      <c r="U1028">
        <v>0</v>
      </c>
      <c r="V1028" t="s">
        <v>4073</v>
      </c>
    </row>
    <row r="1029" spans="1:22" hidden="1" x14ac:dyDescent="0.45">
      <c r="A1029" s="2" t="s">
        <v>223</v>
      </c>
      <c r="B1029" s="11">
        <v>45707</v>
      </c>
      <c r="C1029" s="2" t="s">
        <v>2011</v>
      </c>
      <c r="D1029" s="2" t="s">
        <v>2016</v>
      </c>
      <c r="E1029">
        <v>1003.8</v>
      </c>
      <c r="F1029">
        <v>56212.799999999996</v>
      </c>
      <c r="G1029">
        <v>0</v>
      </c>
      <c r="H1029">
        <v>0</v>
      </c>
      <c r="I1029" s="2" t="s">
        <v>2023</v>
      </c>
      <c r="J1029" s="2" t="s">
        <v>2030</v>
      </c>
      <c r="K1029" s="2" t="s">
        <v>2244</v>
      </c>
      <c r="L1029" s="2" t="s">
        <v>4033</v>
      </c>
      <c r="M1029">
        <v>-1003.8</v>
      </c>
      <c r="N1029" s="2" t="s">
        <v>2016</v>
      </c>
      <c r="O1029">
        <v>56</v>
      </c>
      <c r="P1029">
        <v>-56212.799999999996</v>
      </c>
      <c r="Q1029" t="b">
        <v>0</v>
      </c>
      <c r="R1029" t="b">
        <v>0</v>
      </c>
      <c r="S1029" t="b">
        <v>0</v>
      </c>
      <c r="T1029" t="b">
        <v>0</v>
      </c>
      <c r="U1029">
        <v>0</v>
      </c>
      <c r="V1029" t="s">
        <v>4073</v>
      </c>
    </row>
    <row r="1030" spans="1:22" hidden="1" x14ac:dyDescent="0.45">
      <c r="A1030" s="2" t="s">
        <v>753</v>
      </c>
      <c r="B1030" s="11">
        <v>45754</v>
      </c>
      <c r="C1030" s="2" t="s">
        <v>2011</v>
      </c>
      <c r="D1030" s="2" t="s">
        <v>2016</v>
      </c>
      <c r="E1030">
        <v>75.27</v>
      </c>
      <c r="F1030">
        <v>6623.7599999999993</v>
      </c>
      <c r="G1030">
        <v>0</v>
      </c>
      <c r="H1030">
        <v>0</v>
      </c>
      <c r="I1030" s="2" t="s">
        <v>2025</v>
      </c>
      <c r="J1030" s="2" t="s">
        <v>2028</v>
      </c>
      <c r="K1030" s="2" t="s">
        <v>2774</v>
      </c>
      <c r="L1030" s="2" t="s">
        <v>4032</v>
      </c>
      <c r="M1030">
        <v>-75.27</v>
      </c>
      <c r="N1030" s="2" t="s">
        <v>2016</v>
      </c>
      <c r="O1030">
        <v>88</v>
      </c>
      <c r="P1030">
        <v>-6623.7599999999993</v>
      </c>
      <c r="Q1030" t="b">
        <v>0</v>
      </c>
      <c r="R1030" t="b">
        <v>0</v>
      </c>
      <c r="S1030" t="b">
        <v>0</v>
      </c>
      <c r="T1030" t="b">
        <v>0</v>
      </c>
      <c r="U1030">
        <v>0</v>
      </c>
      <c r="V1030" t="s">
        <v>4073</v>
      </c>
    </row>
    <row r="1031" spans="1:22" hidden="1" x14ac:dyDescent="0.45">
      <c r="A1031" s="2" t="s">
        <v>1005</v>
      </c>
      <c r="B1031" s="11">
        <v>44958</v>
      </c>
      <c r="C1031" s="2" t="s">
        <v>2012</v>
      </c>
      <c r="D1031" s="2" t="s">
        <v>2017</v>
      </c>
      <c r="E1031">
        <v>1003.28</v>
      </c>
      <c r="F1031">
        <v>56183.68</v>
      </c>
      <c r="G1031">
        <v>0</v>
      </c>
      <c r="H1031">
        <v>0</v>
      </c>
      <c r="I1031" s="2" t="s">
        <v>2020</v>
      </c>
      <c r="J1031" s="2" t="s">
        <v>2029</v>
      </c>
      <c r="K1031" s="2" t="s">
        <v>3026</v>
      </c>
      <c r="L1031" s="2" t="s">
        <v>4033</v>
      </c>
      <c r="M1031">
        <v>-1003.28</v>
      </c>
      <c r="N1031" s="2" t="s">
        <v>4044</v>
      </c>
      <c r="O1031">
        <v>56</v>
      </c>
      <c r="P1031">
        <v>-56183.68</v>
      </c>
      <c r="Q1031" t="b">
        <v>0</v>
      </c>
      <c r="R1031" t="b">
        <v>0</v>
      </c>
      <c r="S1031" t="b">
        <v>0</v>
      </c>
      <c r="T1031" t="b">
        <v>0</v>
      </c>
      <c r="U1031">
        <v>0</v>
      </c>
      <c r="V1031" t="s">
        <v>4073</v>
      </c>
    </row>
    <row r="1032" spans="1:22" hidden="1" x14ac:dyDescent="0.45">
      <c r="A1032" s="2" t="s">
        <v>1990</v>
      </c>
      <c r="B1032" s="11">
        <v>45338</v>
      </c>
      <c r="C1032" s="2" t="s">
        <v>2012</v>
      </c>
      <c r="D1032" s="2" t="s">
        <v>2017</v>
      </c>
      <c r="E1032">
        <v>704.55</v>
      </c>
      <c r="F1032">
        <v>62000.399999999994</v>
      </c>
      <c r="G1032">
        <v>0</v>
      </c>
      <c r="H1032">
        <v>0</v>
      </c>
      <c r="I1032" s="2" t="s">
        <v>2023</v>
      </c>
      <c r="J1032" s="2" t="s">
        <v>2026</v>
      </c>
      <c r="K1032" s="2" t="s">
        <v>4011</v>
      </c>
      <c r="L1032" s="2" t="s">
        <v>4032</v>
      </c>
      <c r="M1032">
        <v>-704.55</v>
      </c>
      <c r="N1032" s="2" t="s">
        <v>4044</v>
      </c>
      <c r="O1032">
        <v>88</v>
      </c>
      <c r="P1032">
        <v>-62000.399999999994</v>
      </c>
      <c r="Q1032" t="b">
        <v>0</v>
      </c>
      <c r="R1032" t="b">
        <v>0</v>
      </c>
      <c r="S1032" t="b">
        <v>0</v>
      </c>
      <c r="T1032" t="b">
        <v>0</v>
      </c>
      <c r="U1032">
        <v>0</v>
      </c>
      <c r="V1032" t="s">
        <v>4073</v>
      </c>
    </row>
    <row r="1033" spans="1:22" hidden="1" x14ac:dyDescent="0.45">
      <c r="A1033" s="2" t="s">
        <v>1404</v>
      </c>
      <c r="B1033" s="11">
        <v>45223</v>
      </c>
      <c r="C1033" s="2" t="s">
        <v>2013</v>
      </c>
      <c r="D1033" s="2" t="s">
        <v>2018</v>
      </c>
      <c r="E1033">
        <v>1030.07</v>
      </c>
      <c r="F1033">
        <v>62834.27</v>
      </c>
      <c r="G1033">
        <v>0</v>
      </c>
      <c r="H1033">
        <v>0</v>
      </c>
      <c r="I1033" s="2" t="s">
        <v>2021</v>
      </c>
      <c r="J1033" s="2" t="s">
        <v>2027</v>
      </c>
      <c r="K1033" s="2" t="s">
        <v>3425</v>
      </c>
      <c r="L1033" s="2" t="s">
        <v>4035</v>
      </c>
      <c r="M1033">
        <v>-1030.07</v>
      </c>
      <c r="N1033" s="2" t="s">
        <v>4044</v>
      </c>
      <c r="O1033">
        <v>61</v>
      </c>
      <c r="P1033">
        <v>-62834.27</v>
      </c>
      <c r="Q1033" t="b">
        <v>0</v>
      </c>
      <c r="R1033" t="b">
        <v>0</v>
      </c>
      <c r="S1033" t="b">
        <v>0</v>
      </c>
      <c r="T1033" t="b">
        <v>0</v>
      </c>
      <c r="U1033">
        <v>0</v>
      </c>
      <c r="V1033" t="s">
        <v>4073</v>
      </c>
    </row>
    <row r="1034" spans="1:22" hidden="1" x14ac:dyDescent="0.45">
      <c r="A1034" s="2" t="s">
        <v>1409</v>
      </c>
      <c r="B1034" s="11">
        <v>45128</v>
      </c>
      <c r="C1034" s="2" t="s">
        <v>2013</v>
      </c>
      <c r="D1034" s="2" t="s">
        <v>2018</v>
      </c>
      <c r="E1034">
        <v>1122.26</v>
      </c>
      <c r="F1034">
        <v>62846.559999999998</v>
      </c>
      <c r="G1034">
        <v>0</v>
      </c>
      <c r="H1034">
        <v>0</v>
      </c>
      <c r="I1034" s="2" t="s">
        <v>2022</v>
      </c>
      <c r="J1034" s="2" t="s">
        <v>2026</v>
      </c>
      <c r="K1034" s="2" t="s">
        <v>3430</v>
      </c>
      <c r="L1034" s="2" t="s">
        <v>4033</v>
      </c>
      <c r="M1034">
        <v>-1122.26</v>
      </c>
      <c r="N1034" s="2" t="s">
        <v>4044</v>
      </c>
      <c r="O1034">
        <v>56</v>
      </c>
      <c r="P1034">
        <v>-62846.559999999998</v>
      </c>
      <c r="Q1034" t="b">
        <v>0</v>
      </c>
      <c r="R1034" t="b">
        <v>0</v>
      </c>
      <c r="S1034" t="b">
        <v>0</v>
      </c>
      <c r="T1034" t="b">
        <v>0</v>
      </c>
      <c r="U1034">
        <v>0</v>
      </c>
      <c r="V1034" t="s">
        <v>4073</v>
      </c>
    </row>
    <row r="1035" spans="1:22" hidden="1" x14ac:dyDescent="0.45">
      <c r="A1035" s="2" t="s">
        <v>390</v>
      </c>
      <c r="B1035" s="11">
        <v>45110</v>
      </c>
      <c r="C1035" s="2" t="s">
        <v>2013</v>
      </c>
      <c r="D1035" s="2" t="s">
        <v>2018</v>
      </c>
      <c r="E1035">
        <v>64.73</v>
      </c>
      <c r="F1035">
        <v>5307.8600000000006</v>
      </c>
      <c r="G1035">
        <v>0</v>
      </c>
      <c r="H1035">
        <v>0</v>
      </c>
      <c r="I1035" s="2" t="s">
        <v>2021</v>
      </c>
      <c r="J1035" s="2" t="s">
        <v>2029</v>
      </c>
      <c r="K1035" s="2" t="s">
        <v>2411</v>
      </c>
      <c r="L1035" s="2" t="s">
        <v>4034</v>
      </c>
      <c r="M1035">
        <v>-64.73</v>
      </c>
      <c r="N1035" s="2" t="s">
        <v>4044</v>
      </c>
      <c r="O1035">
        <v>82</v>
      </c>
      <c r="P1035">
        <v>-5307.8600000000006</v>
      </c>
      <c r="Q1035" t="b">
        <v>0</v>
      </c>
      <c r="R1035" t="b">
        <v>0</v>
      </c>
      <c r="S1035" t="b">
        <v>0</v>
      </c>
      <c r="T1035" t="b">
        <v>0</v>
      </c>
      <c r="U1035">
        <v>0</v>
      </c>
      <c r="V1035" t="s">
        <v>4073</v>
      </c>
    </row>
    <row r="1036" spans="1:22" hidden="1" x14ac:dyDescent="0.45">
      <c r="A1036" s="2" t="s">
        <v>2004</v>
      </c>
      <c r="B1036" s="11">
        <v>45299</v>
      </c>
      <c r="C1036" s="2" t="s">
        <v>2014</v>
      </c>
      <c r="D1036" s="2" t="s">
        <v>2019</v>
      </c>
      <c r="E1036">
        <v>0</v>
      </c>
      <c r="F1036">
        <v>0</v>
      </c>
      <c r="G1036">
        <v>767.31</v>
      </c>
      <c r="H1036">
        <v>62919.42</v>
      </c>
      <c r="I1036" s="2" t="s">
        <v>2020</v>
      </c>
      <c r="J1036" s="2" t="s">
        <v>2030</v>
      </c>
      <c r="K1036" s="2" t="s">
        <v>4025</v>
      </c>
      <c r="L1036" s="2" t="s">
        <v>4034</v>
      </c>
      <c r="M1036">
        <v>767.31</v>
      </c>
      <c r="N1036" s="2" t="s">
        <v>4042</v>
      </c>
      <c r="O1036">
        <v>82</v>
      </c>
      <c r="P1036">
        <v>62919.42</v>
      </c>
      <c r="Q1036" t="b">
        <v>0</v>
      </c>
      <c r="R1036" t="b">
        <v>0</v>
      </c>
      <c r="S1036" t="b">
        <v>0</v>
      </c>
      <c r="T1036" t="b">
        <v>0</v>
      </c>
      <c r="U1036">
        <v>0</v>
      </c>
      <c r="V1036" t="s">
        <v>4073</v>
      </c>
    </row>
    <row r="1037" spans="1:22" hidden="1" x14ac:dyDescent="0.45">
      <c r="A1037" s="2" t="s">
        <v>1978</v>
      </c>
      <c r="B1037" s="11">
        <v>45218</v>
      </c>
      <c r="C1037" s="2" t="s">
        <v>2012</v>
      </c>
      <c r="D1037" s="2" t="s">
        <v>2017</v>
      </c>
      <c r="E1037">
        <v>961.76</v>
      </c>
      <c r="F1037">
        <v>53858.559999999998</v>
      </c>
      <c r="G1037">
        <v>0</v>
      </c>
      <c r="H1037">
        <v>0</v>
      </c>
      <c r="I1037" s="2" t="s">
        <v>2023</v>
      </c>
      <c r="J1037" s="2" t="s">
        <v>2028</v>
      </c>
      <c r="K1037" s="2" t="s">
        <v>3999</v>
      </c>
      <c r="L1037" s="2" t="s">
        <v>4033</v>
      </c>
      <c r="M1037">
        <v>-961.76</v>
      </c>
      <c r="N1037" s="2" t="s">
        <v>4044</v>
      </c>
      <c r="O1037">
        <v>56</v>
      </c>
      <c r="P1037">
        <v>-53858.559999999998</v>
      </c>
      <c r="Q1037" t="b">
        <v>0</v>
      </c>
      <c r="R1037" t="b">
        <v>0</v>
      </c>
      <c r="S1037" t="b">
        <v>0</v>
      </c>
      <c r="T1037" t="b">
        <v>0</v>
      </c>
      <c r="U1037">
        <v>0</v>
      </c>
      <c r="V1037" t="s">
        <v>4073</v>
      </c>
    </row>
    <row r="1038" spans="1:22" hidden="1" x14ac:dyDescent="0.45">
      <c r="A1038" s="2" t="s">
        <v>369</v>
      </c>
      <c r="B1038" s="11">
        <v>45461</v>
      </c>
      <c r="C1038" s="2" t="s">
        <v>2010</v>
      </c>
      <c r="D1038" s="2" t="s">
        <v>2015</v>
      </c>
      <c r="E1038">
        <v>0</v>
      </c>
      <c r="F1038">
        <v>0</v>
      </c>
      <c r="G1038">
        <v>1032.8399999999999</v>
      </c>
      <c r="H1038">
        <v>63003.24</v>
      </c>
      <c r="I1038" s="2" t="s">
        <v>2022</v>
      </c>
      <c r="J1038" s="2" t="s">
        <v>2029</v>
      </c>
      <c r="K1038" s="2" t="s">
        <v>2390</v>
      </c>
      <c r="L1038" s="2" t="s">
        <v>4035</v>
      </c>
      <c r="M1038">
        <v>1032.8399999999999</v>
      </c>
      <c r="N1038" s="2" t="s">
        <v>4042</v>
      </c>
      <c r="O1038">
        <v>61</v>
      </c>
      <c r="P1038">
        <v>63003.24</v>
      </c>
      <c r="Q1038" t="b">
        <v>0</v>
      </c>
      <c r="R1038" t="b">
        <v>0</v>
      </c>
      <c r="S1038" t="b">
        <v>0</v>
      </c>
      <c r="T1038" t="b">
        <v>0</v>
      </c>
      <c r="U1038">
        <v>0</v>
      </c>
      <c r="V1038" t="s">
        <v>4073</v>
      </c>
    </row>
    <row r="1039" spans="1:22" hidden="1" x14ac:dyDescent="0.45">
      <c r="A1039" s="2" t="s">
        <v>377</v>
      </c>
      <c r="B1039" s="11">
        <v>45023</v>
      </c>
      <c r="C1039" s="2" t="s">
        <v>2011</v>
      </c>
      <c r="D1039" s="2" t="s">
        <v>2016</v>
      </c>
      <c r="E1039">
        <v>74.209999999999994</v>
      </c>
      <c r="F1039">
        <v>4526.8099999999995</v>
      </c>
      <c r="G1039">
        <v>0</v>
      </c>
      <c r="H1039">
        <v>0</v>
      </c>
      <c r="I1039" s="2" t="s">
        <v>2023</v>
      </c>
      <c r="J1039" s="2" t="s">
        <v>2030</v>
      </c>
      <c r="K1039" s="2" t="s">
        <v>2398</v>
      </c>
      <c r="L1039" s="2" t="s">
        <v>4035</v>
      </c>
      <c r="M1039">
        <v>-74.209999999999994</v>
      </c>
      <c r="N1039" s="2" t="s">
        <v>2016</v>
      </c>
      <c r="O1039">
        <v>61</v>
      </c>
      <c r="P1039">
        <v>-4526.8099999999995</v>
      </c>
      <c r="Q1039" t="b">
        <v>0</v>
      </c>
      <c r="R1039" t="b">
        <v>0</v>
      </c>
      <c r="S1039" t="b">
        <v>0</v>
      </c>
      <c r="T1039" t="b">
        <v>0</v>
      </c>
      <c r="U1039">
        <v>0</v>
      </c>
      <c r="V1039" t="s">
        <v>4073</v>
      </c>
    </row>
    <row r="1040" spans="1:22" hidden="1" x14ac:dyDescent="0.45">
      <c r="A1040" s="2" t="s">
        <v>1322</v>
      </c>
      <c r="B1040" s="11">
        <v>44938</v>
      </c>
      <c r="C1040" s="2" t="s">
        <v>2013</v>
      </c>
      <c r="D1040" s="2" t="s">
        <v>2018</v>
      </c>
      <c r="E1040">
        <v>770.81</v>
      </c>
      <c r="F1040">
        <v>63206.42</v>
      </c>
      <c r="G1040">
        <v>0</v>
      </c>
      <c r="H1040">
        <v>0</v>
      </c>
      <c r="I1040" s="2" t="s">
        <v>2022</v>
      </c>
      <c r="J1040" s="2" t="s">
        <v>2030</v>
      </c>
      <c r="K1040" s="2" t="s">
        <v>3343</v>
      </c>
      <c r="L1040" s="2" t="s">
        <v>4034</v>
      </c>
      <c r="M1040">
        <v>-770.81</v>
      </c>
      <c r="N1040" s="2" t="s">
        <v>4044</v>
      </c>
      <c r="O1040">
        <v>82</v>
      </c>
      <c r="P1040">
        <v>-63206.42</v>
      </c>
      <c r="Q1040" t="b">
        <v>0</v>
      </c>
      <c r="R1040" t="b">
        <v>0</v>
      </c>
      <c r="S1040" t="b">
        <v>0</v>
      </c>
      <c r="T1040" t="b">
        <v>0</v>
      </c>
      <c r="U1040">
        <v>0</v>
      </c>
      <c r="V1040" t="s">
        <v>4073</v>
      </c>
    </row>
    <row r="1041" spans="1:22" hidden="1" x14ac:dyDescent="0.45">
      <c r="A1041" s="2" t="s">
        <v>2005</v>
      </c>
      <c r="B1041" s="11">
        <v>45812</v>
      </c>
      <c r="C1041" s="2" t="s">
        <v>2013</v>
      </c>
      <c r="D1041" s="2" t="s">
        <v>2018</v>
      </c>
      <c r="E1041">
        <v>719.33</v>
      </c>
      <c r="F1041">
        <v>63301.04</v>
      </c>
      <c r="G1041">
        <v>0</v>
      </c>
      <c r="H1041">
        <v>0</v>
      </c>
      <c r="I1041" s="2" t="s">
        <v>2022</v>
      </c>
      <c r="J1041" s="2" t="s">
        <v>2027</v>
      </c>
      <c r="K1041" s="2" t="s">
        <v>4026</v>
      </c>
      <c r="L1041" s="2" t="s">
        <v>4032</v>
      </c>
      <c r="M1041">
        <v>-719.33</v>
      </c>
      <c r="N1041" s="2" t="s">
        <v>4044</v>
      </c>
      <c r="O1041">
        <v>88</v>
      </c>
      <c r="P1041">
        <v>-63301.04</v>
      </c>
      <c r="Q1041" t="b">
        <v>0</v>
      </c>
      <c r="R1041" t="b">
        <v>0</v>
      </c>
      <c r="S1041" t="b">
        <v>0</v>
      </c>
      <c r="T1041" t="b">
        <v>0</v>
      </c>
      <c r="U1041">
        <v>0</v>
      </c>
      <c r="V1041" t="s">
        <v>4073</v>
      </c>
    </row>
    <row r="1042" spans="1:22" hidden="1" x14ac:dyDescent="0.45">
      <c r="A1042" s="2" t="s">
        <v>1915</v>
      </c>
      <c r="B1042" s="11">
        <v>45153</v>
      </c>
      <c r="C1042" s="2" t="s">
        <v>2011</v>
      </c>
      <c r="D1042" s="2" t="s">
        <v>2016</v>
      </c>
      <c r="E1042">
        <v>54.12</v>
      </c>
      <c r="F1042">
        <v>5574.36</v>
      </c>
      <c r="G1042">
        <v>0</v>
      </c>
      <c r="H1042">
        <v>0</v>
      </c>
      <c r="I1042" s="2" t="s">
        <v>2020</v>
      </c>
      <c r="J1042" s="2" t="s">
        <v>2030</v>
      </c>
      <c r="K1042" s="2" t="s">
        <v>3936</v>
      </c>
      <c r="L1042" s="2" t="s">
        <v>4031</v>
      </c>
      <c r="M1042">
        <v>-54.12</v>
      </c>
      <c r="N1042" s="2" t="s">
        <v>2016</v>
      </c>
      <c r="O1042">
        <v>103</v>
      </c>
      <c r="P1042">
        <v>-5574.36</v>
      </c>
      <c r="Q1042" t="b">
        <v>0</v>
      </c>
      <c r="R1042" t="b">
        <v>0</v>
      </c>
      <c r="S1042" t="b">
        <v>0</v>
      </c>
      <c r="T1042" t="b">
        <v>0</v>
      </c>
      <c r="U1042">
        <v>0</v>
      </c>
      <c r="V1042" t="s">
        <v>4073</v>
      </c>
    </row>
    <row r="1043" spans="1:22" hidden="1" x14ac:dyDescent="0.45">
      <c r="A1043" s="2" t="s">
        <v>1946</v>
      </c>
      <c r="B1043" s="11">
        <v>45119</v>
      </c>
      <c r="C1043" s="2" t="s">
        <v>2013</v>
      </c>
      <c r="D1043" s="2" t="s">
        <v>2018</v>
      </c>
      <c r="E1043">
        <v>721.91</v>
      </c>
      <c r="F1043">
        <v>63528.079999999994</v>
      </c>
      <c r="G1043">
        <v>0</v>
      </c>
      <c r="H1043">
        <v>0</v>
      </c>
      <c r="I1043" s="2" t="s">
        <v>2023</v>
      </c>
      <c r="J1043" s="2" t="s">
        <v>2026</v>
      </c>
      <c r="K1043" s="2" t="s">
        <v>3967</v>
      </c>
      <c r="L1043" s="2" t="s">
        <v>4032</v>
      </c>
      <c r="M1043">
        <v>-721.91</v>
      </c>
      <c r="N1043" s="2" t="s">
        <v>4044</v>
      </c>
      <c r="O1043">
        <v>88</v>
      </c>
      <c r="P1043">
        <v>-63528.079999999994</v>
      </c>
      <c r="Q1043" t="b">
        <v>0</v>
      </c>
      <c r="R1043" t="b">
        <v>0</v>
      </c>
      <c r="S1043" t="b">
        <v>0</v>
      </c>
      <c r="T1043" t="b">
        <v>0</v>
      </c>
      <c r="U1043">
        <v>0</v>
      </c>
      <c r="V1043" t="s">
        <v>4073</v>
      </c>
    </row>
    <row r="1044" spans="1:22" hidden="1" x14ac:dyDescent="0.45">
      <c r="A1044" s="2" t="s">
        <v>1464</v>
      </c>
      <c r="B1044" s="11">
        <v>44929</v>
      </c>
      <c r="C1044" s="2" t="s">
        <v>2011</v>
      </c>
      <c r="D1044" s="2" t="s">
        <v>2016</v>
      </c>
      <c r="E1044">
        <v>1135.3699999999999</v>
      </c>
      <c r="F1044">
        <v>63580.719999999994</v>
      </c>
      <c r="G1044">
        <v>0</v>
      </c>
      <c r="H1044">
        <v>0</v>
      </c>
      <c r="I1044" s="2" t="s">
        <v>2023</v>
      </c>
      <c r="J1044" s="2" t="s">
        <v>2030</v>
      </c>
      <c r="K1044" s="2" t="s">
        <v>3485</v>
      </c>
      <c r="L1044" s="2" t="s">
        <v>4033</v>
      </c>
      <c r="M1044">
        <v>-1135.3699999999999</v>
      </c>
      <c r="N1044" s="2" t="s">
        <v>2016</v>
      </c>
      <c r="O1044">
        <v>56</v>
      </c>
      <c r="P1044">
        <v>-63580.719999999994</v>
      </c>
      <c r="Q1044" t="b">
        <v>0</v>
      </c>
      <c r="R1044" t="b">
        <v>0</v>
      </c>
      <c r="S1044" t="b">
        <v>0</v>
      </c>
      <c r="T1044" t="b">
        <v>0</v>
      </c>
      <c r="U1044">
        <v>0</v>
      </c>
      <c r="V1044" t="s">
        <v>4073</v>
      </c>
    </row>
    <row r="1045" spans="1:22" hidden="1" x14ac:dyDescent="0.45">
      <c r="A1045" s="2" t="s">
        <v>892</v>
      </c>
      <c r="B1045" s="11">
        <v>45282</v>
      </c>
      <c r="C1045" s="2" t="s">
        <v>2013</v>
      </c>
      <c r="D1045" s="2" t="s">
        <v>2018</v>
      </c>
      <c r="E1045">
        <v>100.56</v>
      </c>
      <c r="F1045">
        <v>6134.16</v>
      </c>
      <c r="G1045">
        <v>0</v>
      </c>
      <c r="H1045">
        <v>0</v>
      </c>
      <c r="I1045" s="2" t="s">
        <v>2021</v>
      </c>
      <c r="J1045" s="2" t="s">
        <v>2026</v>
      </c>
      <c r="K1045" s="2" t="s">
        <v>2913</v>
      </c>
      <c r="L1045" s="2" t="s">
        <v>4035</v>
      </c>
      <c r="M1045">
        <v>-100.56</v>
      </c>
      <c r="N1045" s="2" t="s">
        <v>4044</v>
      </c>
      <c r="O1045">
        <v>61</v>
      </c>
      <c r="P1045">
        <v>-6134.16</v>
      </c>
      <c r="Q1045" t="b">
        <v>0</v>
      </c>
      <c r="R1045" t="b">
        <v>0</v>
      </c>
      <c r="S1045" t="b">
        <v>0</v>
      </c>
      <c r="T1045" t="b">
        <v>0</v>
      </c>
      <c r="U1045">
        <v>0</v>
      </c>
      <c r="V1045" t="s">
        <v>4073</v>
      </c>
    </row>
    <row r="1046" spans="1:22" hidden="1" x14ac:dyDescent="0.45">
      <c r="A1046" s="2" t="s">
        <v>236</v>
      </c>
      <c r="B1046" s="11">
        <v>45607</v>
      </c>
      <c r="C1046" s="2" t="s">
        <v>2012</v>
      </c>
      <c r="D1046" s="2" t="s">
        <v>2017</v>
      </c>
      <c r="E1046">
        <v>103.53</v>
      </c>
      <c r="F1046">
        <v>6315.33</v>
      </c>
      <c r="G1046">
        <v>0</v>
      </c>
      <c r="H1046">
        <v>0</v>
      </c>
      <c r="I1046" s="2" t="s">
        <v>2022</v>
      </c>
      <c r="J1046" s="2" t="s">
        <v>2028</v>
      </c>
      <c r="K1046" s="2" t="s">
        <v>2257</v>
      </c>
      <c r="L1046" s="2" t="s">
        <v>4035</v>
      </c>
      <c r="M1046">
        <v>-103.53</v>
      </c>
      <c r="N1046" s="2" t="s">
        <v>4044</v>
      </c>
      <c r="O1046">
        <v>61</v>
      </c>
      <c r="P1046">
        <v>-6315.33</v>
      </c>
      <c r="Q1046" t="b">
        <v>0</v>
      </c>
      <c r="R1046" t="b">
        <v>0</v>
      </c>
      <c r="S1046" t="b">
        <v>0</v>
      </c>
      <c r="T1046" t="b">
        <v>0</v>
      </c>
      <c r="U1046">
        <v>0</v>
      </c>
      <c r="V1046" t="s">
        <v>4073</v>
      </c>
    </row>
    <row r="1047" spans="1:22" hidden="1" x14ac:dyDescent="0.45">
      <c r="A1047" s="2" t="s">
        <v>1801</v>
      </c>
      <c r="B1047" s="11">
        <v>45729</v>
      </c>
      <c r="C1047" s="2" t="s">
        <v>2013</v>
      </c>
      <c r="D1047" s="2" t="s">
        <v>2018</v>
      </c>
      <c r="E1047">
        <v>877.51</v>
      </c>
      <c r="F1047">
        <v>53528.11</v>
      </c>
      <c r="G1047">
        <v>0</v>
      </c>
      <c r="H1047">
        <v>0</v>
      </c>
      <c r="I1047" s="2" t="s">
        <v>2024</v>
      </c>
      <c r="J1047" s="2" t="s">
        <v>2030</v>
      </c>
      <c r="K1047" s="2" t="s">
        <v>3822</v>
      </c>
      <c r="L1047" s="2" t="s">
        <v>4035</v>
      </c>
      <c r="M1047">
        <v>-877.51</v>
      </c>
      <c r="N1047" s="2" t="s">
        <v>4044</v>
      </c>
      <c r="O1047">
        <v>61</v>
      </c>
      <c r="P1047">
        <v>-53528.11</v>
      </c>
      <c r="Q1047" t="b">
        <v>0</v>
      </c>
      <c r="R1047" t="b">
        <v>0</v>
      </c>
      <c r="S1047" t="b">
        <v>0</v>
      </c>
      <c r="T1047" t="b">
        <v>0</v>
      </c>
      <c r="U1047">
        <v>0</v>
      </c>
      <c r="V1047" t="s">
        <v>4073</v>
      </c>
    </row>
    <row r="1048" spans="1:22" hidden="1" x14ac:dyDescent="0.45">
      <c r="A1048" s="2" t="s">
        <v>114</v>
      </c>
      <c r="B1048" s="11">
        <v>45170</v>
      </c>
      <c r="C1048" s="2" t="s">
        <v>2012</v>
      </c>
      <c r="D1048" s="2" t="s">
        <v>2017</v>
      </c>
      <c r="E1048">
        <v>764.96</v>
      </c>
      <c r="F1048">
        <v>62726.720000000001</v>
      </c>
      <c r="G1048">
        <v>0</v>
      </c>
      <c r="H1048">
        <v>0</v>
      </c>
      <c r="I1048" s="2" t="s">
        <v>2024</v>
      </c>
      <c r="J1048" s="2" t="s">
        <v>2029</v>
      </c>
      <c r="K1048" s="2" t="s">
        <v>2135</v>
      </c>
      <c r="L1048" s="2" t="s">
        <v>4034</v>
      </c>
      <c r="M1048">
        <v>-764.96</v>
      </c>
      <c r="N1048" s="2" t="s">
        <v>4044</v>
      </c>
      <c r="O1048">
        <v>82</v>
      </c>
      <c r="P1048">
        <v>-62726.720000000001</v>
      </c>
      <c r="Q1048" t="b">
        <v>0</v>
      </c>
      <c r="R1048" t="b">
        <v>0</v>
      </c>
      <c r="S1048" t="b">
        <v>0</v>
      </c>
      <c r="T1048" t="b">
        <v>0</v>
      </c>
      <c r="U1048">
        <v>0</v>
      </c>
      <c r="V1048" t="s">
        <v>4073</v>
      </c>
    </row>
    <row r="1049" spans="1:22" hidden="1" x14ac:dyDescent="0.45">
      <c r="A1049" s="2" t="s">
        <v>577</v>
      </c>
      <c r="B1049" s="11">
        <v>45456</v>
      </c>
      <c r="C1049" s="2" t="s">
        <v>2014</v>
      </c>
      <c r="D1049" s="2" t="s">
        <v>2019</v>
      </c>
      <c r="E1049">
        <v>0</v>
      </c>
      <c r="F1049">
        <v>0</v>
      </c>
      <c r="G1049">
        <v>529.02</v>
      </c>
      <c r="H1049">
        <v>54489.06</v>
      </c>
      <c r="I1049" s="2" t="s">
        <v>2024</v>
      </c>
      <c r="J1049" s="2" t="s">
        <v>2029</v>
      </c>
      <c r="K1049" s="2" t="s">
        <v>2598</v>
      </c>
      <c r="L1049" s="2" t="s">
        <v>4031</v>
      </c>
      <c r="M1049">
        <v>529.02</v>
      </c>
      <c r="N1049" s="2" t="s">
        <v>4042</v>
      </c>
      <c r="O1049">
        <v>103</v>
      </c>
      <c r="P1049">
        <v>54489.06</v>
      </c>
      <c r="Q1049" t="b">
        <v>0</v>
      </c>
      <c r="R1049" t="b">
        <v>0</v>
      </c>
      <c r="S1049" t="b">
        <v>0</v>
      </c>
      <c r="T1049" t="b">
        <v>0</v>
      </c>
      <c r="U1049">
        <v>0</v>
      </c>
      <c r="V1049" t="s">
        <v>4073</v>
      </c>
    </row>
    <row r="1050" spans="1:22" hidden="1" x14ac:dyDescent="0.45">
      <c r="A1050" s="2" t="s">
        <v>1155</v>
      </c>
      <c r="B1050" s="11">
        <v>45216</v>
      </c>
      <c r="C1050" s="2" t="s">
        <v>2012</v>
      </c>
      <c r="D1050" s="2" t="s">
        <v>2017</v>
      </c>
      <c r="E1050">
        <v>621.37</v>
      </c>
      <c r="F1050">
        <v>54680.56</v>
      </c>
      <c r="G1050">
        <v>0</v>
      </c>
      <c r="H1050">
        <v>0</v>
      </c>
      <c r="I1050" s="2" t="s">
        <v>2023</v>
      </c>
      <c r="J1050" s="2" t="s">
        <v>2027</v>
      </c>
      <c r="K1050" s="2" t="s">
        <v>3176</v>
      </c>
      <c r="L1050" s="2" t="s">
        <v>4032</v>
      </c>
      <c r="M1050">
        <v>-621.37</v>
      </c>
      <c r="N1050" s="2" t="s">
        <v>4044</v>
      </c>
      <c r="O1050">
        <v>88</v>
      </c>
      <c r="P1050">
        <v>-54680.56</v>
      </c>
      <c r="Q1050" t="b">
        <v>0</v>
      </c>
      <c r="R1050" t="b">
        <v>0</v>
      </c>
      <c r="S1050" t="b">
        <v>0</v>
      </c>
      <c r="T1050" t="b">
        <v>0</v>
      </c>
      <c r="U1050">
        <v>0</v>
      </c>
      <c r="V1050" t="s">
        <v>4073</v>
      </c>
    </row>
    <row r="1051" spans="1:22" hidden="1" x14ac:dyDescent="0.45">
      <c r="A1051" s="2" t="s">
        <v>656</v>
      </c>
      <c r="B1051" s="11">
        <v>44993</v>
      </c>
      <c r="C1051" s="2" t="s">
        <v>2013</v>
      </c>
      <c r="D1051" s="2" t="s">
        <v>2018</v>
      </c>
      <c r="E1051">
        <v>707.2</v>
      </c>
      <c r="F1051">
        <v>62233.600000000006</v>
      </c>
      <c r="G1051">
        <v>0</v>
      </c>
      <c r="H1051">
        <v>0</v>
      </c>
      <c r="I1051" s="2" t="s">
        <v>2024</v>
      </c>
      <c r="J1051" s="2" t="s">
        <v>2026</v>
      </c>
      <c r="K1051" s="2" t="s">
        <v>2677</v>
      </c>
      <c r="L1051" s="2" t="s">
        <v>4032</v>
      </c>
      <c r="M1051">
        <v>-707.2</v>
      </c>
      <c r="N1051" s="2" t="s">
        <v>4044</v>
      </c>
      <c r="O1051">
        <v>88</v>
      </c>
      <c r="P1051">
        <v>-62233.600000000006</v>
      </c>
      <c r="Q1051" t="b">
        <v>0</v>
      </c>
      <c r="R1051" t="b">
        <v>0</v>
      </c>
      <c r="S1051" t="b">
        <v>0</v>
      </c>
      <c r="T1051" t="b">
        <v>0</v>
      </c>
      <c r="U1051">
        <v>0</v>
      </c>
      <c r="V1051" t="s">
        <v>4073</v>
      </c>
    </row>
    <row r="1052" spans="1:22" hidden="1" x14ac:dyDescent="0.45">
      <c r="A1052" s="2" t="s">
        <v>1383</v>
      </c>
      <c r="B1052" s="11">
        <v>45089</v>
      </c>
      <c r="C1052" s="2" t="s">
        <v>2013</v>
      </c>
      <c r="D1052" s="2" t="s">
        <v>2018</v>
      </c>
      <c r="E1052">
        <v>680.82</v>
      </c>
      <c r="F1052">
        <v>55827.240000000005</v>
      </c>
      <c r="G1052">
        <v>0</v>
      </c>
      <c r="H1052">
        <v>0</v>
      </c>
      <c r="I1052" s="2" t="s">
        <v>2025</v>
      </c>
      <c r="J1052" s="2" t="s">
        <v>2030</v>
      </c>
      <c r="K1052" s="2" t="s">
        <v>3404</v>
      </c>
      <c r="L1052" s="2" t="s">
        <v>4034</v>
      </c>
      <c r="M1052">
        <v>-680.82</v>
      </c>
      <c r="N1052" s="2" t="s">
        <v>4044</v>
      </c>
      <c r="O1052">
        <v>82</v>
      </c>
      <c r="P1052">
        <v>-55827.240000000005</v>
      </c>
      <c r="Q1052" t="b">
        <v>0</v>
      </c>
      <c r="R1052" t="b">
        <v>0</v>
      </c>
      <c r="S1052" t="b">
        <v>0</v>
      </c>
      <c r="T1052" t="b">
        <v>0</v>
      </c>
      <c r="U1052">
        <v>0</v>
      </c>
      <c r="V1052" t="s">
        <v>4073</v>
      </c>
    </row>
    <row r="1053" spans="1:22" hidden="1" x14ac:dyDescent="0.45">
      <c r="A1053" s="2" t="s">
        <v>1250</v>
      </c>
      <c r="B1053" s="11">
        <v>45789</v>
      </c>
      <c r="C1053" s="2" t="s">
        <v>2014</v>
      </c>
      <c r="D1053" s="2" t="s">
        <v>2019</v>
      </c>
      <c r="E1053">
        <v>0</v>
      </c>
      <c r="F1053">
        <v>0</v>
      </c>
      <c r="G1053">
        <v>1022.63</v>
      </c>
      <c r="H1053">
        <v>62380.43</v>
      </c>
      <c r="I1053" s="2" t="s">
        <v>2020</v>
      </c>
      <c r="J1053" s="2" t="s">
        <v>2030</v>
      </c>
      <c r="K1053" s="2" t="s">
        <v>3271</v>
      </c>
      <c r="L1053" s="2" t="s">
        <v>4035</v>
      </c>
      <c r="M1053">
        <v>1022.63</v>
      </c>
      <c r="N1053" s="2" t="s">
        <v>4042</v>
      </c>
      <c r="O1053">
        <v>61</v>
      </c>
      <c r="P1053">
        <v>62380.43</v>
      </c>
      <c r="Q1053" t="b">
        <v>0</v>
      </c>
      <c r="R1053" t="b">
        <v>0</v>
      </c>
      <c r="S1053" t="b">
        <v>0</v>
      </c>
      <c r="T1053" t="b">
        <v>0</v>
      </c>
      <c r="U1053">
        <v>0</v>
      </c>
      <c r="V1053" t="s">
        <v>4073</v>
      </c>
    </row>
    <row r="1054" spans="1:22" hidden="1" x14ac:dyDescent="0.45">
      <c r="A1054" s="2" t="s">
        <v>1924</v>
      </c>
      <c r="B1054" s="11">
        <v>45366</v>
      </c>
      <c r="C1054" s="2" t="s">
        <v>2014</v>
      </c>
      <c r="D1054" s="2" t="s">
        <v>2019</v>
      </c>
      <c r="E1054">
        <v>0</v>
      </c>
      <c r="F1054">
        <v>0</v>
      </c>
      <c r="G1054">
        <v>993.38</v>
      </c>
      <c r="H1054">
        <v>55629.279999999999</v>
      </c>
      <c r="I1054" s="2" t="s">
        <v>2024</v>
      </c>
      <c r="J1054" s="2" t="s">
        <v>2030</v>
      </c>
      <c r="K1054" s="2" t="s">
        <v>3945</v>
      </c>
      <c r="L1054" s="2" t="s">
        <v>4033</v>
      </c>
      <c r="M1054">
        <v>993.38</v>
      </c>
      <c r="N1054" s="2" t="s">
        <v>4042</v>
      </c>
      <c r="O1054">
        <v>56</v>
      </c>
      <c r="P1054">
        <v>55629.279999999999</v>
      </c>
      <c r="Q1054" t="b">
        <v>0</v>
      </c>
      <c r="R1054" t="b">
        <v>0</v>
      </c>
      <c r="S1054" t="b">
        <v>0</v>
      </c>
      <c r="T1054" t="b">
        <v>0</v>
      </c>
      <c r="U1054">
        <v>0</v>
      </c>
      <c r="V1054" t="s">
        <v>4073</v>
      </c>
    </row>
    <row r="1055" spans="1:22" hidden="1" x14ac:dyDescent="0.45">
      <c r="A1055" s="2" t="s">
        <v>1663</v>
      </c>
      <c r="B1055" s="11">
        <v>45455</v>
      </c>
      <c r="C1055" s="2" t="s">
        <v>2014</v>
      </c>
      <c r="D1055" s="2" t="s">
        <v>2019</v>
      </c>
      <c r="E1055">
        <v>0</v>
      </c>
      <c r="F1055">
        <v>0</v>
      </c>
      <c r="G1055">
        <v>677.29</v>
      </c>
      <c r="H1055">
        <v>55537.78</v>
      </c>
      <c r="I1055" s="2" t="s">
        <v>2024</v>
      </c>
      <c r="J1055" s="2" t="s">
        <v>2028</v>
      </c>
      <c r="K1055" s="2" t="s">
        <v>3684</v>
      </c>
      <c r="L1055" s="2" t="s">
        <v>4034</v>
      </c>
      <c r="M1055">
        <v>677.29</v>
      </c>
      <c r="N1055" s="2" t="s">
        <v>4042</v>
      </c>
      <c r="O1055">
        <v>82</v>
      </c>
      <c r="P1055">
        <v>55537.78</v>
      </c>
      <c r="Q1055" t="b">
        <v>0</v>
      </c>
      <c r="R1055" t="b">
        <v>0</v>
      </c>
      <c r="S1055" t="b">
        <v>0</v>
      </c>
      <c r="T1055" t="b">
        <v>0</v>
      </c>
      <c r="U1055">
        <v>0</v>
      </c>
      <c r="V1055" t="s">
        <v>4073</v>
      </c>
    </row>
    <row r="1056" spans="1:22" hidden="1" x14ac:dyDescent="0.45">
      <c r="A1056" s="2" t="s">
        <v>1343</v>
      </c>
      <c r="B1056" s="11">
        <v>45461</v>
      </c>
      <c r="C1056" s="2" t="s">
        <v>2012</v>
      </c>
      <c r="D1056" s="2" t="s">
        <v>2017</v>
      </c>
      <c r="E1056">
        <v>675.05</v>
      </c>
      <c r="F1056">
        <v>55354.1</v>
      </c>
      <c r="G1056">
        <v>0</v>
      </c>
      <c r="H1056">
        <v>0</v>
      </c>
      <c r="I1056" s="2" t="s">
        <v>2023</v>
      </c>
      <c r="J1056" s="2" t="s">
        <v>2028</v>
      </c>
      <c r="K1056" s="2" t="s">
        <v>3364</v>
      </c>
      <c r="L1056" s="2" t="s">
        <v>4034</v>
      </c>
      <c r="M1056">
        <v>-675.05</v>
      </c>
      <c r="N1056" s="2" t="s">
        <v>4044</v>
      </c>
      <c r="O1056">
        <v>82</v>
      </c>
      <c r="P1056">
        <v>-55354.1</v>
      </c>
      <c r="Q1056" t="b">
        <v>0</v>
      </c>
      <c r="R1056" t="b">
        <v>0</v>
      </c>
      <c r="S1056" t="b">
        <v>0</v>
      </c>
      <c r="T1056" t="b">
        <v>0</v>
      </c>
      <c r="U1056">
        <v>0</v>
      </c>
      <c r="V1056" t="s">
        <v>4073</v>
      </c>
    </row>
    <row r="1057" spans="1:22" hidden="1" x14ac:dyDescent="0.45">
      <c r="A1057" s="2" t="s">
        <v>698</v>
      </c>
      <c r="B1057" s="11">
        <v>45365</v>
      </c>
      <c r="C1057" s="2" t="s">
        <v>2011</v>
      </c>
      <c r="D1057" s="2" t="s">
        <v>2016</v>
      </c>
      <c r="E1057">
        <v>906.55</v>
      </c>
      <c r="F1057">
        <v>55299.549999999996</v>
      </c>
      <c r="G1057">
        <v>0</v>
      </c>
      <c r="H1057">
        <v>0</v>
      </c>
      <c r="I1057" s="2" t="s">
        <v>2020</v>
      </c>
      <c r="J1057" s="2" t="s">
        <v>2029</v>
      </c>
      <c r="K1057" s="2" t="s">
        <v>2719</v>
      </c>
      <c r="L1057" s="2" t="s">
        <v>4035</v>
      </c>
      <c r="M1057">
        <v>-906.55</v>
      </c>
      <c r="N1057" s="2" t="s">
        <v>2016</v>
      </c>
      <c r="O1057">
        <v>61</v>
      </c>
      <c r="P1057">
        <v>-55299.549999999996</v>
      </c>
      <c r="Q1057" t="b">
        <v>0</v>
      </c>
      <c r="R1057" t="b">
        <v>0</v>
      </c>
      <c r="S1057" t="b">
        <v>0</v>
      </c>
      <c r="T1057" t="b">
        <v>0</v>
      </c>
      <c r="U1057">
        <v>0</v>
      </c>
      <c r="V1057" t="s">
        <v>4073</v>
      </c>
    </row>
    <row r="1058" spans="1:22" hidden="1" x14ac:dyDescent="0.45">
      <c r="A1058" s="2" t="s">
        <v>354</v>
      </c>
      <c r="B1058" s="11">
        <v>45212</v>
      </c>
      <c r="C1058" s="2" t="s">
        <v>2014</v>
      </c>
      <c r="D1058" s="2" t="s">
        <v>2019</v>
      </c>
      <c r="E1058">
        <v>0</v>
      </c>
      <c r="F1058">
        <v>0</v>
      </c>
      <c r="G1058">
        <v>535.42999999999995</v>
      </c>
      <c r="H1058">
        <v>55149.289999999994</v>
      </c>
      <c r="I1058" s="2" t="s">
        <v>2020</v>
      </c>
      <c r="J1058" s="2" t="s">
        <v>2027</v>
      </c>
      <c r="K1058" s="2" t="s">
        <v>2375</v>
      </c>
      <c r="L1058" s="2" t="s">
        <v>4031</v>
      </c>
      <c r="M1058">
        <v>535.42999999999995</v>
      </c>
      <c r="N1058" s="2" t="s">
        <v>4042</v>
      </c>
      <c r="O1058">
        <v>103</v>
      </c>
      <c r="P1058">
        <v>55149.289999999994</v>
      </c>
      <c r="Q1058" t="b">
        <v>0</v>
      </c>
      <c r="R1058" t="b">
        <v>0</v>
      </c>
      <c r="S1058" t="b">
        <v>0</v>
      </c>
      <c r="T1058" t="b">
        <v>0</v>
      </c>
      <c r="U1058">
        <v>0</v>
      </c>
      <c r="V1058" t="s">
        <v>4073</v>
      </c>
    </row>
    <row r="1059" spans="1:22" hidden="1" x14ac:dyDescent="0.45">
      <c r="A1059" s="2" t="s">
        <v>843</v>
      </c>
      <c r="B1059" s="11">
        <v>45342</v>
      </c>
      <c r="C1059" s="2" t="s">
        <v>2012</v>
      </c>
      <c r="D1059" s="2" t="s">
        <v>2017</v>
      </c>
      <c r="E1059">
        <v>1114.53</v>
      </c>
      <c r="F1059">
        <v>62413.68</v>
      </c>
      <c r="G1059">
        <v>0</v>
      </c>
      <c r="H1059">
        <v>0</v>
      </c>
      <c r="I1059" s="2" t="s">
        <v>2023</v>
      </c>
      <c r="J1059" s="2" t="s">
        <v>2027</v>
      </c>
      <c r="K1059" s="2" t="s">
        <v>2864</v>
      </c>
      <c r="L1059" s="2" t="s">
        <v>4033</v>
      </c>
      <c r="M1059">
        <v>-1114.53</v>
      </c>
      <c r="N1059" s="2" t="s">
        <v>4044</v>
      </c>
      <c r="O1059">
        <v>56</v>
      </c>
      <c r="P1059">
        <v>-62413.68</v>
      </c>
      <c r="Q1059" t="b">
        <v>0</v>
      </c>
      <c r="R1059" t="b">
        <v>0</v>
      </c>
      <c r="S1059" t="b">
        <v>0</v>
      </c>
      <c r="T1059" t="b">
        <v>0</v>
      </c>
      <c r="U1059">
        <v>0</v>
      </c>
      <c r="V1059" t="s">
        <v>4073</v>
      </c>
    </row>
    <row r="1060" spans="1:22" hidden="1" x14ac:dyDescent="0.45">
      <c r="A1060" s="2" t="s">
        <v>134</v>
      </c>
      <c r="B1060" s="11">
        <v>45510</v>
      </c>
      <c r="C1060" s="2" t="s">
        <v>2014</v>
      </c>
      <c r="D1060" s="2" t="s">
        <v>2019</v>
      </c>
      <c r="E1060">
        <v>0</v>
      </c>
      <c r="F1060">
        <v>0</v>
      </c>
      <c r="G1060">
        <v>902.67</v>
      </c>
      <c r="H1060">
        <v>55062.869999999995</v>
      </c>
      <c r="I1060" s="2" t="s">
        <v>2022</v>
      </c>
      <c r="J1060" s="2" t="s">
        <v>2027</v>
      </c>
      <c r="K1060" s="2" t="s">
        <v>2155</v>
      </c>
      <c r="L1060" s="2" t="s">
        <v>4035</v>
      </c>
      <c r="M1060">
        <v>902.67</v>
      </c>
      <c r="N1060" s="2" t="s">
        <v>4042</v>
      </c>
      <c r="O1060">
        <v>61</v>
      </c>
      <c r="P1060">
        <v>55062.869999999995</v>
      </c>
      <c r="Q1060" t="b">
        <v>0</v>
      </c>
      <c r="R1060" t="b">
        <v>0</v>
      </c>
      <c r="S1060" t="b">
        <v>0</v>
      </c>
      <c r="T1060" t="b">
        <v>0</v>
      </c>
      <c r="U1060">
        <v>0</v>
      </c>
      <c r="V1060" t="s">
        <v>4073</v>
      </c>
    </row>
    <row r="1061" spans="1:22" hidden="1" x14ac:dyDescent="0.45">
      <c r="A1061" s="2" t="s">
        <v>1838</v>
      </c>
      <c r="B1061" s="11">
        <v>45247</v>
      </c>
      <c r="C1061" s="2" t="s">
        <v>2011</v>
      </c>
      <c r="D1061" s="2" t="s">
        <v>2016</v>
      </c>
      <c r="E1061">
        <v>710.38</v>
      </c>
      <c r="F1061">
        <v>62513.440000000002</v>
      </c>
      <c r="G1061">
        <v>0</v>
      </c>
      <c r="H1061">
        <v>0</v>
      </c>
      <c r="I1061" s="2" t="s">
        <v>2020</v>
      </c>
      <c r="J1061" s="2" t="s">
        <v>2030</v>
      </c>
      <c r="K1061" s="2" t="s">
        <v>3859</v>
      </c>
      <c r="L1061" s="2" t="s">
        <v>4032</v>
      </c>
      <c r="M1061">
        <v>-710.38</v>
      </c>
      <c r="N1061" s="2" t="s">
        <v>2016</v>
      </c>
      <c r="O1061">
        <v>88</v>
      </c>
      <c r="P1061">
        <v>-62513.440000000002</v>
      </c>
      <c r="Q1061" t="b">
        <v>0</v>
      </c>
      <c r="R1061" t="b">
        <v>0</v>
      </c>
      <c r="S1061" t="b">
        <v>0</v>
      </c>
      <c r="T1061" t="b">
        <v>0</v>
      </c>
      <c r="U1061">
        <v>0</v>
      </c>
      <c r="V1061" t="s">
        <v>4073</v>
      </c>
    </row>
    <row r="1062" spans="1:22" hidden="1" x14ac:dyDescent="0.45">
      <c r="A1062" s="2" t="s">
        <v>1703</v>
      </c>
      <c r="B1062" s="11">
        <v>45709</v>
      </c>
      <c r="C1062" s="2" t="s">
        <v>2013</v>
      </c>
      <c r="D1062" s="2" t="s">
        <v>2018</v>
      </c>
      <c r="E1062">
        <v>624.64</v>
      </c>
      <c r="F1062">
        <v>54968.32</v>
      </c>
      <c r="G1062">
        <v>0</v>
      </c>
      <c r="H1062">
        <v>0</v>
      </c>
      <c r="I1062" s="2" t="s">
        <v>2022</v>
      </c>
      <c r="J1062" s="2" t="s">
        <v>2030</v>
      </c>
      <c r="K1062" s="2" t="s">
        <v>3724</v>
      </c>
      <c r="L1062" s="2" t="s">
        <v>4032</v>
      </c>
      <c r="M1062">
        <v>-624.64</v>
      </c>
      <c r="N1062" s="2" t="s">
        <v>4044</v>
      </c>
      <c r="O1062">
        <v>88</v>
      </c>
      <c r="P1062">
        <v>-54968.32</v>
      </c>
      <c r="Q1062" t="b">
        <v>0</v>
      </c>
      <c r="R1062" t="b">
        <v>0</v>
      </c>
      <c r="S1062" t="b">
        <v>0</v>
      </c>
      <c r="T1062" t="b">
        <v>0</v>
      </c>
      <c r="U1062">
        <v>0</v>
      </c>
      <c r="V1062" t="s">
        <v>4073</v>
      </c>
    </row>
    <row r="1063" spans="1:22" hidden="1" x14ac:dyDescent="0.45">
      <c r="A1063" s="2" t="s">
        <v>605</v>
      </c>
      <c r="B1063" s="11">
        <v>45418</v>
      </c>
      <c r="C1063" s="2" t="s">
        <v>2011</v>
      </c>
      <c r="D1063" s="2" t="s">
        <v>2016</v>
      </c>
      <c r="E1063">
        <v>710.64</v>
      </c>
      <c r="F1063">
        <v>62536.32</v>
      </c>
      <c r="G1063">
        <v>0</v>
      </c>
      <c r="H1063">
        <v>0</v>
      </c>
      <c r="I1063" s="2" t="s">
        <v>2020</v>
      </c>
      <c r="J1063" s="2" t="s">
        <v>2026</v>
      </c>
      <c r="K1063" s="2" t="s">
        <v>2626</v>
      </c>
      <c r="L1063" s="2" t="s">
        <v>4032</v>
      </c>
      <c r="M1063">
        <v>-710.64</v>
      </c>
      <c r="N1063" s="2" t="s">
        <v>2016</v>
      </c>
      <c r="O1063">
        <v>88</v>
      </c>
      <c r="P1063">
        <v>-62536.32</v>
      </c>
      <c r="Q1063" t="b">
        <v>0</v>
      </c>
      <c r="R1063" t="b">
        <v>0</v>
      </c>
      <c r="S1063" t="b">
        <v>0</v>
      </c>
      <c r="T1063" t="b">
        <v>0</v>
      </c>
      <c r="U1063">
        <v>0</v>
      </c>
      <c r="V1063" t="s">
        <v>4073</v>
      </c>
    </row>
    <row r="1064" spans="1:22" hidden="1" x14ac:dyDescent="0.45">
      <c r="A1064" s="2" t="s">
        <v>838</v>
      </c>
      <c r="B1064" s="11">
        <v>45068</v>
      </c>
      <c r="C1064" s="2" t="s">
        <v>2013</v>
      </c>
      <c r="D1064" s="2" t="s">
        <v>2018</v>
      </c>
      <c r="E1064">
        <v>977.48</v>
      </c>
      <c r="F1064">
        <v>54738.880000000005</v>
      </c>
      <c r="G1064">
        <v>0</v>
      </c>
      <c r="H1064">
        <v>0</v>
      </c>
      <c r="I1064" s="2" t="s">
        <v>2021</v>
      </c>
      <c r="J1064" s="2" t="s">
        <v>2029</v>
      </c>
      <c r="K1064" s="2" t="s">
        <v>2859</v>
      </c>
      <c r="L1064" s="2" t="s">
        <v>4033</v>
      </c>
      <c r="M1064">
        <v>-977.48</v>
      </c>
      <c r="N1064" s="2" t="s">
        <v>4044</v>
      </c>
      <c r="O1064">
        <v>56</v>
      </c>
      <c r="P1064">
        <v>-54738.880000000005</v>
      </c>
      <c r="Q1064" t="b">
        <v>0</v>
      </c>
      <c r="R1064" t="b">
        <v>0</v>
      </c>
      <c r="S1064" t="b">
        <v>0</v>
      </c>
      <c r="T1064" t="b">
        <v>0</v>
      </c>
      <c r="U1064">
        <v>0</v>
      </c>
      <c r="V1064" t="s">
        <v>4073</v>
      </c>
    </row>
    <row r="1065" spans="1:22" hidden="1" x14ac:dyDescent="0.45">
      <c r="A1065" s="2" t="s">
        <v>305</v>
      </c>
      <c r="B1065" s="11">
        <v>45268</v>
      </c>
      <c r="C1065" s="2" t="s">
        <v>2012</v>
      </c>
      <c r="D1065" s="2" t="s">
        <v>2017</v>
      </c>
      <c r="E1065">
        <v>1116.99</v>
      </c>
      <c r="F1065">
        <v>62551.44</v>
      </c>
      <c r="G1065">
        <v>0</v>
      </c>
      <c r="H1065">
        <v>0</v>
      </c>
      <c r="I1065" s="2" t="s">
        <v>2020</v>
      </c>
      <c r="J1065" s="2" t="s">
        <v>2026</v>
      </c>
      <c r="K1065" s="2" t="s">
        <v>2326</v>
      </c>
      <c r="L1065" s="2" t="s">
        <v>4033</v>
      </c>
      <c r="M1065">
        <v>-1116.99</v>
      </c>
      <c r="N1065" s="2" t="s">
        <v>4044</v>
      </c>
      <c r="O1065">
        <v>56</v>
      </c>
      <c r="P1065">
        <v>-62551.44</v>
      </c>
      <c r="Q1065" t="b">
        <v>0</v>
      </c>
      <c r="R1065" t="b">
        <v>0</v>
      </c>
      <c r="S1065" t="b">
        <v>0</v>
      </c>
      <c r="T1065" t="b">
        <v>0</v>
      </c>
      <c r="U1065">
        <v>0</v>
      </c>
      <c r="V1065" t="s">
        <v>4073</v>
      </c>
    </row>
    <row r="1066" spans="1:22" hidden="1" x14ac:dyDescent="0.45">
      <c r="A1066" s="2" t="s">
        <v>1560</v>
      </c>
      <c r="B1066" s="11">
        <v>44950</v>
      </c>
      <c r="C1066" s="2" t="s">
        <v>2011</v>
      </c>
      <c r="D1066" s="2" t="s">
        <v>2016</v>
      </c>
      <c r="E1066">
        <v>636.6</v>
      </c>
      <c r="F1066">
        <v>56020.800000000003</v>
      </c>
      <c r="G1066">
        <v>0</v>
      </c>
      <c r="H1066">
        <v>0</v>
      </c>
      <c r="I1066" s="2" t="s">
        <v>2024</v>
      </c>
      <c r="J1066" s="2" t="s">
        <v>2028</v>
      </c>
      <c r="K1066" s="2" t="s">
        <v>3581</v>
      </c>
      <c r="L1066" s="2" t="s">
        <v>4032</v>
      </c>
      <c r="M1066">
        <v>-636.6</v>
      </c>
      <c r="N1066" s="2" t="s">
        <v>2016</v>
      </c>
      <c r="O1066">
        <v>88</v>
      </c>
      <c r="P1066">
        <v>-56020.800000000003</v>
      </c>
      <c r="Q1066" t="b">
        <v>0</v>
      </c>
      <c r="R1066" t="b">
        <v>0</v>
      </c>
      <c r="S1066" t="b">
        <v>0</v>
      </c>
      <c r="T1066" t="b">
        <v>0</v>
      </c>
      <c r="U1066">
        <v>0</v>
      </c>
      <c r="V1066" t="s">
        <v>4073</v>
      </c>
    </row>
    <row r="1067" spans="1:22" hidden="1" x14ac:dyDescent="0.45">
      <c r="A1067" s="2" t="s">
        <v>349</v>
      </c>
      <c r="B1067" s="11">
        <v>45203</v>
      </c>
      <c r="C1067" s="2" t="s">
        <v>2011</v>
      </c>
      <c r="D1067" s="2" t="s">
        <v>2016</v>
      </c>
      <c r="E1067">
        <v>92.89</v>
      </c>
      <c r="F1067">
        <v>8174.32</v>
      </c>
      <c r="G1067">
        <v>0</v>
      </c>
      <c r="H1067">
        <v>0</v>
      </c>
      <c r="I1067" s="2" t="s">
        <v>2022</v>
      </c>
      <c r="J1067" s="2" t="s">
        <v>2030</v>
      </c>
      <c r="K1067" s="2" t="s">
        <v>2370</v>
      </c>
      <c r="L1067" s="2" t="s">
        <v>4032</v>
      </c>
      <c r="M1067">
        <v>-92.89</v>
      </c>
      <c r="N1067" s="2" t="s">
        <v>2016</v>
      </c>
      <c r="O1067">
        <v>88</v>
      </c>
      <c r="P1067">
        <v>-8174.32</v>
      </c>
      <c r="Q1067" t="b">
        <v>0</v>
      </c>
      <c r="R1067" t="b">
        <v>0</v>
      </c>
      <c r="S1067" t="b">
        <v>0</v>
      </c>
      <c r="T1067" t="b">
        <v>0</v>
      </c>
      <c r="U1067">
        <v>0</v>
      </c>
      <c r="V1067" t="s">
        <v>4073</v>
      </c>
    </row>
    <row r="1068" spans="1:22" hidden="1" x14ac:dyDescent="0.45">
      <c r="A1068" s="2" t="s">
        <v>592</v>
      </c>
      <c r="B1068" s="11">
        <v>45208</v>
      </c>
      <c r="C1068" s="2" t="s">
        <v>2014</v>
      </c>
      <c r="D1068" s="2" t="s">
        <v>2019</v>
      </c>
      <c r="E1068">
        <v>0</v>
      </c>
      <c r="F1068">
        <v>0</v>
      </c>
      <c r="G1068">
        <v>759.16</v>
      </c>
      <c r="H1068">
        <v>46308.759999999995</v>
      </c>
      <c r="I1068" s="2" t="s">
        <v>2025</v>
      </c>
      <c r="J1068" s="2" t="s">
        <v>2028</v>
      </c>
      <c r="K1068" s="2" t="s">
        <v>2613</v>
      </c>
      <c r="L1068" s="2" t="s">
        <v>4035</v>
      </c>
      <c r="M1068">
        <v>759.16</v>
      </c>
      <c r="N1068" s="2" t="s">
        <v>4042</v>
      </c>
      <c r="O1068">
        <v>61</v>
      </c>
      <c r="P1068">
        <v>46308.759999999995</v>
      </c>
      <c r="Q1068" t="b">
        <v>0</v>
      </c>
      <c r="R1068" t="b">
        <v>0</v>
      </c>
      <c r="S1068" t="b">
        <v>0</v>
      </c>
      <c r="T1068" t="b">
        <v>0</v>
      </c>
      <c r="U1068">
        <v>0</v>
      </c>
      <c r="V1068" t="s">
        <v>4073</v>
      </c>
    </row>
    <row r="1069" spans="1:22" hidden="1" x14ac:dyDescent="0.45">
      <c r="A1069" s="2" t="s">
        <v>1019</v>
      </c>
      <c r="B1069" s="11">
        <v>45607</v>
      </c>
      <c r="C1069" s="2" t="s">
        <v>2011</v>
      </c>
      <c r="D1069" s="2" t="s">
        <v>2016</v>
      </c>
      <c r="E1069">
        <v>497.55</v>
      </c>
      <c r="F1069">
        <v>51247.65</v>
      </c>
      <c r="G1069">
        <v>0</v>
      </c>
      <c r="H1069">
        <v>0</v>
      </c>
      <c r="I1069" s="2" t="s">
        <v>2020</v>
      </c>
      <c r="J1069" s="2" t="s">
        <v>2027</v>
      </c>
      <c r="K1069" s="2" t="s">
        <v>3040</v>
      </c>
      <c r="L1069" s="2" t="s">
        <v>4031</v>
      </c>
      <c r="M1069">
        <v>-497.55</v>
      </c>
      <c r="N1069" s="2" t="s">
        <v>2016</v>
      </c>
      <c r="O1069">
        <v>103</v>
      </c>
      <c r="P1069">
        <v>-51247.65</v>
      </c>
      <c r="Q1069" t="b">
        <v>0</v>
      </c>
      <c r="R1069" t="b">
        <v>0</v>
      </c>
      <c r="S1069" t="b">
        <v>0</v>
      </c>
      <c r="T1069" t="b">
        <v>0</v>
      </c>
      <c r="U1069">
        <v>0</v>
      </c>
      <c r="V1069" t="s">
        <v>4073</v>
      </c>
    </row>
    <row r="1070" spans="1:22" hidden="1" x14ac:dyDescent="0.45">
      <c r="A1070" s="2" t="s">
        <v>393</v>
      </c>
      <c r="B1070" s="11">
        <v>44966</v>
      </c>
      <c r="C1070" s="2" t="s">
        <v>2013</v>
      </c>
      <c r="D1070" s="2" t="s">
        <v>2018</v>
      </c>
      <c r="E1070">
        <v>412.44</v>
      </c>
      <c r="F1070">
        <v>36294.720000000001</v>
      </c>
      <c r="G1070">
        <v>0</v>
      </c>
      <c r="H1070">
        <v>0</v>
      </c>
      <c r="I1070" s="2" t="s">
        <v>2020</v>
      </c>
      <c r="J1070" s="2" t="s">
        <v>2030</v>
      </c>
      <c r="K1070" s="2" t="s">
        <v>2414</v>
      </c>
      <c r="L1070" s="2" t="s">
        <v>4032</v>
      </c>
      <c r="M1070">
        <v>-412.44</v>
      </c>
      <c r="N1070" s="2" t="s">
        <v>4044</v>
      </c>
      <c r="O1070">
        <v>88</v>
      </c>
      <c r="P1070">
        <v>-36294.720000000001</v>
      </c>
      <c r="Q1070" t="b">
        <v>0</v>
      </c>
      <c r="R1070" t="b">
        <v>0</v>
      </c>
      <c r="S1070" t="b">
        <v>0</v>
      </c>
      <c r="T1070" t="b">
        <v>0</v>
      </c>
      <c r="U1070">
        <v>0</v>
      </c>
      <c r="V1070" t="s">
        <v>4073</v>
      </c>
    </row>
    <row r="1071" spans="1:22" hidden="1" x14ac:dyDescent="0.45">
      <c r="A1071" s="2" t="s">
        <v>1234</v>
      </c>
      <c r="B1071" s="11">
        <v>45069</v>
      </c>
      <c r="C1071" s="2" t="s">
        <v>2011</v>
      </c>
      <c r="D1071" s="2" t="s">
        <v>2016</v>
      </c>
      <c r="E1071">
        <v>185.51</v>
      </c>
      <c r="F1071">
        <v>19107.53</v>
      </c>
      <c r="G1071">
        <v>0</v>
      </c>
      <c r="H1071">
        <v>0</v>
      </c>
      <c r="I1071" s="2" t="s">
        <v>2020</v>
      </c>
      <c r="J1071" s="2" t="s">
        <v>2028</v>
      </c>
      <c r="K1071" s="2" t="s">
        <v>3255</v>
      </c>
      <c r="L1071" s="2" t="s">
        <v>4031</v>
      </c>
      <c r="M1071">
        <v>-185.51</v>
      </c>
      <c r="N1071" s="2" t="s">
        <v>2016</v>
      </c>
      <c r="O1071">
        <v>103</v>
      </c>
      <c r="P1071">
        <v>-19107.53</v>
      </c>
      <c r="Q1071" t="b">
        <v>0</v>
      </c>
      <c r="R1071" t="b">
        <v>0</v>
      </c>
      <c r="S1071" t="b">
        <v>0</v>
      </c>
      <c r="T1071" t="b">
        <v>0</v>
      </c>
      <c r="U1071">
        <v>0</v>
      </c>
      <c r="V1071" t="s">
        <v>4073</v>
      </c>
    </row>
    <row r="1072" spans="1:22" hidden="1" x14ac:dyDescent="0.45">
      <c r="A1072" s="2" t="s">
        <v>447</v>
      </c>
      <c r="B1072" s="11">
        <v>45611</v>
      </c>
      <c r="C1072" s="2" t="s">
        <v>2012</v>
      </c>
      <c r="D1072" s="2" t="s">
        <v>2017</v>
      </c>
      <c r="E1072">
        <v>217.44</v>
      </c>
      <c r="F1072">
        <v>19134.72</v>
      </c>
      <c r="G1072">
        <v>0</v>
      </c>
      <c r="H1072">
        <v>0</v>
      </c>
      <c r="I1072" s="2" t="s">
        <v>2020</v>
      </c>
      <c r="J1072" s="2" t="s">
        <v>2029</v>
      </c>
      <c r="K1072" s="2" t="s">
        <v>2468</v>
      </c>
      <c r="L1072" s="2" t="s">
        <v>4032</v>
      </c>
      <c r="M1072">
        <v>-217.44</v>
      </c>
      <c r="N1072" s="2" t="s">
        <v>4044</v>
      </c>
      <c r="O1072">
        <v>88</v>
      </c>
      <c r="P1072">
        <v>-19134.72</v>
      </c>
      <c r="Q1072" t="b">
        <v>0</v>
      </c>
      <c r="R1072" t="b">
        <v>0</v>
      </c>
      <c r="S1072" t="b">
        <v>0</v>
      </c>
      <c r="T1072" t="b">
        <v>0</v>
      </c>
      <c r="U1072">
        <v>0</v>
      </c>
      <c r="V1072" t="s">
        <v>4073</v>
      </c>
    </row>
    <row r="1073" spans="1:22" hidden="1" x14ac:dyDescent="0.45">
      <c r="A1073" s="2" t="s">
        <v>320</v>
      </c>
      <c r="B1073" s="11">
        <v>45566</v>
      </c>
      <c r="C1073" s="2" t="s">
        <v>2013</v>
      </c>
      <c r="D1073" s="2" t="s">
        <v>2018</v>
      </c>
      <c r="E1073">
        <v>350.19</v>
      </c>
      <c r="F1073">
        <v>36069.57</v>
      </c>
      <c r="G1073">
        <v>0</v>
      </c>
      <c r="H1073">
        <v>0</v>
      </c>
      <c r="I1073" s="2" t="s">
        <v>2024</v>
      </c>
      <c r="J1073" s="2" t="s">
        <v>2026</v>
      </c>
      <c r="K1073" s="2" t="s">
        <v>2341</v>
      </c>
      <c r="L1073" s="2" t="s">
        <v>4031</v>
      </c>
      <c r="M1073">
        <v>-350.19</v>
      </c>
      <c r="N1073" s="2" t="s">
        <v>4044</v>
      </c>
      <c r="O1073">
        <v>103</v>
      </c>
      <c r="P1073">
        <v>-36069.57</v>
      </c>
      <c r="Q1073" t="b">
        <v>0</v>
      </c>
      <c r="R1073" t="b">
        <v>0</v>
      </c>
      <c r="S1073" t="b">
        <v>0</v>
      </c>
      <c r="T1073" t="b">
        <v>0</v>
      </c>
      <c r="U1073">
        <v>0</v>
      </c>
      <c r="V1073" t="s">
        <v>4073</v>
      </c>
    </row>
    <row r="1074" spans="1:22" hidden="1" x14ac:dyDescent="0.45">
      <c r="A1074" s="2" t="s">
        <v>1196</v>
      </c>
      <c r="B1074" s="11">
        <v>45083</v>
      </c>
      <c r="C1074" s="2" t="s">
        <v>2012</v>
      </c>
      <c r="D1074" s="2" t="s">
        <v>2017</v>
      </c>
      <c r="E1074">
        <v>316.14999999999998</v>
      </c>
      <c r="F1074">
        <v>19285.149999999998</v>
      </c>
      <c r="G1074">
        <v>0</v>
      </c>
      <c r="H1074">
        <v>0</v>
      </c>
      <c r="I1074" s="2" t="s">
        <v>2023</v>
      </c>
      <c r="J1074" s="2" t="s">
        <v>2030</v>
      </c>
      <c r="K1074" s="2" t="s">
        <v>3217</v>
      </c>
      <c r="L1074" s="2" t="s">
        <v>4035</v>
      </c>
      <c r="M1074">
        <v>-316.14999999999998</v>
      </c>
      <c r="N1074" s="2" t="s">
        <v>4044</v>
      </c>
      <c r="O1074">
        <v>61</v>
      </c>
      <c r="P1074">
        <v>-19285.149999999998</v>
      </c>
      <c r="Q1074" t="b">
        <v>0</v>
      </c>
      <c r="R1074" t="b">
        <v>0</v>
      </c>
      <c r="S1074" t="b">
        <v>0</v>
      </c>
      <c r="T1074" t="b">
        <v>0</v>
      </c>
      <c r="U1074">
        <v>0</v>
      </c>
      <c r="V1074" t="s">
        <v>4073</v>
      </c>
    </row>
    <row r="1075" spans="1:22" hidden="1" x14ac:dyDescent="0.45">
      <c r="A1075" s="2" t="s">
        <v>230</v>
      </c>
      <c r="B1075" s="11">
        <v>45636</v>
      </c>
      <c r="C1075" s="2" t="s">
        <v>2010</v>
      </c>
      <c r="D1075" s="2" t="s">
        <v>2015</v>
      </c>
      <c r="E1075">
        <v>0</v>
      </c>
      <c r="F1075">
        <v>0</v>
      </c>
      <c r="G1075">
        <v>345.31</v>
      </c>
      <c r="H1075">
        <v>19337.36</v>
      </c>
      <c r="I1075" s="2" t="s">
        <v>2020</v>
      </c>
      <c r="J1075" s="2" t="s">
        <v>2029</v>
      </c>
      <c r="K1075" s="2" t="s">
        <v>2251</v>
      </c>
      <c r="L1075" s="2" t="s">
        <v>4033</v>
      </c>
      <c r="M1075">
        <v>345.31</v>
      </c>
      <c r="N1075" s="2" t="s">
        <v>4042</v>
      </c>
      <c r="O1075">
        <v>56</v>
      </c>
      <c r="P1075">
        <v>19337.36</v>
      </c>
      <c r="Q1075" t="b">
        <v>0</v>
      </c>
      <c r="R1075" t="b">
        <v>0</v>
      </c>
      <c r="S1075" t="b">
        <v>0</v>
      </c>
      <c r="T1075" t="b">
        <v>0</v>
      </c>
      <c r="U1075">
        <v>0</v>
      </c>
      <c r="V1075" t="s">
        <v>4073</v>
      </c>
    </row>
    <row r="1076" spans="1:22" hidden="1" x14ac:dyDescent="0.45">
      <c r="A1076" s="2" t="s">
        <v>1983</v>
      </c>
      <c r="B1076" s="11">
        <v>45362</v>
      </c>
      <c r="C1076" s="2" t="s">
        <v>2013</v>
      </c>
      <c r="D1076" s="2" t="s">
        <v>2018</v>
      </c>
      <c r="E1076">
        <v>318.63</v>
      </c>
      <c r="F1076">
        <v>19436.43</v>
      </c>
      <c r="G1076">
        <v>0</v>
      </c>
      <c r="H1076">
        <v>0</v>
      </c>
      <c r="I1076" s="2" t="s">
        <v>2025</v>
      </c>
      <c r="J1076" s="2" t="s">
        <v>2028</v>
      </c>
      <c r="K1076" s="2" t="s">
        <v>4004</v>
      </c>
      <c r="L1076" s="2" t="s">
        <v>4035</v>
      </c>
      <c r="M1076">
        <v>-318.63</v>
      </c>
      <c r="N1076" s="2" t="s">
        <v>4044</v>
      </c>
      <c r="O1076">
        <v>61</v>
      </c>
      <c r="P1076">
        <v>-19436.43</v>
      </c>
      <c r="Q1076" t="b">
        <v>0</v>
      </c>
      <c r="R1076" t="b">
        <v>0</v>
      </c>
      <c r="S1076" t="b">
        <v>0</v>
      </c>
      <c r="T1076" t="b">
        <v>0</v>
      </c>
      <c r="U1076">
        <v>0</v>
      </c>
      <c r="V1076" t="s">
        <v>4073</v>
      </c>
    </row>
    <row r="1077" spans="1:22" hidden="1" x14ac:dyDescent="0.45">
      <c r="A1077" s="2" t="s">
        <v>1115</v>
      </c>
      <c r="B1077" s="11">
        <v>45344</v>
      </c>
      <c r="C1077" s="2" t="s">
        <v>2010</v>
      </c>
      <c r="D1077" s="2" t="s">
        <v>2015</v>
      </c>
      <c r="E1077">
        <v>0</v>
      </c>
      <c r="F1077">
        <v>0</v>
      </c>
      <c r="G1077">
        <v>406.59</v>
      </c>
      <c r="H1077">
        <v>35779.919999999998</v>
      </c>
      <c r="I1077" s="2" t="s">
        <v>2020</v>
      </c>
      <c r="J1077" s="2" t="s">
        <v>2030</v>
      </c>
      <c r="K1077" s="2" t="s">
        <v>3136</v>
      </c>
      <c r="L1077" s="2" t="s">
        <v>4032</v>
      </c>
      <c r="M1077">
        <v>406.59</v>
      </c>
      <c r="N1077" s="2" t="s">
        <v>4042</v>
      </c>
      <c r="O1077">
        <v>88</v>
      </c>
      <c r="P1077">
        <v>35779.919999999998</v>
      </c>
      <c r="Q1077" t="b">
        <v>0</v>
      </c>
      <c r="R1077" t="b">
        <v>0</v>
      </c>
      <c r="S1077" t="b">
        <v>0</v>
      </c>
      <c r="T1077" t="b">
        <v>0</v>
      </c>
      <c r="U1077">
        <v>0</v>
      </c>
      <c r="V1077" t="s">
        <v>4073</v>
      </c>
    </row>
    <row r="1078" spans="1:22" hidden="1" x14ac:dyDescent="0.45">
      <c r="A1078" s="2" t="s">
        <v>915</v>
      </c>
      <c r="B1078" s="11">
        <v>45145</v>
      </c>
      <c r="C1078" s="2" t="s">
        <v>2012</v>
      </c>
      <c r="D1078" s="2" t="s">
        <v>2017</v>
      </c>
      <c r="E1078">
        <v>586.1</v>
      </c>
      <c r="F1078">
        <v>35752.1</v>
      </c>
      <c r="G1078">
        <v>0</v>
      </c>
      <c r="H1078">
        <v>0</v>
      </c>
      <c r="I1078" s="2" t="s">
        <v>2025</v>
      </c>
      <c r="J1078" s="2" t="s">
        <v>2030</v>
      </c>
      <c r="K1078" s="2" t="s">
        <v>2936</v>
      </c>
      <c r="L1078" s="2" t="s">
        <v>4035</v>
      </c>
      <c r="M1078">
        <v>-586.1</v>
      </c>
      <c r="N1078" s="2" t="s">
        <v>4044</v>
      </c>
      <c r="O1078">
        <v>61</v>
      </c>
      <c r="P1078">
        <v>-35752.1</v>
      </c>
      <c r="Q1078" t="b">
        <v>0</v>
      </c>
      <c r="R1078" t="b">
        <v>0</v>
      </c>
      <c r="S1078" t="b">
        <v>0</v>
      </c>
      <c r="T1078" t="b">
        <v>0</v>
      </c>
      <c r="U1078">
        <v>0</v>
      </c>
      <c r="V1078" t="s">
        <v>4073</v>
      </c>
    </row>
    <row r="1079" spans="1:22" hidden="1" x14ac:dyDescent="0.45">
      <c r="A1079" s="2" t="s">
        <v>1691</v>
      </c>
      <c r="B1079" s="11">
        <v>45636</v>
      </c>
      <c r="C1079" s="2" t="s">
        <v>2014</v>
      </c>
      <c r="D1079" s="2" t="s">
        <v>2019</v>
      </c>
      <c r="E1079">
        <v>0</v>
      </c>
      <c r="F1079">
        <v>0</v>
      </c>
      <c r="G1079">
        <v>635.34</v>
      </c>
      <c r="H1079">
        <v>35579.040000000001</v>
      </c>
      <c r="I1079" s="2" t="s">
        <v>2021</v>
      </c>
      <c r="J1079" s="2" t="s">
        <v>2028</v>
      </c>
      <c r="K1079" s="2" t="s">
        <v>3712</v>
      </c>
      <c r="L1079" s="2" t="s">
        <v>4033</v>
      </c>
      <c r="M1079">
        <v>635.34</v>
      </c>
      <c r="N1079" s="2" t="s">
        <v>4042</v>
      </c>
      <c r="O1079">
        <v>56</v>
      </c>
      <c r="P1079">
        <v>35579.040000000001</v>
      </c>
      <c r="Q1079" t="b">
        <v>0</v>
      </c>
      <c r="R1079" t="b">
        <v>0</v>
      </c>
      <c r="S1079" t="b">
        <v>0</v>
      </c>
      <c r="T1079" t="b">
        <v>0</v>
      </c>
      <c r="U1079">
        <v>0</v>
      </c>
      <c r="V1079" t="s">
        <v>4073</v>
      </c>
    </row>
    <row r="1080" spans="1:22" hidden="1" x14ac:dyDescent="0.45">
      <c r="A1080" s="2" t="s">
        <v>1096</v>
      </c>
      <c r="B1080" s="11">
        <v>45827</v>
      </c>
      <c r="C1080" s="2" t="s">
        <v>2013</v>
      </c>
      <c r="D1080" s="2" t="s">
        <v>2018</v>
      </c>
      <c r="E1080">
        <v>403.44</v>
      </c>
      <c r="F1080">
        <v>35502.720000000001</v>
      </c>
      <c r="G1080">
        <v>0</v>
      </c>
      <c r="H1080">
        <v>0</v>
      </c>
      <c r="I1080" s="2" t="s">
        <v>2023</v>
      </c>
      <c r="J1080" s="2" t="s">
        <v>2030</v>
      </c>
      <c r="K1080" s="2" t="s">
        <v>3117</v>
      </c>
      <c r="L1080" s="2" t="s">
        <v>4032</v>
      </c>
      <c r="M1080">
        <v>-403.44</v>
      </c>
      <c r="N1080" s="2" t="s">
        <v>4044</v>
      </c>
      <c r="O1080">
        <v>88</v>
      </c>
      <c r="P1080">
        <v>-35502.720000000001</v>
      </c>
      <c r="Q1080" t="b">
        <v>0</v>
      </c>
      <c r="R1080" t="b">
        <v>0</v>
      </c>
      <c r="S1080" t="b">
        <v>0</v>
      </c>
      <c r="T1080" t="b">
        <v>0</v>
      </c>
      <c r="U1080">
        <v>0</v>
      </c>
      <c r="V1080" t="s">
        <v>4073</v>
      </c>
    </row>
    <row r="1081" spans="1:22" hidden="1" x14ac:dyDescent="0.45">
      <c r="A1081" s="2" t="s">
        <v>1140</v>
      </c>
      <c r="B1081" s="11">
        <v>45371</v>
      </c>
      <c r="C1081" s="2" t="s">
        <v>2012</v>
      </c>
      <c r="D1081" s="2" t="s">
        <v>2017</v>
      </c>
      <c r="E1081">
        <v>431.95</v>
      </c>
      <c r="F1081">
        <v>35419.9</v>
      </c>
      <c r="G1081">
        <v>0</v>
      </c>
      <c r="H1081">
        <v>0</v>
      </c>
      <c r="I1081" s="2" t="s">
        <v>2023</v>
      </c>
      <c r="J1081" s="2" t="s">
        <v>2028</v>
      </c>
      <c r="K1081" s="2" t="s">
        <v>3161</v>
      </c>
      <c r="L1081" s="2" t="s">
        <v>4034</v>
      </c>
      <c r="M1081">
        <v>-431.95</v>
      </c>
      <c r="N1081" s="2" t="s">
        <v>4044</v>
      </c>
      <c r="O1081">
        <v>82</v>
      </c>
      <c r="P1081">
        <v>-35419.9</v>
      </c>
      <c r="Q1081" t="b">
        <v>0</v>
      </c>
      <c r="R1081" t="b">
        <v>0</v>
      </c>
      <c r="S1081" t="b">
        <v>0</v>
      </c>
      <c r="T1081" t="b">
        <v>0</v>
      </c>
      <c r="U1081">
        <v>0</v>
      </c>
      <c r="V1081" t="s">
        <v>4073</v>
      </c>
    </row>
    <row r="1082" spans="1:22" hidden="1" x14ac:dyDescent="0.45">
      <c r="A1082" s="2" t="s">
        <v>1030</v>
      </c>
      <c r="B1082" s="11">
        <v>45540</v>
      </c>
      <c r="C1082" s="2" t="s">
        <v>2011</v>
      </c>
      <c r="D1082" s="2" t="s">
        <v>2016</v>
      </c>
      <c r="E1082">
        <v>402.15</v>
      </c>
      <c r="F1082">
        <v>35389.199999999997</v>
      </c>
      <c r="G1082">
        <v>0</v>
      </c>
      <c r="H1082">
        <v>0</v>
      </c>
      <c r="I1082" s="2" t="s">
        <v>2025</v>
      </c>
      <c r="J1082" s="2" t="s">
        <v>2026</v>
      </c>
      <c r="K1082" s="2" t="s">
        <v>3051</v>
      </c>
      <c r="L1082" s="2" t="s">
        <v>4032</v>
      </c>
      <c r="M1082">
        <v>-402.15</v>
      </c>
      <c r="N1082" s="2" t="s">
        <v>2016</v>
      </c>
      <c r="O1082">
        <v>88</v>
      </c>
      <c r="P1082">
        <v>-35389.199999999997</v>
      </c>
      <c r="Q1082" t="b">
        <v>0</v>
      </c>
      <c r="R1082" t="b">
        <v>0</v>
      </c>
      <c r="S1082" t="b">
        <v>0</v>
      </c>
      <c r="T1082" t="b">
        <v>0</v>
      </c>
      <c r="U1082">
        <v>0</v>
      </c>
      <c r="V1082" t="s">
        <v>4073</v>
      </c>
    </row>
    <row r="1083" spans="1:22" hidden="1" x14ac:dyDescent="0.45">
      <c r="A1083" s="2" t="s">
        <v>513</v>
      </c>
      <c r="B1083" s="11">
        <v>45160</v>
      </c>
      <c r="C1083" s="2" t="s">
        <v>2013</v>
      </c>
      <c r="D1083" s="2" t="s">
        <v>2018</v>
      </c>
      <c r="E1083">
        <v>402.01</v>
      </c>
      <c r="F1083">
        <v>35376.879999999997</v>
      </c>
      <c r="G1083">
        <v>0</v>
      </c>
      <c r="H1083">
        <v>0</v>
      </c>
      <c r="I1083" s="2" t="s">
        <v>2023</v>
      </c>
      <c r="J1083" s="2" t="s">
        <v>2026</v>
      </c>
      <c r="K1083" s="2" t="s">
        <v>2534</v>
      </c>
      <c r="L1083" s="2" t="s">
        <v>4032</v>
      </c>
      <c r="M1083">
        <v>-402.01</v>
      </c>
      <c r="N1083" s="2" t="s">
        <v>4044</v>
      </c>
      <c r="O1083">
        <v>88</v>
      </c>
      <c r="P1083">
        <v>-35376.879999999997</v>
      </c>
      <c r="Q1083" t="b">
        <v>0</v>
      </c>
      <c r="R1083" t="b">
        <v>0</v>
      </c>
      <c r="S1083" t="b">
        <v>0</v>
      </c>
      <c r="T1083" t="b">
        <v>0</v>
      </c>
      <c r="U1083">
        <v>0</v>
      </c>
      <c r="V1083" t="s">
        <v>4073</v>
      </c>
    </row>
    <row r="1084" spans="1:22" hidden="1" x14ac:dyDescent="0.45">
      <c r="A1084" s="2" t="s">
        <v>1705</v>
      </c>
      <c r="B1084" s="11">
        <v>45373</v>
      </c>
      <c r="C1084" s="2" t="s">
        <v>2012</v>
      </c>
      <c r="D1084" s="2" t="s">
        <v>2017</v>
      </c>
      <c r="E1084">
        <v>630.79</v>
      </c>
      <c r="F1084">
        <v>35324.239999999998</v>
      </c>
      <c r="G1084">
        <v>0</v>
      </c>
      <c r="H1084">
        <v>0</v>
      </c>
      <c r="I1084" s="2" t="s">
        <v>2025</v>
      </c>
      <c r="J1084" s="2" t="s">
        <v>2026</v>
      </c>
      <c r="K1084" s="2" t="s">
        <v>3726</v>
      </c>
      <c r="L1084" s="2" t="s">
        <v>4033</v>
      </c>
      <c r="M1084">
        <v>-630.79</v>
      </c>
      <c r="N1084" s="2" t="s">
        <v>4044</v>
      </c>
      <c r="O1084">
        <v>56</v>
      </c>
      <c r="P1084">
        <v>-35324.239999999998</v>
      </c>
      <c r="Q1084" t="b">
        <v>0</v>
      </c>
      <c r="R1084" t="b">
        <v>0</v>
      </c>
      <c r="S1084" t="b">
        <v>0</v>
      </c>
      <c r="T1084" t="b">
        <v>0</v>
      </c>
      <c r="U1084">
        <v>0</v>
      </c>
      <c r="V1084" t="s">
        <v>4073</v>
      </c>
    </row>
    <row r="1085" spans="1:22" hidden="1" x14ac:dyDescent="0.45">
      <c r="A1085" s="2" t="s">
        <v>1751</v>
      </c>
      <c r="B1085" s="11">
        <v>45327</v>
      </c>
      <c r="C1085" s="2" t="s">
        <v>2010</v>
      </c>
      <c r="D1085" s="2" t="s">
        <v>2015</v>
      </c>
      <c r="E1085">
        <v>0</v>
      </c>
      <c r="F1085">
        <v>0</v>
      </c>
      <c r="G1085">
        <v>225.78</v>
      </c>
      <c r="H1085">
        <v>19868.64</v>
      </c>
      <c r="I1085" s="2" t="s">
        <v>2023</v>
      </c>
      <c r="J1085" s="2" t="s">
        <v>2028</v>
      </c>
      <c r="K1085" s="2" t="s">
        <v>3772</v>
      </c>
      <c r="L1085" s="2" t="s">
        <v>4032</v>
      </c>
      <c r="M1085">
        <v>225.78</v>
      </c>
      <c r="N1085" s="2" t="s">
        <v>4042</v>
      </c>
      <c r="O1085">
        <v>88</v>
      </c>
      <c r="P1085">
        <v>19868.64</v>
      </c>
      <c r="Q1085" t="b">
        <v>0</v>
      </c>
      <c r="R1085" t="b">
        <v>0</v>
      </c>
      <c r="S1085" t="b">
        <v>0</v>
      </c>
      <c r="T1085" t="b">
        <v>0</v>
      </c>
      <c r="U1085">
        <v>0</v>
      </c>
      <c r="V1085" t="s">
        <v>4073</v>
      </c>
    </row>
    <row r="1086" spans="1:22" hidden="1" x14ac:dyDescent="0.45">
      <c r="A1086" s="2" t="s">
        <v>1916</v>
      </c>
      <c r="B1086" s="11">
        <v>44973</v>
      </c>
      <c r="C1086" s="2" t="s">
        <v>2011</v>
      </c>
      <c r="D1086" s="2" t="s">
        <v>2016</v>
      </c>
      <c r="E1086">
        <v>326.83</v>
      </c>
      <c r="F1086">
        <v>19936.629999999997</v>
      </c>
      <c r="G1086">
        <v>0</v>
      </c>
      <c r="H1086">
        <v>0</v>
      </c>
      <c r="I1086" s="2" t="s">
        <v>2023</v>
      </c>
      <c r="J1086" s="2" t="s">
        <v>2029</v>
      </c>
      <c r="K1086" s="2" t="s">
        <v>3937</v>
      </c>
      <c r="L1086" s="2" t="s">
        <v>4035</v>
      </c>
      <c r="M1086">
        <v>-326.83</v>
      </c>
      <c r="N1086" s="2" t="s">
        <v>2016</v>
      </c>
      <c r="O1086">
        <v>61</v>
      </c>
      <c r="P1086">
        <v>-19936.629999999997</v>
      </c>
      <c r="Q1086" t="b">
        <v>0</v>
      </c>
      <c r="R1086" t="b">
        <v>0</v>
      </c>
      <c r="S1086" t="b">
        <v>0</v>
      </c>
      <c r="T1086" t="b">
        <v>0</v>
      </c>
      <c r="U1086">
        <v>0</v>
      </c>
      <c r="V1086" t="s">
        <v>4073</v>
      </c>
    </row>
    <row r="1087" spans="1:22" hidden="1" x14ac:dyDescent="0.45">
      <c r="A1087" s="2" t="s">
        <v>1386</v>
      </c>
      <c r="B1087" s="11">
        <v>45240</v>
      </c>
      <c r="C1087" s="2" t="s">
        <v>2013</v>
      </c>
      <c r="D1087" s="2" t="s">
        <v>2018</v>
      </c>
      <c r="E1087">
        <v>400.54</v>
      </c>
      <c r="F1087">
        <v>35247.520000000004</v>
      </c>
      <c r="G1087">
        <v>0</v>
      </c>
      <c r="H1087">
        <v>0</v>
      </c>
      <c r="I1087" s="2" t="s">
        <v>2023</v>
      </c>
      <c r="J1087" s="2" t="s">
        <v>2028</v>
      </c>
      <c r="K1087" s="2" t="s">
        <v>3407</v>
      </c>
      <c r="L1087" s="2" t="s">
        <v>4032</v>
      </c>
      <c r="M1087">
        <v>-400.54</v>
      </c>
      <c r="N1087" s="2" t="s">
        <v>4044</v>
      </c>
      <c r="O1087">
        <v>88</v>
      </c>
      <c r="P1087">
        <v>-35247.520000000004</v>
      </c>
      <c r="Q1087" t="b">
        <v>0</v>
      </c>
      <c r="R1087" t="b">
        <v>0</v>
      </c>
      <c r="S1087" t="b">
        <v>0</v>
      </c>
      <c r="T1087" t="b">
        <v>0</v>
      </c>
      <c r="U1087">
        <v>0</v>
      </c>
      <c r="V1087" t="s">
        <v>4073</v>
      </c>
    </row>
    <row r="1088" spans="1:22" hidden="1" x14ac:dyDescent="0.45">
      <c r="A1088" s="2" t="s">
        <v>288</v>
      </c>
      <c r="B1088" s="11">
        <v>45174</v>
      </c>
      <c r="C1088" s="2" t="s">
        <v>2013</v>
      </c>
      <c r="D1088" s="2" t="s">
        <v>2018</v>
      </c>
      <c r="E1088">
        <v>628.62</v>
      </c>
      <c r="F1088">
        <v>35202.720000000001</v>
      </c>
      <c r="G1088">
        <v>0</v>
      </c>
      <c r="H1088">
        <v>0</v>
      </c>
      <c r="I1088" s="2" t="s">
        <v>2021</v>
      </c>
      <c r="J1088" s="2" t="s">
        <v>2029</v>
      </c>
      <c r="K1088" s="2" t="s">
        <v>2309</v>
      </c>
      <c r="L1088" s="2" t="s">
        <v>4033</v>
      </c>
      <c r="M1088">
        <v>-628.62</v>
      </c>
      <c r="N1088" s="2" t="s">
        <v>4044</v>
      </c>
      <c r="O1088">
        <v>56</v>
      </c>
      <c r="P1088">
        <v>-35202.720000000001</v>
      </c>
      <c r="Q1088" t="b">
        <v>0</v>
      </c>
      <c r="R1088" t="b">
        <v>0</v>
      </c>
      <c r="S1088" t="b">
        <v>0</v>
      </c>
      <c r="T1088" t="b">
        <v>0</v>
      </c>
      <c r="U1088">
        <v>0</v>
      </c>
      <c r="V1088" t="s">
        <v>4073</v>
      </c>
    </row>
    <row r="1089" spans="1:22" hidden="1" x14ac:dyDescent="0.45">
      <c r="A1089" s="2" t="s">
        <v>598</v>
      </c>
      <c r="B1089" s="11">
        <v>45757</v>
      </c>
      <c r="C1089" s="2" t="s">
        <v>2013</v>
      </c>
      <c r="D1089" s="2" t="s">
        <v>2018</v>
      </c>
      <c r="E1089">
        <v>329.57</v>
      </c>
      <c r="F1089">
        <v>20103.77</v>
      </c>
      <c r="G1089">
        <v>0</v>
      </c>
      <c r="H1089">
        <v>0</v>
      </c>
      <c r="I1089" s="2" t="s">
        <v>2023</v>
      </c>
      <c r="J1089" s="2" t="s">
        <v>2030</v>
      </c>
      <c r="K1089" s="2" t="s">
        <v>2619</v>
      </c>
      <c r="L1089" s="2" t="s">
        <v>4035</v>
      </c>
      <c r="M1089">
        <v>-329.57</v>
      </c>
      <c r="N1089" s="2" t="s">
        <v>4044</v>
      </c>
      <c r="O1089">
        <v>61</v>
      </c>
      <c r="P1089">
        <v>-20103.77</v>
      </c>
      <c r="Q1089" t="b">
        <v>0</v>
      </c>
      <c r="R1089" t="b">
        <v>0</v>
      </c>
      <c r="S1089" t="b">
        <v>0</v>
      </c>
      <c r="T1089" t="b">
        <v>0</v>
      </c>
      <c r="U1089">
        <v>0</v>
      </c>
      <c r="V1089" t="s">
        <v>4073</v>
      </c>
    </row>
    <row r="1090" spans="1:22" hidden="1" x14ac:dyDescent="0.45">
      <c r="A1090" s="2" t="s">
        <v>1619</v>
      </c>
      <c r="B1090" s="11">
        <v>45701</v>
      </c>
      <c r="C1090" s="2" t="s">
        <v>2013</v>
      </c>
      <c r="D1090" s="2" t="s">
        <v>2018</v>
      </c>
      <c r="E1090">
        <v>427.92</v>
      </c>
      <c r="F1090">
        <v>35089.440000000002</v>
      </c>
      <c r="G1090">
        <v>0</v>
      </c>
      <c r="H1090">
        <v>0</v>
      </c>
      <c r="I1090" s="2" t="s">
        <v>2024</v>
      </c>
      <c r="J1090" s="2" t="s">
        <v>2028</v>
      </c>
      <c r="K1090" s="2" t="s">
        <v>3640</v>
      </c>
      <c r="L1090" s="2" t="s">
        <v>4034</v>
      </c>
      <c r="M1090">
        <v>-427.92</v>
      </c>
      <c r="N1090" s="2" t="s">
        <v>4044</v>
      </c>
      <c r="O1090">
        <v>82</v>
      </c>
      <c r="P1090">
        <v>-35089.440000000002</v>
      </c>
      <c r="Q1090" t="b">
        <v>0</v>
      </c>
      <c r="R1090" t="b">
        <v>0</v>
      </c>
      <c r="S1090" t="b">
        <v>0</v>
      </c>
      <c r="T1090" t="b">
        <v>0</v>
      </c>
      <c r="U1090">
        <v>0</v>
      </c>
      <c r="V1090" t="s">
        <v>4073</v>
      </c>
    </row>
    <row r="1091" spans="1:22" hidden="1" x14ac:dyDescent="0.45">
      <c r="A1091" s="2" t="s">
        <v>1412</v>
      </c>
      <c r="B1091" s="11">
        <v>45540</v>
      </c>
      <c r="C1091" s="2" t="s">
        <v>2012</v>
      </c>
      <c r="D1091" s="2" t="s">
        <v>2017</v>
      </c>
      <c r="E1091">
        <v>340.22</v>
      </c>
      <c r="F1091">
        <v>35042.660000000003</v>
      </c>
      <c r="G1091">
        <v>0</v>
      </c>
      <c r="H1091">
        <v>0</v>
      </c>
      <c r="I1091" s="2" t="s">
        <v>2025</v>
      </c>
      <c r="J1091" s="2" t="s">
        <v>2028</v>
      </c>
      <c r="K1091" s="2" t="s">
        <v>3433</v>
      </c>
      <c r="L1091" s="2" t="s">
        <v>4031</v>
      </c>
      <c r="M1091">
        <v>-340.22</v>
      </c>
      <c r="N1091" s="2" t="s">
        <v>4044</v>
      </c>
      <c r="O1091">
        <v>103</v>
      </c>
      <c r="P1091">
        <v>-35042.660000000003</v>
      </c>
      <c r="Q1091" t="b">
        <v>0</v>
      </c>
      <c r="R1091" t="b">
        <v>0</v>
      </c>
      <c r="S1091" t="b">
        <v>0</v>
      </c>
      <c r="T1091" t="b">
        <v>0</v>
      </c>
      <c r="U1091">
        <v>0</v>
      </c>
      <c r="V1091" t="s">
        <v>4073</v>
      </c>
    </row>
    <row r="1092" spans="1:22" hidden="1" x14ac:dyDescent="0.45">
      <c r="A1092" s="2" t="s">
        <v>990</v>
      </c>
      <c r="B1092" s="11">
        <v>45705</v>
      </c>
      <c r="C1092" s="2" t="s">
        <v>2013</v>
      </c>
      <c r="D1092" s="2" t="s">
        <v>2018</v>
      </c>
      <c r="E1092">
        <v>397.17</v>
      </c>
      <c r="F1092">
        <v>34950.959999999999</v>
      </c>
      <c r="G1092">
        <v>0</v>
      </c>
      <c r="H1092">
        <v>0</v>
      </c>
      <c r="I1092" s="2" t="s">
        <v>2024</v>
      </c>
      <c r="J1092" s="2" t="s">
        <v>2029</v>
      </c>
      <c r="K1092" s="2" t="s">
        <v>3011</v>
      </c>
      <c r="L1092" s="2" t="s">
        <v>4032</v>
      </c>
      <c r="M1092">
        <v>-397.17</v>
      </c>
      <c r="N1092" s="2" t="s">
        <v>4044</v>
      </c>
      <c r="O1092">
        <v>88</v>
      </c>
      <c r="P1092">
        <v>-34950.959999999999</v>
      </c>
      <c r="Q1092" t="b">
        <v>0</v>
      </c>
      <c r="R1092" t="b">
        <v>0</v>
      </c>
      <c r="S1092" t="b">
        <v>0</v>
      </c>
      <c r="T1092" t="b">
        <v>0</v>
      </c>
      <c r="U1092">
        <v>0</v>
      </c>
      <c r="V1092" t="s">
        <v>4073</v>
      </c>
    </row>
    <row r="1093" spans="1:22" hidden="1" x14ac:dyDescent="0.45">
      <c r="A1093" s="2" t="s">
        <v>1170</v>
      </c>
      <c r="B1093" s="11">
        <v>45021</v>
      </c>
      <c r="C1093" s="2" t="s">
        <v>2012</v>
      </c>
      <c r="D1093" s="2" t="s">
        <v>2017</v>
      </c>
      <c r="E1093">
        <v>620.16999999999996</v>
      </c>
      <c r="F1093">
        <v>34729.519999999997</v>
      </c>
      <c r="G1093">
        <v>0</v>
      </c>
      <c r="H1093">
        <v>0</v>
      </c>
      <c r="I1093" s="2" t="s">
        <v>2020</v>
      </c>
      <c r="J1093" s="2" t="s">
        <v>2029</v>
      </c>
      <c r="K1093" s="2" t="s">
        <v>3191</v>
      </c>
      <c r="L1093" s="2" t="s">
        <v>4033</v>
      </c>
      <c r="M1093">
        <v>-620.16999999999996</v>
      </c>
      <c r="N1093" s="2" t="s">
        <v>4044</v>
      </c>
      <c r="O1093">
        <v>56</v>
      </c>
      <c r="P1093">
        <v>-34729.519999999997</v>
      </c>
      <c r="Q1093" t="b">
        <v>0</v>
      </c>
      <c r="R1093" t="b">
        <v>0</v>
      </c>
      <c r="S1093" t="b">
        <v>0</v>
      </c>
      <c r="T1093" t="b">
        <v>0</v>
      </c>
      <c r="U1093">
        <v>0</v>
      </c>
      <c r="V1093" t="s">
        <v>4073</v>
      </c>
    </row>
    <row r="1094" spans="1:22" hidden="1" x14ac:dyDescent="0.45">
      <c r="A1094" s="2" t="s">
        <v>17</v>
      </c>
      <c r="B1094" s="11">
        <v>45282</v>
      </c>
      <c r="C1094" s="2" t="s">
        <v>2012</v>
      </c>
      <c r="D1094" s="2" t="s">
        <v>2017</v>
      </c>
      <c r="E1094">
        <v>247.27</v>
      </c>
      <c r="F1094">
        <v>20276.14</v>
      </c>
      <c r="G1094">
        <v>0</v>
      </c>
      <c r="H1094">
        <v>0</v>
      </c>
      <c r="I1094" s="2" t="s">
        <v>2023</v>
      </c>
      <c r="J1094" s="2" t="s">
        <v>2026</v>
      </c>
      <c r="K1094" s="2" t="s">
        <v>2038</v>
      </c>
      <c r="L1094" s="2" t="s">
        <v>4034</v>
      </c>
      <c r="M1094">
        <v>-247.27</v>
      </c>
      <c r="N1094" s="2" t="s">
        <v>4044</v>
      </c>
      <c r="O1094">
        <v>82</v>
      </c>
      <c r="P1094">
        <v>-20276.14</v>
      </c>
      <c r="Q1094" t="b">
        <v>0</v>
      </c>
      <c r="R1094" t="b">
        <v>0</v>
      </c>
      <c r="S1094" t="b">
        <v>0</v>
      </c>
      <c r="T1094" t="b">
        <v>0</v>
      </c>
      <c r="U1094">
        <v>0</v>
      </c>
      <c r="V1094" t="s">
        <v>4073</v>
      </c>
    </row>
    <row r="1095" spans="1:22" hidden="1" x14ac:dyDescent="0.45">
      <c r="A1095" s="2" t="s">
        <v>817</v>
      </c>
      <c r="B1095" s="11">
        <v>45485</v>
      </c>
      <c r="C1095" s="2" t="s">
        <v>2012</v>
      </c>
      <c r="D1095" s="2" t="s">
        <v>2017</v>
      </c>
      <c r="E1095">
        <v>335.31</v>
      </c>
      <c r="F1095">
        <v>34536.93</v>
      </c>
      <c r="G1095">
        <v>0</v>
      </c>
      <c r="H1095">
        <v>0</v>
      </c>
      <c r="I1095" s="2" t="s">
        <v>2020</v>
      </c>
      <c r="J1095" s="2" t="s">
        <v>2026</v>
      </c>
      <c r="K1095" s="2" t="s">
        <v>2838</v>
      </c>
      <c r="L1095" s="2" t="s">
        <v>4031</v>
      </c>
      <c r="M1095">
        <v>-335.31</v>
      </c>
      <c r="N1095" s="2" t="s">
        <v>4044</v>
      </c>
      <c r="O1095">
        <v>103</v>
      </c>
      <c r="P1095">
        <v>-34536.93</v>
      </c>
      <c r="Q1095" t="b">
        <v>0</v>
      </c>
      <c r="R1095" t="b">
        <v>0</v>
      </c>
      <c r="S1095" t="b">
        <v>0</v>
      </c>
      <c r="T1095" t="b">
        <v>0</v>
      </c>
      <c r="U1095">
        <v>0</v>
      </c>
      <c r="V1095" t="s">
        <v>4073</v>
      </c>
    </row>
    <row r="1096" spans="1:22" hidden="1" x14ac:dyDescent="0.45">
      <c r="A1096" s="2" t="s">
        <v>1783</v>
      </c>
      <c r="B1096" s="11">
        <v>45826</v>
      </c>
      <c r="C1096" s="2" t="s">
        <v>2012</v>
      </c>
      <c r="D1096" s="2" t="s">
        <v>2017</v>
      </c>
      <c r="E1096">
        <v>335.24</v>
      </c>
      <c r="F1096">
        <v>34529.72</v>
      </c>
      <c r="G1096">
        <v>0</v>
      </c>
      <c r="H1096">
        <v>0</v>
      </c>
      <c r="I1096" s="2" t="s">
        <v>2024</v>
      </c>
      <c r="J1096" s="2" t="s">
        <v>2027</v>
      </c>
      <c r="K1096" s="2" t="s">
        <v>3804</v>
      </c>
      <c r="L1096" s="2" t="s">
        <v>4031</v>
      </c>
      <c r="M1096">
        <v>-335.24</v>
      </c>
      <c r="N1096" s="2" t="s">
        <v>4044</v>
      </c>
      <c r="O1096">
        <v>103</v>
      </c>
      <c r="P1096">
        <v>-34529.72</v>
      </c>
      <c r="Q1096" t="b">
        <v>0</v>
      </c>
      <c r="R1096" t="b">
        <v>0</v>
      </c>
      <c r="S1096" t="b">
        <v>0</v>
      </c>
      <c r="T1096" t="b">
        <v>0</v>
      </c>
      <c r="U1096">
        <v>0</v>
      </c>
      <c r="V1096" t="s">
        <v>4073</v>
      </c>
    </row>
    <row r="1097" spans="1:22" hidden="1" x14ac:dyDescent="0.45">
      <c r="A1097" s="2" t="s">
        <v>404</v>
      </c>
      <c r="B1097" s="11">
        <v>45204</v>
      </c>
      <c r="C1097" s="2" t="s">
        <v>2010</v>
      </c>
      <c r="D1097" s="2" t="s">
        <v>2015</v>
      </c>
      <c r="E1097">
        <v>0</v>
      </c>
      <c r="F1097">
        <v>0</v>
      </c>
      <c r="G1097">
        <v>334.65</v>
      </c>
      <c r="H1097">
        <v>34468.949999999997</v>
      </c>
      <c r="I1097" s="2" t="s">
        <v>2023</v>
      </c>
      <c r="J1097" s="2" t="s">
        <v>2026</v>
      </c>
      <c r="K1097" s="2" t="s">
        <v>2425</v>
      </c>
      <c r="L1097" s="2" t="s">
        <v>4031</v>
      </c>
      <c r="M1097">
        <v>334.65</v>
      </c>
      <c r="N1097" s="2" t="s">
        <v>4042</v>
      </c>
      <c r="O1097">
        <v>103</v>
      </c>
      <c r="P1097">
        <v>34468.949999999997</v>
      </c>
      <c r="Q1097" t="b">
        <v>0</v>
      </c>
      <c r="R1097" t="b">
        <v>0</v>
      </c>
      <c r="S1097" t="b">
        <v>0</v>
      </c>
      <c r="T1097" t="b">
        <v>0</v>
      </c>
      <c r="U1097">
        <v>0</v>
      </c>
      <c r="V1097" t="s">
        <v>4073</v>
      </c>
    </row>
    <row r="1098" spans="1:22" hidden="1" x14ac:dyDescent="0.45">
      <c r="A1098" s="2" t="s">
        <v>45</v>
      </c>
      <c r="B1098" s="11">
        <v>45425</v>
      </c>
      <c r="C1098" s="2" t="s">
        <v>2010</v>
      </c>
      <c r="D1098" s="2" t="s">
        <v>2015</v>
      </c>
      <c r="E1098">
        <v>0</v>
      </c>
      <c r="F1098">
        <v>0</v>
      </c>
      <c r="G1098">
        <v>391.57</v>
      </c>
      <c r="H1098">
        <v>34458.159999999996</v>
      </c>
      <c r="I1098" s="2" t="s">
        <v>2024</v>
      </c>
      <c r="J1098" s="2" t="s">
        <v>2029</v>
      </c>
      <c r="K1098" s="2" t="s">
        <v>2066</v>
      </c>
      <c r="L1098" s="2" t="s">
        <v>4032</v>
      </c>
      <c r="M1098">
        <v>391.57</v>
      </c>
      <c r="N1098" s="2" t="s">
        <v>4042</v>
      </c>
      <c r="O1098">
        <v>88</v>
      </c>
      <c r="P1098">
        <v>34458.159999999996</v>
      </c>
      <c r="Q1098" t="b">
        <v>0</v>
      </c>
      <c r="R1098" t="b">
        <v>0</v>
      </c>
      <c r="S1098" t="b">
        <v>0</v>
      </c>
      <c r="T1098" t="b">
        <v>0</v>
      </c>
      <c r="U1098">
        <v>0</v>
      </c>
      <c r="V1098" t="s">
        <v>4073</v>
      </c>
    </row>
    <row r="1099" spans="1:22" hidden="1" x14ac:dyDescent="0.45">
      <c r="A1099" s="2" t="s">
        <v>1837</v>
      </c>
      <c r="B1099" s="11">
        <v>45488</v>
      </c>
      <c r="C1099" s="2" t="s">
        <v>2013</v>
      </c>
      <c r="D1099" s="2" t="s">
        <v>2018</v>
      </c>
      <c r="E1099">
        <v>652.48</v>
      </c>
      <c r="F1099">
        <v>36538.880000000005</v>
      </c>
      <c r="G1099">
        <v>0</v>
      </c>
      <c r="H1099">
        <v>0</v>
      </c>
      <c r="I1099" s="2" t="s">
        <v>2020</v>
      </c>
      <c r="J1099" s="2" t="s">
        <v>2026</v>
      </c>
      <c r="K1099" s="2" t="s">
        <v>3858</v>
      </c>
      <c r="L1099" s="2" t="s">
        <v>4033</v>
      </c>
      <c r="M1099">
        <v>-652.48</v>
      </c>
      <c r="N1099" s="2" t="s">
        <v>4044</v>
      </c>
      <c r="O1099">
        <v>56</v>
      </c>
      <c r="P1099">
        <v>-36538.880000000005</v>
      </c>
      <c r="Q1099" t="b">
        <v>0</v>
      </c>
      <c r="R1099" t="b">
        <v>0</v>
      </c>
      <c r="S1099" t="b">
        <v>0</v>
      </c>
      <c r="T1099" t="b">
        <v>0</v>
      </c>
      <c r="U1099">
        <v>0</v>
      </c>
      <c r="V1099" t="s">
        <v>4073</v>
      </c>
    </row>
    <row r="1100" spans="1:22" hidden="1" x14ac:dyDescent="0.45">
      <c r="A1100" s="2" t="s">
        <v>386</v>
      </c>
      <c r="B1100" s="11">
        <v>45785</v>
      </c>
      <c r="C1100" s="2" t="s">
        <v>2013</v>
      </c>
      <c r="D1100" s="2" t="s">
        <v>2018</v>
      </c>
      <c r="E1100">
        <v>390.22</v>
      </c>
      <c r="F1100">
        <v>34339.360000000001</v>
      </c>
      <c r="G1100">
        <v>0</v>
      </c>
      <c r="H1100">
        <v>0</v>
      </c>
      <c r="I1100" s="2" t="s">
        <v>2021</v>
      </c>
      <c r="J1100" s="2" t="s">
        <v>2029</v>
      </c>
      <c r="K1100" s="2" t="s">
        <v>2407</v>
      </c>
      <c r="L1100" s="2" t="s">
        <v>4032</v>
      </c>
      <c r="M1100">
        <v>-390.22</v>
      </c>
      <c r="N1100" s="2" t="s">
        <v>4044</v>
      </c>
      <c r="O1100">
        <v>88</v>
      </c>
      <c r="P1100">
        <v>-34339.360000000001</v>
      </c>
      <c r="Q1100" t="b">
        <v>0</v>
      </c>
      <c r="R1100" t="b">
        <v>0</v>
      </c>
      <c r="S1100" t="b">
        <v>0</v>
      </c>
      <c r="T1100" t="b">
        <v>0</v>
      </c>
      <c r="U1100">
        <v>0</v>
      </c>
      <c r="V1100" t="s">
        <v>4073</v>
      </c>
    </row>
    <row r="1101" spans="1:22" hidden="1" x14ac:dyDescent="0.45">
      <c r="A1101" s="2" t="s">
        <v>749</v>
      </c>
      <c r="B1101" s="11">
        <v>45569</v>
      </c>
      <c r="C1101" s="2" t="s">
        <v>2011</v>
      </c>
      <c r="D1101" s="2" t="s">
        <v>2016</v>
      </c>
      <c r="E1101">
        <v>655.77</v>
      </c>
      <c r="F1101">
        <v>36723.119999999995</v>
      </c>
      <c r="G1101">
        <v>0</v>
      </c>
      <c r="H1101">
        <v>0</v>
      </c>
      <c r="I1101" s="2" t="s">
        <v>2021</v>
      </c>
      <c r="J1101" s="2" t="s">
        <v>2030</v>
      </c>
      <c r="K1101" s="2" t="s">
        <v>2770</v>
      </c>
      <c r="L1101" s="2" t="s">
        <v>4033</v>
      </c>
      <c r="M1101">
        <v>-655.77</v>
      </c>
      <c r="N1101" s="2" t="s">
        <v>2016</v>
      </c>
      <c r="O1101">
        <v>56</v>
      </c>
      <c r="P1101">
        <v>-36723.119999999995</v>
      </c>
      <c r="Q1101" t="b">
        <v>0</v>
      </c>
      <c r="R1101" t="b">
        <v>0</v>
      </c>
      <c r="S1101" t="b">
        <v>0</v>
      </c>
      <c r="T1101" t="b">
        <v>0</v>
      </c>
      <c r="U1101">
        <v>0</v>
      </c>
      <c r="V1101" t="s">
        <v>4073</v>
      </c>
    </row>
    <row r="1102" spans="1:22" hidden="1" x14ac:dyDescent="0.45">
      <c r="A1102" s="2" t="s">
        <v>1054</v>
      </c>
      <c r="B1102" s="11">
        <v>45141</v>
      </c>
      <c r="C1102" s="2" t="s">
        <v>2011</v>
      </c>
      <c r="D1102" s="2" t="s">
        <v>2016</v>
      </c>
      <c r="E1102">
        <v>357.85</v>
      </c>
      <c r="F1102">
        <v>36858.550000000003</v>
      </c>
      <c r="G1102">
        <v>0</v>
      </c>
      <c r="H1102">
        <v>0</v>
      </c>
      <c r="I1102" s="2" t="s">
        <v>2021</v>
      </c>
      <c r="J1102" s="2" t="s">
        <v>2028</v>
      </c>
      <c r="K1102" s="2" t="s">
        <v>3075</v>
      </c>
      <c r="L1102" s="2" t="s">
        <v>4031</v>
      </c>
      <c r="M1102">
        <v>-357.85</v>
      </c>
      <c r="N1102" s="2" t="s">
        <v>2016</v>
      </c>
      <c r="O1102">
        <v>103</v>
      </c>
      <c r="P1102">
        <v>-36858.550000000003</v>
      </c>
      <c r="Q1102" t="b">
        <v>0</v>
      </c>
      <c r="R1102" t="b">
        <v>0</v>
      </c>
      <c r="S1102" t="b">
        <v>0</v>
      </c>
      <c r="T1102" t="b">
        <v>0</v>
      </c>
      <c r="U1102">
        <v>0</v>
      </c>
      <c r="V1102" t="s">
        <v>4073</v>
      </c>
    </row>
    <row r="1103" spans="1:22" hidden="1" x14ac:dyDescent="0.45">
      <c r="A1103" s="2" t="s">
        <v>1784</v>
      </c>
      <c r="B1103" s="11">
        <v>45454</v>
      </c>
      <c r="C1103" s="2" t="s">
        <v>2012</v>
      </c>
      <c r="D1103" s="2" t="s">
        <v>2017</v>
      </c>
      <c r="E1103">
        <v>705.25</v>
      </c>
      <c r="F1103">
        <v>39494</v>
      </c>
      <c r="G1103">
        <v>0</v>
      </c>
      <c r="H1103">
        <v>0</v>
      </c>
      <c r="I1103" s="2" t="s">
        <v>2021</v>
      </c>
      <c r="J1103" s="2" t="s">
        <v>2028</v>
      </c>
      <c r="K1103" s="2" t="s">
        <v>3805</v>
      </c>
      <c r="L1103" s="2" t="s">
        <v>4033</v>
      </c>
      <c r="M1103">
        <v>-705.25</v>
      </c>
      <c r="N1103" s="2" t="s">
        <v>4044</v>
      </c>
      <c r="O1103">
        <v>56</v>
      </c>
      <c r="P1103">
        <v>-39494</v>
      </c>
      <c r="Q1103" t="b">
        <v>0</v>
      </c>
      <c r="R1103" t="b">
        <v>0</v>
      </c>
      <c r="S1103" t="b">
        <v>0</v>
      </c>
      <c r="T1103" t="b">
        <v>0</v>
      </c>
      <c r="U1103">
        <v>0</v>
      </c>
      <c r="V1103" t="s">
        <v>4073</v>
      </c>
    </row>
    <row r="1104" spans="1:22" hidden="1" x14ac:dyDescent="0.45">
      <c r="A1104" s="2" t="s">
        <v>807</v>
      </c>
      <c r="B1104" s="11">
        <v>45294</v>
      </c>
      <c r="C1104" s="2" t="s">
        <v>2012</v>
      </c>
      <c r="D1104" s="2" t="s">
        <v>2017</v>
      </c>
      <c r="E1104">
        <v>203.96</v>
      </c>
      <c r="F1104">
        <v>16724.72</v>
      </c>
      <c r="G1104">
        <v>0</v>
      </c>
      <c r="H1104">
        <v>0</v>
      </c>
      <c r="I1104" s="2" t="s">
        <v>2025</v>
      </c>
      <c r="J1104" s="2" t="s">
        <v>2028</v>
      </c>
      <c r="K1104" s="2" t="s">
        <v>2828</v>
      </c>
      <c r="L1104" s="2" t="s">
        <v>4034</v>
      </c>
      <c r="M1104">
        <v>-203.96</v>
      </c>
      <c r="N1104" s="2" t="s">
        <v>4044</v>
      </c>
      <c r="O1104">
        <v>82</v>
      </c>
      <c r="P1104">
        <v>-16724.72</v>
      </c>
      <c r="Q1104" t="b">
        <v>0</v>
      </c>
      <c r="R1104" t="b">
        <v>0</v>
      </c>
      <c r="S1104" t="b">
        <v>0</v>
      </c>
      <c r="T1104" t="b">
        <v>0</v>
      </c>
      <c r="U1104">
        <v>0</v>
      </c>
      <c r="V1104" t="s">
        <v>4073</v>
      </c>
    </row>
    <row r="1105" spans="1:22" hidden="1" x14ac:dyDescent="0.45">
      <c r="A1105" s="2" t="s">
        <v>333</v>
      </c>
      <c r="B1105" s="11">
        <v>45517</v>
      </c>
      <c r="C1105" s="2" t="s">
        <v>2010</v>
      </c>
      <c r="D1105" s="2" t="s">
        <v>2015</v>
      </c>
      <c r="E1105">
        <v>0</v>
      </c>
      <c r="F1105">
        <v>0</v>
      </c>
      <c r="G1105">
        <v>381.77</v>
      </c>
      <c r="H1105">
        <v>39322.31</v>
      </c>
      <c r="I1105" s="2" t="s">
        <v>2025</v>
      </c>
      <c r="J1105" s="2" t="s">
        <v>2030</v>
      </c>
      <c r="K1105" s="2" t="s">
        <v>2354</v>
      </c>
      <c r="L1105" s="2" t="s">
        <v>4031</v>
      </c>
      <c r="M1105">
        <v>381.77</v>
      </c>
      <c r="N1105" s="2" t="s">
        <v>4042</v>
      </c>
      <c r="O1105">
        <v>103</v>
      </c>
      <c r="P1105">
        <v>39322.31</v>
      </c>
      <c r="Q1105" t="b">
        <v>0</v>
      </c>
      <c r="R1105" t="b">
        <v>0</v>
      </c>
      <c r="S1105" t="b">
        <v>0</v>
      </c>
      <c r="T1105" t="b">
        <v>0</v>
      </c>
      <c r="U1105">
        <v>0</v>
      </c>
      <c r="V1105" t="s">
        <v>4073</v>
      </c>
    </row>
    <row r="1106" spans="1:22" hidden="1" x14ac:dyDescent="0.45">
      <c r="A1106" s="2" t="s">
        <v>1994</v>
      </c>
      <c r="B1106" s="11">
        <v>44946</v>
      </c>
      <c r="C1106" s="2" t="s">
        <v>2011</v>
      </c>
      <c r="D1106" s="2" t="s">
        <v>2016</v>
      </c>
      <c r="E1106">
        <v>698.67</v>
      </c>
      <c r="F1106">
        <v>39125.519999999997</v>
      </c>
      <c r="G1106">
        <v>0</v>
      </c>
      <c r="H1106">
        <v>0</v>
      </c>
      <c r="I1106" s="2" t="s">
        <v>2025</v>
      </c>
      <c r="J1106" s="2" t="s">
        <v>2028</v>
      </c>
      <c r="K1106" s="2" t="s">
        <v>4015</v>
      </c>
      <c r="L1106" s="2" t="s">
        <v>4033</v>
      </c>
      <c r="M1106">
        <v>-698.67</v>
      </c>
      <c r="N1106" s="2" t="s">
        <v>2016</v>
      </c>
      <c r="O1106">
        <v>56</v>
      </c>
      <c r="P1106">
        <v>-39125.519999999997</v>
      </c>
      <c r="Q1106" t="b">
        <v>0</v>
      </c>
      <c r="R1106" t="b">
        <v>0</v>
      </c>
      <c r="S1106" t="b">
        <v>0</v>
      </c>
      <c r="T1106" t="b">
        <v>0</v>
      </c>
      <c r="U1106">
        <v>0</v>
      </c>
      <c r="V1106" t="s">
        <v>4073</v>
      </c>
    </row>
    <row r="1107" spans="1:22" hidden="1" x14ac:dyDescent="0.45">
      <c r="A1107" s="2" t="s">
        <v>1141</v>
      </c>
      <c r="B1107" s="11">
        <v>45817</v>
      </c>
      <c r="C1107" s="2" t="s">
        <v>2011</v>
      </c>
      <c r="D1107" s="2" t="s">
        <v>2016</v>
      </c>
      <c r="E1107">
        <v>274.33</v>
      </c>
      <c r="F1107">
        <v>16734.129999999997</v>
      </c>
      <c r="G1107">
        <v>0</v>
      </c>
      <c r="H1107">
        <v>0</v>
      </c>
      <c r="I1107" s="2" t="s">
        <v>2024</v>
      </c>
      <c r="J1107" s="2" t="s">
        <v>2028</v>
      </c>
      <c r="K1107" s="2" t="s">
        <v>3162</v>
      </c>
      <c r="L1107" s="2" t="s">
        <v>4035</v>
      </c>
      <c r="M1107">
        <v>-274.33</v>
      </c>
      <c r="N1107" s="2" t="s">
        <v>2016</v>
      </c>
      <c r="O1107">
        <v>61</v>
      </c>
      <c r="P1107">
        <v>-16734.129999999997</v>
      </c>
      <c r="Q1107" t="b">
        <v>0</v>
      </c>
      <c r="R1107" t="b">
        <v>0</v>
      </c>
      <c r="S1107" t="b">
        <v>0</v>
      </c>
      <c r="T1107" t="b">
        <v>0</v>
      </c>
      <c r="U1107">
        <v>0</v>
      </c>
      <c r="V1107" t="s">
        <v>4073</v>
      </c>
    </row>
    <row r="1108" spans="1:22" hidden="1" x14ac:dyDescent="0.45">
      <c r="A1108" s="2" t="s">
        <v>350</v>
      </c>
      <c r="B1108" s="11">
        <v>45637</v>
      </c>
      <c r="C1108" s="2" t="s">
        <v>2011</v>
      </c>
      <c r="D1108" s="2" t="s">
        <v>2016</v>
      </c>
      <c r="E1108">
        <v>192.59</v>
      </c>
      <c r="F1108">
        <v>16947.920000000002</v>
      </c>
      <c r="G1108">
        <v>0</v>
      </c>
      <c r="H1108">
        <v>0</v>
      </c>
      <c r="I1108" s="2" t="s">
        <v>2022</v>
      </c>
      <c r="J1108" s="2" t="s">
        <v>2028</v>
      </c>
      <c r="K1108" s="2" t="s">
        <v>2371</v>
      </c>
      <c r="L1108" s="2" t="s">
        <v>4032</v>
      </c>
      <c r="M1108">
        <v>-192.59</v>
      </c>
      <c r="N1108" s="2" t="s">
        <v>2016</v>
      </c>
      <c r="O1108">
        <v>88</v>
      </c>
      <c r="P1108">
        <v>-16947.920000000002</v>
      </c>
      <c r="Q1108" t="b">
        <v>0</v>
      </c>
      <c r="R1108" t="b">
        <v>0</v>
      </c>
      <c r="S1108" t="b">
        <v>0</v>
      </c>
      <c r="T1108" t="b">
        <v>0</v>
      </c>
      <c r="U1108">
        <v>0</v>
      </c>
      <c r="V1108" t="s">
        <v>4073</v>
      </c>
    </row>
    <row r="1109" spans="1:22" hidden="1" x14ac:dyDescent="0.45">
      <c r="A1109" s="2" t="s">
        <v>1558</v>
      </c>
      <c r="B1109" s="11">
        <v>45566</v>
      </c>
      <c r="C1109" s="2" t="s">
        <v>2012</v>
      </c>
      <c r="D1109" s="2" t="s">
        <v>2017</v>
      </c>
      <c r="E1109">
        <v>378.77</v>
      </c>
      <c r="F1109">
        <v>39013.31</v>
      </c>
      <c r="G1109">
        <v>0</v>
      </c>
      <c r="H1109">
        <v>0</v>
      </c>
      <c r="I1109" s="2" t="s">
        <v>2024</v>
      </c>
      <c r="J1109" s="2" t="s">
        <v>2026</v>
      </c>
      <c r="K1109" s="2" t="s">
        <v>3579</v>
      </c>
      <c r="L1109" s="2" t="s">
        <v>4031</v>
      </c>
      <c r="M1109">
        <v>-378.77</v>
      </c>
      <c r="N1109" s="2" t="s">
        <v>4044</v>
      </c>
      <c r="O1109">
        <v>103</v>
      </c>
      <c r="P1109">
        <v>-39013.31</v>
      </c>
      <c r="Q1109" t="b">
        <v>0</v>
      </c>
      <c r="R1109" t="b">
        <v>0</v>
      </c>
      <c r="S1109" t="b">
        <v>0</v>
      </c>
      <c r="T1109" t="b">
        <v>0</v>
      </c>
      <c r="U1109">
        <v>0</v>
      </c>
      <c r="V1109" t="s">
        <v>4073</v>
      </c>
    </row>
    <row r="1110" spans="1:22" hidden="1" x14ac:dyDescent="0.45">
      <c r="A1110" s="2" t="s">
        <v>446</v>
      </c>
      <c r="B1110" s="11">
        <v>45250</v>
      </c>
      <c r="C1110" s="2" t="s">
        <v>2011</v>
      </c>
      <c r="D1110" s="2" t="s">
        <v>2016</v>
      </c>
      <c r="E1110">
        <v>164.54</v>
      </c>
      <c r="F1110">
        <v>16947.62</v>
      </c>
      <c r="G1110">
        <v>0</v>
      </c>
      <c r="H1110">
        <v>0</v>
      </c>
      <c r="I1110" s="2" t="s">
        <v>2023</v>
      </c>
      <c r="J1110" s="2" t="s">
        <v>2028</v>
      </c>
      <c r="K1110" s="2" t="s">
        <v>2467</v>
      </c>
      <c r="L1110" s="2" t="s">
        <v>4031</v>
      </c>
      <c r="M1110">
        <v>-164.54</v>
      </c>
      <c r="N1110" s="2" t="s">
        <v>2016</v>
      </c>
      <c r="O1110">
        <v>103</v>
      </c>
      <c r="P1110">
        <v>-16947.62</v>
      </c>
      <c r="Q1110" t="b">
        <v>0</v>
      </c>
      <c r="R1110" t="b">
        <v>0</v>
      </c>
      <c r="S1110" t="b">
        <v>0</v>
      </c>
      <c r="T1110" t="b">
        <v>0</v>
      </c>
      <c r="U1110">
        <v>0</v>
      </c>
      <c r="V1110" t="s">
        <v>4073</v>
      </c>
    </row>
    <row r="1111" spans="1:22" hidden="1" x14ac:dyDescent="0.45">
      <c r="A1111" s="2" t="s">
        <v>1222</v>
      </c>
      <c r="B1111" s="11">
        <v>45524</v>
      </c>
      <c r="C1111" s="2" t="s">
        <v>2014</v>
      </c>
      <c r="D1111" s="2" t="s">
        <v>2019</v>
      </c>
      <c r="E1111">
        <v>0</v>
      </c>
      <c r="F1111">
        <v>0</v>
      </c>
      <c r="G1111">
        <v>695.86</v>
      </c>
      <c r="H1111">
        <v>38968.160000000003</v>
      </c>
      <c r="I1111" s="2" t="s">
        <v>2022</v>
      </c>
      <c r="J1111" s="2" t="s">
        <v>2030</v>
      </c>
      <c r="K1111" s="2" t="s">
        <v>3243</v>
      </c>
      <c r="L1111" s="2" t="s">
        <v>4033</v>
      </c>
      <c r="M1111">
        <v>695.86</v>
      </c>
      <c r="N1111" s="2" t="s">
        <v>4042</v>
      </c>
      <c r="O1111">
        <v>56</v>
      </c>
      <c r="P1111">
        <v>38968.160000000003</v>
      </c>
      <c r="Q1111" t="b">
        <v>0</v>
      </c>
      <c r="R1111" t="b">
        <v>0</v>
      </c>
      <c r="S1111" t="b">
        <v>0</v>
      </c>
      <c r="T1111" t="b">
        <v>0</v>
      </c>
      <c r="U1111">
        <v>0</v>
      </c>
      <c r="V1111" t="s">
        <v>4073</v>
      </c>
    </row>
    <row r="1112" spans="1:22" hidden="1" x14ac:dyDescent="0.45">
      <c r="A1112" s="2" t="s">
        <v>643</v>
      </c>
      <c r="B1112" s="11">
        <v>45145</v>
      </c>
      <c r="C1112" s="2" t="s">
        <v>2014</v>
      </c>
      <c r="D1112" s="2" t="s">
        <v>2019</v>
      </c>
      <c r="E1112">
        <v>0</v>
      </c>
      <c r="F1112">
        <v>0</v>
      </c>
      <c r="G1112">
        <v>303.27</v>
      </c>
      <c r="H1112">
        <v>16983.12</v>
      </c>
      <c r="I1112" s="2" t="s">
        <v>2021</v>
      </c>
      <c r="J1112" s="2" t="s">
        <v>2029</v>
      </c>
      <c r="K1112" s="2" t="s">
        <v>2664</v>
      </c>
      <c r="L1112" s="2" t="s">
        <v>4033</v>
      </c>
      <c r="M1112">
        <v>303.27</v>
      </c>
      <c r="N1112" s="2" t="s">
        <v>4042</v>
      </c>
      <c r="O1112">
        <v>56</v>
      </c>
      <c r="P1112">
        <v>16983.12</v>
      </c>
      <c r="Q1112" t="b">
        <v>0</v>
      </c>
      <c r="R1112" t="b">
        <v>0</v>
      </c>
      <c r="S1112" t="b">
        <v>0</v>
      </c>
      <c r="T1112" t="b">
        <v>0</v>
      </c>
      <c r="U1112">
        <v>0</v>
      </c>
      <c r="V1112" t="s">
        <v>4073</v>
      </c>
    </row>
    <row r="1113" spans="1:22" hidden="1" x14ac:dyDescent="0.45">
      <c r="A1113" s="2" t="s">
        <v>498</v>
      </c>
      <c r="B1113" s="11">
        <v>45610</v>
      </c>
      <c r="C1113" s="2" t="s">
        <v>2011</v>
      </c>
      <c r="D1113" s="2" t="s">
        <v>2016</v>
      </c>
      <c r="E1113">
        <v>630.03</v>
      </c>
      <c r="F1113">
        <v>38431.83</v>
      </c>
      <c r="G1113">
        <v>0</v>
      </c>
      <c r="H1113">
        <v>0</v>
      </c>
      <c r="I1113" s="2" t="s">
        <v>2024</v>
      </c>
      <c r="J1113" s="2" t="s">
        <v>2029</v>
      </c>
      <c r="K1113" s="2" t="s">
        <v>2519</v>
      </c>
      <c r="L1113" s="2" t="s">
        <v>4035</v>
      </c>
      <c r="M1113">
        <v>-630.03</v>
      </c>
      <c r="N1113" s="2" t="s">
        <v>2016</v>
      </c>
      <c r="O1113">
        <v>61</v>
      </c>
      <c r="P1113">
        <v>-38431.83</v>
      </c>
      <c r="Q1113" t="b">
        <v>0</v>
      </c>
      <c r="R1113" t="b">
        <v>0</v>
      </c>
      <c r="S1113" t="b">
        <v>0</v>
      </c>
      <c r="T1113" t="b">
        <v>0</v>
      </c>
      <c r="U1113">
        <v>0</v>
      </c>
      <c r="V1113" t="s">
        <v>4073</v>
      </c>
    </row>
    <row r="1114" spans="1:22" hidden="1" x14ac:dyDescent="0.45">
      <c r="A1114" s="2" t="s">
        <v>1733</v>
      </c>
      <c r="B1114" s="11">
        <v>45730</v>
      </c>
      <c r="C1114" s="2" t="s">
        <v>2011</v>
      </c>
      <c r="D1114" s="2" t="s">
        <v>2016</v>
      </c>
      <c r="E1114">
        <v>468</v>
      </c>
      <c r="F1114">
        <v>38376</v>
      </c>
      <c r="G1114">
        <v>0</v>
      </c>
      <c r="H1114">
        <v>0</v>
      </c>
      <c r="I1114" s="2" t="s">
        <v>2024</v>
      </c>
      <c r="J1114" s="2" t="s">
        <v>2030</v>
      </c>
      <c r="K1114" s="2" t="s">
        <v>3754</v>
      </c>
      <c r="L1114" s="2" t="s">
        <v>4034</v>
      </c>
      <c r="M1114">
        <v>-468</v>
      </c>
      <c r="N1114" s="2" t="s">
        <v>2016</v>
      </c>
      <c r="O1114">
        <v>82</v>
      </c>
      <c r="P1114">
        <v>-38376</v>
      </c>
      <c r="Q1114" t="b">
        <v>0</v>
      </c>
      <c r="R1114" t="b">
        <v>0</v>
      </c>
      <c r="S1114" t="b">
        <v>0</v>
      </c>
      <c r="T1114" t="b">
        <v>0</v>
      </c>
      <c r="U1114">
        <v>0</v>
      </c>
      <c r="V1114" t="s">
        <v>4073</v>
      </c>
    </row>
    <row r="1115" spans="1:22" hidden="1" x14ac:dyDescent="0.45">
      <c r="A1115" s="2" t="s">
        <v>189</v>
      </c>
      <c r="B1115" s="11">
        <v>45036</v>
      </c>
      <c r="C1115" s="2" t="s">
        <v>2013</v>
      </c>
      <c r="D1115" s="2" t="s">
        <v>2018</v>
      </c>
      <c r="E1115">
        <v>278.89</v>
      </c>
      <c r="F1115">
        <v>17012.29</v>
      </c>
      <c r="G1115">
        <v>0</v>
      </c>
      <c r="H1115">
        <v>0</v>
      </c>
      <c r="I1115" s="2" t="s">
        <v>2020</v>
      </c>
      <c r="J1115" s="2" t="s">
        <v>2028</v>
      </c>
      <c r="K1115" s="2" t="s">
        <v>2210</v>
      </c>
      <c r="L1115" s="2" t="s">
        <v>4035</v>
      </c>
      <c r="M1115">
        <v>-278.89</v>
      </c>
      <c r="N1115" s="2" t="s">
        <v>4044</v>
      </c>
      <c r="O1115">
        <v>61</v>
      </c>
      <c r="P1115">
        <v>-17012.29</v>
      </c>
      <c r="Q1115" t="b">
        <v>0</v>
      </c>
      <c r="R1115" t="b">
        <v>0</v>
      </c>
      <c r="S1115" t="b">
        <v>0</v>
      </c>
      <c r="T1115" t="b">
        <v>0</v>
      </c>
      <c r="U1115">
        <v>0</v>
      </c>
      <c r="V1115" t="s">
        <v>4073</v>
      </c>
    </row>
    <row r="1116" spans="1:22" hidden="1" x14ac:dyDescent="0.45">
      <c r="A1116" s="2" t="s">
        <v>1793</v>
      </c>
      <c r="B1116" s="11">
        <v>45365</v>
      </c>
      <c r="C1116" s="2" t="s">
        <v>2013</v>
      </c>
      <c r="D1116" s="2" t="s">
        <v>2018</v>
      </c>
      <c r="E1116">
        <v>680.13</v>
      </c>
      <c r="F1116">
        <v>38087.279999999999</v>
      </c>
      <c r="G1116">
        <v>0</v>
      </c>
      <c r="H1116">
        <v>0</v>
      </c>
      <c r="I1116" s="2" t="s">
        <v>2022</v>
      </c>
      <c r="J1116" s="2" t="s">
        <v>2029</v>
      </c>
      <c r="K1116" s="2" t="s">
        <v>3814</v>
      </c>
      <c r="L1116" s="2" t="s">
        <v>4033</v>
      </c>
      <c r="M1116">
        <v>-680.13</v>
      </c>
      <c r="N1116" s="2" t="s">
        <v>4044</v>
      </c>
      <c r="O1116">
        <v>56</v>
      </c>
      <c r="P1116">
        <v>-38087.279999999999</v>
      </c>
      <c r="Q1116" t="b">
        <v>0</v>
      </c>
      <c r="R1116" t="b">
        <v>0</v>
      </c>
      <c r="S1116" t="b">
        <v>0</v>
      </c>
      <c r="T1116" t="b">
        <v>0</v>
      </c>
      <c r="U1116">
        <v>0</v>
      </c>
      <c r="V1116" t="s">
        <v>4073</v>
      </c>
    </row>
    <row r="1117" spans="1:22" hidden="1" x14ac:dyDescent="0.45">
      <c r="A1117" s="2" t="s">
        <v>1147</v>
      </c>
      <c r="B1117" s="11">
        <v>45083</v>
      </c>
      <c r="C1117" s="2" t="s">
        <v>2011</v>
      </c>
      <c r="D1117" s="2" t="s">
        <v>2016</v>
      </c>
      <c r="E1117">
        <v>286.3</v>
      </c>
      <c r="F1117">
        <v>17464.3</v>
      </c>
      <c r="G1117">
        <v>0</v>
      </c>
      <c r="H1117">
        <v>0</v>
      </c>
      <c r="I1117" s="2" t="s">
        <v>2023</v>
      </c>
      <c r="J1117" s="2" t="s">
        <v>2029</v>
      </c>
      <c r="K1117" s="2" t="s">
        <v>3168</v>
      </c>
      <c r="L1117" s="2" t="s">
        <v>4035</v>
      </c>
      <c r="M1117">
        <v>-286.3</v>
      </c>
      <c r="N1117" s="2" t="s">
        <v>2016</v>
      </c>
      <c r="O1117">
        <v>61</v>
      </c>
      <c r="P1117">
        <v>-17464.3</v>
      </c>
      <c r="Q1117" t="b">
        <v>0</v>
      </c>
      <c r="R1117" t="b">
        <v>0</v>
      </c>
      <c r="S1117" t="b">
        <v>0</v>
      </c>
      <c r="T1117" t="b">
        <v>0</v>
      </c>
      <c r="U1117">
        <v>0</v>
      </c>
      <c r="V1117" t="s">
        <v>4073</v>
      </c>
    </row>
    <row r="1118" spans="1:22" hidden="1" x14ac:dyDescent="0.45">
      <c r="A1118" s="2" t="s">
        <v>1982</v>
      </c>
      <c r="B1118" s="11">
        <v>45246</v>
      </c>
      <c r="C1118" s="2" t="s">
        <v>2014</v>
      </c>
      <c r="D1118" s="2" t="s">
        <v>2019</v>
      </c>
      <c r="E1118">
        <v>0</v>
      </c>
      <c r="F1118">
        <v>0</v>
      </c>
      <c r="G1118">
        <v>214.94</v>
      </c>
      <c r="H1118">
        <v>17625.079999999998</v>
      </c>
      <c r="I1118" s="2" t="s">
        <v>2025</v>
      </c>
      <c r="J1118" s="2" t="s">
        <v>2030</v>
      </c>
      <c r="K1118" s="2" t="s">
        <v>4003</v>
      </c>
      <c r="L1118" s="2" t="s">
        <v>4034</v>
      </c>
      <c r="M1118">
        <v>214.94</v>
      </c>
      <c r="N1118" s="2" t="s">
        <v>4042</v>
      </c>
      <c r="O1118">
        <v>82</v>
      </c>
      <c r="P1118">
        <v>17625.079999999998</v>
      </c>
      <c r="Q1118" t="b">
        <v>0</v>
      </c>
      <c r="R1118" t="b">
        <v>0</v>
      </c>
      <c r="S1118" t="b">
        <v>0</v>
      </c>
      <c r="T1118" t="b">
        <v>0</v>
      </c>
      <c r="U1118">
        <v>0</v>
      </c>
      <c r="V1118" t="s">
        <v>4073</v>
      </c>
    </row>
    <row r="1119" spans="1:22" hidden="1" x14ac:dyDescent="0.45">
      <c r="A1119" s="2" t="s">
        <v>1182</v>
      </c>
      <c r="B1119" s="11">
        <v>45513</v>
      </c>
      <c r="C1119" s="2" t="s">
        <v>2011</v>
      </c>
      <c r="D1119" s="2" t="s">
        <v>2016</v>
      </c>
      <c r="E1119">
        <v>290.05</v>
      </c>
      <c r="F1119">
        <v>17693.05</v>
      </c>
      <c r="G1119">
        <v>0</v>
      </c>
      <c r="H1119">
        <v>0</v>
      </c>
      <c r="I1119" s="2" t="s">
        <v>2023</v>
      </c>
      <c r="J1119" s="2" t="s">
        <v>2028</v>
      </c>
      <c r="K1119" s="2" t="s">
        <v>3203</v>
      </c>
      <c r="L1119" s="2" t="s">
        <v>4035</v>
      </c>
      <c r="M1119">
        <v>-290.05</v>
      </c>
      <c r="N1119" s="2" t="s">
        <v>2016</v>
      </c>
      <c r="O1119">
        <v>61</v>
      </c>
      <c r="P1119">
        <v>-17693.05</v>
      </c>
      <c r="Q1119" t="b">
        <v>0</v>
      </c>
      <c r="R1119" t="b">
        <v>0</v>
      </c>
      <c r="S1119" t="b">
        <v>0</v>
      </c>
      <c r="T1119" t="b">
        <v>0</v>
      </c>
      <c r="U1119">
        <v>0</v>
      </c>
      <c r="V1119" t="s">
        <v>4073</v>
      </c>
    </row>
    <row r="1120" spans="1:22" hidden="1" x14ac:dyDescent="0.45">
      <c r="A1120" s="2" t="s">
        <v>1723</v>
      </c>
      <c r="B1120" s="11">
        <v>45546</v>
      </c>
      <c r="C1120" s="2" t="s">
        <v>2012</v>
      </c>
      <c r="D1120" s="2" t="s">
        <v>2017</v>
      </c>
      <c r="E1120">
        <v>678.18</v>
      </c>
      <c r="F1120">
        <v>37978.079999999994</v>
      </c>
      <c r="G1120">
        <v>0</v>
      </c>
      <c r="H1120">
        <v>0</v>
      </c>
      <c r="I1120" s="2" t="s">
        <v>2023</v>
      </c>
      <c r="J1120" s="2" t="s">
        <v>2026</v>
      </c>
      <c r="K1120" s="2" t="s">
        <v>3744</v>
      </c>
      <c r="L1120" s="2" t="s">
        <v>4033</v>
      </c>
      <c r="M1120">
        <v>-678.18</v>
      </c>
      <c r="N1120" s="2" t="s">
        <v>4044</v>
      </c>
      <c r="O1120">
        <v>56</v>
      </c>
      <c r="P1120">
        <v>-37978.079999999994</v>
      </c>
      <c r="Q1120" t="b">
        <v>0</v>
      </c>
      <c r="R1120" t="b">
        <v>0</v>
      </c>
      <c r="S1120" t="b">
        <v>0</v>
      </c>
      <c r="T1120" t="b">
        <v>0</v>
      </c>
      <c r="U1120">
        <v>0</v>
      </c>
      <c r="V1120" t="s">
        <v>4073</v>
      </c>
    </row>
    <row r="1121" spans="1:22" hidden="1" x14ac:dyDescent="0.45">
      <c r="A1121" s="2" t="s">
        <v>286</v>
      </c>
      <c r="B1121" s="11">
        <v>45694</v>
      </c>
      <c r="C1121" s="2" t="s">
        <v>2011</v>
      </c>
      <c r="D1121" s="2" t="s">
        <v>2016</v>
      </c>
      <c r="E1121">
        <v>620.29999999999995</v>
      </c>
      <c r="F1121">
        <v>37838.299999999996</v>
      </c>
      <c r="G1121">
        <v>0</v>
      </c>
      <c r="H1121">
        <v>0</v>
      </c>
      <c r="I1121" s="2" t="s">
        <v>2021</v>
      </c>
      <c r="J1121" s="2" t="s">
        <v>2030</v>
      </c>
      <c r="K1121" s="2" t="s">
        <v>2307</v>
      </c>
      <c r="L1121" s="2" t="s">
        <v>4035</v>
      </c>
      <c r="M1121">
        <v>-620.29999999999995</v>
      </c>
      <c r="N1121" s="2" t="s">
        <v>2016</v>
      </c>
      <c r="O1121">
        <v>61</v>
      </c>
      <c r="P1121">
        <v>-37838.299999999996</v>
      </c>
      <c r="Q1121" t="b">
        <v>0</v>
      </c>
      <c r="R1121" t="b">
        <v>0</v>
      </c>
      <c r="S1121" t="b">
        <v>0</v>
      </c>
      <c r="T1121" t="b">
        <v>0</v>
      </c>
      <c r="U1121">
        <v>0</v>
      </c>
      <c r="V1121" t="s">
        <v>4073</v>
      </c>
    </row>
    <row r="1122" spans="1:22" hidden="1" x14ac:dyDescent="0.45">
      <c r="A1122" s="2" t="s">
        <v>504</v>
      </c>
      <c r="B1122" s="11">
        <v>45240</v>
      </c>
      <c r="C1122" s="2" t="s">
        <v>2013</v>
      </c>
      <c r="D1122" s="2" t="s">
        <v>2018</v>
      </c>
      <c r="E1122">
        <v>293.63</v>
      </c>
      <c r="F1122">
        <v>17911.43</v>
      </c>
      <c r="G1122">
        <v>0</v>
      </c>
      <c r="H1122">
        <v>0</v>
      </c>
      <c r="I1122" s="2" t="s">
        <v>2023</v>
      </c>
      <c r="J1122" s="2" t="s">
        <v>2027</v>
      </c>
      <c r="K1122" s="2" t="s">
        <v>2525</v>
      </c>
      <c r="L1122" s="2" t="s">
        <v>4035</v>
      </c>
      <c r="M1122">
        <v>-293.63</v>
      </c>
      <c r="N1122" s="2" t="s">
        <v>4044</v>
      </c>
      <c r="O1122">
        <v>61</v>
      </c>
      <c r="P1122">
        <v>-17911.43</v>
      </c>
      <c r="Q1122" t="b">
        <v>0</v>
      </c>
      <c r="R1122" t="b">
        <v>0</v>
      </c>
      <c r="S1122" t="b">
        <v>0</v>
      </c>
      <c r="T1122" t="b">
        <v>0</v>
      </c>
      <c r="U1122">
        <v>0</v>
      </c>
      <c r="V1122" t="s">
        <v>4073</v>
      </c>
    </row>
    <row r="1123" spans="1:22" hidden="1" x14ac:dyDescent="0.45">
      <c r="A1123" s="2" t="s">
        <v>583</v>
      </c>
      <c r="B1123" s="11">
        <v>45524</v>
      </c>
      <c r="C1123" s="2" t="s">
        <v>2012</v>
      </c>
      <c r="D1123" s="2" t="s">
        <v>2017</v>
      </c>
      <c r="E1123">
        <v>179.56</v>
      </c>
      <c r="F1123">
        <v>18494.68</v>
      </c>
      <c r="G1123">
        <v>0</v>
      </c>
      <c r="H1123">
        <v>0</v>
      </c>
      <c r="I1123" s="2" t="s">
        <v>2024</v>
      </c>
      <c r="J1123" s="2" t="s">
        <v>2026</v>
      </c>
      <c r="K1123" s="2" t="s">
        <v>2604</v>
      </c>
      <c r="L1123" s="2" t="s">
        <v>4031</v>
      </c>
      <c r="M1123">
        <v>-179.56</v>
      </c>
      <c r="N1123" s="2" t="s">
        <v>4044</v>
      </c>
      <c r="O1123">
        <v>103</v>
      </c>
      <c r="P1123">
        <v>-18494.68</v>
      </c>
      <c r="Q1123" t="b">
        <v>0</v>
      </c>
      <c r="R1123" t="b">
        <v>0</v>
      </c>
      <c r="S1123" t="b">
        <v>0</v>
      </c>
      <c r="T1123" t="b">
        <v>0</v>
      </c>
      <c r="U1123">
        <v>0</v>
      </c>
      <c r="V1123" t="s">
        <v>4073</v>
      </c>
    </row>
    <row r="1124" spans="1:22" hidden="1" x14ac:dyDescent="0.45">
      <c r="A1124" s="2" t="s">
        <v>856</v>
      </c>
      <c r="B1124" s="11">
        <v>45419</v>
      </c>
      <c r="C1124" s="2" t="s">
        <v>2013</v>
      </c>
      <c r="D1124" s="2" t="s">
        <v>2018</v>
      </c>
      <c r="E1124">
        <v>618.05999999999995</v>
      </c>
      <c r="F1124">
        <v>37701.659999999996</v>
      </c>
      <c r="G1124">
        <v>0</v>
      </c>
      <c r="H1124">
        <v>0</v>
      </c>
      <c r="I1124" s="2" t="s">
        <v>2024</v>
      </c>
      <c r="J1124" s="2" t="s">
        <v>2026</v>
      </c>
      <c r="K1124" s="2" t="s">
        <v>2877</v>
      </c>
      <c r="L1124" s="2" t="s">
        <v>4035</v>
      </c>
      <c r="M1124">
        <v>-618.05999999999995</v>
      </c>
      <c r="N1124" s="2" t="s">
        <v>4044</v>
      </c>
      <c r="O1124">
        <v>61</v>
      </c>
      <c r="P1124">
        <v>-37701.659999999996</v>
      </c>
      <c r="Q1124" t="b">
        <v>0</v>
      </c>
      <c r="R1124" t="b">
        <v>0</v>
      </c>
      <c r="S1124" t="b">
        <v>0</v>
      </c>
      <c r="T1124" t="b">
        <v>0</v>
      </c>
      <c r="U1124">
        <v>0</v>
      </c>
      <c r="V1124" t="s">
        <v>4073</v>
      </c>
    </row>
    <row r="1125" spans="1:22" hidden="1" x14ac:dyDescent="0.45">
      <c r="A1125" s="2" t="s">
        <v>442</v>
      </c>
      <c r="B1125" s="11">
        <v>45496</v>
      </c>
      <c r="C1125" s="2" t="s">
        <v>2010</v>
      </c>
      <c r="D1125" s="2" t="s">
        <v>2015</v>
      </c>
      <c r="E1125">
        <v>0</v>
      </c>
      <c r="F1125">
        <v>0</v>
      </c>
      <c r="G1125">
        <v>361.74</v>
      </c>
      <c r="H1125">
        <v>37259.22</v>
      </c>
      <c r="I1125" s="2" t="s">
        <v>2023</v>
      </c>
      <c r="J1125" s="2" t="s">
        <v>2030</v>
      </c>
      <c r="K1125" s="2" t="s">
        <v>2463</v>
      </c>
      <c r="L1125" s="2" t="s">
        <v>4031</v>
      </c>
      <c r="M1125">
        <v>361.74</v>
      </c>
      <c r="N1125" s="2" t="s">
        <v>4042</v>
      </c>
      <c r="O1125">
        <v>103</v>
      </c>
      <c r="P1125">
        <v>37259.22</v>
      </c>
      <c r="Q1125" t="b">
        <v>0</v>
      </c>
      <c r="R1125" t="b">
        <v>0</v>
      </c>
      <c r="S1125" t="b">
        <v>0</v>
      </c>
      <c r="T1125" t="b">
        <v>0</v>
      </c>
      <c r="U1125">
        <v>0</v>
      </c>
      <c r="V1125" t="s">
        <v>4073</v>
      </c>
    </row>
    <row r="1126" spans="1:22" hidden="1" x14ac:dyDescent="0.45">
      <c r="A1126" s="2" t="s">
        <v>514</v>
      </c>
      <c r="B1126" s="11">
        <v>45334</v>
      </c>
      <c r="C1126" s="2" t="s">
        <v>2011</v>
      </c>
      <c r="D1126" s="2" t="s">
        <v>2016</v>
      </c>
      <c r="E1126">
        <v>610.08000000000004</v>
      </c>
      <c r="F1126">
        <v>37214.880000000005</v>
      </c>
      <c r="G1126">
        <v>0</v>
      </c>
      <c r="H1126">
        <v>0</v>
      </c>
      <c r="I1126" s="2" t="s">
        <v>2020</v>
      </c>
      <c r="J1126" s="2" t="s">
        <v>2030</v>
      </c>
      <c r="K1126" s="2" t="s">
        <v>2535</v>
      </c>
      <c r="L1126" s="2" t="s">
        <v>4035</v>
      </c>
      <c r="M1126">
        <v>-610.08000000000004</v>
      </c>
      <c r="N1126" s="2" t="s">
        <v>2016</v>
      </c>
      <c r="O1126">
        <v>61</v>
      </c>
      <c r="P1126">
        <v>-37214.880000000005</v>
      </c>
      <c r="Q1126" t="b">
        <v>0</v>
      </c>
      <c r="R1126" t="b">
        <v>0</v>
      </c>
      <c r="S1126" t="b">
        <v>0</v>
      </c>
      <c r="T1126" t="b">
        <v>0</v>
      </c>
      <c r="U1126">
        <v>0</v>
      </c>
      <c r="V1126" t="s">
        <v>4073</v>
      </c>
    </row>
    <row r="1127" spans="1:22" hidden="1" x14ac:dyDescent="0.45">
      <c r="A1127" s="2" t="s">
        <v>427</v>
      </c>
      <c r="B1127" s="11">
        <v>45667</v>
      </c>
      <c r="C1127" s="2" t="s">
        <v>2011</v>
      </c>
      <c r="D1127" s="2" t="s">
        <v>2016</v>
      </c>
      <c r="E1127">
        <v>453.48</v>
      </c>
      <c r="F1127">
        <v>37185.360000000001</v>
      </c>
      <c r="G1127">
        <v>0</v>
      </c>
      <c r="H1127">
        <v>0</v>
      </c>
      <c r="I1127" s="2" t="s">
        <v>2020</v>
      </c>
      <c r="J1127" s="2" t="s">
        <v>2026</v>
      </c>
      <c r="K1127" s="2" t="s">
        <v>2448</v>
      </c>
      <c r="L1127" s="2" t="s">
        <v>4034</v>
      </c>
      <c r="M1127">
        <v>-453.48</v>
      </c>
      <c r="N1127" s="2" t="s">
        <v>2016</v>
      </c>
      <c r="O1127">
        <v>82</v>
      </c>
      <c r="P1127">
        <v>-37185.360000000001</v>
      </c>
      <c r="Q1127" t="b">
        <v>0</v>
      </c>
      <c r="R1127" t="b">
        <v>0</v>
      </c>
      <c r="S1127" t="b">
        <v>0</v>
      </c>
      <c r="T1127" t="b">
        <v>0</v>
      </c>
      <c r="U1127">
        <v>0</v>
      </c>
      <c r="V1127" t="s">
        <v>4073</v>
      </c>
    </row>
    <row r="1128" spans="1:22" hidden="1" x14ac:dyDescent="0.45">
      <c r="A1128" s="2" t="s">
        <v>112</v>
      </c>
      <c r="B1128" s="11">
        <v>45572</v>
      </c>
      <c r="C1128" s="2" t="s">
        <v>2011</v>
      </c>
      <c r="D1128" s="2" t="s">
        <v>2016</v>
      </c>
      <c r="E1128">
        <v>421.91</v>
      </c>
      <c r="F1128">
        <v>37128.080000000002</v>
      </c>
      <c r="G1128">
        <v>0</v>
      </c>
      <c r="H1128">
        <v>0</v>
      </c>
      <c r="I1128" s="2" t="s">
        <v>2025</v>
      </c>
      <c r="J1128" s="2" t="s">
        <v>2027</v>
      </c>
      <c r="K1128" s="2" t="s">
        <v>2133</v>
      </c>
      <c r="L1128" s="2" t="s">
        <v>4032</v>
      </c>
      <c r="M1128">
        <v>-421.91</v>
      </c>
      <c r="N1128" s="2" t="s">
        <v>2016</v>
      </c>
      <c r="O1128">
        <v>88</v>
      </c>
      <c r="P1128">
        <v>-37128.080000000002</v>
      </c>
      <c r="Q1128" t="b">
        <v>0</v>
      </c>
      <c r="R1128" t="b">
        <v>0</v>
      </c>
      <c r="S1128" t="b">
        <v>0</v>
      </c>
      <c r="T1128" t="b">
        <v>0</v>
      </c>
      <c r="U1128">
        <v>0</v>
      </c>
      <c r="V1128" t="s">
        <v>4073</v>
      </c>
    </row>
    <row r="1129" spans="1:22" hidden="1" x14ac:dyDescent="0.45">
      <c r="A1129" s="2" t="s">
        <v>182</v>
      </c>
      <c r="B1129" s="11">
        <v>45489</v>
      </c>
      <c r="C1129" s="2" t="s">
        <v>2013</v>
      </c>
      <c r="D1129" s="2" t="s">
        <v>2018</v>
      </c>
      <c r="E1129">
        <v>210.91</v>
      </c>
      <c r="F1129">
        <v>18560.079999999998</v>
      </c>
      <c r="G1129">
        <v>0</v>
      </c>
      <c r="H1129">
        <v>0</v>
      </c>
      <c r="I1129" s="2" t="s">
        <v>2022</v>
      </c>
      <c r="J1129" s="2" t="s">
        <v>2028</v>
      </c>
      <c r="K1129" s="2" t="s">
        <v>2203</v>
      </c>
      <c r="L1129" s="2" t="s">
        <v>4032</v>
      </c>
      <c r="M1129">
        <v>-210.91</v>
      </c>
      <c r="N1129" s="2" t="s">
        <v>4044</v>
      </c>
      <c r="O1129">
        <v>88</v>
      </c>
      <c r="P1129">
        <v>-18560.079999999998</v>
      </c>
      <c r="Q1129" t="b">
        <v>0</v>
      </c>
      <c r="R1129" t="b">
        <v>0</v>
      </c>
      <c r="S1129" t="b">
        <v>0</v>
      </c>
      <c r="T1129" t="b">
        <v>0</v>
      </c>
      <c r="U1129">
        <v>0</v>
      </c>
      <c r="V1129" t="s">
        <v>4073</v>
      </c>
    </row>
    <row r="1130" spans="1:22" hidden="1" x14ac:dyDescent="0.45">
      <c r="A1130" s="2" t="s">
        <v>661</v>
      </c>
      <c r="B1130" s="11">
        <v>45253</v>
      </c>
      <c r="C1130" s="2" t="s">
        <v>2010</v>
      </c>
      <c r="D1130" s="2" t="s">
        <v>2015</v>
      </c>
      <c r="E1130">
        <v>0</v>
      </c>
      <c r="F1130">
        <v>0</v>
      </c>
      <c r="G1130">
        <v>451.28</v>
      </c>
      <c r="H1130">
        <v>37004.959999999999</v>
      </c>
      <c r="I1130" s="2" t="s">
        <v>2024</v>
      </c>
      <c r="J1130" s="2" t="s">
        <v>2027</v>
      </c>
      <c r="K1130" s="2" t="s">
        <v>2682</v>
      </c>
      <c r="L1130" s="2" t="s">
        <v>4034</v>
      </c>
      <c r="M1130">
        <v>451.28</v>
      </c>
      <c r="N1130" s="2" t="s">
        <v>4042</v>
      </c>
      <c r="O1130">
        <v>82</v>
      </c>
      <c r="P1130">
        <v>37004.959999999999</v>
      </c>
      <c r="Q1130" t="b">
        <v>0</v>
      </c>
      <c r="R1130" t="b">
        <v>0</v>
      </c>
      <c r="S1130" t="b">
        <v>0</v>
      </c>
      <c r="T1130" t="b">
        <v>0</v>
      </c>
      <c r="U1130">
        <v>0</v>
      </c>
      <c r="V1130" t="s">
        <v>4073</v>
      </c>
    </row>
    <row r="1131" spans="1:22" hidden="1" x14ac:dyDescent="0.45">
      <c r="A1131" s="2" t="s">
        <v>140</v>
      </c>
      <c r="B1131" s="11">
        <v>45174</v>
      </c>
      <c r="C1131" s="2" t="s">
        <v>2011</v>
      </c>
      <c r="D1131" s="2" t="s">
        <v>2016</v>
      </c>
      <c r="E1131">
        <v>308.37</v>
      </c>
      <c r="F1131">
        <v>18810.57</v>
      </c>
      <c r="G1131">
        <v>0</v>
      </c>
      <c r="H1131">
        <v>0</v>
      </c>
      <c r="I1131" s="2" t="s">
        <v>2025</v>
      </c>
      <c r="J1131" s="2" t="s">
        <v>2026</v>
      </c>
      <c r="K1131" s="2" t="s">
        <v>2161</v>
      </c>
      <c r="L1131" s="2" t="s">
        <v>4035</v>
      </c>
      <c r="M1131">
        <v>-308.37</v>
      </c>
      <c r="N1131" s="2" t="s">
        <v>2016</v>
      </c>
      <c r="O1131">
        <v>61</v>
      </c>
      <c r="P1131">
        <v>-18810.57</v>
      </c>
      <c r="Q1131" t="b">
        <v>0</v>
      </c>
      <c r="R1131" t="b">
        <v>0</v>
      </c>
      <c r="S1131" t="b">
        <v>0</v>
      </c>
      <c r="T1131" t="b">
        <v>0</v>
      </c>
      <c r="U1131">
        <v>0</v>
      </c>
      <c r="V1131" t="s">
        <v>4073</v>
      </c>
    </row>
    <row r="1132" spans="1:22" hidden="1" x14ac:dyDescent="0.45">
      <c r="A1132" s="2" t="s">
        <v>1104</v>
      </c>
      <c r="B1132" s="11">
        <v>45401</v>
      </c>
      <c r="C1132" s="2" t="s">
        <v>2013</v>
      </c>
      <c r="D1132" s="2" t="s">
        <v>2018</v>
      </c>
      <c r="E1132">
        <v>229.78</v>
      </c>
      <c r="F1132">
        <v>18841.96</v>
      </c>
      <c r="G1132">
        <v>0</v>
      </c>
      <c r="H1132">
        <v>0</v>
      </c>
      <c r="I1132" s="2" t="s">
        <v>2023</v>
      </c>
      <c r="J1132" s="2" t="s">
        <v>2027</v>
      </c>
      <c r="K1132" s="2" t="s">
        <v>3125</v>
      </c>
      <c r="L1132" s="2" t="s">
        <v>4034</v>
      </c>
      <c r="M1132">
        <v>-229.78</v>
      </c>
      <c r="N1132" s="2" t="s">
        <v>4044</v>
      </c>
      <c r="O1132">
        <v>82</v>
      </c>
      <c r="P1132">
        <v>-18841.96</v>
      </c>
      <c r="Q1132" t="b">
        <v>0</v>
      </c>
      <c r="R1132" t="b">
        <v>0</v>
      </c>
      <c r="S1132" t="b">
        <v>0</v>
      </c>
      <c r="T1132" t="b">
        <v>0</v>
      </c>
      <c r="U1132">
        <v>0</v>
      </c>
      <c r="V1132" t="s">
        <v>4073</v>
      </c>
    </row>
    <row r="1133" spans="1:22" hidden="1" x14ac:dyDescent="0.45">
      <c r="A1133" s="2" t="s">
        <v>1072</v>
      </c>
      <c r="B1133" s="11">
        <v>45315</v>
      </c>
      <c r="C1133" s="2" t="s">
        <v>2011</v>
      </c>
      <c r="D1133" s="2" t="s">
        <v>2016</v>
      </c>
      <c r="E1133">
        <v>254.62</v>
      </c>
      <c r="F1133">
        <v>20878.84</v>
      </c>
      <c r="G1133">
        <v>0</v>
      </c>
      <c r="H1133">
        <v>0</v>
      </c>
      <c r="I1133" s="2" t="s">
        <v>2020</v>
      </c>
      <c r="J1133" s="2" t="s">
        <v>2027</v>
      </c>
      <c r="K1133" s="2" t="s">
        <v>3093</v>
      </c>
      <c r="L1133" s="2" t="s">
        <v>4034</v>
      </c>
      <c r="M1133">
        <v>-254.62</v>
      </c>
      <c r="N1133" s="2" t="s">
        <v>2016</v>
      </c>
      <c r="O1133">
        <v>82</v>
      </c>
      <c r="P1133">
        <v>-20878.84</v>
      </c>
      <c r="Q1133" t="b">
        <v>0</v>
      </c>
      <c r="R1133" t="b">
        <v>0</v>
      </c>
      <c r="S1133" t="b">
        <v>0</v>
      </c>
      <c r="T1133" t="b">
        <v>0</v>
      </c>
      <c r="U1133">
        <v>0</v>
      </c>
      <c r="V1133" t="s">
        <v>4073</v>
      </c>
    </row>
    <row r="1134" spans="1:22" hidden="1" x14ac:dyDescent="0.45">
      <c r="A1134" s="2" t="s">
        <v>33</v>
      </c>
      <c r="B1134" s="11">
        <v>45007</v>
      </c>
      <c r="C1134" s="2" t="s">
        <v>2011</v>
      </c>
      <c r="D1134" s="2" t="s">
        <v>2016</v>
      </c>
      <c r="E1134">
        <v>546.02</v>
      </c>
      <c r="F1134">
        <v>33307.22</v>
      </c>
      <c r="G1134">
        <v>0</v>
      </c>
      <c r="H1134">
        <v>0</v>
      </c>
      <c r="I1134" s="2" t="s">
        <v>2022</v>
      </c>
      <c r="J1134" s="2" t="s">
        <v>2029</v>
      </c>
      <c r="K1134" s="2" t="s">
        <v>2054</v>
      </c>
      <c r="L1134" s="2" t="s">
        <v>4035</v>
      </c>
      <c r="M1134">
        <v>-546.02</v>
      </c>
      <c r="N1134" s="2" t="s">
        <v>2016</v>
      </c>
      <c r="O1134">
        <v>61</v>
      </c>
      <c r="P1134">
        <v>-33307.22</v>
      </c>
      <c r="Q1134" t="b">
        <v>0</v>
      </c>
      <c r="R1134" t="b">
        <v>0</v>
      </c>
      <c r="S1134" t="b">
        <v>0</v>
      </c>
      <c r="T1134" t="b">
        <v>0</v>
      </c>
      <c r="U1134">
        <v>0</v>
      </c>
      <c r="V1134" t="s">
        <v>4073</v>
      </c>
    </row>
    <row r="1135" spans="1:22" hidden="1" x14ac:dyDescent="0.45">
      <c r="A1135" s="2" t="s">
        <v>679</v>
      </c>
      <c r="B1135" s="11">
        <v>45223</v>
      </c>
      <c r="C1135" s="2" t="s">
        <v>2014</v>
      </c>
      <c r="D1135" s="2" t="s">
        <v>2019</v>
      </c>
      <c r="E1135">
        <v>0</v>
      </c>
      <c r="F1135">
        <v>0</v>
      </c>
      <c r="G1135">
        <v>541.23</v>
      </c>
      <c r="H1135">
        <v>33015.03</v>
      </c>
      <c r="I1135" s="2" t="s">
        <v>2023</v>
      </c>
      <c r="J1135" s="2" t="s">
        <v>2028</v>
      </c>
      <c r="K1135" s="2" t="s">
        <v>2700</v>
      </c>
      <c r="L1135" s="2" t="s">
        <v>4035</v>
      </c>
      <c r="M1135">
        <v>541.23</v>
      </c>
      <c r="N1135" s="2" t="s">
        <v>4042</v>
      </c>
      <c r="O1135">
        <v>61</v>
      </c>
      <c r="P1135">
        <v>33015.03</v>
      </c>
      <c r="Q1135" t="b">
        <v>0</v>
      </c>
      <c r="R1135" t="b">
        <v>0</v>
      </c>
      <c r="S1135" t="b">
        <v>0</v>
      </c>
      <c r="T1135" t="b">
        <v>0</v>
      </c>
      <c r="U1135">
        <v>0</v>
      </c>
      <c r="V1135" t="s">
        <v>4073</v>
      </c>
    </row>
    <row r="1136" spans="1:22" hidden="1" x14ac:dyDescent="0.45">
      <c r="A1136" s="2" t="s">
        <v>973</v>
      </c>
      <c r="B1136" s="11">
        <v>45341</v>
      </c>
      <c r="C1136" s="2" t="s">
        <v>2013</v>
      </c>
      <c r="D1136" s="2" t="s">
        <v>2018</v>
      </c>
      <c r="E1136">
        <v>288.13</v>
      </c>
      <c r="F1136">
        <v>29677.39</v>
      </c>
      <c r="G1136">
        <v>0</v>
      </c>
      <c r="H1136">
        <v>0</v>
      </c>
      <c r="I1136" s="2" t="s">
        <v>2020</v>
      </c>
      <c r="J1136" s="2" t="s">
        <v>2027</v>
      </c>
      <c r="K1136" s="2" t="s">
        <v>2994</v>
      </c>
      <c r="L1136" s="2" t="s">
        <v>4031</v>
      </c>
      <c r="M1136">
        <v>-288.13</v>
      </c>
      <c r="N1136" s="2" t="s">
        <v>4044</v>
      </c>
      <c r="O1136">
        <v>103</v>
      </c>
      <c r="P1136">
        <v>-29677.39</v>
      </c>
      <c r="Q1136" t="b">
        <v>0</v>
      </c>
      <c r="R1136" t="b">
        <v>0</v>
      </c>
      <c r="S1136" t="b">
        <v>0</v>
      </c>
      <c r="T1136" t="b">
        <v>0</v>
      </c>
      <c r="U1136">
        <v>0</v>
      </c>
      <c r="V1136" t="s">
        <v>4073</v>
      </c>
    </row>
    <row r="1137" spans="1:22" hidden="1" x14ac:dyDescent="0.45">
      <c r="A1137" s="2" t="s">
        <v>1169</v>
      </c>
      <c r="B1137" s="11">
        <v>45030</v>
      </c>
      <c r="C1137" s="2" t="s">
        <v>2011</v>
      </c>
      <c r="D1137" s="2" t="s">
        <v>2016</v>
      </c>
      <c r="E1137">
        <v>334.7</v>
      </c>
      <c r="F1137">
        <v>29453.599999999999</v>
      </c>
      <c r="G1137">
        <v>0</v>
      </c>
      <c r="H1137">
        <v>0</v>
      </c>
      <c r="I1137" s="2" t="s">
        <v>2025</v>
      </c>
      <c r="J1137" s="2" t="s">
        <v>2028</v>
      </c>
      <c r="K1137" s="2" t="s">
        <v>3190</v>
      </c>
      <c r="L1137" s="2" t="s">
        <v>4032</v>
      </c>
      <c r="M1137">
        <v>-334.7</v>
      </c>
      <c r="N1137" s="2" t="s">
        <v>2016</v>
      </c>
      <c r="O1137">
        <v>88</v>
      </c>
      <c r="P1137">
        <v>-29453.599999999999</v>
      </c>
      <c r="Q1137" t="b">
        <v>0</v>
      </c>
      <c r="R1137" t="b">
        <v>0</v>
      </c>
      <c r="S1137" t="b">
        <v>0</v>
      </c>
      <c r="T1137" t="b">
        <v>0</v>
      </c>
      <c r="U1137">
        <v>0</v>
      </c>
      <c r="V1137" t="s">
        <v>4073</v>
      </c>
    </row>
    <row r="1138" spans="1:22" hidden="1" x14ac:dyDescent="0.45">
      <c r="A1138" s="2" t="s">
        <v>225</v>
      </c>
      <c r="B1138" s="11">
        <v>45309</v>
      </c>
      <c r="C1138" s="2" t="s">
        <v>2013</v>
      </c>
      <c r="D1138" s="2" t="s">
        <v>2018</v>
      </c>
      <c r="E1138">
        <v>521.33000000000004</v>
      </c>
      <c r="F1138">
        <v>29194.480000000003</v>
      </c>
      <c r="G1138">
        <v>0</v>
      </c>
      <c r="H1138">
        <v>0</v>
      </c>
      <c r="I1138" s="2" t="s">
        <v>2024</v>
      </c>
      <c r="J1138" s="2" t="s">
        <v>2030</v>
      </c>
      <c r="K1138" s="2" t="s">
        <v>2246</v>
      </c>
      <c r="L1138" s="2" t="s">
        <v>4033</v>
      </c>
      <c r="M1138">
        <v>-521.33000000000004</v>
      </c>
      <c r="N1138" s="2" t="s">
        <v>4044</v>
      </c>
      <c r="O1138">
        <v>56</v>
      </c>
      <c r="P1138">
        <v>-29194.480000000003</v>
      </c>
      <c r="Q1138" t="b">
        <v>0</v>
      </c>
      <c r="R1138" t="b">
        <v>0</v>
      </c>
      <c r="S1138" t="b">
        <v>0</v>
      </c>
      <c r="T1138" t="b">
        <v>0</v>
      </c>
      <c r="U1138">
        <v>0</v>
      </c>
      <c r="V1138" t="s">
        <v>4073</v>
      </c>
    </row>
    <row r="1139" spans="1:22" hidden="1" x14ac:dyDescent="0.45">
      <c r="A1139" s="2" t="s">
        <v>1296</v>
      </c>
      <c r="B1139" s="11">
        <v>45813</v>
      </c>
      <c r="C1139" s="2" t="s">
        <v>2012</v>
      </c>
      <c r="D1139" s="2" t="s">
        <v>2017</v>
      </c>
      <c r="E1139">
        <v>237.68</v>
      </c>
      <c r="F1139">
        <v>24481.040000000001</v>
      </c>
      <c r="G1139">
        <v>0</v>
      </c>
      <c r="H1139">
        <v>0</v>
      </c>
      <c r="I1139" s="2" t="s">
        <v>2025</v>
      </c>
      <c r="J1139" s="2" t="s">
        <v>2026</v>
      </c>
      <c r="K1139" s="2" t="s">
        <v>3317</v>
      </c>
      <c r="L1139" s="2" t="s">
        <v>4031</v>
      </c>
      <c r="M1139">
        <v>-237.68</v>
      </c>
      <c r="N1139" s="2" t="s">
        <v>4044</v>
      </c>
      <c r="O1139">
        <v>103</v>
      </c>
      <c r="P1139">
        <v>-24481.040000000001</v>
      </c>
      <c r="Q1139" t="b">
        <v>0</v>
      </c>
      <c r="R1139" t="b">
        <v>0</v>
      </c>
      <c r="S1139" t="b">
        <v>0</v>
      </c>
      <c r="T1139" t="b">
        <v>0</v>
      </c>
      <c r="U1139">
        <v>0</v>
      </c>
      <c r="V1139" t="s">
        <v>4073</v>
      </c>
    </row>
    <row r="1140" spans="1:22" hidden="1" x14ac:dyDescent="0.45">
      <c r="A1140" s="2" t="s">
        <v>2009</v>
      </c>
      <c r="B1140" s="11">
        <v>45555</v>
      </c>
      <c r="C1140" s="2" t="s">
        <v>2010</v>
      </c>
      <c r="D1140" s="2" t="s">
        <v>2015</v>
      </c>
      <c r="E1140">
        <v>0</v>
      </c>
      <c r="F1140">
        <v>0</v>
      </c>
      <c r="G1140">
        <v>354.88</v>
      </c>
      <c r="H1140">
        <v>29100.16</v>
      </c>
      <c r="I1140" s="2" t="s">
        <v>2021</v>
      </c>
      <c r="J1140" s="2" t="s">
        <v>2026</v>
      </c>
      <c r="K1140" s="2" t="s">
        <v>4030</v>
      </c>
      <c r="L1140" s="2" t="s">
        <v>4034</v>
      </c>
      <c r="M1140">
        <v>354.88</v>
      </c>
      <c r="N1140" s="2" t="s">
        <v>4042</v>
      </c>
      <c r="O1140">
        <v>82</v>
      </c>
      <c r="P1140">
        <v>29100.16</v>
      </c>
      <c r="Q1140" t="b">
        <v>0</v>
      </c>
      <c r="R1140" t="b">
        <v>0</v>
      </c>
      <c r="S1140" t="b">
        <v>0</v>
      </c>
      <c r="T1140" t="b">
        <v>0</v>
      </c>
      <c r="U1140">
        <v>0</v>
      </c>
      <c r="V1140" t="s">
        <v>4073</v>
      </c>
    </row>
    <row r="1141" spans="1:22" hidden="1" x14ac:dyDescent="0.45">
      <c r="A1141" s="2" t="s">
        <v>1133</v>
      </c>
      <c r="B1141" s="11">
        <v>45582</v>
      </c>
      <c r="C1141" s="2" t="s">
        <v>2012</v>
      </c>
      <c r="D1141" s="2" t="s">
        <v>2017</v>
      </c>
      <c r="E1141">
        <v>239.34</v>
      </c>
      <c r="F1141">
        <v>24652.02</v>
      </c>
      <c r="G1141">
        <v>0</v>
      </c>
      <c r="H1141">
        <v>0</v>
      </c>
      <c r="I1141" s="2" t="s">
        <v>2021</v>
      </c>
      <c r="J1141" s="2" t="s">
        <v>2030</v>
      </c>
      <c r="K1141" s="2" t="s">
        <v>3154</v>
      </c>
      <c r="L1141" s="2" t="s">
        <v>4031</v>
      </c>
      <c r="M1141">
        <v>-239.34</v>
      </c>
      <c r="N1141" s="2" t="s">
        <v>4044</v>
      </c>
      <c r="O1141">
        <v>103</v>
      </c>
      <c r="P1141">
        <v>-24652.02</v>
      </c>
      <c r="Q1141" t="b">
        <v>0</v>
      </c>
      <c r="R1141" t="b">
        <v>0</v>
      </c>
      <c r="S1141" t="b">
        <v>0</v>
      </c>
      <c r="T1141" t="b">
        <v>0</v>
      </c>
      <c r="U1141">
        <v>0</v>
      </c>
      <c r="V1141" t="s">
        <v>4073</v>
      </c>
    </row>
    <row r="1142" spans="1:22" hidden="1" x14ac:dyDescent="0.45">
      <c r="A1142" s="2" t="s">
        <v>993</v>
      </c>
      <c r="B1142" s="11">
        <v>45604</v>
      </c>
      <c r="C1142" s="2" t="s">
        <v>2012</v>
      </c>
      <c r="D1142" s="2" t="s">
        <v>2017</v>
      </c>
      <c r="E1142">
        <v>330.31</v>
      </c>
      <c r="F1142">
        <v>29067.279999999999</v>
      </c>
      <c r="G1142">
        <v>0</v>
      </c>
      <c r="H1142">
        <v>0</v>
      </c>
      <c r="I1142" s="2" t="s">
        <v>2023</v>
      </c>
      <c r="J1142" s="2" t="s">
        <v>2028</v>
      </c>
      <c r="K1142" s="2" t="s">
        <v>3014</v>
      </c>
      <c r="L1142" s="2" t="s">
        <v>4032</v>
      </c>
      <c r="M1142">
        <v>-330.31</v>
      </c>
      <c r="N1142" s="2" t="s">
        <v>4044</v>
      </c>
      <c r="O1142">
        <v>88</v>
      </c>
      <c r="P1142">
        <v>-29067.279999999999</v>
      </c>
      <c r="Q1142" t="b">
        <v>0</v>
      </c>
      <c r="R1142" t="b">
        <v>0</v>
      </c>
      <c r="S1142" t="b">
        <v>0</v>
      </c>
      <c r="T1142" t="b">
        <v>0</v>
      </c>
      <c r="U1142">
        <v>0</v>
      </c>
      <c r="V1142" t="s">
        <v>4073</v>
      </c>
    </row>
    <row r="1143" spans="1:22" hidden="1" x14ac:dyDescent="0.45">
      <c r="A1143" s="2" t="s">
        <v>1795</v>
      </c>
      <c r="B1143" s="11">
        <v>45818</v>
      </c>
      <c r="C1143" s="2" t="s">
        <v>2014</v>
      </c>
      <c r="D1143" s="2" t="s">
        <v>2019</v>
      </c>
      <c r="E1143">
        <v>0</v>
      </c>
      <c r="F1143">
        <v>0</v>
      </c>
      <c r="G1143">
        <v>302.97000000000003</v>
      </c>
      <c r="H1143">
        <v>24843.54</v>
      </c>
      <c r="I1143" s="2" t="s">
        <v>2022</v>
      </c>
      <c r="J1143" s="2" t="s">
        <v>2027</v>
      </c>
      <c r="K1143" s="2" t="s">
        <v>3816</v>
      </c>
      <c r="L1143" s="2" t="s">
        <v>4034</v>
      </c>
      <c r="M1143">
        <v>302.97000000000003</v>
      </c>
      <c r="N1143" s="2" t="s">
        <v>4042</v>
      </c>
      <c r="O1143">
        <v>82</v>
      </c>
      <c r="P1143">
        <v>24843.54</v>
      </c>
      <c r="Q1143" t="b">
        <v>0</v>
      </c>
      <c r="R1143" t="b">
        <v>0</v>
      </c>
      <c r="S1143" t="b">
        <v>0</v>
      </c>
      <c r="T1143" t="b">
        <v>0</v>
      </c>
      <c r="U1143">
        <v>0</v>
      </c>
      <c r="V1143" t="s">
        <v>4073</v>
      </c>
    </row>
    <row r="1144" spans="1:22" hidden="1" x14ac:dyDescent="0.45">
      <c r="A1144" s="2" t="s">
        <v>440</v>
      </c>
      <c r="B1144" s="11">
        <v>45267</v>
      </c>
      <c r="C1144" s="2" t="s">
        <v>2010</v>
      </c>
      <c r="D1144" s="2" t="s">
        <v>2015</v>
      </c>
      <c r="E1144">
        <v>0</v>
      </c>
      <c r="F1144">
        <v>0</v>
      </c>
      <c r="G1144">
        <v>353.32</v>
      </c>
      <c r="H1144">
        <v>28972.239999999998</v>
      </c>
      <c r="I1144" s="2" t="s">
        <v>2024</v>
      </c>
      <c r="J1144" s="2" t="s">
        <v>2027</v>
      </c>
      <c r="K1144" s="2" t="s">
        <v>2461</v>
      </c>
      <c r="L1144" s="2" t="s">
        <v>4034</v>
      </c>
      <c r="M1144">
        <v>353.32</v>
      </c>
      <c r="N1144" s="2" t="s">
        <v>4042</v>
      </c>
      <c r="O1144">
        <v>82</v>
      </c>
      <c r="P1144">
        <v>28972.239999999998</v>
      </c>
      <c r="Q1144" t="b">
        <v>0</v>
      </c>
      <c r="R1144" t="b">
        <v>0</v>
      </c>
      <c r="S1144" t="b">
        <v>0</v>
      </c>
      <c r="T1144" t="b">
        <v>0</v>
      </c>
      <c r="U1144">
        <v>0</v>
      </c>
      <c r="V1144" t="s">
        <v>4073</v>
      </c>
    </row>
    <row r="1145" spans="1:22" hidden="1" x14ac:dyDescent="0.45">
      <c r="A1145" s="2" t="s">
        <v>423</v>
      </c>
      <c r="B1145" s="11">
        <v>45338</v>
      </c>
      <c r="C1145" s="2" t="s">
        <v>2013</v>
      </c>
      <c r="D1145" s="2" t="s">
        <v>2018</v>
      </c>
      <c r="E1145">
        <v>327.57</v>
      </c>
      <c r="F1145">
        <v>28826.16</v>
      </c>
      <c r="G1145">
        <v>0</v>
      </c>
      <c r="H1145">
        <v>0</v>
      </c>
      <c r="I1145" s="2" t="s">
        <v>2021</v>
      </c>
      <c r="J1145" s="2" t="s">
        <v>2030</v>
      </c>
      <c r="K1145" s="2" t="s">
        <v>2444</v>
      </c>
      <c r="L1145" s="2" t="s">
        <v>4032</v>
      </c>
      <c r="M1145">
        <v>-327.57</v>
      </c>
      <c r="N1145" s="2" t="s">
        <v>4044</v>
      </c>
      <c r="O1145">
        <v>88</v>
      </c>
      <c r="P1145">
        <v>-28826.16</v>
      </c>
      <c r="Q1145" t="b">
        <v>0</v>
      </c>
      <c r="R1145" t="b">
        <v>0</v>
      </c>
      <c r="S1145" t="b">
        <v>0</v>
      </c>
      <c r="T1145" t="b">
        <v>0</v>
      </c>
      <c r="U1145">
        <v>0</v>
      </c>
      <c r="V1145" t="s">
        <v>4073</v>
      </c>
    </row>
    <row r="1146" spans="1:22" hidden="1" x14ac:dyDescent="0.45">
      <c r="A1146" s="2" t="s">
        <v>960</v>
      </c>
      <c r="B1146" s="11">
        <v>45131</v>
      </c>
      <c r="C1146" s="2" t="s">
        <v>2013</v>
      </c>
      <c r="D1146" s="2" t="s">
        <v>2018</v>
      </c>
      <c r="E1146">
        <v>445.11</v>
      </c>
      <c r="F1146">
        <v>24926.16</v>
      </c>
      <c r="G1146">
        <v>0</v>
      </c>
      <c r="H1146">
        <v>0</v>
      </c>
      <c r="I1146" s="2" t="s">
        <v>2022</v>
      </c>
      <c r="J1146" s="2" t="s">
        <v>2027</v>
      </c>
      <c r="K1146" s="2" t="s">
        <v>2981</v>
      </c>
      <c r="L1146" s="2" t="s">
        <v>4033</v>
      </c>
      <c r="M1146">
        <v>-445.11</v>
      </c>
      <c r="N1146" s="2" t="s">
        <v>4044</v>
      </c>
      <c r="O1146">
        <v>56</v>
      </c>
      <c r="P1146">
        <v>-24926.16</v>
      </c>
      <c r="Q1146" t="b">
        <v>0</v>
      </c>
      <c r="R1146" t="b">
        <v>0</v>
      </c>
      <c r="S1146" t="b">
        <v>0</v>
      </c>
      <c r="T1146" t="b">
        <v>0</v>
      </c>
      <c r="U1146">
        <v>0</v>
      </c>
      <c r="V1146" t="s">
        <v>4073</v>
      </c>
    </row>
    <row r="1147" spans="1:22" hidden="1" x14ac:dyDescent="0.45">
      <c r="A1147" s="2" t="s">
        <v>1835</v>
      </c>
      <c r="B1147" s="11">
        <v>45492</v>
      </c>
      <c r="C1147" s="2" t="s">
        <v>2011</v>
      </c>
      <c r="D1147" s="2" t="s">
        <v>2016</v>
      </c>
      <c r="E1147">
        <v>510</v>
      </c>
      <c r="F1147">
        <v>28560</v>
      </c>
      <c r="G1147">
        <v>0</v>
      </c>
      <c r="H1147">
        <v>0</v>
      </c>
      <c r="I1147" s="2" t="s">
        <v>2022</v>
      </c>
      <c r="J1147" s="2" t="s">
        <v>2028</v>
      </c>
      <c r="K1147" s="2" t="s">
        <v>3856</v>
      </c>
      <c r="L1147" s="2" t="s">
        <v>4033</v>
      </c>
      <c r="M1147">
        <v>-510</v>
      </c>
      <c r="N1147" s="2" t="s">
        <v>2016</v>
      </c>
      <c r="O1147">
        <v>56</v>
      </c>
      <c r="P1147">
        <v>-28560</v>
      </c>
      <c r="Q1147" t="b">
        <v>0</v>
      </c>
      <c r="R1147" t="b">
        <v>0</v>
      </c>
      <c r="S1147" t="b">
        <v>0</v>
      </c>
      <c r="T1147" t="b">
        <v>0</v>
      </c>
      <c r="U1147">
        <v>0</v>
      </c>
      <c r="V1147" t="s">
        <v>4073</v>
      </c>
    </row>
    <row r="1148" spans="1:22" hidden="1" x14ac:dyDescent="0.45">
      <c r="A1148" s="2" t="s">
        <v>981</v>
      </c>
      <c r="B1148" s="11">
        <v>45658</v>
      </c>
      <c r="C1148" s="2" t="s">
        <v>2012</v>
      </c>
      <c r="D1148" s="2" t="s">
        <v>2017</v>
      </c>
      <c r="E1148">
        <v>409.25</v>
      </c>
      <c r="F1148">
        <v>24964.25</v>
      </c>
      <c r="G1148">
        <v>0</v>
      </c>
      <c r="H1148">
        <v>0</v>
      </c>
      <c r="I1148" s="2" t="s">
        <v>2025</v>
      </c>
      <c r="J1148" s="2" t="s">
        <v>2030</v>
      </c>
      <c r="K1148" s="2" t="s">
        <v>3002</v>
      </c>
      <c r="L1148" s="2" t="s">
        <v>4035</v>
      </c>
      <c r="M1148">
        <v>-409.25</v>
      </c>
      <c r="N1148" s="2" t="s">
        <v>4044</v>
      </c>
      <c r="O1148">
        <v>61</v>
      </c>
      <c r="P1148">
        <v>-24964.25</v>
      </c>
      <c r="Q1148" t="b">
        <v>0</v>
      </c>
      <c r="R1148" t="b">
        <v>0</v>
      </c>
      <c r="S1148" t="b">
        <v>0</v>
      </c>
      <c r="T1148" t="b">
        <v>0</v>
      </c>
      <c r="U1148">
        <v>0</v>
      </c>
      <c r="V1148" t="s">
        <v>4073</v>
      </c>
    </row>
    <row r="1149" spans="1:22" hidden="1" x14ac:dyDescent="0.45">
      <c r="A1149" s="2" t="s">
        <v>629</v>
      </c>
      <c r="B1149" s="11">
        <v>45509</v>
      </c>
      <c r="C1149" s="2" t="s">
        <v>2013</v>
      </c>
      <c r="D1149" s="2" t="s">
        <v>2018</v>
      </c>
      <c r="E1149">
        <v>416.41</v>
      </c>
      <c r="F1149">
        <v>25401.010000000002</v>
      </c>
      <c r="G1149">
        <v>0</v>
      </c>
      <c r="H1149">
        <v>0</v>
      </c>
      <c r="I1149" s="2" t="s">
        <v>2023</v>
      </c>
      <c r="J1149" s="2" t="s">
        <v>2027</v>
      </c>
      <c r="K1149" s="2" t="s">
        <v>2650</v>
      </c>
      <c r="L1149" s="2" t="s">
        <v>4035</v>
      </c>
      <c r="M1149">
        <v>-416.41</v>
      </c>
      <c r="N1149" s="2" t="s">
        <v>4044</v>
      </c>
      <c r="O1149">
        <v>61</v>
      </c>
      <c r="P1149">
        <v>-25401.010000000002</v>
      </c>
      <c r="Q1149" t="b">
        <v>0</v>
      </c>
      <c r="R1149" t="b">
        <v>0</v>
      </c>
      <c r="S1149" t="b">
        <v>0</v>
      </c>
      <c r="T1149" t="b">
        <v>0</v>
      </c>
      <c r="U1149">
        <v>0</v>
      </c>
      <c r="V1149" t="s">
        <v>4073</v>
      </c>
    </row>
    <row r="1150" spans="1:22" hidden="1" x14ac:dyDescent="0.45">
      <c r="A1150" s="2" t="s">
        <v>1766</v>
      </c>
      <c r="B1150" s="11">
        <v>45735</v>
      </c>
      <c r="C1150" s="2" t="s">
        <v>2011</v>
      </c>
      <c r="D1150" s="2" t="s">
        <v>2016</v>
      </c>
      <c r="E1150">
        <v>310.49</v>
      </c>
      <c r="F1150">
        <v>25460.18</v>
      </c>
      <c r="G1150">
        <v>0</v>
      </c>
      <c r="H1150">
        <v>0</v>
      </c>
      <c r="I1150" s="2" t="s">
        <v>2021</v>
      </c>
      <c r="J1150" s="2" t="s">
        <v>2029</v>
      </c>
      <c r="K1150" s="2" t="s">
        <v>3787</v>
      </c>
      <c r="L1150" s="2" t="s">
        <v>4034</v>
      </c>
      <c r="M1150">
        <v>-310.49</v>
      </c>
      <c r="N1150" s="2" t="s">
        <v>2016</v>
      </c>
      <c r="O1150">
        <v>82</v>
      </c>
      <c r="P1150">
        <v>-25460.18</v>
      </c>
      <c r="Q1150" t="b">
        <v>0</v>
      </c>
      <c r="R1150" t="b">
        <v>0</v>
      </c>
      <c r="S1150" t="b">
        <v>0</v>
      </c>
      <c r="T1150" t="b">
        <v>0</v>
      </c>
      <c r="U1150">
        <v>0</v>
      </c>
      <c r="V1150" t="s">
        <v>4073</v>
      </c>
    </row>
    <row r="1151" spans="1:22" hidden="1" x14ac:dyDescent="0.45">
      <c r="A1151" s="2" t="s">
        <v>1076</v>
      </c>
      <c r="B1151" s="11">
        <v>45827</v>
      </c>
      <c r="C1151" s="2" t="s">
        <v>2012</v>
      </c>
      <c r="D1151" s="2" t="s">
        <v>2017</v>
      </c>
      <c r="E1151">
        <v>322.5</v>
      </c>
      <c r="F1151">
        <v>28380</v>
      </c>
      <c r="G1151">
        <v>0</v>
      </c>
      <c r="H1151">
        <v>0</v>
      </c>
      <c r="I1151" s="2" t="s">
        <v>2021</v>
      </c>
      <c r="J1151" s="2" t="s">
        <v>2030</v>
      </c>
      <c r="K1151" s="2" t="s">
        <v>3097</v>
      </c>
      <c r="L1151" s="2" t="s">
        <v>4032</v>
      </c>
      <c r="M1151">
        <v>-322.5</v>
      </c>
      <c r="N1151" s="2" t="s">
        <v>4044</v>
      </c>
      <c r="O1151">
        <v>88</v>
      </c>
      <c r="P1151">
        <v>-28380</v>
      </c>
      <c r="Q1151" t="b">
        <v>0</v>
      </c>
      <c r="R1151" t="b">
        <v>0</v>
      </c>
      <c r="S1151" t="b">
        <v>0</v>
      </c>
      <c r="T1151" t="b">
        <v>0</v>
      </c>
      <c r="U1151">
        <v>0</v>
      </c>
      <c r="V1151" t="s">
        <v>4073</v>
      </c>
    </row>
    <row r="1152" spans="1:22" hidden="1" x14ac:dyDescent="0.45">
      <c r="A1152" s="2" t="s">
        <v>1465</v>
      </c>
      <c r="B1152" s="11">
        <v>45649</v>
      </c>
      <c r="C1152" s="2" t="s">
        <v>2012</v>
      </c>
      <c r="D1152" s="2" t="s">
        <v>2017</v>
      </c>
      <c r="E1152">
        <v>418.07</v>
      </c>
      <c r="F1152">
        <v>25502.27</v>
      </c>
      <c r="G1152">
        <v>0</v>
      </c>
      <c r="H1152">
        <v>0</v>
      </c>
      <c r="I1152" s="2" t="s">
        <v>2025</v>
      </c>
      <c r="J1152" s="2" t="s">
        <v>2030</v>
      </c>
      <c r="K1152" s="2" t="s">
        <v>3486</v>
      </c>
      <c r="L1152" s="2" t="s">
        <v>4035</v>
      </c>
      <c r="M1152">
        <v>-418.07</v>
      </c>
      <c r="N1152" s="2" t="s">
        <v>4044</v>
      </c>
      <c r="O1152">
        <v>61</v>
      </c>
      <c r="P1152">
        <v>-25502.27</v>
      </c>
      <c r="Q1152" t="b">
        <v>0</v>
      </c>
      <c r="R1152" t="b">
        <v>0</v>
      </c>
      <c r="S1152" t="b">
        <v>0</v>
      </c>
      <c r="T1152" t="b">
        <v>0</v>
      </c>
      <c r="U1152">
        <v>0</v>
      </c>
      <c r="V1152" t="s">
        <v>4073</v>
      </c>
    </row>
    <row r="1153" spans="1:22" hidden="1" x14ac:dyDescent="0.45">
      <c r="A1153" s="2" t="s">
        <v>1654</v>
      </c>
      <c r="B1153" s="11">
        <v>45453</v>
      </c>
      <c r="C1153" s="2" t="s">
        <v>2013</v>
      </c>
      <c r="D1153" s="2" t="s">
        <v>2018</v>
      </c>
      <c r="E1153">
        <v>418.98</v>
      </c>
      <c r="F1153">
        <v>25557.780000000002</v>
      </c>
      <c r="G1153">
        <v>0</v>
      </c>
      <c r="H1153">
        <v>0</v>
      </c>
      <c r="I1153" s="2" t="s">
        <v>2023</v>
      </c>
      <c r="J1153" s="2" t="s">
        <v>2028</v>
      </c>
      <c r="K1153" s="2" t="s">
        <v>3675</v>
      </c>
      <c r="L1153" s="2" t="s">
        <v>4035</v>
      </c>
      <c r="M1153">
        <v>-418.98</v>
      </c>
      <c r="N1153" s="2" t="s">
        <v>4044</v>
      </c>
      <c r="O1153">
        <v>61</v>
      </c>
      <c r="P1153">
        <v>-25557.780000000002</v>
      </c>
      <c r="Q1153" t="b">
        <v>0</v>
      </c>
      <c r="R1153" t="b">
        <v>0</v>
      </c>
      <c r="S1153" t="b">
        <v>0</v>
      </c>
      <c r="T1153" t="b">
        <v>0</v>
      </c>
      <c r="U1153">
        <v>0</v>
      </c>
      <c r="V1153" t="s">
        <v>4073</v>
      </c>
    </row>
    <row r="1154" spans="1:22" hidden="1" x14ac:dyDescent="0.45">
      <c r="A1154" s="2" t="s">
        <v>89</v>
      </c>
      <c r="B1154" s="11">
        <v>45001</v>
      </c>
      <c r="C1154" s="2" t="s">
        <v>2012</v>
      </c>
      <c r="D1154" s="2" t="s">
        <v>2017</v>
      </c>
      <c r="E1154">
        <v>498.83</v>
      </c>
      <c r="F1154">
        <v>27934.48</v>
      </c>
      <c r="G1154">
        <v>0</v>
      </c>
      <c r="H1154">
        <v>0</v>
      </c>
      <c r="I1154" s="2" t="s">
        <v>2025</v>
      </c>
      <c r="J1154" s="2" t="s">
        <v>2027</v>
      </c>
      <c r="K1154" s="2" t="s">
        <v>2110</v>
      </c>
      <c r="L1154" s="2" t="s">
        <v>4033</v>
      </c>
      <c r="M1154">
        <v>-498.83</v>
      </c>
      <c r="N1154" s="2" t="s">
        <v>4044</v>
      </c>
      <c r="O1154">
        <v>56</v>
      </c>
      <c r="P1154">
        <v>-27934.48</v>
      </c>
      <c r="Q1154" t="b">
        <v>0</v>
      </c>
      <c r="R1154" t="b">
        <v>0</v>
      </c>
      <c r="S1154" t="b">
        <v>0</v>
      </c>
      <c r="T1154" t="b">
        <v>0</v>
      </c>
      <c r="U1154">
        <v>0</v>
      </c>
      <c r="V1154" t="s">
        <v>4073</v>
      </c>
    </row>
    <row r="1155" spans="1:22" hidden="1" x14ac:dyDescent="0.45">
      <c r="A1155" s="2" t="s">
        <v>1797</v>
      </c>
      <c r="B1155" s="11">
        <v>45385</v>
      </c>
      <c r="C1155" s="2" t="s">
        <v>2011</v>
      </c>
      <c r="D1155" s="2" t="s">
        <v>2016</v>
      </c>
      <c r="E1155">
        <v>338.61</v>
      </c>
      <c r="F1155">
        <v>27766.02</v>
      </c>
      <c r="G1155">
        <v>0</v>
      </c>
      <c r="H1155">
        <v>0</v>
      </c>
      <c r="I1155" s="2" t="s">
        <v>2024</v>
      </c>
      <c r="J1155" s="2" t="s">
        <v>2028</v>
      </c>
      <c r="K1155" s="2" t="s">
        <v>3818</v>
      </c>
      <c r="L1155" s="2" t="s">
        <v>4034</v>
      </c>
      <c r="M1155">
        <v>-338.61</v>
      </c>
      <c r="N1155" s="2" t="s">
        <v>2016</v>
      </c>
      <c r="O1155">
        <v>82</v>
      </c>
      <c r="P1155">
        <v>-27766.02</v>
      </c>
      <c r="Q1155" t="b">
        <v>0</v>
      </c>
      <c r="R1155" t="b">
        <v>0</v>
      </c>
      <c r="S1155" t="b">
        <v>0</v>
      </c>
      <c r="T1155" t="b">
        <v>0</v>
      </c>
      <c r="U1155">
        <v>0</v>
      </c>
      <c r="V1155" t="s">
        <v>4073</v>
      </c>
    </row>
    <row r="1156" spans="1:22" hidden="1" x14ac:dyDescent="0.45">
      <c r="A1156" s="2" t="s">
        <v>1288</v>
      </c>
      <c r="B1156" s="11">
        <v>45643</v>
      </c>
      <c r="C1156" s="2" t="s">
        <v>2013</v>
      </c>
      <c r="D1156" s="2" t="s">
        <v>2018</v>
      </c>
      <c r="E1156">
        <v>315.85000000000002</v>
      </c>
      <c r="F1156">
        <v>25899.7</v>
      </c>
      <c r="G1156">
        <v>0</v>
      </c>
      <c r="H1156">
        <v>0</v>
      </c>
      <c r="I1156" s="2" t="s">
        <v>2023</v>
      </c>
      <c r="J1156" s="2" t="s">
        <v>2029</v>
      </c>
      <c r="K1156" s="2" t="s">
        <v>3309</v>
      </c>
      <c r="L1156" s="2" t="s">
        <v>4034</v>
      </c>
      <c r="M1156">
        <v>-315.85000000000002</v>
      </c>
      <c r="N1156" s="2" t="s">
        <v>4044</v>
      </c>
      <c r="O1156">
        <v>82</v>
      </c>
      <c r="P1156">
        <v>-25899.7</v>
      </c>
      <c r="Q1156" t="b">
        <v>0</v>
      </c>
      <c r="R1156" t="b">
        <v>0</v>
      </c>
      <c r="S1156" t="b">
        <v>0</v>
      </c>
      <c r="T1156" t="b">
        <v>0</v>
      </c>
      <c r="U1156">
        <v>0</v>
      </c>
      <c r="V1156" t="s">
        <v>4073</v>
      </c>
    </row>
    <row r="1157" spans="1:22" hidden="1" x14ac:dyDescent="0.45">
      <c r="A1157" s="2" t="s">
        <v>1200</v>
      </c>
      <c r="B1157" s="11">
        <v>45371</v>
      </c>
      <c r="C1157" s="2" t="s">
        <v>2011</v>
      </c>
      <c r="D1157" s="2" t="s">
        <v>2016</v>
      </c>
      <c r="E1157">
        <v>309.44</v>
      </c>
      <c r="F1157">
        <v>27230.720000000001</v>
      </c>
      <c r="G1157">
        <v>0</v>
      </c>
      <c r="H1157">
        <v>0</v>
      </c>
      <c r="I1157" s="2" t="s">
        <v>2021</v>
      </c>
      <c r="J1157" s="2" t="s">
        <v>2029</v>
      </c>
      <c r="K1157" s="2" t="s">
        <v>3221</v>
      </c>
      <c r="L1157" s="2" t="s">
        <v>4032</v>
      </c>
      <c r="M1157">
        <v>-309.44</v>
      </c>
      <c r="N1157" s="2" t="s">
        <v>2016</v>
      </c>
      <c r="O1157">
        <v>88</v>
      </c>
      <c r="P1157">
        <v>-27230.720000000001</v>
      </c>
      <c r="Q1157" t="b">
        <v>0</v>
      </c>
      <c r="R1157" t="b">
        <v>0</v>
      </c>
      <c r="S1157" t="b">
        <v>0</v>
      </c>
      <c r="T1157" t="b">
        <v>0</v>
      </c>
      <c r="U1157">
        <v>0</v>
      </c>
      <c r="V1157" t="s">
        <v>4073</v>
      </c>
    </row>
    <row r="1158" spans="1:22" hidden="1" x14ac:dyDescent="0.45">
      <c r="A1158" s="2" t="s">
        <v>1986</v>
      </c>
      <c r="B1158" s="11">
        <v>45643</v>
      </c>
      <c r="C1158" s="2" t="s">
        <v>2011</v>
      </c>
      <c r="D1158" s="2" t="s">
        <v>2016</v>
      </c>
      <c r="E1158">
        <v>424.86</v>
      </c>
      <c r="F1158">
        <v>25916.46</v>
      </c>
      <c r="G1158">
        <v>0</v>
      </c>
      <c r="H1158">
        <v>0</v>
      </c>
      <c r="I1158" s="2" t="s">
        <v>2024</v>
      </c>
      <c r="J1158" s="2" t="s">
        <v>2028</v>
      </c>
      <c r="K1158" s="2" t="s">
        <v>4007</v>
      </c>
      <c r="L1158" s="2" t="s">
        <v>4035</v>
      </c>
      <c r="M1158">
        <v>-424.86</v>
      </c>
      <c r="N1158" s="2" t="s">
        <v>2016</v>
      </c>
      <c r="O1158">
        <v>61</v>
      </c>
      <c r="P1158">
        <v>-25916.46</v>
      </c>
      <c r="Q1158" t="b">
        <v>0</v>
      </c>
      <c r="R1158" t="b">
        <v>0</v>
      </c>
      <c r="S1158" t="b">
        <v>0</v>
      </c>
      <c r="T1158" t="b">
        <v>0</v>
      </c>
      <c r="U1158">
        <v>0</v>
      </c>
      <c r="V1158" t="s">
        <v>4073</v>
      </c>
    </row>
    <row r="1159" spans="1:22" hidden="1" x14ac:dyDescent="0.45">
      <c r="A1159" s="2" t="s">
        <v>125</v>
      </c>
      <c r="B1159" s="11">
        <v>45762</v>
      </c>
      <c r="C1159" s="2" t="s">
        <v>2013</v>
      </c>
      <c r="D1159" s="2" t="s">
        <v>2018</v>
      </c>
      <c r="E1159">
        <v>325.08999999999997</v>
      </c>
      <c r="F1159">
        <v>26657.379999999997</v>
      </c>
      <c r="G1159">
        <v>0</v>
      </c>
      <c r="H1159">
        <v>0</v>
      </c>
      <c r="I1159" s="2" t="s">
        <v>2024</v>
      </c>
      <c r="J1159" s="2" t="s">
        <v>2028</v>
      </c>
      <c r="K1159" s="2" t="s">
        <v>2146</v>
      </c>
      <c r="L1159" s="2" t="s">
        <v>4034</v>
      </c>
      <c r="M1159">
        <v>-325.08999999999997</v>
      </c>
      <c r="N1159" s="2" t="s">
        <v>4044</v>
      </c>
      <c r="O1159">
        <v>82</v>
      </c>
      <c r="P1159">
        <v>-26657.379999999997</v>
      </c>
      <c r="Q1159" t="b">
        <v>0</v>
      </c>
      <c r="R1159" t="b">
        <v>0</v>
      </c>
      <c r="S1159" t="b">
        <v>0</v>
      </c>
      <c r="T1159" t="b">
        <v>0</v>
      </c>
      <c r="U1159">
        <v>0</v>
      </c>
      <c r="V1159" t="s">
        <v>4073</v>
      </c>
    </row>
    <row r="1160" spans="1:22" hidden="1" x14ac:dyDescent="0.45">
      <c r="A1160" s="2" t="s">
        <v>375</v>
      </c>
      <c r="B1160" s="11">
        <v>44999</v>
      </c>
      <c r="C1160" s="2" t="s">
        <v>2013</v>
      </c>
      <c r="D1160" s="2" t="s">
        <v>2018</v>
      </c>
      <c r="E1160">
        <v>426.78</v>
      </c>
      <c r="F1160">
        <v>26033.579999999998</v>
      </c>
      <c r="G1160">
        <v>0</v>
      </c>
      <c r="H1160">
        <v>0</v>
      </c>
      <c r="I1160" s="2" t="s">
        <v>2020</v>
      </c>
      <c r="J1160" s="2" t="s">
        <v>2028</v>
      </c>
      <c r="K1160" s="2" t="s">
        <v>2396</v>
      </c>
      <c r="L1160" s="2" t="s">
        <v>4035</v>
      </c>
      <c r="M1160">
        <v>-426.78</v>
      </c>
      <c r="N1160" s="2" t="s">
        <v>4044</v>
      </c>
      <c r="O1160">
        <v>61</v>
      </c>
      <c r="P1160">
        <v>-26033.579999999998</v>
      </c>
      <c r="Q1160" t="b">
        <v>0</v>
      </c>
      <c r="R1160" t="b">
        <v>0</v>
      </c>
      <c r="S1160" t="b">
        <v>0</v>
      </c>
      <c r="T1160" t="b">
        <v>0</v>
      </c>
      <c r="U1160">
        <v>0</v>
      </c>
      <c r="V1160" t="s">
        <v>4073</v>
      </c>
    </row>
    <row r="1161" spans="1:22" hidden="1" x14ac:dyDescent="0.45">
      <c r="A1161" s="2" t="s">
        <v>625</v>
      </c>
      <c r="B1161" s="11">
        <v>45022</v>
      </c>
      <c r="C1161" s="2" t="s">
        <v>2013</v>
      </c>
      <c r="D1161" s="2" t="s">
        <v>2018</v>
      </c>
      <c r="E1161">
        <v>436.93</v>
      </c>
      <c r="F1161">
        <v>26652.73</v>
      </c>
      <c r="G1161">
        <v>0</v>
      </c>
      <c r="H1161">
        <v>0</v>
      </c>
      <c r="I1161" s="2" t="s">
        <v>2021</v>
      </c>
      <c r="J1161" s="2" t="s">
        <v>2029</v>
      </c>
      <c r="K1161" s="2" t="s">
        <v>2646</v>
      </c>
      <c r="L1161" s="2" t="s">
        <v>4035</v>
      </c>
      <c r="M1161">
        <v>-436.93</v>
      </c>
      <c r="N1161" s="2" t="s">
        <v>4044</v>
      </c>
      <c r="O1161">
        <v>61</v>
      </c>
      <c r="P1161">
        <v>-26652.73</v>
      </c>
      <c r="Q1161" t="b">
        <v>0</v>
      </c>
      <c r="R1161" t="b">
        <v>0</v>
      </c>
      <c r="S1161" t="b">
        <v>0</v>
      </c>
      <c r="T1161" t="b">
        <v>0</v>
      </c>
      <c r="U1161">
        <v>0</v>
      </c>
      <c r="V1161" t="s">
        <v>4073</v>
      </c>
    </row>
    <row r="1162" spans="1:22" hidden="1" x14ac:dyDescent="0.45">
      <c r="A1162" s="2" t="s">
        <v>1197</v>
      </c>
      <c r="B1162" s="11">
        <v>45292</v>
      </c>
      <c r="C1162" s="2" t="s">
        <v>2013</v>
      </c>
      <c r="D1162" s="2" t="s">
        <v>2018</v>
      </c>
      <c r="E1162">
        <v>475.92</v>
      </c>
      <c r="F1162">
        <v>26651.52</v>
      </c>
      <c r="G1162">
        <v>0</v>
      </c>
      <c r="H1162">
        <v>0</v>
      </c>
      <c r="I1162" s="2" t="s">
        <v>2025</v>
      </c>
      <c r="J1162" s="2" t="s">
        <v>2030</v>
      </c>
      <c r="K1162" s="2" t="s">
        <v>3218</v>
      </c>
      <c r="L1162" s="2" t="s">
        <v>4033</v>
      </c>
      <c r="M1162">
        <v>-475.92</v>
      </c>
      <c r="N1162" s="2" t="s">
        <v>4044</v>
      </c>
      <c r="O1162">
        <v>56</v>
      </c>
      <c r="P1162">
        <v>-26651.52</v>
      </c>
      <c r="Q1162" t="b">
        <v>0</v>
      </c>
      <c r="R1162" t="b">
        <v>0</v>
      </c>
      <c r="S1162" t="b">
        <v>0</v>
      </c>
      <c r="T1162" t="b">
        <v>0</v>
      </c>
      <c r="U1162">
        <v>0</v>
      </c>
      <c r="V1162" t="s">
        <v>4073</v>
      </c>
    </row>
    <row r="1163" spans="1:22" hidden="1" x14ac:dyDescent="0.45">
      <c r="A1163" s="2" t="s">
        <v>1461</v>
      </c>
      <c r="B1163" s="11">
        <v>45366</v>
      </c>
      <c r="C1163" s="2" t="s">
        <v>2012</v>
      </c>
      <c r="D1163" s="2" t="s">
        <v>2017</v>
      </c>
      <c r="E1163">
        <v>302.02999999999997</v>
      </c>
      <c r="F1163">
        <v>26578.639999999999</v>
      </c>
      <c r="G1163">
        <v>0</v>
      </c>
      <c r="H1163">
        <v>0</v>
      </c>
      <c r="I1163" s="2" t="s">
        <v>2021</v>
      </c>
      <c r="J1163" s="2" t="s">
        <v>2029</v>
      </c>
      <c r="K1163" s="2" t="s">
        <v>3482</v>
      </c>
      <c r="L1163" s="2" t="s">
        <v>4032</v>
      </c>
      <c r="M1163">
        <v>-302.02999999999997</v>
      </c>
      <c r="N1163" s="2" t="s">
        <v>4044</v>
      </c>
      <c r="O1163">
        <v>88</v>
      </c>
      <c r="P1163">
        <v>-26578.639999999999</v>
      </c>
      <c r="Q1163" t="b">
        <v>0</v>
      </c>
      <c r="R1163" t="b">
        <v>0</v>
      </c>
      <c r="S1163" t="b">
        <v>0</v>
      </c>
      <c r="T1163" t="b">
        <v>0</v>
      </c>
      <c r="U1163">
        <v>0</v>
      </c>
      <c r="V1163" t="s">
        <v>4073</v>
      </c>
    </row>
    <row r="1164" spans="1:22" hidden="1" x14ac:dyDescent="0.45">
      <c r="A1164" s="2" t="s">
        <v>1099</v>
      </c>
      <c r="B1164" s="11">
        <v>44958</v>
      </c>
      <c r="C1164" s="2" t="s">
        <v>2014</v>
      </c>
      <c r="D1164" s="2" t="s">
        <v>2019</v>
      </c>
      <c r="E1164">
        <v>0</v>
      </c>
      <c r="F1164">
        <v>0</v>
      </c>
      <c r="G1164">
        <v>322.85000000000002</v>
      </c>
      <c r="H1164">
        <v>26473.7</v>
      </c>
      <c r="I1164" s="2" t="s">
        <v>2025</v>
      </c>
      <c r="J1164" s="2" t="s">
        <v>2028</v>
      </c>
      <c r="K1164" s="2" t="s">
        <v>3120</v>
      </c>
      <c r="L1164" s="2" t="s">
        <v>4034</v>
      </c>
      <c r="M1164">
        <v>322.85000000000002</v>
      </c>
      <c r="N1164" s="2" t="s">
        <v>4042</v>
      </c>
      <c r="O1164">
        <v>82</v>
      </c>
      <c r="P1164">
        <v>26473.7</v>
      </c>
      <c r="Q1164" t="b">
        <v>0</v>
      </c>
      <c r="R1164" t="b">
        <v>0</v>
      </c>
      <c r="S1164" t="b">
        <v>0</v>
      </c>
      <c r="T1164" t="b">
        <v>0</v>
      </c>
      <c r="U1164">
        <v>0</v>
      </c>
      <c r="V1164" t="s">
        <v>4073</v>
      </c>
    </row>
    <row r="1165" spans="1:22" hidden="1" x14ac:dyDescent="0.45">
      <c r="A1165" s="2" t="s">
        <v>709</v>
      </c>
      <c r="B1165" s="11">
        <v>45030</v>
      </c>
      <c r="C1165" s="2" t="s">
        <v>2010</v>
      </c>
      <c r="D1165" s="2" t="s">
        <v>2015</v>
      </c>
      <c r="E1165">
        <v>0</v>
      </c>
      <c r="F1165">
        <v>0</v>
      </c>
      <c r="G1165">
        <v>337.27</v>
      </c>
      <c r="H1165">
        <v>29679.759999999998</v>
      </c>
      <c r="I1165" s="2" t="s">
        <v>2024</v>
      </c>
      <c r="J1165" s="2" t="s">
        <v>2029</v>
      </c>
      <c r="K1165" s="2" t="s">
        <v>2730</v>
      </c>
      <c r="L1165" s="2" t="s">
        <v>4032</v>
      </c>
      <c r="M1165">
        <v>337.27</v>
      </c>
      <c r="N1165" s="2" t="s">
        <v>4042</v>
      </c>
      <c r="O1165">
        <v>88</v>
      </c>
      <c r="P1165">
        <v>29679.759999999998</v>
      </c>
      <c r="Q1165" t="b">
        <v>0</v>
      </c>
      <c r="R1165" t="b">
        <v>0</v>
      </c>
      <c r="S1165" t="b">
        <v>0</v>
      </c>
      <c r="T1165" t="b">
        <v>0</v>
      </c>
      <c r="U1165">
        <v>0</v>
      </c>
      <c r="V1165" t="s">
        <v>4073</v>
      </c>
    </row>
    <row r="1166" spans="1:22" hidden="1" x14ac:dyDescent="0.45">
      <c r="A1166" s="2" t="s">
        <v>367</v>
      </c>
      <c r="B1166" s="11">
        <v>45141</v>
      </c>
      <c r="C1166" s="2" t="s">
        <v>2013</v>
      </c>
      <c r="D1166" s="2" t="s">
        <v>2018</v>
      </c>
      <c r="E1166">
        <v>397.07</v>
      </c>
      <c r="F1166">
        <v>24221.27</v>
      </c>
      <c r="G1166">
        <v>0</v>
      </c>
      <c r="H1166">
        <v>0</v>
      </c>
      <c r="I1166" s="2" t="s">
        <v>2024</v>
      </c>
      <c r="J1166" s="2" t="s">
        <v>2027</v>
      </c>
      <c r="K1166" s="2" t="s">
        <v>2388</v>
      </c>
      <c r="L1166" s="2" t="s">
        <v>4035</v>
      </c>
      <c r="M1166">
        <v>-397.07</v>
      </c>
      <c r="N1166" s="2" t="s">
        <v>4044</v>
      </c>
      <c r="O1166">
        <v>61</v>
      </c>
      <c r="P1166">
        <v>-24221.27</v>
      </c>
      <c r="Q1166" t="b">
        <v>0</v>
      </c>
      <c r="R1166" t="b">
        <v>0</v>
      </c>
      <c r="S1166" t="b">
        <v>0</v>
      </c>
      <c r="T1166" t="b">
        <v>0</v>
      </c>
      <c r="U1166">
        <v>0</v>
      </c>
      <c r="V1166" t="s">
        <v>4073</v>
      </c>
    </row>
    <row r="1167" spans="1:22" hidden="1" x14ac:dyDescent="0.45">
      <c r="A1167" s="2" t="s">
        <v>562</v>
      </c>
      <c r="B1167" s="11">
        <v>45182</v>
      </c>
      <c r="C1167" s="2" t="s">
        <v>2014</v>
      </c>
      <c r="D1167" s="2" t="s">
        <v>2019</v>
      </c>
      <c r="E1167">
        <v>0</v>
      </c>
      <c r="F1167">
        <v>0</v>
      </c>
      <c r="G1167">
        <v>489.03</v>
      </c>
      <c r="H1167">
        <v>29830.829999999998</v>
      </c>
      <c r="I1167" s="2" t="s">
        <v>2022</v>
      </c>
      <c r="J1167" s="2" t="s">
        <v>2026</v>
      </c>
      <c r="K1167" s="2" t="s">
        <v>2583</v>
      </c>
      <c r="L1167" s="2" t="s">
        <v>4035</v>
      </c>
      <c r="M1167">
        <v>489.03</v>
      </c>
      <c r="N1167" s="2" t="s">
        <v>4042</v>
      </c>
      <c r="O1167">
        <v>61</v>
      </c>
      <c r="P1167">
        <v>29830.829999999998</v>
      </c>
      <c r="Q1167" t="b">
        <v>0</v>
      </c>
      <c r="R1167" t="b">
        <v>0</v>
      </c>
      <c r="S1167" t="b">
        <v>0</v>
      </c>
      <c r="T1167" t="b">
        <v>0</v>
      </c>
      <c r="U1167">
        <v>0</v>
      </c>
      <c r="V1167" t="s">
        <v>4073</v>
      </c>
    </row>
    <row r="1168" spans="1:22" hidden="1" x14ac:dyDescent="0.45">
      <c r="A1168" s="2" t="s">
        <v>458</v>
      </c>
      <c r="B1168" s="11">
        <v>45177</v>
      </c>
      <c r="C1168" s="2" t="s">
        <v>2012</v>
      </c>
      <c r="D1168" s="2" t="s">
        <v>2017</v>
      </c>
      <c r="E1168">
        <v>489.72</v>
      </c>
      <c r="F1168">
        <v>29872.920000000002</v>
      </c>
      <c r="G1168">
        <v>0</v>
      </c>
      <c r="H1168">
        <v>0</v>
      </c>
      <c r="I1168" s="2" t="s">
        <v>2024</v>
      </c>
      <c r="J1168" s="2" t="s">
        <v>2030</v>
      </c>
      <c r="K1168" s="2" t="s">
        <v>2479</v>
      </c>
      <c r="L1168" s="2" t="s">
        <v>4035</v>
      </c>
      <c r="M1168">
        <v>-489.72</v>
      </c>
      <c r="N1168" s="2" t="s">
        <v>4044</v>
      </c>
      <c r="O1168">
        <v>61</v>
      </c>
      <c r="P1168">
        <v>-29872.920000000002</v>
      </c>
      <c r="Q1168" t="b">
        <v>0</v>
      </c>
      <c r="R1168" t="b">
        <v>0</v>
      </c>
      <c r="S1168" t="b">
        <v>0</v>
      </c>
      <c r="T1168" t="b">
        <v>0</v>
      </c>
      <c r="U1168">
        <v>0</v>
      </c>
      <c r="V1168" t="s">
        <v>4073</v>
      </c>
    </row>
    <row r="1169" spans="1:22" hidden="1" x14ac:dyDescent="0.45">
      <c r="A1169" s="2" t="s">
        <v>192</v>
      </c>
      <c r="B1169" s="11">
        <v>45545</v>
      </c>
      <c r="C1169" s="2" t="s">
        <v>2011</v>
      </c>
      <c r="D1169" s="2" t="s">
        <v>2016</v>
      </c>
      <c r="E1169">
        <v>209.01</v>
      </c>
      <c r="F1169">
        <v>21528.03</v>
      </c>
      <c r="G1169">
        <v>0</v>
      </c>
      <c r="H1169">
        <v>0</v>
      </c>
      <c r="I1169" s="2" t="s">
        <v>2023</v>
      </c>
      <c r="J1169" s="2" t="s">
        <v>2029</v>
      </c>
      <c r="K1169" s="2" t="s">
        <v>2213</v>
      </c>
      <c r="L1169" s="2" t="s">
        <v>4031</v>
      </c>
      <c r="M1169">
        <v>-209.01</v>
      </c>
      <c r="N1169" s="2" t="s">
        <v>2016</v>
      </c>
      <c r="O1169">
        <v>103</v>
      </c>
      <c r="P1169">
        <v>-21528.03</v>
      </c>
      <c r="Q1169" t="b">
        <v>0</v>
      </c>
      <c r="R1169" t="b">
        <v>0</v>
      </c>
      <c r="S1169" t="b">
        <v>0</v>
      </c>
      <c r="T1169" t="b">
        <v>0</v>
      </c>
      <c r="U1169">
        <v>0</v>
      </c>
      <c r="V1169" t="s">
        <v>4073</v>
      </c>
    </row>
    <row r="1170" spans="1:22" hidden="1" x14ac:dyDescent="0.45">
      <c r="A1170" s="2" t="s">
        <v>196</v>
      </c>
      <c r="B1170" s="11">
        <v>45635</v>
      </c>
      <c r="C1170" s="2" t="s">
        <v>2011</v>
      </c>
      <c r="D1170" s="2" t="s">
        <v>2016</v>
      </c>
      <c r="E1170">
        <v>586.76</v>
      </c>
      <c r="F1170">
        <v>32858.559999999998</v>
      </c>
      <c r="G1170">
        <v>0</v>
      </c>
      <c r="H1170">
        <v>0</v>
      </c>
      <c r="I1170" s="2" t="s">
        <v>2024</v>
      </c>
      <c r="J1170" s="2" t="s">
        <v>2028</v>
      </c>
      <c r="K1170" s="2" t="s">
        <v>2217</v>
      </c>
      <c r="L1170" s="2" t="s">
        <v>4033</v>
      </c>
      <c r="M1170">
        <v>-586.76</v>
      </c>
      <c r="N1170" s="2" t="s">
        <v>2016</v>
      </c>
      <c r="O1170">
        <v>56</v>
      </c>
      <c r="P1170">
        <v>-32858.559999999998</v>
      </c>
      <c r="Q1170" t="b">
        <v>0</v>
      </c>
      <c r="R1170" t="b">
        <v>0</v>
      </c>
      <c r="S1170" t="b">
        <v>0</v>
      </c>
      <c r="T1170" t="b">
        <v>0</v>
      </c>
      <c r="U1170">
        <v>0</v>
      </c>
      <c r="V1170" t="s">
        <v>4073</v>
      </c>
    </row>
    <row r="1171" spans="1:22" hidden="1" x14ac:dyDescent="0.45">
      <c r="A1171" s="2" t="s">
        <v>688</v>
      </c>
      <c r="B1171" s="11">
        <v>45061</v>
      </c>
      <c r="C1171" s="2" t="s">
        <v>2012</v>
      </c>
      <c r="D1171" s="2" t="s">
        <v>2017</v>
      </c>
      <c r="E1171">
        <v>385.69</v>
      </c>
      <c r="F1171">
        <v>21598.639999999999</v>
      </c>
      <c r="G1171">
        <v>0</v>
      </c>
      <c r="H1171">
        <v>0</v>
      </c>
      <c r="I1171" s="2" t="s">
        <v>2023</v>
      </c>
      <c r="J1171" s="2" t="s">
        <v>2030</v>
      </c>
      <c r="K1171" s="2" t="s">
        <v>2709</v>
      </c>
      <c r="L1171" s="2" t="s">
        <v>4033</v>
      </c>
      <c r="M1171">
        <v>-385.69</v>
      </c>
      <c r="N1171" s="2" t="s">
        <v>4044</v>
      </c>
      <c r="O1171">
        <v>56</v>
      </c>
      <c r="P1171">
        <v>-21598.639999999999</v>
      </c>
      <c r="Q1171" t="b">
        <v>0</v>
      </c>
      <c r="R1171" t="b">
        <v>0</v>
      </c>
      <c r="S1171" t="b">
        <v>0</v>
      </c>
      <c r="T1171" t="b">
        <v>0</v>
      </c>
      <c r="U1171">
        <v>0</v>
      </c>
      <c r="V1171" t="s">
        <v>4073</v>
      </c>
    </row>
    <row r="1172" spans="1:22" hidden="1" x14ac:dyDescent="0.45">
      <c r="A1172" s="2" t="s">
        <v>523</v>
      </c>
      <c r="B1172" s="11">
        <v>45007</v>
      </c>
      <c r="C1172" s="2" t="s">
        <v>2014</v>
      </c>
      <c r="D1172" s="2" t="s">
        <v>2019</v>
      </c>
      <c r="E1172">
        <v>0</v>
      </c>
      <c r="F1172">
        <v>0</v>
      </c>
      <c r="G1172">
        <v>386.09</v>
      </c>
      <c r="H1172">
        <v>21621.039999999997</v>
      </c>
      <c r="I1172" s="2" t="s">
        <v>2023</v>
      </c>
      <c r="J1172" s="2" t="s">
        <v>2028</v>
      </c>
      <c r="K1172" s="2" t="s">
        <v>2544</v>
      </c>
      <c r="L1172" s="2" t="s">
        <v>4033</v>
      </c>
      <c r="M1172">
        <v>386.09</v>
      </c>
      <c r="N1172" s="2" t="s">
        <v>4042</v>
      </c>
      <c r="O1172">
        <v>56</v>
      </c>
      <c r="P1172">
        <v>21621.039999999997</v>
      </c>
      <c r="Q1172" t="b">
        <v>0</v>
      </c>
      <c r="R1172" t="b">
        <v>0</v>
      </c>
      <c r="S1172" t="b">
        <v>0</v>
      </c>
      <c r="T1172" t="b">
        <v>0</v>
      </c>
      <c r="U1172">
        <v>0</v>
      </c>
      <c r="V1172" t="s">
        <v>4073</v>
      </c>
    </row>
    <row r="1173" spans="1:22" hidden="1" x14ac:dyDescent="0.45">
      <c r="A1173" s="2" t="s">
        <v>979</v>
      </c>
      <c r="B1173" s="11">
        <v>44946</v>
      </c>
      <c r="C1173" s="2" t="s">
        <v>2014</v>
      </c>
      <c r="D1173" s="2" t="s">
        <v>2019</v>
      </c>
      <c r="E1173">
        <v>0</v>
      </c>
      <c r="F1173">
        <v>0</v>
      </c>
      <c r="G1173">
        <v>583.33000000000004</v>
      </c>
      <c r="H1173">
        <v>32666.480000000003</v>
      </c>
      <c r="I1173" s="2" t="s">
        <v>2023</v>
      </c>
      <c r="J1173" s="2" t="s">
        <v>2027</v>
      </c>
      <c r="K1173" s="2" t="s">
        <v>3000</v>
      </c>
      <c r="L1173" s="2" t="s">
        <v>4033</v>
      </c>
      <c r="M1173">
        <v>583.33000000000004</v>
      </c>
      <c r="N1173" s="2" t="s">
        <v>4042</v>
      </c>
      <c r="O1173">
        <v>56</v>
      </c>
      <c r="P1173">
        <v>32666.480000000003</v>
      </c>
      <c r="Q1173" t="b">
        <v>0</v>
      </c>
      <c r="R1173" t="b">
        <v>0</v>
      </c>
      <c r="S1173" t="b">
        <v>0</v>
      </c>
      <c r="T1173" t="b">
        <v>0</v>
      </c>
      <c r="U1173">
        <v>0</v>
      </c>
      <c r="V1173" t="s">
        <v>4073</v>
      </c>
    </row>
    <row r="1174" spans="1:22" hidden="1" x14ac:dyDescent="0.45">
      <c r="A1174" s="2" t="s">
        <v>893</v>
      </c>
      <c r="B1174" s="11">
        <v>45323</v>
      </c>
      <c r="C1174" s="2" t="s">
        <v>2013</v>
      </c>
      <c r="D1174" s="2" t="s">
        <v>2018</v>
      </c>
      <c r="E1174">
        <v>581.4</v>
      </c>
      <c r="F1174">
        <v>32558.399999999998</v>
      </c>
      <c r="G1174">
        <v>0</v>
      </c>
      <c r="H1174">
        <v>0</v>
      </c>
      <c r="I1174" s="2" t="s">
        <v>2022</v>
      </c>
      <c r="J1174" s="2" t="s">
        <v>2028</v>
      </c>
      <c r="K1174" s="2" t="s">
        <v>2914</v>
      </c>
      <c r="L1174" s="2" t="s">
        <v>4033</v>
      </c>
      <c r="M1174">
        <v>-581.4</v>
      </c>
      <c r="N1174" s="2" t="s">
        <v>4044</v>
      </c>
      <c r="O1174">
        <v>56</v>
      </c>
      <c r="P1174">
        <v>-32558.399999999998</v>
      </c>
      <c r="Q1174" t="b">
        <v>0</v>
      </c>
      <c r="R1174" t="b">
        <v>0</v>
      </c>
      <c r="S1174" t="b">
        <v>0</v>
      </c>
      <c r="T1174" t="b">
        <v>0</v>
      </c>
      <c r="U1174">
        <v>0</v>
      </c>
      <c r="V1174" t="s">
        <v>4073</v>
      </c>
    </row>
    <row r="1175" spans="1:22" hidden="1" x14ac:dyDescent="0.45">
      <c r="A1175" s="2" t="s">
        <v>416</v>
      </c>
      <c r="B1175" s="11">
        <v>45055</v>
      </c>
      <c r="C1175" s="2" t="s">
        <v>2011</v>
      </c>
      <c r="D1175" s="2" t="s">
        <v>2016</v>
      </c>
      <c r="E1175">
        <v>578.6</v>
      </c>
      <c r="F1175">
        <v>32401.600000000002</v>
      </c>
      <c r="G1175">
        <v>0</v>
      </c>
      <c r="H1175">
        <v>0</v>
      </c>
      <c r="I1175" s="2" t="s">
        <v>2020</v>
      </c>
      <c r="J1175" s="2" t="s">
        <v>2029</v>
      </c>
      <c r="K1175" s="2" t="s">
        <v>2437</v>
      </c>
      <c r="L1175" s="2" t="s">
        <v>4033</v>
      </c>
      <c r="M1175">
        <v>-578.6</v>
      </c>
      <c r="N1175" s="2" t="s">
        <v>2016</v>
      </c>
      <c r="O1175">
        <v>56</v>
      </c>
      <c r="P1175">
        <v>-32401.600000000002</v>
      </c>
      <c r="Q1175" t="b">
        <v>0</v>
      </c>
      <c r="R1175" t="b">
        <v>0</v>
      </c>
      <c r="S1175" t="b">
        <v>0</v>
      </c>
      <c r="T1175" t="b">
        <v>0</v>
      </c>
      <c r="U1175">
        <v>0</v>
      </c>
      <c r="V1175" t="s">
        <v>4073</v>
      </c>
    </row>
    <row r="1176" spans="1:22" hidden="1" x14ac:dyDescent="0.45">
      <c r="A1176" s="2" t="s">
        <v>1515</v>
      </c>
      <c r="B1176" s="11">
        <v>45574</v>
      </c>
      <c r="C1176" s="2" t="s">
        <v>2011</v>
      </c>
      <c r="D1176" s="2" t="s">
        <v>2016</v>
      </c>
      <c r="E1176">
        <v>574.22</v>
      </c>
      <c r="F1176">
        <v>32156.32</v>
      </c>
      <c r="G1176">
        <v>0</v>
      </c>
      <c r="H1176">
        <v>0</v>
      </c>
      <c r="I1176" s="2" t="s">
        <v>2023</v>
      </c>
      <c r="J1176" s="2" t="s">
        <v>2027</v>
      </c>
      <c r="K1176" s="2" t="s">
        <v>3536</v>
      </c>
      <c r="L1176" s="2" t="s">
        <v>4033</v>
      </c>
      <c r="M1176">
        <v>-574.22</v>
      </c>
      <c r="N1176" s="2" t="s">
        <v>2016</v>
      </c>
      <c r="O1176">
        <v>56</v>
      </c>
      <c r="P1176">
        <v>-32156.32</v>
      </c>
      <c r="Q1176" t="b">
        <v>0</v>
      </c>
      <c r="R1176" t="b">
        <v>0</v>
      </c>
      <c r="S1176" t="b">
        <v>0</v>
      </c>
      <c r="T1176" t="b">
        <v>0</v>
      </c>
      <c r="U1176">
        <v>0</v>
      </c>
      <c r="V1176" t="s">
        <v>4073</v>
      </c>
    </row>
    <row r="1177" spans="1:22" hidden="1" x14ac:dyDescent="0.45">
      <c r="A1177" s="2" t="s">
        <v>934</v>
      </c>
      <c r="B1177" s="11">
        <v>45373</v>
      </c>
      <c r="C1177" s="2" t="s">
        <v>2010</v>
      </c>
      <c r="D1177" s="2" t="s">
        <v>2015</v>
      </c>
      <c r="E1177">
        <v>0</v>
      </c>
      <c r="F1177">
        <v>0</v>
      </c>
      <c r="G1177">
        <v>389.32</v>
      </c>
      <c r="H1177">
        <v>31924.239999999998</v>
      </c>
      <c r="I1177" s="2" t="s">
        <v>2022</v>
      </c>
      <c r="J1177" s="2" t="s">
        <v>2026</v>
      </c>
      <c r="K1177" s="2" t="s">
        <v>2955</v>
      </c>
      <c r="L1177" s="2" t="s">
        <v>4034</v>
      </c>
      <c r="M1177">
        <v>389.32</v>
      </c>
      <c r="N1177" s="2" t="s">
        <v>4042</v>
      </c>
      <c r="O1177">
        <v>82</v>
      </c>
      <c r="P1177">
        <v>31924.239999999998</v>
      </c>
      <c r="Q1177" t="b">
        <v>0</v>
      </c>
      <c r="R1177" t="b">
        <v>0</v>
      </c>
      <c r="S1177" t="b">
        <v>0</v>
      </c>
      <c r="T1177" t="b">
        <v>0</v>
      </c>
      <c r="U1177">
        <v>0</v>
      </c>
      <c r="V1177" t="s">
        <v>4073</v>
      </c>
    </row>
    <row r="1178" spans="1:22" hidden="1" x14ac:dyDescent="0.45">
      <c r="A1178" s="2" t="s">
        <v>508</v>
      </c>
      <c r="B1178" s="11">
        <v>45182</v>
      </c>
      <c r="C1178" s="2" t="s">
        <v>2011</v>
      </c>
      <c r="D1178" s="2" t="s">
        <v>2016</v>
      </c>
      <c r="E1178">
        <v>276.86</v>
      </c>
      <c r="F1178">
        <v>22702.52</v>
      </c>
      <c r="G1178">
        <v>0</v>
      </c>
      <c r="H1178">
        <v>0</v>
      </c>
      <c r="I1178" s="2" t="s">
        <v>2023</v>
      </c>
      <c r="J1178" s="2" t="s">
        <v>2028</v>
      </c>
      <c r="K1178" s="2" t="s">
        <v>2529</v>
      </c>
      <c r="L1178" s="2" t="s">
        <v>4034</v>
      </c>
      <c r="M1178">
        <v>-276.86</v>
      </c>
      <c r="N1178" s="2" t="s">
        <v>2016</v>
      </c>
      <c r="O1178">
        <v>82</v>
      </c>
      <c r="P1178">
        <v>-22702.52</v>
      </c>
      <c r="Q1178" t="b">
        <v>0</v>
      </c>
      <c r="R1178" t="b">
        <v>0</v>
      </c>
      <c r="S1178" t="b">
        <v>0</v>
      </c>
      <c r="T1178" t="b">
        <v>0</v>
      </c>
      <c r="U1178">
        <v>0</v>
      </c>
      <c r="V1178" t="s">
        <v>4073</v>
      </c>
    </row>
    <row r="1179" spans="1:22" hidden="1" x14ac:dyDescent="0.45">
      <c r="A1179" s="2" t="s">
        <v>609</v>
      </c>
      <c r="B1179" s="11">
        <v>45492</v>
      </c>
      <c r="C1179" s="2" t="s">
        <v>2012</v>
      </c>
      <c r="D1179" s="2" t="s">
        <v>2017</v>
      </c>
      <c r="E1179">
        <v>278.26</v>
      </c>
      <c r="F1179">
        <v>22817.32</v>
      </c>
      <c r="G1179">
        <v>0</v>
      </c>
      <c r="H1179">
        <v>0</v>
      </c>
      <c r="I1179" s="2" t="s">
        <v>2020</v>
      </c>
      <c r="J1179" s="2" t="s">
        <v>2028</v>
      </c>
      <c r="K1179" s="2" t="s">
        <v>2630</v>
      </c>
      <c r="L1179" s="2" t="s">
        <v>4034</v>
      </c>
      <c r="M1179">
        <v>-278.26</v>
      </c>
      <c r="N1179" s="2" t="s">
        <v>4044</v>
      </c>
      <c r="O1179">
        <v>82</v>
      </c>
      <c r="P1179">
        <v>-22817.32</v>
      </c>
      <c r="Q1179" t="b">
        <v>0</v>
      </c>
      <c r="R1179" t="b">
        <v>0</v>
      </c>
      <c r="S1179" t="b">
        <v>0</v>
      </c>
      <c r="T1179" t="b">
        <v>0</v>
      </c>
      <c r="U1179">
        <v>0</v>
      </c>
      <c r="V1179" t="s">
        <v>4073</v>
      </c>
    </row>
    <row r="1180" spans="1:22" hidden="1" x14ac:dyDescent="0.45">
      <c r="A1180" s="2" t="s">
        <v>676</v>
      </c>
      <c r="B1180" s="11">
        <v>45770</v>
      </c>
      <c r="C1180" s="2" t="s">
        <v>2013</v>
      </c>
      <c r="D1180" s="2" t="s">
        <v>2018</v>
      </c>
      <c r="E1180">
        <v>560.62</v>
      </c>
      <c r="F1180">
        <v>31394.720000000001</v>
      </c>
      <c r="G1180">
        <v>0</v>
      </c>
      <c r="H1180">
        <v>0</v>
      </c>
      <c r="I1180" s="2" t="s">
        <v>2020</v>
      </c>
      <c r="J1180" s="2" t="s">
        <v>2027</v>
      </c>
      <c r="K1180" s="2" t="s">
        <v>2697</v>
      </c>
      <c r="L1180" s="2" t="s">
        <v>4033</v>
      </c>
      <c r="M1180">
        <v>-560.62</v>
      </c>
      <c r="N1180" s="2" t="s">
        <v>4044</v>
      </c>
      <c r="O1180">
        <v>56</v>
      </c>
      <c r="P1180">
        <v>-31394.720000000001</v>
      </c>
      <c r="Q1180" t="b">
        <v>0</v>
      </c>
      <c r="R1180" t="b">
        <v>0</v>
      </c>
      <c r="S1180" t="b">
        <v>0</v>
      </c>
      <c r="T1180" t="b">
        <v>0</v>
      </c>
      <c r="U1180">
        <v>0</v>
      </c>
      <c r="V1180" t="s">
        <v>4073</v>
      </c>
    </row>
    <row r="1181" spans="1:22" hidden="1" x14ac:dyDescent="0.45">
      <c r="A1181" s="2" t="s">
        <v>433</v>
      </c>
      <c r="B1181" s="11">
        <v>45336</v>
      </c>
      <c r="C1181" s="2" t="s">
        <v>2012</v>
      </c>
      <c r="D1181" s="2" t="s">
        <v>2017</v>
      </c>
      <c r="E1181">
        <v>356.21</v>
      </c>
      <c r="F1181">
        <v>31346.48</v>
      </c>
      <c r="G1181">
        <v>0</v>
      </c>
      <c r="H1181">
        <v>0</v>
      </c>
      <c r="I1181" s="2" t="s">
        <v>2025</v>
      </c>
      <c r="J1181" s="2" t="s">
        <v>2026</v>
      </c>
      <c r="K1181" s="2" t="s">
        <v>2454</v>
      </c>
      <c r="L1181" s="2" t="s">
        <v>4032</v>
      </c>
      <c r="M1181">
        <v>-356.21</v>
      </c>
      <c r="N1181" s="2" t="s">
        <v>4044</v>
      </c>
      <c r="O1181">
        <v>88</v>
      </c>
      <c r="P1181">
        <v>-31346.48</v>
      </c>
      <c r="Q1181" t="b">
        <v>0</v>
      </c>
      <c r="R1181" t="b">
        <v>0</v>
      </c>
      <c r="S1181" t="b">
        <v>0</v>
      </c>
      <c r="T1181" t="b">
        <v>0</v>
      </c>
      <c r="U1181">
        <v>0</v>
      </c>
      <c r="V1181" t="s">
        <v>4073</v>
      </c>
    </row>
    <row r="1182" spans="1:22" hidden="1" x14ac:dyDescent="0.45">
      <c r="A1182" s="2" t="s">
        <v>67</v>
      </c>
      <c r="B1182" s="11">
        <v>45279</v>
      </c>
      <c r="C1182" s="2" t="s">
        <v>2013</v>
      </c>
      <c r="D1182" s="2" t="s">
        <v>2018</v>
      </c>
      <c r="E1182">
        <v>279.32</v>
      </c>
      <c r="F1182">
        <v>22904.239999999998</v>
      </c>
      <c r="G1182">
        <v>0</v>
      </c>
      <c r="H1182">
        <v>0</v>
      </c>
      <c r="I1182" s="2" t="s">
        <v>2023</v>
      </c>
      <c r="J1182" s="2" t="s">
        <v>2028</v>
      </c>
      <c r="K1182" s="2" t="s">
        <v>2088</v>
      </c>
      <c r="L1182" s="2" t="s">
        <v>4034</v>
      </c>
      <c r="M1182">
        <v>-279.32</v>
      </c>
      <c r="N1182" s="2" t="s">
        <v>4044</v>
      </c>
      <c r="O1182">
        <v>82</v>
      </c>
      <c r="P1182">
        <v>-22904.239999999998</v>
      </c>
      <c r="Q1182" t="b">
        <v>0</v>
      </c>
      <c r="R1182" t="b">
        <v>0</v>
      </c>
      <c r="S1182" t="b">
        <v>0</v>
      </c>
      <c r="T1182" t="b">
        <v>0</v>
      </c>
      <c r="U1182">
        <v>0</v>
      </c>
      <c r="V1182" t="s">
        <v>4073</v>
      </c>
    </row>
    <row r="1183" spans="1:22" hidden="1" x14ac:dyDescent="0.45">
      <c r="A1183" s="2" t="s">
        <v>1511</v>
      </c>
      <c r="B1183" s="11">
        <v>45751</v>
      </c>
      <c r="C1183" s="2" t="s">
        <v>2012</v>
      </c>
      <c r="D1183" s="2" t="s">
        <v>2017</v>
      </c>
      <c r="E1183">
        <v>648.23</v>
      </c>
      <c r="F1183">
        <v>39542.03</v>
      </c>
      <c r="G1183">
        <v>0</v>
      </c>
      <c r="H1183">
        <v>0</v>
      </c>
      <c r="I1183" s="2" t="s">
        <v>2021</v>
      </c>
      <c r="J1183" s="2" t="s">
        <v>2027</v>
      </c>
      <c r="K1183" s="2" t="s">
        <v>3532</v>
      </c>
      <c r="L1183" s="2" t="s">
        <v>4035</v>
      </c>
      <c r="M1183">
        <v>-648.23</v>
      </c>
      <c r="N1183" s="2" t="s">
        <v>4044</v>
      </c>
      <c r="O1183">
        <v>61</v>
      </c>
      <c r="P1183">
        <v>-39542.03</v>
      </c>
      <c r="Q1183" t="b">
        <v>0</v>
      </c>
      <c r="R1183" t="b">
        <v>0</v>
      </c>
      <c r="S1183" t="b">
        <v>0</v>
      </c>
      <c r="T1183" t="b">
        <v>0</v>
      </c>
      <c r="U1183">
        <v>0</v>
      </c>
      <c r="V1183" t="s">
        <v>4073</v>
      </c>
    </row>
    <row r="1184" spans="1:22" hidden="1" x14ac:dyDescent="0.45">
      <c r="A1184" s="2" t="s">
        <v>1651</v>
      </c>
      <c r="B1184" s="11">
        <v>45034</v>
      </c>
      <c r="C1184" s="2" t="s">
        <v>2012</v>
      </c>
      <c r="D1184" s="2" t="s">
        <v>2017</v>
      </c>
      <c r="E1184">
        <v>262.33999999999997</v>
      </c>
      <c r="F1184">
        <v>23085.919999999998</v>
      </c>
      <c r="G1184">
        <v>0</v>
      </c>
      <c r="H1184">
        <v>0</v>
      </c>
      <c r="I1184" s="2" t="s">
        <v>2024</v>
      </c>
      <c r="J1184" s="2" t="s">
        <v>2028</v>
      </c>
      <c r="K1184" s="2" t="s">
        <v>3672</v>
      </c>
      <c r="L1184" s="2" t="s">
        <v>4032</v>
      </c>
      <c r="M1184">
        <v>-262.33999999999997</v>
      </c>
      <c r="N1184" s="2" t="s">
        <v>4044</v>
      </c>
      <c r="O1184">
        <v>88</v>
      </c>
      <c r="P1184">
        <v>-23085.919999999998</v>
      </c>
      <c r="Q1184" t="b">
        <v>0</v>
      </c>
      <c r="R1184" t="b">
        <v>0</v>
      </c>
      <c r="S1184" t="b">
        <v>0</v>
      </c>
      <c r="T1184" t="b">
        <v>0</v>
      </c>
      <c r="U1184">
        <v>0</v>
      </c>
      <c r="V1184" t="s">
        <v>4073</v>
      </c>
    </row>
    <row r="1185" spans="1:22" hidden="1" x14ac:dyDescent="0.45">
      <c r="A1185" s="2" t="s">
        <v>1980</v>
      </c>
      <c r="B1185" s="11">
        <v>45586</v>
      </c>
      <c r="C1185" s="2" t="s">
        <v>2011</v>
      </c>
      <c r="D1185" s="2" t="s">
        <v>2016</v>
      </c>
      <c r="E1185">
        <v>512.01</v>
      </c>
      <c r="F1185">
        <v>31232.61</v>
      </c>
      <c r="G1185">
        <v>0</v>
      </c>
      <c r="H1185">
        <v>0</v>
      </c>
      <c r="I1185" s="2" t="s">
        <v>2022</v>
      </c>
      <c r="J1185" s="2" t="s">
        <v>2030</v>
      </c>
      <c r="K1185" s="2" t="s">
        <v>4001</v>
      </c>
      <c r="L1185" s="2" t="s">
        <v>4035</v>
      </c>
      <c r="M1185">
        <v>-512.01</v>
      </c>
      <c r="N1185" s="2" t="s">
        <v>2016</v>
      </c>
      <c r="O1185">
        <v>61</v>
      </c>
      <c r="P1185">
        <v>-31232.61</v>
      </c>
      <c r="Q1185" t="b">
        <v>0</v>
      </c>
      <c r="R1185" t="b">
        <v>0</v>
      </c>
      <c r="S1185" t="b">
        <v>0</v>
      </c>
      <c r="T1185" t="b">
        <v>0</v>
      </c>
      <c r="U1185">
        <v>0</v>
      </c>
      <c r="V1185" t="s">
        <v>4073</v>
      </c>
    </row>
    <row r="1186" spans="1:22" hidden="1" x14ac:dyDescent="0.45">
      <c r="A1186" s="2" t="s">
        <v>1125</v>
      </c>
      <c r="B1186" s="11">
        <v>45551</v>
      </c>
      <c r="C1186" s="2" t="s">
        <v>2013</v>
      </c>
      <c r="D1186" s="2" t="s">
        <v>2018</v>
      </c>
      <c r="E1186">
        <v>412.97</v>
      </c>
      <c r="F1186">
        <v>23126.32</v>
      </c>
      <c r="G1186">
        <v>0</v>
      </c>
      <c r="H1186">
        <v>0</v>
      </c>
      <c r="I1186" s="2" t="s">
        <v>2025</v>
      </c>
      <c r="J1186" s="2" t="s">
        <v>2028</v>
      </c>
      <c r="K1186" s="2" t="s">
        <v>3146</v>
      </c>
      <c r="L1186" s="2" t="s">
        <v>4033</v>
      </c>
      <c r="M1186">
        <v>-412.97</v>
      </c>
      <c r="N1186" s="2" t="s">
        <v>4044</v>
      </c>
      <c r="O1186">
        <v>56</v>
      </c>
      <c r="P1186">
        <v>-23126.32</v>
      </c>
      <c r="Q1186" t="b">
        <v>0</v>
      </c>
      <c r="R1186" t="b">
        <v>0</v>
      </c>
      <c r="S1186" t="b">
        <v>0</v>
      </c>
      <c r="T1186" t="b">
        <v>0</v>
      </c>
      <c r="U1186">
        <v>0</v>
      </c>
      <c r="V1186" t="s">
        <v>4073</v>
      </c>
    </row>
    <row r="1187" spans="1:22" hidden="1" x14ac:dyDescent="0.45">
      <c r="A1187" s="2" t="s">
        <v>1568</v>
      </c>
      <c r="B1187" s="11">
        <v>45100</v>
      </c>
      <c r="C1187" s="2" t="s">
        <v>2011</v>
      </c>
      <c r="D1187" s="2" t="s">
        <v>2016</v>
      </c>
      <c r="E1187">
        <v>509.51</v>
      </c>
      <c r="F1187">
        <v>31080.11</v>
      </c>
      <c r="G1187">
        <v>0</v>
      </c>
      <c r="H1187">
        <v>0</v>
      </c>
      <c r="I1187" s="2" t="s">
        <v>2024</v>
      </c>
      <c r="J1187" s="2" t="s">
        <v>2030</v>
      </c>
      <c r="K1187" s="2" t="s">
        <v>3589</v>
      </c>
      <c r="L1187" s="2" t="s">
        <v>4035</v>
      </c>
      <c r="M1187">
        <v>-509.51</v>
      </c>
      <c r="N1187" s="2" t="s">
        <v>2016</v>
      </c>
      <c r="O1187">
        <v>61</v>
      </c>
      <c r="P1187">
        <v>-31080.11</v>
      </c>
      <c r="Q1187" t="b">
        <v>0</v>
      </c>
      <c r="R1187" t="b">
        <v>0</v>
      </c>
      <c r="S1187" t="b">
        <v>0</v>
      </c>
      <c r="T1187" t="b">
        <v>0</v>
      </c>
      <c r="U1187">
        <v>0</v>
      </c>
      <c r="V1187" t="s">
        <v>4073</v>
      </c>
    </row>
    <row r="1188" spans="1:22" hidden="1" x14ac:dyDescent="0.45">
      <c r="A1188" s="2" t="s">
        <v>1065</v>
      </c>
      <c r="B1188" s="11">
        <v>45254</v>
      </c>
      <c r="C1188" s="2" t="s">
        <v>2012</v>
      </c>
      <c r="D1188" s="2" t="s">
        <v>2017</v>
      </c>
      <c r="E1188">
        <v>509.12</v>
      </c>
      <c r="F1188">
        <v>31056.32</v>
      </c>
      <c r="G1188">
        <v>0</v>
      </c>
      <c r="H1188">
        <v>0</v>
      </c>
      <c r="I1188" s="2" t="s">
        <v>2025</v>
      </c>
      <c r="J1188" s="2" t="s">
        <v>2027</v>
      </c>
      <c r="K1188" s="2" t="s">
        <v>3086</v>
      </c>
      <c r="L1188" s="2" t="s">
        <v>4035</v>
      </c>
      <c r="M1188">
        <v>-509.12</v>
      </c>
      <c r="N1188" s="2" t="s">
        <v>4044</v>
      </c>
      <c r="O1188">
        <v>61</v>
      </c>
      <c r="P1188">
        <v>-31056.32</v>
      </c>
      <c r="Q1188" t="b">
        <v>0</v>
      </c>
      <c r="R1188" t="b">
        <v>0</v>
      </c>
      <c r="S1188" t="b">
        <v>0</v>
      </c>
      <c r="T1188" t="b">
        <v>0</v>
      </c>
      <c r="U1188">
        <v>0</v>
      </c>
      <c r="V1188" t="s">
        <v>4073</v>
      </c>
    </row>
    <row r="1189" spans="1:22" hidden="1" x14ac:dyDescent="0.45">
      <c r="A1189" s="2" t="s">
        <v>1886</v>
      </c>
      <c r="B1189" s="11">
        <v>45293</v>
      </c>
      <c r="C1189" s="2" t="s">
        <v>2013</v>
      </c>
      <c r="D1189" s="2" t="s">
        <v>2018</v>
      </c>
      <c r="E1189">
        <v>283.45</v>
      </c>
      <c r="F1189">
        <v>23242.899999999998</v>
      </c>
      <c r="G1189">
        <v>0</v>
      </c>
      <c r="H1189">
        <v>0</v>
      </c>
      <c r="I1189" s="2" t="s">
        <v>2021</v>
      </c>
      <c r="J1189" s="2" t="s">
        <v>2027</v>
      </c>
      <c r="K1189" s="2" t="s">
        <v>3907</v>
      </c>
      <c r="L1189" s="2" t="s">
        <v>4034</v>
      </c>
      <c r="M1189">
        <v>-283.45</v>
      </c>
      <c r="N1189" s="2" t="s">
        <v>4044</v>
      </c>
      <c r="O1189">
        <v>82</v>
      </c>
      <c r="P1189">
        <v>-23242.899999999998</v>
      </c>
      <c r="Q1189" t="b">
        <v>0</v>
      </c>
      <c r="R1189" t="b">
        <v>0</v>
      </c>
      <c r="S1189" t="b">
        <v>0</v>
      </c>
      <c r="T1189" t="b">
        <v>0</v>
      </c>
      <c r="U1189">
        <v>0</v>
      </c>
      <c r="V1189" t="s">
        <v>4073</v>
      </c>
    </row>
    <row r="1190" spans="1:22" hidden="1" x14ac:dyDescent="0.45">
      <c r="A1190" s="2" t="s">
        <v>1843</v>
      </c>
      <c r="B1190" s="11">
        <v>45712</v>
      </c>
      <c r="C1190" s="2" t="s">
        <v>2013</v>
      </c>
      <c r="D1190" s="2" t="s">
        <v>2018</v>
      </c>
      <c r="E1190">
        <v>283.95999999999998</v>
      </c>
      <c r="F1190">
        <v>23284.719999999998</v>
      </c>
      <c r="G1190">
        <v>0</v>
      </c>
      <c r="H1190">
        <v>0</v>
      </c>
      <c r="I1190" s="2" t="s">
        <v>2021</v>
      </c>
      <c r="J1190" s="2" t="s">
        <v>2026</v>
      </c>
      <c r="K1190" s="2" t="s">
        <v>3864</v>
      </c>
      <c r="L1190" s="2" t="s">
        <v>4034</v>
      </c>
      <c r="M1190">
        <v>-283.95999999999998</v>
      </c>
      <c r="N1190" s="2" t="s">
        <v>4044</v>
      </c>
      <c r="O1190">
        <v>82</v>
      </c>
      <c r="P1190">
        <v>-23284.719999999998</v>
      </c>
      <c r="Q1190" t="b">
        <v>0</v>
      </c>
      <c r="R1190" t="b">
        <v>0</v>
      </c>
      <c r="S1190" t="b">
        <v>0</v>
      </c>
      <c r="T1190" t="b">
        <v>0</v>
      </c>
      <c r="U1190">
        <v>0</v>
      </c>
      <c r="V1190" t="s">
        <v>4073</v>
      </c>
    </row>
    <row r="1191" spans="1:22" hidden="1" x14ac:dyDescent="0.45">
      <c r="A1191" s="2" t="s">
        <v>130</v>
      </c>
      <c r="B1191" s="11">
        <v>45000</v>
      </c>
      <c r="C1191" s="2" t="s">
        <v>2011</v>
      </c>
      <c r="D1191" s="2" t="s">
        <v>2016</v>
      </c>
      <c r="E1191">
        <v>547.59</v>
      </c>
      <c r="F1191">
        <v>30665.040000000001</v>
      </c>
      <c r="G1191">
        <v>0</v>
      </c>
      <c r="H1191">
        <v>0</v>
      </c>
      <c r="I1191" s="2" t="s">
        <v>2022</v>
      </c>
      <c r="J1191" s="2" t="s">
        <v>2026</v>
      </c>
      <c r="K1191" s="2" t="s">
        <v>2151</v>
      </c>
      <c r="L1191" s="2" t="s">
        <v>4033</v>
      </c>
      <c r="M1191">
        <v>-547.59</v>
      </c>
      <c r="N1191" s="2" t="s">
        <v>2016</v>
      </c>
      <c r="O1191">
        <v>56</v>
      </c>
      <c r="P1191">
        <v>-30665.040000000001</v>
      </c>
      <c r="Q1191" t="b">
        <v>0</v>
      </c>
      <c r="R1191" t="b">
        <v>0</v>
      </c>
      <c r="S1191" t="b">
        <v>0</v>
      </c>
      <c r="T1191" t="b">
        <v>0</v>
      </c>
      <c r="U1191">
        <v>0</v>
      </c>
      <c r="V1191" t="s">
        <v>4073</v>
      </c>
    </row>
    <row r="1192" spans="1:22" hidden="1" x14ac:dyDescent="0.45">
      <c r="A1192" s="2" t="s">
        <v>1396</v>
      </c>
      <c r="B1192" s="11">
        <v>45476</v>
      </c>
      <c r="C1192" s="2" t="s">
        <v>2012</v>
      </c>
      <c r="D1192" s="2" t="s">
        <v>2017</v>
      </c>
      <c r="E1192">
        <v>229.97</v>
      </c>
      <c r="F1192">
        <v>23686.91</v>
      </c>
      <c r="G1192">
        <v>0</v>
      </c>
      <c r="H1192">
        <v>0</v>
      </c>
      <c r="I1192" s="2" t="s">
        <v>2020</v>
      </c>
      <c r="J1192" s="2" t="s">
        <v>2027</v>
      </c>
      <c r="K1192" s="2" t="s">
        <v>3417</v>
      </c>
      <c r="L1192" s="2" t="s">
        <v>4031</v>
      </c>
      <c r="M1192">
        <v>-229.97</v>
      </c>
      <c r="N1192" s="2" t="s">
        <v>4044</v>
      </c>
      <c r="O1192">
        <v>103</v>
      </c>
      <c r="P1192">
        <v>-23686.91</v>
      </c>
      <c r="Q1192" t="b">
        <v>0</v>
      </c>
      <c r="R1192" t="b">
        <v>0</v>
      </c>
      <c r="S1192" t="b">
        <v>0</v>
      </c>
      <c r="T1192" t="b">
        <v>0</v>
      </c>
      <c r="U1192">
        <v>0</v>
      </c>
      <c r="V1192" t="s">
        <v>4073</v>
      </c>
    </row>
    <row r="1193" spans="1:22" hidden="1" x14ac:dyDescent="0.45">
      <c r="A1193" s="2" t="s">
        <v>689</v>
      </c>
      <c r="B1193" s="11">
        <v>44949</v>
      </c>
      <c r="C1193" s="2" t="s">
        <v>2013</v>
      </c>
      <c r="D1193" s="2" t="s">
        <v>2018</v>
      </c>
      <c r="E1193">
        <v>269.3</v>
      </c>
      <c r="F1193">
        <v>23698.400000000001</v>
      </c>
      <c r="G1193">
        <v>0</v>
      </c>
      <c r="H1193">
        <v>0</v>
      </c>
      <c r="I1193" s="2" t="s">
        <v>2024</v>
      </c>
      <c r="J1193" s="2" t="s">
        <v>2030</v>
      </c>
      <c r="K1193" s="2" t="s">
        <v>2710</v>
      </c>
      <c r="L1193" s="2" t="s">
        <v>4032</v>
      </c>
      <c r="M1193">
        <v>-269.3</v>
      </c>
      <c r="N1193" s="2" t="s">
        <v>4044</v>
      </c>
      <c r="O1193">
        <v>88</v>
      </c>
      <c r="P1193">
        <v>-23698.400000000001</v>
      </c>
      <c r="Q1193" t="b">
        <v>0</v>
      </c>
      <c r="R1193" t="b">
        <v>0</v>
      </c>
      <c r="S1193" t="b">
        <v>0</v>
      </c>
      <c r="T1193" t="b">
        <v>0</v>
      </c>
      <c r="U1193">
        <v>0</v>
      </c>
      <c r="V1193" t="s">
        <v>4073</v>
      </c>
    </row>
    <row r="1194" spans="1:22" hidden="1" x14ac:dyDescent="0.45">
      <c r="A1194" s="2" t="s">
        <v>1776</v>
      </c>
      <c r="B1194" s="11">
        <v>44980</v>
      </c>
      <c r="C1194" s="2" t="s">
        <v>2013</v>
      </c>
      <c r="D1194" s="2" t="s">
        <v>2018</v>
      </c>
      <c r="E1194">
        <v>289.94</v>
      </c>
      <c r="F1194">
        <v>23775.079999999998</v>
      </c>
      <c r="G1194">
        <v>0</v>
      </c>
      <c r="H1194">
        <v>0</v>
      </c>
      <c r="I1194" s="2" t="s">
        <v>2025</v>
      </c>
      <c r="J1194" s="2" t="s">
        <v>2029</v>
      </c>
      <c r="K1194" s="2" t="s">
        <v>3797</v>
      </c>
      <c r="L1194" s="2" t="s">
        <v>4034</v>
      </c>
      <c r="M1194">
        <v>-289.94</v>
      </c>
      <c r="N1194" s="2" t="s">
        <v>4044</v>
      </c>
      <c r="O1194">
        <v>82</v>
      </c>
      <c r="P1194">
        <v>-23775.079999999998</v>
      </c>
      <c r="Q1194" t="b">
        <v>0</v>
      </c>
      <c r="R1194" t="b">
        <v>0</v>
      </c>
      <c r="S1194" t="b">
        <v>0</v>
      </c>
      <c r="T1194" t="b">
        <v>0</v>
      </c>
      <c r="U1194">
        <v>0</v>
      </c>
      <c r="V1194" t="s">
        <v>4073</v>
      </c>
    </row>
    <row r="1195" spans="1:22" hidden="1" x14ac:dyDescent="0.45">
      <c r="A1195" s="2" t="s">
        <v>863</v>
      </c>
      <c r="B1195" s="11">
        <v>44943</v>
      </c>
      <c r="C1195" s="2" t="s">
        <v>2011</v>
      </c>
      <c r="D1195" s="2" t="s">
        <v>2016</v>
      </c>
      <c r="E1195">
        <v>793.16</v>
      </c>
      <c r="F1195">
        <v>65039.119999999995</v>
      </c>
      <c r="G1195">
        <v>0</v>
      </c>
      <c r="H1195">
        <v>0</v>
      </c>
      <c r="I1195" s="2" t="s">
        <v>2024</v>
      </c>
      <c r="J1195" s="2" t="s">
        <v>2029</v>
      </c>
      <c r="K1195" s="2" t="s">
        <v>2884</v>
      </c>
      <c r="L1195" s="2" t="s">
        <v>4034</v>
      </c>
      <c r="M1195">
        <v>-793.16</v>
      </c>
      <c r="N1195" s="2" t="s">
        <v>2016</v>
      </c>
      <c r="O1195">
        <v>82</v>
      </c>
      <c r="P1195">
        <v>-65039.119999999995</v>
      </c>
      <c r="Q1195" t="b">
        <v>0</v>
      </c>
      <c r="R1195" t="b">
        <v>0</v>
      </c>
      <c r="S1195" t="b">
        <v>0</v>
      </c>
      <c r="T1195" t="b">
        <v>0</v>
      </c>
      <c r="U1195">
        <v>0</v>
      </c>
      <c r="V1195" t="s">
        <v>4073</v>
      </c>
    </row>
    <row r="1196" spans="1:22" hidden="1" x14ac:dyDescent="0.45">
      <c r="A1196" s="2" t="s">
        <v>622</v>
      </c>
      <c r="B1196" s="11">
        <v>45736</v>
      </c>
      <c r="C1196" s="2" t="s">
        <v>2010</v>
      </c>
      <c r="D1196" s="2" t="s">
        <v>2015</v>
      </c>
      <c r="E1196">
        <v>0</v>
      </c>
      <c r="F1196">
        <v>0</v>
      </c>
      <c r="G1196">
        <v>493.21</v>
      </c>
      <c r="H1196">
        <v>30085.809999999998</v>
      </c>
      <c r="I1196" s="2" t="s">
        <v>2023</v>
      </c>
      <c r="J1196" s="2" t="s">
        <v>2027</v>
      </c>
      <c r="K1196" s="2" t="s">
        <v>2643</v>
      </c>
      <c r="L1196" s="2" t="s">
        <v>4035</v>
      </c>
      <c r="M1196">
        <v>493.21</v>
      </c>
      <c r="N1196" s="2" t="s">
        <v>4042</v>
      </c>
      <c r="O1196">
        <v>61</v>
      </c>
      <c r="P1196">
        <v>30085.809999999998</v>
      </c>
      <c r="Q1196" t="b">
        <v>0</v>
      </c>
      <c r="R1196" t="b">
        <v>0</v>
      </c>
      <c r="S1196" t="b">
        <v>0</v>
      </c>
      <c r="T1196" t="b">
        <v>0</v>
      </c>
      <c r="U1196">
        <v>0</v>
      </c>
      <c r="V1196" t="s">
        <v>4073</v>
      </c>
    </row>
    <row r="1197" spans="1:22" hidden="1" x14ac:dyDescent="0.45">
      <c r="A1197" s="2" t="s">
        <v>1964</v>
      </c>
      <c r="B1197" s="11">
        <v>45671</v>
      </c>
      <c r="C1197" s="2" t="s">
        <v>2012</v>
      </c>
      <c r="D1197" s="2" t="s">
        <v>2017</v>
      </c>
      <c r="E1197">
        <v>394.98</v>
      </c>
      <c r="F1197">
        <v>24093.780000000002</v>
      </c>
      <c r="G1197">
        <v>0</v>
      </c>
      <c r="H1197">
        <v>0</v>
      </c>
      <c r="I1197" s="2" t="s">
        <v>2021</v>
      </c>
      <c r="J1197" s="2" t="s">
        <v>2027</v>
      </c>
      <c r="K1197" s="2" t="s">
        <v>3985</v>
      </c>
      <c r="L1197" s="2" t="s">
        <v>4035</v>
      </c>
      <c r="M1197">
        <v>-394.98</v>
      </c>
      <c r="N1197" s="2" t="s">
        <v>4044</v>
      </c>
      <c r="O1197">
        <v>61</v>
      </c>
      <c r="P1197">
        <v>-24093.780000000002</v>
      </c>
      <c r="Q1197" t="b">
        <v>0</v>
      </c>
      <c r="R1197" t="b">
        <v>0</v>
      </c>
      <c r="S1197" t="b">
        <v>0</v>
      </c>
      <c r="T1197" t="b">
        <v>0</v>
      </c>
      <c r="U1197">
        <v>0</v>
      </c>
      <c r="V1197" t="s">
        <v>4073</v>
      </c>
    </row>
    <row r="1198" spans="1:22" hidden="1" x14ac:dyDescent="0.45">
      <c r="A1198" s="2" t="s">
        <v>1548</v>
      </c>
      <c r="B1198" s="11">
        <v>45537</v>
      </c>
      <c r="C1198" s="2" t="s">
        <v>2013</v>
      </c>
      <c r="D1198" s="2" t="s">
        <v>2018</v>
      </c>
      <c r="E1198">
        <v>535.34</v>
      </c>
      <c r="F1198">
        <v>29979.040000000001</v>
      </c>
      <c r="G1198">
        <v>0</v>
      </c>
      <c r="H1198">
        <v>0</v>
      </c>
      <c r="I1198" s="2" t="s">
        <v>2021</v>
      </c>
      <c r="J1198" s="2" t="s">
        <v>2029</v>
      </c>
      <c r="K1198" s="2" t="s">
        <v>3569</v>
      </c>
      <c r="L1198" s="2" t="s">
        <v>4033</v>
      </c>
      <c r="M1198">
        <v>-535.34</v>
      </c>
      <c r="N1198" s="2" t="s">
        <v>4044</v>
      </c>
      <c r="O1198">
        <v>56</v>
      </c>
      <c r="P1198">
        <v>-29979.040000000001</v>
      </c>
      <c r="Q1198" t="b">
        <v>0</v>
      </c>
      <c r="R1198" t="b">
        <v>0</v>
      </c>
      <c r="S1198" t="b">
        <v>0</v>
      </c>
      <c r="T1198" t="b">
        <v>0</v>
      </c>
      <c r="U1198">
        <v>0</v>
      </c>
      <c r="V1198" t="s">
        <v>4073</v>
      </c>
    </row>
    <row r="1199" spans="1:22" hidden="1" x14ac:dyDescent="0.45">
      <c r="A1199" s="2" t="s">
        <v>229</v>
      </c>
      <c r="B1199" s="11">
        <v>45723</v>
      </c>
      <c r="C1199" s="2" t="s">
        <v>2011</v>
      </c>
      <c r="D1199" s="2" t="s">
        <v>2016</v>
      </c>
      <c r="E1199">
        <v>558.04</v>
      </c>
      <c r="F1199">
        <v>31250.239999999998</v>
      </c>
      <c r="G1199">
        <v>0</v>
      </c>
      <c r="H1199">
        <v>0</v>
      </c>
      <c r="I1199" s="2" t="s">
        <v>2022</v>
      </c>
      <c r="J1199" s="2" t="s">
        <v>2027</v>
      </c>
      <c r="K1199" s="2" t="s">
        <v>2250</v>
      </c>
      <c r="L1199" s="2" t="s">
        <v>4033</v>
      </c>
      <c r="M1199">
        <v>-558.04</v>
      </c>
      <c r="N1199" s="2" t="s">
        <v>2016</v>
      </c>
      <c r="O1199">
        <v>56</v>
      </c>
      <c r="P1199">
        <v>-31250.239999999998</v>
      </c>
      <c r="Q1199" t="b">
        <v>0</v>
      </c>
      <c r="R1199" t="b">
        <v>0</v>
      </c>
      <c r="S1199" t="b">
        <v>0</v>
      </c>
      <c r="T1199" t="b">
        <v>0</v>
      </c>
      <c r="U1199">
        <v>0</v>
      </c>
      <c r="V1199" t="s">
        <v>4073</v>
      </c>
    </row>
    <row r="1200" spans="1:22" hidden="1" x14ac:dyDescent="0.45">
      <c r="A1200" s="2" t="s">
        <v>865</v>
      </c>
      <c r="B1200" s="11">
        <v>45448</v>
      </c>
      <c r="C1200" s="2" t="s">
        <v>2010</v>
      </c>
      <c r="D1200" s="2" t="s">
        <v>2015</v>
      </c>
      <c r="E1200">
        <v>0</v>
      </c>
      <c r="F1200">
        <v>0</v>
      </c>
      <c r="G1200">
        <v>915.77</v>
      </c>
      <c r="H1200">
        <v>51283.119999999995</v>
      </c>
      <c r="I1200" s="2" t="s">
        <v>2020</v>
      </c>
      <c r="J1200" s="2" t="s">
        <v>2027</v>
      </c>
      <c r="K1200" s="2" t="s">
        <v>2886</v>
      </c>
      <c r="L1200" s="2" t="s">
        <v>4033</v>
      </c>
      <c r="M1200">
        <v>915.77</v>
      </c>
      <c r="N1200" s="2" t="s">
        <v>4042</v>
      </c>
      <c r="O1200">
        <v>56</v>
      </c>
      <c r="P1200">
        <v>51283.119999999995</v>
      </c>
      <c r="Q1200" t="b">
        <v>0</v>
      </c>
      <c r="R1200" t="b">
        <v>0</v>
      </c>
      <c r="S1200" t="b">
        <v>0</v>
      </c>
      <c r="T1200" t="b">
        <v>0</v>
      </c>
      <c r="U1200">
        <v>0</v>
      </c>
      <c r="V1200" t="s">
        <v>4073</v>
      </c>
    </row>
    <row r="1201" spans="1:22" hidden="1" x14ac:dyDescent="0.45">
      <c r="A1201" s="2" t="s">
        <v>193</v>
      </c>
      <c r="B1201" s="11">
        <v>45352</v>
      </c>
      <c r="C1201" s="2" t="s">
        <v>2011</v>
      </c>
      <c r="D1201" s="2" t="s">
        <v>2016</v>
      </c>
      <c r="E1201">
        <v>449.54</v>
      </c>
      <c r="F1201">
        <v>39559.520000000004</v>
      </c>
      <c r="G1201">
        <v>0</v>
      </c>
      <c r="H1201">
        <v>0</v>
      </c>
      <c r="I1201" s="2" t="s">
        <v>2025</v>
      </c>
      <c r="J1201" s="2" t="s">
        <v>2030</v>
      </c>
      <c r="K1201" s="2" t="s">
        <v>2214</v>
      </c>
      <c r="L1201" s="2" t="s">
        <v>4032</v>
      </c>
      <c r="M1201">
        <v>-449.54</v>
      </c>
      <c r="N1201" s="2" t="s">
        <v>2016</v>
      </c>
      <c r="O1201">
        <v>88</v>
      </c>
      <c r="P1201">
        <v>-39559.520000000004</v>
      </c>
      <c r="Q1201" t="b">
        <v>0</v>
      </c>
      <c r="R1201" t="b">
        <v>0</v>
      </c>
      <c r="S1201" t="b">
        <v>0</v>
      </c>
      <c r="T1201" t="b">
        <v>0</v>
      </c>
      <c r="U1201">
        <v>0</v>
      </c>
      <c r="V1201" t="s">
        <v>4073</v>
      </c>
    </row>
    <row r="1202" spans="1:22" hidden="1" x14ac:dyDescent="0.45">
      <c r="A1202" s="2" t="s">
        <v>1713</v>
      </c>
      <c r="B1202" s="11">
        <v>45678</v>
      </c>
      <c r="C1202" s="2" t="s">
        <v>2012</v>
      </c>
      <c r="D1202" s="2" t="s">
        <v>2017</v>
      </c>
      <c r="E1202">
        <v>649.45000000000005</v>
      </c>
      <c r="F1202">
        <v>39616.450000000004</v>
      </c>
      <c r="G1202">
        <v>0</v>
      </c>
      <c r="H1202">
        <v>0</v>
      </c>
      <c r="I1202" s="2" t="s">
        <v>2025</v>
      </c>
      <c r="J1202" s="2" t="s">
        <v>2026</v>
      </c>
      <c r="K1202" s="2" t="s">
        <v>3734</v>
      </c>
      <c r="L1202" s="2" t="s">
        <v>4035</v>
      </c>
      <c r="M1202">
        <v>-649.45000000000005</v>
      </c>
      <c r="N1202" s="2" t="s">
        <v>4044</v>
      </c>
      <c r="O1202">
        <v>61</v>
      </c>
      <c r="P1202">
        <v>-39616.450000000004</v>
      </c>
      <c r="Q1202" t="b">
        <v>0</v>
      </c>
      <c r="R1202" t="b">
        <v>0</v>
      </c>
      <c r="S1202" t="b">
        <v>0</v>
      </c>
      <c r="T1202" t="b">
        <v>0</v>
      </c>
      <c r="U1202">
        <v>0</v>
      </c>
      <c r="V1202" t="s">
        <v>4073</v>
      </c>
    </row>
    <row r="1203" spans="1:22" hidden="1" x14ac:dyDescent="0.45">
      <c r="A1203" s="2" t="s">
        <v>964</v>
      </c>
      <c r="B1203" s="11">
        <v>45033</v>
      </c>
      <c r="C1203" s="2" t="s">
        <v>2014</v>
      </c>
      <c r="D1203" s="2" t="s">
        <v>2019</v>
      </c>
      <c r="E1203">
        <v>0</v>
      </c>
      <c r="F1203">
        <v>0</v>
      </c>
      <c r="G1203">
        <v>583.57000000000005</v>
      </c>
      <c r="H1203">
        <v>47852.740000000005</v>
      </c>
      <c r="I1203" s="2" t="s">
        <v>2020</v>
      </c>
      <c r="J1203" s="2" t="s">
        <v>2027</v>
      </c>
      <c r="K1203" s="2" t="s">
        <v>2985</v>
      </c>
      <c r="L1203" s="2" t="s">
        <v>4034</v>
      </c>
      <c r="M1203">
        <v>583.57000000000005</v>
      </c>
      <c r="N1203" s="2" t="s">
        <v>4042</v>
      </c>
      <c r="O1203">
        <v>82</v>
      </c>
      <c r="P1203">
        <v>47852.740000000005</v>
      </c>
      <c r="Q1203" t="b">
        <v>0</v>
      </c>
      <c r="R1203" t="b">
        <v>0</v>
      </c>
      <c r="S1203" t="b">
        <v>0</v>
      </c>
      <c r="T1203" t="b">
        <v>0</v>
      </c>
      <c r="U1203">
        <v>0</v>
      </c>
      <c r="V1203" t="s">
        <v>4073</v>
      </c>
    </row>
    <row r="1204" spans="1:22" hidden="1" x14ac:dyDescent="0.45">
      <c r="A1204" s="2" t="s">
        <v>1754</v>
      </c>
      <c r="B1204" s="11">
        <v>45331</v>
      </c>
      <c r="C1204" s="2" t="s">
        <v>2012</v>
      </c>
      <c r="D1204" s="2" t="s">
        <v>2017</v>
      </c>
      <c r="E1204">
        <v>121.29</v>
      </c>
      <c r="F1204">
        <v>10673.52</v>
      </c>
      <c r="G1204">
        <v>0</v>
      </c>
      <c r="H1204">
        <v>0</v>
      </c>
      <c r="I1204" s="2" t="s">
        <v>2025</v>
      </c>
      <c r="J1204" s="2" t="s">
        <v>2028</v>
      </c>
      <c r="K1204" s="2" t="s">
        <v>3775</v>
      </c>
      <c r="L1204" s="2" t="s">
        <v>4032</v>
      </c>
      <c r="M1204">
        <v>-121.29</v>
      </c>
      <c r="N1204" s="2" t="s">
        <v>4044</v>
      </c>
      <c r="O1204">
        <v>88</v>
      </c>
      <c r="P1204">
        <v>-10673.52</v>
      </c>
      <c r="Q1204" t="b">
        <v>0</v>
      </c>
      <c r="R1204" t="b">
        <v>0</v>
      </c>
      <c r="S1204" t="b">
        <v>0</v>
      </c>
      <c r="T1204" t="b">
        <v>0</v>
      </c>
      <c r="U1204">
        <v>0</v>
      </c>
      <c r="V1204" t="s">
        <v>4073</v>
      </c>
    </row>
    <row r="1205" spans="1:22" hidden="1" x14ac:dyDescent="0.45">
      <c r="A1205" s="2" t="s">
        <v>1303</v>
      </c>
      <c r="B1205" s="11">
        <v>45274</v>
      </c>
      <c r="C1205" s="2" t="s">
        <v>2010</v>
      </c>
      <c r="D1205" s="2" t="s">
        <v>2015</v>
      </c>
      <c r="E1205">
        <v>0</v>
      </c>
      <c r="F1205">
        <v>0</v>
      </c>
      <c r="G1205">
        <v>175.56</v>
      </c>
      <c r="H1205">
        <v>10709.16</v>
      </c>
      <c r="I1205" s="2" t="s">
        <v>2020</v>
      </c>
      <c r="J1205" s="2" t="s">
        <v>2029</v>
      </c>
      <c r="K1205" s="2" t="s">
        <v>3324</v>
      </c>
      <c r="L1205" s="2" t="s">
        <v>4035</v>
      </c>
      <c r="M1205">
        <v>175.56</v>
      </c>
      <c r="N1205" s="2" t="s">
        <v>4042</v>
      </c>
      <c r="O1205">
        <v>61</v>
      </c>
      <c r="P1205">
        <v>10709.16</v>
      </c>
      <c r="Q1205" t="b">
        <v>0</v>
      </c>
      <c r="R1205" t="b">
        <v>0</v>
      </c>
      <c r="S1205" t="b">
        <v>0</v>
      </c>
      <c r="T1205" t="b">
        <v>0</v>
      </c>
      <c r="U1205">
        <v>0</v>
      </c>
      <c r="V1205" t="s">
        <v>4073</v>
      </c>
    </row>
    <row r="1206" spans="1:22" hidden="1" x14ac:dyDescent="0.45">
      <c r="A1206" s="2" t="s">
        <v>745</v>
      </c>
      <c r="B1206" s="11">
        <v>45344</v>
      </c>
      <c r="C1206" s="2" t="s">
        <v>2014</v>
      </c>
      <c r="D1206" s="2" t="s">
        <v>2019</v>
      </c>
      <c r="E1206">
        <v>0</v>
      </c>
      <c r="F1206">
        <v>0</v>
      </c>
      <c r="G1206">
        <v>463.02</v>
      </c>
      <c r="H1206">
        <v>47691.06</v>
      </c>
      <c r="I1206" s="2" t="s">
        <v>2025</v>
      </c>
      <c r="J1206" s="2" t="s">
        <v>2026</v>
      </c>
      <c r="K1206" s="2" t="s">
        <v>2766</v>
      </c>
      <c r="L1206" s="2" t="s">
        <v>4031</v>
      </c>
      <c r="M1206">
        <v>463.02</v>
      </c>
      <c r="N1206" s="2" t="s">
        <v>4042</v>
      </c>
      <c r="O1206">
        <v>103</v>
      </c>
      <c r="P1206">
        <v>47691.06</v>
      </c>
      <c r="Q1206" t="b">
        <v>0</v>
      </c>
      <c r="R1206" t="b">
        <v>0</v>
      </c>
      <c r="S1206" t="b">
        <v>0</v>
      </c>
      <c r="T1206" t="b">
        <v>0</v>
      </c>
      <c r="U1206">
        <v>0</v>
      </c>
      <c r="V1206" t="s">
        <v>4073</v>
      </c>
    </row>
    <row r="1207" spans="1:22" hidden="1" x14ac:dyDescent="0.45">
      <c r="A1207" s="2" t="s">
        <v>1374</v>
      </c>
      <c r="B1207" s="11">
        <v>45279</v>
      </c>
      <c r="C1207" s="2" t="s">
        <v>2012</v>
      </c>
      <c r="D1207" s="2" t="s">
        <v>2017</v>
      </c>
      <c r="E1207">
        <v>846.47</v>
      </c>
      <c r="F1207">
        <v>47402.32</v>
      </c>
      <c r="G1207">
        <v>0</v>
      </c>
      <c r="H1207">
        <v>0</v>
      </c>
      <c r="I1207" s="2" t="s">
        <v>2022</v>
      </c>
      <c r="J1207" s="2" t="s">
        <v>2029</v>
      </c>
      <c r="K1207" s="2" t="s">
        <v>3395</v>
      </c>
      <c r="L1207" s="2" t="s">
        <v>4033</v>
      </c>
      <c r="M1207">
        <v>-846.47</v>
      </c>
      <c r="N1207" s="2" t="s">
        <v>4044</v>
      </c>
      <c r="O1207">
        <v>56</v>
      </c>
      <c r="P1207">
        <v>-47402.32</v>
      </c>
      <c r="Q1207" t="b">
        <v>0</v>
      </c>
      <c r="R1207" t="b">
        <v>0</v>
      </c>
      <c r="S1207" t="b">
        <v>0</v>
      </c>
      <c r="T1207" t="b">
        <v>0</v>
      </c>
      <c r="U1207">
        <v>0</v>
      </c>
      <c r="V1207" t="s">
        <v>4073</v>
      </c>
    </row>
    <row r="1208" spans="1:22" hidden="1" x14ac:dyDescent="0.45">
      <c r="A1208" s="2" t="s">
        <v>1379</v>
      </c>
      <c r="B1208" s="11">
        <v>44946</v>
      </c>
      <c r="C1208" s="2" t="s">
        <v>2011</v>
      </c>
      <c r="D1208" s="2" t="s">
        <v>2016</v>
      </c>
      <c r="E1208">
        <v>773.23</v>
      </c>
      <c r="F1208">
        <v>47167.03</v>
      </c>
      <c r="G1208">
        <v>0</v>
      </c>
      <c r="H1208">
        <v>0</v>
      </c>
      <c r="I1208" s="2" t="s">
        <v>2025</v>
      </c>
      <c r="J1208" s="2" t="s">
        <v>2027</v>
      </c>
      <c r="K1208" s="2" t="s">
        <v>3400</v>
      </c>
      <c r="L1208" s="2" t="s">
        <v>4035</v>
      </c>
      <c r="M1208">
        <v>-773.23</v>
      </c>
      <c r="N1208" s="2" t="s">
        <v>2016</v>
      </c>
      <c r="O1208">
        <v>61</v>
      </c>
      <c r="P1208">
        <v>-47167.03</v>
      </c>
      <c r="Q1208" t="b">
        <v>0</v>
      </c>
      <c r="R1208" t="b">
        <v>0</v>
      </c>
      <c r="S1208" t="b">
        <v>0</v>
      </c>
      <c r="T1208" t="b">
        <v>0</v>
      </c>
      <c r="U1208">
        <v>0</v>
      </c>
      <c r="V1208" t="s">
        <v>4073</v>
      </c>
    </row>
    <row r="1209" spans="1:22" hidden="1" x14ac:dyDescent="0.45">
      <c r="A1209" s="2" t="s">
        <v>337</v>
      </c>
      <c r="B1209" s="11">
        <v>45328</v>
      </c>
      <c r="C1209" s="2" t="s">
        <v>2010</v>
      </c>
      <c r="D1209" s="2" t="s">
        <v>2015</v>
      </c>
      <c r="E1209">
        <v>0</v>
      </c>
      <c r="F1209">
        <v>0</v>
      </c>
      <c r="G1209">
        <v>195.85</v>
      </c>
      <c r="H1209">
        <v>10967.6</v>
      </c>
      <c r="I1209" s="2" t="s">
        <v>2025</v>
      </c>
      <c r="J1209" s="2" t="s">
        <v>2027</v>
      </c>
      <c r="K1209" s="2" t="s">
        <v>2358</v>
      </c>
      <c r="L1209" s="2" t="s">
        <v>4033</v>
      </c>
      <c r="M1209">
        <v>195.85</v>
      </c>
      <c r="N1209" s="2" t="s">
        <v>4042</v>
      </c>
      <c r="O1209">
        <v>56</v>
      </c>
      <c r="P1209">
        <v>10967.6</v>
      </c>
      <c r="Q1209" t="b">
        <v>0</v>
      </c>
      <c r="R1209" t="b">
        <v>0</v>
      </c>
      <c r="S1209" t="b">
        <v>0</v>
      </c>
      <c r="T1209" t="b">
        <v>0</v>
      </c>
      <c r="U1209">
        <v>0</v>
      </c>
      <c r="V1209" t="s">
        <v>4073</v>
      </c>
    </row>
    <row r="1210" spans="1:22" hidden="1" x14ac:dyDescent="0.45">
      <c r="A1210" s="2" t="s">
        <v>1794</v>
      </c>
      <c r="B1210" s="11">
        <v>45415</v>
      </c>
      <c r="C1210" s="2" t="s">
        <v>2014</v>
      </c>
      <c r="D1210" s="2" t="s">
        <v>2019</v>
      </c>
      <c r="E1210">
        <v>0</v>
      </c>
      <c r="F1210">
        <v>0</v>
      </c>
      <c r="G1210">
        <v>841.83</v>
      </c>
      <c r="H1210">
        <v>47142.48</v>
      </c>
      <c r="I1210" s="2" t="s">
        <v>2020</v>
      </c>
      <c r="J1210" s="2" t="s">
        <v>2026</v>
      </c>
      <c r="K1210" s="2" t="s">
        <v>3815</v>
      </c>
      <c r="L1210" s="2" t="s">
        <v>4033</v>
      </c>
      <c r="M1210">
        <v>841.83</v>
      </c>
      <c r="N1210" s="2" t="s">
        <v>4042</v>
      </c>
      <c r="O1210">
        <v>56</v>
      </c>
      <c r="P1210">
        <v>47142.48</v>
      </c>
      <c r="Q1210" t="b">
        <v>0</v>
      </c>
      <c r="R1210" t="b">
        <v>0</v>
      </c>
      <c r="S1210" t="b">
        <v>0</v>
      </c>
      <c r="T1210" t="b">
        <v>0</v>
      </c>
      <c r="U1210">
        <v>0</v>
      </c>
      <c r="V1210" t="s">
        <v>4073</v>
      </c>
    </row>
    <row r="1211" spans="1:22" hidden="1" x14ac:dyDescent="0.45">
      <c r="A1211" s="2" t="s">
        <v>1929</v>
      </c>
      <c r="B1211" s="11">
        <v>45574</v>
      </c>
      <c r="C1211" s="2" t="s">
        <v>2011</v>
      </c>
      <c r="D1211" s="2" t="s">
        <v>2016</v>
      </c>
      <c r="E1211">
        <v>198.43</v>
      </c>
      <c r="F1211">
        <v>11112.08</v>
      </c>
      <c r="G1211">
        <v>0</v>
      </c>
      <c r="H1211">
        <v>0</v>
      </c>
      <c r="I1211" s="2" t="s">
        <v>2022</v>
      </c>
      <c r="J1211" s="2" t="s">
        <v>2028</v>
      </c>
      <c r="K1211" s="2" t="s">
        <v>3950</v>
      </c>
      <c r="L1211" s="2" t="s">
        <v>4033</v>
      </c>
      <c r="M1211">
        <v>-198.43</v>
      </c>
      <c r="N1211" s="2" t="s">
        <v>2016</v>
      </c>
      <c r="O1211">
        <v>56</v>
      </c>
      <c r="P1211">
        <v>-11112.08</v>
      </c>
      <c r="Q1211" t="b">
        <v>0</v>
      </c>
      <c r="R1211" t="b">
        <v>0</v>
      </c>
      <c r="S1211" t="b">
        <v>0</v>
      </c>
      <c r="T1211" t="b">
        <v>0</v>
      </c>
      <c r="U1211">
        <v>0</v>
      </c>
      <c r="V1211" t="s">
        <v>4073</v>
      </c>
    </row>
    <row r="1212" spans="1:22" hidden="1" x14ac:dyDescent="0.45">
      <c r="A1212" s="2" t="s">
        <v>1692</v>
      </c>
      <c r="B1212" s="11">
        <v>45517</v>
      </c>
      <c r="C1212" s="2" t="s">
        <v>2011</v>
      </c>
      <c r="D1212" s="2" t="s">
        <v>2016</v>
      </c>
      <c r="E1212">
        <v>534.29</v>
      </c>
      <c r="F1212">
        <v>47017.52</v>
      </c>
      <c r="G1212">
        <v>0</v>
      </c>
      <c r="H1212">
        <v>0</v>
      </c>
      <c r="I1212" s="2" t="s">
        <v>2022</v>
      </c>
      <c r="J1212" s="2" t="s">
        <v>2030</v>
      </c>
      <c r="K1212" s="2" t="s">
        <v>3713</v>
      </c>
      <c r="L1212" s="2" t="s">
        <v>4032</v>
      </c>
      <c r="M1212">
        <v>-534.29</v>
      </c>
      <c r="N1212" s="2" t="s">
        <v>2016</v>
      </c>
      <c r="O1212">
        <v>88</v>
      </c>
      <c r="P1212">
        <v>-47017.52</v>
      </c>
      <c r="Q1212" t="b">
        <v>0</v>
      </c>
      <c r="R1212" t="b">
        <v>0</v>
      </c>
      <c r="S1212" t="b">
        <v>0</v>
      </c>
      <c r="T1212" t="b">
        <v>0</v>
      </c>
      <c r="U1212">
        <v>0</v>
      </c>
      <c r="V1212" t="s">
        <v>4073</v>
      </c>
    </row>
    <row r="1213" spans="1:22" hidden="1" x14ac:dyDescent="0.45">
      <c r="A1213" s="2" t="s">
        <v>1290</v>
      </c>
      <c r="B1213" s="11">
        <v>44967</v>
      </c>
      <c r="C1213" s="2" t="s">
        <v>2012</v>
      </c>
      <c r="D1213" s="2" t="s">
        <v>2017</v>
      </c>
      <c r="E1213">
        <v>770.08</v>
      </c>
      <c r="F1213">
        <v>46974.880000000005</v>
      </c>
      <c r="G1213">
        <v>0</v>
      </c>
      <c r="H1213">
        <v>0</v>
      </c>
      <c r="I1213" s="2" t="s">
        <v>2025</v>
      </c>
      <c r="J1213" s="2" t="s">
        <v>2030</v>
      </c>
      <c r="K1213" s="2" t="s">
        <v>3311</v>
      </c>
      <c r="L1213" s="2" t="s">
        <v>4035</v>
      </c>
      <c r="M1213">
        <v>-770.08</v>
      </c>
      <c r="N1213" s="2" t="s">
        <v>4044</v>
      </c>
      <c r="O1213">
        <v>61</v>
      </c>
      <c r="P1213">
        <v>-46974.880000000005</v>
      </c>
      <c r="Q1213" t="b">
        <v>0</v>
      </c>
      <c r="R1213" t="b">
        <v>0</v>
      </c>
      <c r="S1213" t="b">
        <v>0</v>
      </c>
      <c r="T1213" t="b">
        <v>0</v>
      </c>
      <c r="U1213">
        <v>0</v>
      </c>
      <c r="V1213" t="s">
        <v>4073</v>
      </c>
    </row>
    <row r="1214" spans="1:22" hidden="1" x14ac:dyDescent="0.45">
      <c r="A1214" s="2" t="s">
        <v>1101</v>
      </c>
      <c r="B1214" s="11">
        <v>45454</v>
      </c>
      <c r="C1214" s="2" t="s">
        <v>2013</v>
      </c>
      <c r="D1214" s="2" t="s">
        <v>2018</v>
      </c>
      <c r="E1214">
        <v>572.52</v>
      </c>
      <c r="F1214">
        <v>46946.64</v>
      </c>
      <c r="G1214">
        <v>0</v>
      </c>
      <c r="H1214">
        <v>0</v>
      </c>
      <c r="I1214" s="2" t="s">
        <v>2025</v>
      </c>
      <c r="J1214" s="2" t="s">
        <v>2029</v>
      </c>
      <c r="K1214" s="2" t="s">
        <v>3122</v>
      </c>
      <c r="L1214" s="2" t="s">
        <v>4034</v>
      </c>
      <c r="M1214">
        <v>-572.52</v>
      </c>
      <c r="N1214" s="2" t="s">
        <v>4044</v>
      </c>
      <c r="O1214">
        <v>82</v>
      </c>
      <c r="P1214">
        <v>-46946.64</v>
      </c>
      <c r="Q1214" t="b">
        <v>0</v>
      </c>
      <c r="R1214" t="b">
        <v>0</v>
      </c>
      <c r="S1214" t="b">
        <v>0</v>
      </c>
      <c r="T1214" t="b">
        <v>0</v>
      </c>
      <c r="U1214">
        <v>0</v>
      </c>
      <c r="V1214" t="s">
        <v>4073</v>
      </c>
    </row>
    <row r="1215" spans="1:22" hidden="1" x14ac:dyDescent="0.45">
      <c r="A1215" s="2" t="s">
        <v>761</v>
      </c>
      <c r="B1215" s="11">
        <v>45161</v>
      </c>
      <c r="C1215" s="2" t="s">
        <v>2013</v>
      </c>
      <c r="D1215" s="2" t="s">
        <v>2018</v>
      </c>
      <c r="E1215">
        <v>199.77</v>
      </c>
      <c r="F1215">
        <v>11187.12</v>
      </c>
      <c r="G1215">
        <v>0</v>
      </c>
      <c r="H1215">
        <v>0</v>
      </c>
      <c r="I1215" s="2" t="s">
        <v>2025</v>
      </c>
      <c r="J1215" s="2" t="s">
        <v>2027</v>
      </c>
      <c r="K1215" s="2" t="s">
        <v>2782</v>
      </c>
      <c r="L1215" s="2" t="s">
        <v>4033</v>
      </c>
      <c r="M1215">
        <v>-199.77</v>
      </c>
      <c r="N1215" s="2" t="s">
        <v>4044</v>
      </c>
      <c r="O1215">
        <v>56</v>
      </c>
      <c r="P1215">
        <v>-11187.12</v>
      </c>
      <c r="Q1215" t="b">
        <v>0</v>
      </c>
      <c r="R1215" t="b">
        <v>0</v>
      </c>
      <c r="S1215" t="b">
        <v>0</v>
      </c>
      <c r="T1215" t="b">
        <v>0</v>
      </c>
      <c r="U1215">
        <v>0</v>
      </c>
      <c r="V1215" t="s">
        <v>4073</v>
      </c>
    </row>
    <row r="1216" spans="1:22" hidden="1" x14ac:dyDescent="0.45">
      <c r="A1216" s="2" t="s">
        <v>1247</v>
      </c>
      <c r="B1216" s="11">
        <v>45610</v>
      </c>
      <c r="C1216" s="2" t="s">
        <v>2010</v>
      </c>
      <c r="D1216" s="2" t="s">
        <v>2015</v>
      </c>
      <c r="E1216">
        <v>0</v>
      </c>
      <c r="F1216">
        <v>0</v>
      </c>
      <c r="G1216">
        <v>838.04</v>
      </c>
      <c r="H1216">
        <v>46930.239999999998</v>
      </c>
      <c r="I1216" s="2" t="s">
        <v>2021</v>
      </c>
      <c r="J1216" s="2" t="s">
        <v>2026</v>
      </c>
      <c r="K1216" s="2" t="s">
        <v>3268</v>
      </c>
      <c r="L1216" s="2" t="s">
        <v>4033</v>
      </c>
      <c r="M1216">
        <v>838.04</v>
      </c>
      <c r="N1216" s="2" t="s">
        <v>4042</v>
      </c>
      <c r="O1216">
        <v>56</v>
      </c>
      <c r="P1216">
        <v>46930.239999999998</v>
      </c>
      <c r="Q1216" t="b">
        <v>0</v>
      </c>
      <c r="R1216" t="b">
        <v>0</v>
      </c>
      <c r="S1216" t="b">
        <v>0</v>
      </c>
      <c r="T1216" t="b">
        <v>0</v>
      </c>
      <c r="U1216">
        <v>0</v>
      </c>
      <c r="V1216" t="s">
        <v>4073</v>
      </c>
    </row>
    <row r="1217" spans="1:22" hidden="1" x14ac:dyDescent="0.45">
      <c r="A1217" s="2" t="s">
        <v>1122</v>
      </c>
      <c r="B1217" s="11">
        <v>45191</v>
      </c>
      <c r="C1217" s="2" t="s">
        <v>2013</v>
      </c>
      <c r="D1217" s="2" t="s">
        <v>2018</v>
      </c>
      <c r="E1217">
        <v>836.69</v>
      </c>
      <c r="F1217">
        <v>46854.64</v>
      </c>
      <c r="G1217">
        <v>0</v>
      </c>
      <c r="H1217">
        <v>0</v>
      </c>
      <c r="I1217" s="2" t="s">
        <v>2020</v>
      </c>
      <c r="J1217" s="2" t="s">
        <v>2027</v>
      </c>
      <c r="K1217" s="2" t="s">
        <v>3143</v>
      </c>
      <c r="L1217" s="2" t="s">
        <v>4033</v>
      </c>
      <c r="M1217">
        <v>-836.69</v>
      </c>
      <c r="N1217" s="2" t="s">
        <v>4044</v>
      </c>
      <c r="O1217">
        <v>56</v>
      </c>
      <c r="P1217">
        <v>-46854.64</v>
      </c>
      <c r="Q1217" t="b">
        <v>0</v>
      </c>
      <c r="R1217" t="b">
        <v>0</v>
      </c>
      <c r="S1217" t="b">
        <v>0</v>
      </c>
      <c r="T1217" t="b">
        <v>0</v>
      </c>
      <c r="U1217">
        <v>0</v>
      </c>
      <c r="V1217" t="s">
        <v>4073</v>
      </c>
    </row>
    <row r="1218" spans="1:22" hidden="1" x14ac:dyDescent="0.45">
      <c r="A1218" s="2" t="s">
        <v>1078</v>
      </c>
      <c r="B1218" s="11">
        <v>45756</v>
      </c>
      <c r="C1218" s="2" t="s">
        <v>2013</v>
      </c>
      <c r="D1218" s="2" t="s">
        <v>2018</v>
      </c>
      <c r="E1218">
        <v>202.58</v>
      </c>
      <c r="F1218">
        <v>11344.480000000001</v>
      </c>
      <c r="G1218">
        <v>0</v>
      </c>
      <c r="H1218">
        <v>0</v>
      </c>
      <c r="I1218" s="2" t="s">
        <v>2025</v>
      </c>
      <c r="J1218" s="2" t="s">
        <v>2029</v>
      </c>
      <c r="K1218" s="2" t="s">
        <v>3099</v>
      </c>
      <c r="L1218" s="2" t="s">
        <v>4033</v>
      </c>
      <c r="M1218">
        <v>-202.58</v>
      </c>
      <c r="N1218" s="2" t="s">
        <v>4044</v>
      </c>
      <c r="O1218">
        <v>56</v>
      </c>
      <c r="P1218">
        <v>-11344.480000000001</v>
      </c>
      <c r="Q1218" t="b">
        <v>0</v>
      </c>
      <c r="R1218" t="b">
        <v>0</v>
      </c>
      <c r="S1218" t="b">
        <v>0</v>
      </c>
      <c r="T1218" t="b">
        <v>0</v>
      </c>
      <c r="U1218">
        <v>0</v>
      </c>
      <c r="V1218" t="s">
        <v>4073</v>
      </c>
    </row>
    <row r="1219" spans="1:22" hidden="1" x14ac:dyDescent="0.45">
      <c r="A1219" s="2" t="s">
        <v>1759</v>
      </c>
      <c r="B1219" s="11">
        <v>45156</v>
      </c>
      <c r="C1219" s="2" t="s">
        <v>2014</v>
      </c>
      <c r="D1219" s="2" t="s">
        <v>2019</v>
      </c>
      <c r="E1219">
        <v>0</v>
      </c>
      <c r="F1219">
        <v>0</v>
      </c>
      <c r="G1219">
        <v>528.16999999999996</v>
      </c>
      <c r="H1219">
        <v>46478.96</v>
      </c>
      <c r="I1219" s="2" t="s">
        <v>2023</v>
      </c>
      <c r="J1219" s="2" t="s">
        <v>2029</v>
      </c>
      <c r="K1219" s="2" t="s">
        <v>3780</v>
      </c>
      <c r="L1219" s="2" t="s">
        <v>4032</v>
      </c>
      <c r="M1219">
        <v>528.16999999999996</v>
      </c>
      <c r="N1219" s="2" t="s">
        <v>4042</v>
      </c>
      <c r="O1219">
        <v>88</v>
      </c>
      <c r="P1219">
        <v>46478.96</v>
      </c>
      <c r="Q1219" t="b">
        <v>0</v>
      </c>
      <c r="R1219" t="b">
        <v>0</v>
      </c>
      <c r="S1219" t="b">
        <v>0</v>
      </c>
      <c r="T1219" t="b">
        <v>0</v>
      </c>
      <c r="U1219">
        <v>0</v>
      </c>
      <c r="V1219" t="s">
        <v>4073</v>
      </c>
    </row>
    <row r="1220" spans="1:22" hidden="1" x14ac:dyDescent="0.45">
      <c r="A1220" s="2" t="s">
        <v>1998</v>
      </c>
      <c r="B1220" s="11">
        <v>45008</v>
      </c>
      <c r="C1220" s="2" t="s">
        <v>2013</v>
      </c>
      <c r="D1220" s="2" t="s">
        <v>2018</v>
      </c>
      <c r="E1220">
        <v>829.83</v>
      </c>
      <c r="F1220">
        <v>46470.48</v>
      </c>
      <c r="G1220">
        <v>0</v>
      </c>
      <c r="H1220">
        <v>0</v>
      </c>
      <c r="I1220" s="2" t="s">
        <v>2021</v>
      </c>
      <c r="J1220" s="2" t="s">
        <v>2027</v>
      </c>
      <c r="K1220" s="2" t="s">
        <v>4019</v>
      </c>
      <c r="L1220" s="2" t="s">
        <v>4033</v>
      </c>
      <c r="M1220">
        <v>-829.83</v>
      </c>
      <c r="N1220" s="2" t="s">
        <v>4044</v>
      </c>
      <c r="O1220">
        <v>56</v>
      </c>
      <c r="P1220">
        <v>-46470.48</v>
      </c>
      <c r="Q1220" t="b">
        <v>0</v>
      </c>
      <c r="R1220" t="b">
        <v>0</v>
      </c>
      <c r="S1220" t="b">
        <v>0</v>
      </c>
      <c r="T1220" t="b">
        <v>0</v>
      </c>
      <c r="U1220">
        <v>0</v>
      </c>
      <c r="V1220" t="s">
        <v>4073</v>
      </c>
    </row>
    <row r="1221" spans="1:22" hidden="1" x14ac:dyDescent="0.45">
      <c r="A1221" s="2" t="s">
        <v>1575</v>
      </c>
      <c r="B1221" s="11">
        <v>44939</v>
      </c>
      <c r="C1221" s="2" t="s">
        <v>2013</v>
      </c>
      <c r="D1221" s="2" t="s">
        <v>2018</v>
      </c>
      <c r="E1221">
        <v>760.59</v>
      </c>
      <c r="F1221">
        <v>46395.990000000005</v>
      </c>
      <c r="G1221">
        <v>0</v>
      </c>
      <c r="H1221">
        <v>0</v>
      </c>
      <c r="I1221" s="2" t="s">
        <v>2021</v>
      </c>
      <c r="J1221" s="2" t="s">
        <v>2028</v>
      </c>
      <c r="K1221" s="2" t="s">
        <v>3596</v>
      </c>
      <c r="L1221" s="2" t="s">
        <v>4035</v>
      </c>
      <c r="M1221">
        <v>-760.59</v>
      </c>
      <c r="N1221" s="2" t="s">
        <v>4044</v>
      </c>
      <c r="O1221">
        <v>61</v>
      </c>
      <c r="P1221">
        <v>-46395.990000000005</v>
      </c>
      <c r="Q1221" t="b">
        <v>0</v>
      </c>
      <c r="R1221" t="b">
        <v>0</v>
      </c>
      <c r="S1221" t="b">
        <v>0</v>
      </c>
      <c r="T1221" t="b">
        <v>0</v>
      </c>
      <c r="U1221">
        <v>0</v>
      </c>
      <c r="V1221" t="s">
        <v>4073</v>
      </c>
    </row>
    <row r="1222" spans="1:22" hidden="1" x14ac:dyDescent="0.45">
      <c r="A1222" s="2" t="s">
        <v>600</v>
      </c>
      <c r="B1222" s="11">
        <v>45121</v>
      </c>
      <c r="C1222" s="2" t="s">
        <v>2013</v>
      </c>
      <c r="D1222" s="2" t="s">
        <v>2018</v>
      </c>
      <c r="E1222">
        <v>206.46</v>
      </c>
      <c r="F1222">
        <v>11561.76</v>
      </c>
      <c r="G1222">
        <v>0</v>
      </c>
      <c r="H1222">
        <v>0</v>
      </c>
      <c r="I1222" s="2" t="s">
        <v>2021</v>
      </c>
      <c r="J1222" s="2" t="s">
        <v>2029</v>
      </c>
      <c r="K1222" s="2" t="s">
        <v>2621</v>
      </c>
      <c r="L1222" s="2" t="s">
        <v>4033</v>
      </c>
      <c r="M1222">
        <v>-206.46</v>
      </c>
      <c r="N1222" s="2" t="s">
        <v>4044</v>
      </c>
      <c r="O1222">
        <v>56</v>
      </c>
      <c r="P1222">
        <v>-11561.76</v>
      </c>
      <c r="Q1222" t="b">
        <v>0</v>
      </c>
      <c r="R1222" t="b">
        <v>0</v>
      </c>
      <c r="S1222" t="b">
        <v>0</v>
      </c>
      <c r="T1222" t="b">
        <v>0</v>
      </c>
      <c r="U1222">
        <v>0</v>
      </c>
      <c r="V1222" t="s">
        <v>4073</v>
      </c>
    </row>
    <row r="1223" spans="1:22" hidden="1" x14ac:dyDescent="0.45">
      <c r="A1223" s="2" t="s">
        <v>357</v>
      </c>
      <c r="B1223" s="11">
        <v>45702</v>
      </c>
      <c r="C1223" s="2" t="s">
        <v>2013</v>
      </c>
      <c r="D1223" s="2" t="s">
        <v>2018</v>
      </c>
      <c r="E1223">
        <v>131.84</v>
      </c>
      <c r="F1223">
        <v>11601.92</v>
      </c>
      <c r="G1223">
        <v>0</v>
      </c>
      <c r="H1223">
        <v>0</v>
      </c>
      <c r="I1223" s="2" t="s">
        <v>2025</v>
      </c>
      <c r="J1223" s="2" t="s">
        <v>2029</v>
      </c>
      <c r="K1223" s="2" t="s">
        <v>2378</v>
      </c>
      <c r="L1223" s="2" t="s">
        <v>4032</v>
      </c>
      <c r="M1223">
        <v>-131.84</v>
      </c>
      <c r="N1223" s="2" t="s">
        <v>4044</v>
      </c>
      <c r="O1223">
        <v>88</v>
      </c>
      <c r="P1223">
        <v>-11601.92</v>
      </c>
      <c r="Q1223" t="b">
        <v>0</v>
      </c>
      <c r="R1223" t="b">
        <v>0</v>
      </c>
      <c r="S1223" t="b">
        <v>0</v>
      </c>
      <c r="T1223" t="b">
        <v>0</v>
      </c>
      <c r="U1223">
        <v>0</v>
      </c>
      <c r="V1223" t="s">
        <v>4073</v>
      </c>
    </row>
    <row r="1224" spans="1:22" hidden="1" x14ac:dyDescent="0.45">
      <c r="A1224" s="2" t="s">
        <v>355</v>
      </c>
      <c r="B1224" s="11">
        <v>45506</v>
      </c>
      <c r="C1224" s="2" t="s">
        <v>2011</v>
      </c>
      <c r="D1224" s="2" t="s">
        <v>2016</v>
      </c>
      <c r="E1224">
        <v>449.09</v>
      </c>
      <c r="F1224">
        <v>46256.27</v>
      </c>
      <c r="G1224">
        <v>0</v>
      </c>
      <c r="H1224">
        <v>0</v>
      </c>
      <c r="I1224" s="2" t="s">
        <v>2023</v>
      </c>
      <c r="J1224" s="2" t="s">
        <v>2030</v>
      </c>
      <c r="K1224" s="2" t="s">
        <v>2376</v>
      </c>
      <c r="L1224" s="2" t="s">
        <v>4031</v>
      </c>
      <c r="M1224">
        <v>-449.09</v>
      </c>
      <c r="N1224" s="2" t="s">
        <v>2016</v>
      </c>
      <c r="O1224">
        <v>103</v>
      </c>
      <c r="P1224">
        <v>-46256.27</v>
      </c>
      <c r="Q1224" t="b">
        <v>0</v>
      </c>
      <c r="R1224" t="b">
        <v>0</v>
      </c>
      <c r="S1224" t="b">
        <v>0</v>
      </c>
      <c r="T1224" t="b">
        <v>0</v>
      </c>
      <c r="U1224">
        <v>0</v>
      </c>
      <c r="V1224" t="s">
        <v>4073</v>
      </c>
    </row>
    <row r="1225" spans="1:22" hidden="1" x14ac:dyDescent="0.45">
      <c r="A1225" s="2" t="s">
        <v>650</v>
      </c>
      <c r="B1225" s="11">
        <v>45632</v>
      </c>
      <c r="C1225" s="2" t="s">
        <v>2011</v>
      </c>
      <c r="D1225" s="2" t="s">
        <v>2016</v>
      </c>
      <c r="E1225">
        <v>563.6</v>
      </c>
      <c r="F1225">
        <v>46215.200000000004</v>
      </c>
      <c r="G1225">
        <v>0</v>
      </c>
      <c r="H1225">
        <v>0</v>
      </c>
      <c r="I1225" s="2" t="s">
        <v>2020</v>
      </c>
      <c r="J1225" s="2" t="s">
        <v>2029</v>
      </c>
      <c r="K1225" s="2" t="s">
        <v>2671</v>
      </c>
      <c r="L1225" s="2" t="s">
        <v>4034</v>
      </c>
      <c r="M1225">
        <v>-563.6</v>
      </c>
      <c r="N1225" s="2" t="s">
        <v>2016</v>
      </c>
      <c r="O1225">
        <v>82</v>
      </c>
      <c r="P1225">
        <v>-46215.200000000004</v>
      </c>
      <c r="Q1225" t="b">
        <v>0</v>
      </c>
      <c r="R1225" t="b">
        <v>0</v>
      </c>
      <c r="S1225" t="b">
        <v>0</v>
      </c>
      <c r="T1225" t="b">
        <v>0</v>
      </c>
      <c r="U1225">
        <v>0</v>
      </c>
      <c r="V1225" t="s">
        <v>4073</v>
      </c>
    </row>
    <row r="1226" spans="1:22" hidden="1" x14ac:dyDescent="0.45">
      <c r="A1226" s="2" t="s">
        <v>1856</v>
      </c>
      <c r="B1226" s="11">
        <v>45118</v>
      </c>
      <c r="C1226" s="2" t="s">
        <v>2013</v>
      </c>
      <c r="D1226" s="2" t="s">
        <v>2018</v>
      </c>
      <c r="E1226">
        <v>446.48</v>
      </c>
      <c r="F1226">
        <v>45987.44</v>
      </c>
      <c r="G1226">
        <v>0</v>
      </c>
      <c r="H1226">
        <v>0</v>
      </c>
      <c r="I1226" s="2" t="s">
        <v>2020</v>
      </c>
      <c r="J1226" s="2" t="s">
        <v>2029</v>
      </c>
      <c r="K1226" s="2" t="s">
        <v>3877</v>
      </c>
      <c r="L1226" s="2" t="s">
        <v>4031</v>
      </c>
      <c r="M1226">
        <v>-446.48</v>
      </c>
      <c r="N1226" s="2" t="s">
        <v>4044</v>
      </c>
      <c r="O1226">
        <v>103</v>
      </c>
      <c r="P1226">
        <v>-45987.44</v>
      </c>
      <c r="Q1226" t="b">
        <v>0</v>
      </c>
      <c r="R1226" t="b">
        <v>0</v>
      </c>
      <c r="S1226" t="b">
        <v>0</v>
      </c>
      <c r="T1226" t="b">
        <v>0</v>
      </c>
      <c r="U1226">
        <v>0</v>
      </c>
      <c r="V1226" t="s">
        <v>4073</v>
      </c>
    </row>
    <row r="1227" spans="1:22" hidden="1" x14ac:dyDescent="0.45">
      <c r="A1227" s="2" t="s">
        <v>787</v>
      </c>
      <c r="B1227" s="11">
        <v>45170</v>
      </c>
      <c r="C1227" s="2" t="s">
        <v>2012</v>
      </c>
      <c r="D1227" s="2" t="s">
        <v>2017</v>
      </c>
      <c r="E1227">
        <v>446.19</v>
      </c>
      <c r="F1227">
        <v>45957.57</v>
      </c>
      <c r="G1227">
        <v>0</v>
      </c>
      <c r="H1227">
        <v>0</v>
      </c>
      <c r="I1227" s="2" t="s">
        <v>2025</v>
      </c>
      <c r="J1227" s="2" t="s">
        <v>2029</v>
      </c>
      <c r="K1227" s="2" t="s">
        <v>2808</v>
      </c>
      <c r="L1227" s="2" t="s">
        <v>4031</v>
      </c>
      <c r="M1227">
        <v>-446.19</v>
      </c>
      <c r="N1227" s="2" t="s">
        <v>4044</v>
      </c>
      <c r="O1227">
        <v>103</v>
      </c>
      <c r="P1227">
        <v>-45957.57</v>
      </c>
      <c r="Q1227" t="b">
        <v>0</v>
      </c>
      <c r="R1227" t="b">
        <v>0</v>
      </c>
      <c r="S1227" t="b">
        <v>0</v>
      </c>
      <c r="T1227" t="b">
        <v>0</v>
      </c>
      <c r="U1227">
        <v>0</v>
      </c>
      <c r="V1227" t="s">
        <v>4073</v>
      </c>
    </row>
    <row r="1228" spans="1:22" hidden="1" x14ac:dyDescent="0.45">
      <c r="A1228" s="2" t="s">
        <v>563</v>
      </c>
      <c r="B1228" s="11">
        <v>45820</v>
      </c>
      <c r="C1228" s="2" t="s">
        <v>2013</v>
      </c>
      <c r="D1228" s="2" t="s">
        <v>2018</v>
      </c>
      <c r="E1228">
        <v>558.76</v>
      </c>
      <c r="F1228">
        <v>45818.32</v>
      </c>
      <c r="G1228">
        <v>0</v>
      </c>
      <c r="H1228">
        <v>0</v>
      </c>
      <c r="I1228" s="2" t="s">
        <v>2022</v>
      </c>
      <c r="J1228" s="2" t="s">
        <v>2029</v>
      </c>
      <c r="K1228" s="2" t="s">
        <v>2584</v>
      </c>
      <c r="L1228" s="2" t="s">
        <v>4034</v>
      </c>
      <c r="M1228">
        <v>-558.76</v>
      </c>
      <c r="N1228" s="2" t="s">
        <v>4044</v>
      </c>
      <c r="O1228">
        <v>82</v>
      </c>
      <c r="P1228">
        <v>-45818.32</v>
      </c>
      <c r="Q1228" t="b">
        <v>0</v>
      </c>
      <c r="R1228" t="b">
        <v>0</v>
      </c>
      <c r="S1228" t="b">
        <v>0</v>
      </c>
      <c r="T1228" t="b">
        <v>0</v>
      </c>
      <c r="U1228">
        <v>0</v>
      </c>
      <c r="V1228" t="s">
        <v>4073</v>
      </c>
    </row>
    <row r="1229" spans="1:22" hidden="1" x14ac:dyDescent="0.45">
      <c r="A1229" s="2" t="s">
        <v>493</v>
      </c>
      <c r="B1229" s="11">
        <v>45762</v>
      </c>
      <c r="C1229" s="2" t="s">
        <v>2013</v>
      </c>
      <c r="D1229" s="2" t="s">
        <v>2018</v>
      </c>
      <c r="E1229">
        <v>134.56</v>
      </c>
      <c r="F1229">
        <v>11841.28</v>
      </c>
      <c r="G1229">
        <v>0</v>
      </c>
      <c r="H1229">
        <v>0</v>
      </c>
      <c r="I1229" s="2" t="s">
        <v>2020</v>
      </c>
      <c r="J1229" s="2" t="s">
        <v>2030</v>
      </c>
      <c r="K1229" s="2" t="s">
        <v>2514</v>
      </c>
      <c r="L1229" s="2" t="s">
        <v>4032</v>
      </c>
      <c r="M1229">
        <v>-134.56</v>
      </c>
      <c r="N1229" s="2" t="s">
        <v>4044</v>
      </c>
      <c r="O1229">
        <v>88</v>
      </c>
      <c r="P1229">
        <v>-11841.28</v>
      </c>
      <c r="Q1229" t="b">
        <v>0</v>
      </c>
      <c r="R1229" t="b">
        <v>0</v>
      </c>
      <c r="S1229" t="b">
        <v>0</v>
      </c>
      <c r="T1229" t="b">
        <v>0</v>
      </c>
      <c r="U1229">
        <v>0</v>
      </c>
      <c r="V1229" t="s">
        <v>4073</v>
      </c>
    </row>
    <row r="1230" spans="1:22" hidden="1" x14ac:dyDescent="0.45">
      <c r="A1230" s="2" t="s">
        <v>1335</v>
      </c>
      <c r="B1230" s="11">
        <v>44986</v>
      </c>
      <c r="C1230" s="2" t="s">
        <v>2012</v>
      </c>
      <c r="D1230" s="2" t="s">
        <v>2017</v>
      </c>
      <c r="E1230">
        <v>557.66</v>
      </c>
      <c r="F1230">
        <v>45728.119999999995</v>
      </c>
      <c r="G1230">
        <v>0</v>
      </c>
      <c r="H1230">
        <v>0</v>
      </c>
      <c r="I1230" s="2" t="s">
        <v>2025</v>
      </c>
      <c r="J1230" s="2" t="s">
        <v>2026</v>
      </c>
      <c r="K1230" s="2" t="s">
        <v>3356</v>
      </c>
      <c r="L1230" s="2" t="s">
        <v>4034</v>
      </c>
      <c r="M1230">
        <v>-557.66</v>
      </c>
      <c r="N1230" s="2" t="s">
        <v>4044</v>
      </c>
      <c r="O1230">
        <v>82</v>
      </c>
      <c r="P1230">
        <v>-45728.119999999995</v>
      </c>
      <c r="Q1230" t="b">
        <v>0</v>
      </c>
      <c r="R1230" t="b">
        <v>0</v>
      </c>
      <c r="S1230" t="b">
        <v>0</v>
      </c>
      <c r="T1230" t="b">
        <v>0</v>
      </c>
      <c r="U1230">
        <v>0</v>
      </c>
      <c r="V1230" t="s">
        <v>4073</v>
      </c>
    </row>
    <row r="1231" spans="1:22" hidden="1" x14ac:dyDescent="0.45">
      <c r="A1231" s="2" t="s">
        <v>1232</v>
      </c>
      <c r="B1231" s="11">
        <v>45527</v>
      </c>
      <c r="C1231" s="2" t="s">
        <v>2013</v>
      </c>
      <c r="D1231" s="2" t="s">
        <v>2018</v>
      </c>
      <c r="E1231">
        <v>200.78</v>
      </c>
      <c r="F1231">
        <v>12247.58</v>
      </c>
      <c r="G1231">
        <v>0</v>
      </c>
      <c r="H1231">
        <v>0</v>
      </c>
      <c r="I1231" s="2" t="s">
        <v>2025</v>
      </c>
      <c r="J1231" s="2" t="s">
        <v>2028</v>
      </c>
      <c r="K1231" s="2" t="s">
        <v>3253</v>
      </c>
      <c r="L1231" s="2" t="s">
        <v>4035</v>
      </c>
      <c r="M1231">
        <v>-200.78</v>
      </c>
      <c r="N1231" s="2" t="s">
        <v>4044</v>
      </c>
      <c r="O1231">
        <v>61</v>
      </c>
      <c r="P1231">
        <v>-12247.58</v>
      </c>
      <c r="Q1231" t="b">
        <v>0</v>
      </c>
      <c r="R1231" t="b">
        <v>0</v>
      </c>
      <c r="S1231" t="b">
        <v>0</v>
      </c>
      <c r="T1231" t="b">
        <v>0</v>
      </c>
      <c r="U1231">
        <v>0</v>
      </c>
      <c r="V1231" t="s">
        <v>4073</v>
      </c>
    </row>
    <row r="1232" spans="1:22" hidden="1" x14ac:dyDescent="0.45">
      <c r="A1232" s="2" t="s">
        <v>1107</v>
      </c>
      <c r="B1232" s="11">
        <v>45708</v>
      </c>
      <c r="C1232" s="2" t="s">
        <v>2013</v>
      </c>
      <c r="D1232" s="2" t="s">
        <v>2018</v>
      </c>
      <c r="E1232">
        <v>786.38</v>
      </c>
      <c r="F1232">
        <v>47969.18</v>
      </c>
      <c r="G1232">
        <v>0</v>
      </c>
      <c r="H1232">
        <v>0</v>
      </c>
      <c r="I1232" s="2" t="s">
        <v>2024</v>
      </c>
      <c r="J1232" s="2" t="s">
        <v>2029</v>
      </c>
      <c r="K1232" s="2" t="s">
        <v>3128</v>
      </c>
      <c r="L1232" s="2" t="s">
        <v>4035</v>
      </c>
      <c r="M1232">
        <v>-786.38</v>
      </c>
      <c r="N1232" s="2" t="s">
        <v>4044</v>
      </c>
      <c r="O1232">
        <v>61</v>
      </c>
      <c r="P1232">
        <v>-47969.18</v>
      </c>
      <c r="Q1232" t="b">
        <v>0</v>
      </c>
      <c r="R1232" t="b">
        <v>0</v>
      </c>
      <c r="S1232" t="b">
        <v>0</v>
      </c>
      <c r="T1232" t="b">
        <v>0</v>
      </c>
      <c r="U1232">
        <v>0</v>
      </c>
      <c r="V1232" t="s">
        <v>4073</v>
      </c>
    </row>
    <row r="1233" spans="1:22" hidden="1" x14ac:dyDescent="0.45">
      <c r="A1233" s="2" t="s">
        <v>1417</v>
      </c>
      <c r="B1233" s="11">
        <v>45736</v>
      </c>
      <c r="C1233" s="2" t="s">
        <v>2012</v>
      </c>
      <c r="D1233" s="2" t="s">
        <v>2017</v>
      </c>
      <c r="E1233">
        <v>443.66</v>
      </c>
      <c r="F1233">
        <v>45696.98</v>
      </c>
      <c r="G1233">
        <v>0</v>
      </c>
      <c r="H1233">
        <v>0</v>
      </c>
      <c r="I1233" s="2" t="s">
        <v>2023</v>
      </c>
      <c r="J1233" s="2" t="s">
        <v>2028</v>
      </c>
      <c r="K1233" s="2" t="s">
        <v>3438</v>
      </c>
      <c r="L1233" s="2" t="s">
        <v>4031</v>
      </c>
      <c r="M1233">
        <v>-443.66</v>
      </c>
      <c r="N1233" s="2" t="s">
        <v>4044</v>
      </c>
      <c r="O1233">
        <v>103</v>
      </c>
      <c r="P1233">
        <v>-45696.98</v>
      </c>
      <c r="Q1233" t="b">
        <v>0</v>
      </c>
      <c r="R1233" t="b">
        <v>0</v>
      </c>
      <c r="S1233" t="b">
        <v>0</v>
      </c>
      <c r="T1233" t="b">
        <v>0</v>
      </c>
      <c r="U1233">
        <v>0</v>
      </c>
      <c r="V1233" t="s">
        <v>4073</v>
      </c>
    </row>
    <row r="1234" spans="1:22" hidden="1" x14ac:dyDescent="0.45">
      <c r="A1234" s="2" t="s">
        <v>1589</v>
      </c>
      <c r="B1234" s="11">
        <v>45356</v>
      </c>
      <c r="C1234" s="2" t="s">
        <v>2013</v>
      </c>
      <c r="D1234" s="2" t="s">
        <v>2018</v>
      </c>
      <c r="E1234">
        <v>857.16</v>
      </c>
      <c r="F1234">
        <v>48000.959999999999</v>
      </c>
      <c r="G1234">
        <v>0</v>
      </c>
      <c r="H1234">
        <v>0</v>
      </c>
      <c r="I1234" s="2" t="s">
        <v>2021</v>
      </c>
      <c r="J1234" s="2" t="s">
        <v>2030</v>
      </c>
      <c r="K1234" s="2" t="s">
        <v>3610</v>
      </c>
      <c r="L1234" s="2" t="s">
        <v>4033</v>
      </c>
      <c r="M1234">
        <v>-857.16</v>
      </c>
      <c r="N1234" s="2" t="s">
        <v>4044</v>
      </c>
      <c r="O1234">
        <v>56</v>
      </c>
      <c r="P1234">
        <v>-48000.959999999999</v>
      </c>
      <c r="Q1234" t="b">
        <v>0</v>
      </c>
      <c r="R1234" t="b">
        <v>0</v>
      </c>
      <c r="S1234" t="b">
        <v>0</v>
      </c>
      <c r="T1234" t="b">
        <v>0</v>
      </c>
      <c r="U1234">
        <v>0</v>
      </c>
      <c r="V1234" t="s">
        <v>4073</v>
      </c>
    </row>
    <row r="1235" spans="1:22" hidden="1" x14ac:dyDescent="0.45">
      <c r="A1235" s="2" t="s">
        <v>1106</v>
      </c>
      <c r="B1235" s="11">
        <v>45765</v>
      </c>
      <c r="C1235" s="2" t="s">
        <v>2010</v>
      </c>
      <c r="D1235" s="2" t="s">
        <v>2015</v>
      </c>
      <c r="E1235">
        <v>0</v>
      </c>
      <c r="F1235">
        <v>0</v>
      </c>
      <c r="G1235">
        <v>183.89</v>
      </c>
      <c r="H1235">
        <v>10297.84</v>
      </c>
      <c r="I1235" s="2" t="s">
        <v>2023</v>
      </c>
      <c r="J1235" s="2" t="s">
        <v>2029</v>
      </c>
      <c r="K1235" s="2" t="s">
        <v>3127</v>
      </c>
      <c r="L1235" s="2" t="s">
        <v>4033</v>
      </c>
      <c r="M1235">
        <v>183.89</v>
      </c>
      <c r="N1235" s="2" t="s">
        <v>4042</v>
      </c>
      <c r="O1235">
        <v>56</v>
      </c>
      <c r="P1235">
        <v>10297.84</v>
      </c>
      <c r="Q1235" t="b">
        <v>0</v>
      </c>
      <c r="R1235" t="b">
        <v>0</v>
      </c>
      <c r="S1235" t="b">
        <v>0</v>
      </c>
      <c r="T1235" t="b">
        <v>0</v>
      </c>
      <c r="U1235">
        <v>0</v>
      </c>
      <c r="V1235" t="s">
        <v>4073</v>
      </c>
    </row>
    <row r="1236" spans="1:22" hidden="1" x14ac:dyDescent="0.45">
      <c r="A1236" s="2" t="s">
        <v>1165</v>
      </c>
      <c r="B1236" s="11">
        <v>45370</v>
      </c>
      <c r="C1236" s="2" t="s">
        <v>2012</v>
      </c>
      <c r="D1236" s="2" t="s">
        <v>2017</v>
      </c>
      <c r="E1236">
        <v>134.03</v>
      </c>
      <c r="F1236">
        <v>8175.83</v>
      </c>
      <c r="G1236">
        <v>0</v>
      </c>
      <c r="H1236">
        <v>0</v>
      </c>
      <c r="I1236" s="2" t="s">
        <v>2024</v>
      </c>
      <c r="J1236" s="2" t="s">
        <v>2026</v>
      </c>
      <c r="K1236" s="2" t="s">
        <v>3186</v>
      </c>
      <c r="L1236" s="2" t="s">
        <v>4035</v>
      </c>
      <c r="M1236">
        <v>-134.03</v>
      </c>
      <c r="N1236" s="2" t="s">
        <v>4044</v>
      </c>
      <c r="O1236">
        <v>61</v>
      </c>
      <c r="P1236">
        <v>-8175.83</v>
      </c>
      <c r="Q1236" t="b">
        <v>0</v>
      </c>
      <c r="R1236" t="b">
        <v>0</v>
      </c>
      <c r="S1236" t="b">
        <v>0</v>
      </c>
      <c r="T1236" t="b">
        <v>0</v>
      </c>
      <c r="U1236">
        <v>0</v>
      </c>
      <c r="V1236" t="s">
        <v>4073</v>
      </c>
    </row>
    <row r="1237" spans="1:22" hidden="1" x14ac:dyDescent="0.45">
      <c r="A1237" s="2" t="s">
        <v>769</v>
      </c>
      <c r="B1237" s="11">
        <v>45609</v>
      </c>
      <c r="C1237" s="2" t="s">
        <v>2012</v>
      </c>
      <c r="D1237" s="2" t="s">
        <v>2017</v>
      </c>
      <c r="E1237">
        <v>910.72</v>
      </c>
      <c r="F1237">
        <v>51000.32</v>
      </c>
      <c r="G1237">
        <v>0</v>
      </c>
      <c r="H1237">
        <v>0</v>
      </c>
      <c r="I1237" s="2" t="s">
        <v>2023</v>
      </c>
      <c r="J1237" s="2" t="s">
        <v>2026</v>
      </c>
      <c r="K1237" s="2" t="s">
        <v>2790</v>
      </c>
      <c r="L1237" s="2" t="s">
        <v>4033</v>
      </c>
      <c r="M1237">
        <v>-910.72</v>
      </c>
      <c r="N1237" s="2" t="s">
        <v>4044</v>
      </c>
      <c r="O1237">
        <v>56</v>
      </c>
      <c r="P1237">
        <v>-51000.32</v>
      </c>
      <c r="Q1237" t="b">
        <v>0</v>
      </c>
      <c r="R1237" t="b">
        <v>0</v>
      </c>
      <c r="S1237" t="b">
        <v>0</v>
      </c>
      <c r="T1237" t="b">
        <v>0</v>
      </c>
      <c r="U1237">
        <v>0</v>
      </c>
      <c r="V1237" t="s">
        <v>4073</v>
      </c>
    </row>
    <row r="1238" spans="1:22" hidden="1" x14ac:dyDescent="0.45">
      <c r="A1238" s="2" t="s">
        <v>1500</v>
      </c>
      <c r="B1238" s="11">
        <v>45681</v>
      </c>
      <c r="C1238" s="2" t="s">
        <v>2012</v>
      </c>
      <c r="D1238" s="2" t="s">
        <v>2017</v>
      </c>
      <c r="E1238">
        <v>495.06</v>
      </c>
      <c r="F1238">
        <v>50991.18</v>
      </c>
      <c r="G1238">
        <v>0</v>
      </c>
      <c r="H1238">
        <v>0</v>
      </c>
      <c r="I1238" s="2" t="s">
        <v>2024</v>
      </c>
      <c r="J1238" s="2" t="s">
        <v>2026</v>
      </c>
      <c r="K1238" s="2" t="s">
        <v>3521</v>
      </c>
      <c r="L1238" s="2" t="s">
        <v>4031</v>
      </c>
      <c r="M1238">
        <v>-495.06</v>
      </c>
      <c r="N1238" s="2" t="s">
        <v>4044</v>
      </c>
      <c r="O1238">
        <v>103</v>
      </c>
      <c r="P1238">
        <v>-50991.18</v>
      </c>
      <c r="Q1238" t="b">
        <v>0</v>
      </c>
      <c r="R1238" t="b">
        <v>0</v>
      </c>
      <c r="S1238" t="b">
        <v>0</v>
      </c>
      <c r="T1238" t="b">
        <v>0</v>
      </c>
      <c r="U1238">
        <v>0</v>
      </c>
      <c r="V1238" t="s">
        <v>4073</v>
      </c>
    </row>
    <row r="1239" spans="1:22" hidden="1" x14ac:dyDescent="0.45">
      <c r="A1239" s="2" t="s">
        <v>985</v>
      </c>
      <c r="B1239" s="11">
        <v>45575</v>
      </c>
      <c r="C1239" s="2" t="s">
        <v>2013</v>
      </c>
      <c r="D1239" s="2" t="s">
        <v>2018</v>
      </c>
      <c r="E1239">
        <v>906.36</v>
      </c>
      <c r="F1239">
        <v>50756.160000000003</v>
      </c>
      <c r="G1239">
        <v>0</v>
      </c>
      <c r="H1239">
        <v>0</v>
      </c>
      <c r="I1239" s="2" t="s">
        <v>2022</v>
      </c>
      <c r="J1239" s="2" t="s">
        <v>2027</v>
      </c>
      <c r="K1239" s="2" t="s">
        <v>3006</v>
      </c>
      <c r="L1239" s="2" t="s">
        <v>4033</v>
      </c>
      <c r="M1239">
        <v>-906.36</v>
      </c>
      <c r="N1239" s="2" t="s">
        <v>4044</v>
      </c>
      <c r="O1239">
        <v>56</v>
      </c>
      <c r="P1239">
        <v>-50756.160000000003</v>
      </c>
      <c r="Q1239" t="b">
        <v>0</v>
      </c>
      <c r="R1239" t="b">
        <v>0</v>
      </c>
      <c r="S1239" t="b">
        <v>0</v>
      </c>
      <c r="T1239" t="b">
        <v>0</v>
      </c>
      <c r="U1239">
        <v>0</v>
      </c>
      <c r="V1239" t="s">
        <v>4073</v>
      </c>
    </row>
    <row r="1240" spans="1:22" hidden="1" x14ac:dyDescent="0.45">
      <c r="A1240" s="2" t="s">
        <v>497</v>
      </c>
      <c r="B1240" s="11">
        <v>45510</v>
      </c>
      <c r="C1240" s="2" t="s">
        <v>2012</v>
      </c>
      <c r="D1240" s="2" t="s">
        <v>2017</v>
      </c>
      <c r="E1240">
        <v>134.5</v>
      </c>
      <c r="F1240">
        <v>8204.5</v>
      </c>
      <c r="G1240">
        <v>0</v>
      </c>
      <c r="H1240">
        <v>0</v>
      </c>
      <c r="I1240" s="2" t="s">
        <v>2024</v>
      </c>
      <c r="J1240" s="2" t="s">
        <v>2026</v>
      </c>
      <c r="K1240" s="2" t="s">
        <v>2518</v>
      </c>
      <c r="L1240" s="2" t="s">
        <v>4035</v>
      </c>
      <c r="M1240">
        <v>-134.5</v>
      </c>
      <c r="N1240" s="2" t="s">
        <v>4044</v>
      </c>
      <c r="O1240">
        <v>61</v>
      </c>
      <c r="P1240">
        <v>-8204.5</v>
      </c>
      <c r="Q1240" t="b">
        <v>0</v>
      </c>
      <c r="R1240" t="b">
        <v>0</v>
      </c>
      <c r="S1240" t="b">
        <v>0</v>
      </c>
      <c r="T1240" t="b">
        <v>0</v>
      </c>
      <c r="U1240">
        <v>0</v>
      </c>
      <c r="V1240" t="s">
        <v>4073</v>
      </c>
    </row>
    <row r="1241" spans="1:22" hidden="1" x14ac:dyDescent="0.45">
      <c r="A1241" s="2" t="s">
        <v>1544</v>
      </c>
      <c r="B1241" s="11">
        <v>45548</v>
      </c>
      <c r="C1241" s="2" t="s">
        <v>2012</v>
      </c>
      <c r="D1241" s="2" t="s">
        <v>2017</v>
      </c>
      <c r="E1241">
        <v>618.26</v>
      </c>
      <c r="F1241">
        <v>50697.32</v>
      </c>
      <c r="G1241">
        <v>0</v>
      </c>
      <c r="H1241">
        <v>0</v>
      </c>
      <c r="I1241" s="2" t="s">
        <v>2022</v>
      </c>
      <c r="J1241" s="2" t="s">
        <v>2030</v>
      </c>
      <c r="K1241" s="2" t="s">
        <v>3565</v>
      </c>
      <c r="L1241" s="2" t="s">
        <v>4034</v>
      </c>
      <c r="M1241">
        <v>-618.26</v>
      </c>
      <c r="N1241" s="2" t="s">
        <v>4044</v>
      </c>
      <c r="O1241">
        <v>82</v>
      </c>
      <c r="P1241">
        <v>-50697.32</v>
      </c>
      <c r="Q1241" t="b">
        <v>0</v>
      </c>
      <c r="R1241" t="b">
        <v>0</v>
      </c>
      <c r="S1241" t="b">
        <v>0</v>
      </c>
      <c r="T1241" t="b">
        <v>0</v>
      </c>
      <c r="U1241">
        <v>0</v>
      </c>
      <c r="V1241" t="s">
        <v>4073</v>
      </c>
    </row>
    <row r="1242" spans="1:22" hidden="1" x14ac:dyDescent="0.45">
      <c r="A1242" s="2" t="s">
        <v>1149</v>
      </c>
      <c r="B1242" s="11">
        <v>45547</v>
      </c>
      <c r="C1242" s="2" t="s">
        <v>2012</v>
      </c>
      <c r="D1242" s="2" t="s">
        <v>2017</v>
      </c>
      <c r="E1242">
        <v>901.69</v>
      </c>
      <c r="F1242">
        <v>50494.64</v>
      </c>
      <c r="G1242">
        <v>0</v>
      </c>
      <c r="H1242">
        <v>0</v>
      </c>
      <c r="I1242" s="2" t="s">
        <v>2021</v>
      </c>
      <c r="J1242" s="2" t="s">
        <v>2026</v>
      </c>
      <c r="K1242" s="2" t="s">
        <v>3170</v>
      </c>
      <c r="L1242" s="2" t="s">
        <v>4033</v>
      </c>
      <c r="M1242">
        <v>-901.69</v>
      </c>
      <c r="N1242" s="2" t="s">
        <v>4044</v>
      </c>
      <c r="O1242">
        <v>56</v>
      </c>
      <c r="P1242">
        <v>-50494.64</v>
      </c>
      <c r="Q1242" t="b">
        <v>0</v>
      </c>
      <c r="R1242" t="b">
        <v>0</v>
      </c>
      <c r="S1242" t="b">
        <v>0</v>
      </c>
      <c r="T1242" t="b">
        <v>0</v>
      </c>
      <c r="U1242">
        <v>0</v>
      </c>
      <c r="V1242" t="s">
        <v>4073</v>
      </c>
    </row>
    <row r="1243" spans="1:22" hidden="1" x14ac:dyDescent="0.45">
      <c r="A1243" s="2" t="s">
        <v>1144</v>
      </c>
      <c r="B1243" s="11">
        <v>45614</v>
      </c>
      <c r="C1243" s="2" t="s">
        <v>2011</v>
      </c>
      <c r="D1243" s="2" t="s">
        <v>2016</v>
      </c>
      <c r="E1243">
        <v>900.67</v>
      </c>
      <c r="F1243">
        <v>50437.52</v>
      </c>
      <c r="G1243">
        <v>0</v>
      </c>
      <c r="H1243">
        <v>0</v>
      </c>
      <c r="I1243" s="2" t="s">
        <v>2023</v>
      </c>
      <c r="J1243" s="2" t="s">
        <v>2029</v>
      </c>
      <c r="K1243" s="2" t="s">
        <v>3165</v>
      </c>
      <c r="L1243" s="2" t="s">
        <v>4033</v>
      </c>
      <c r="M1243">
        <v>-900.67</v>
      </c>
      <c r="N1243" s="2" t="s">
        <v>2016</v>
      </c>
      <c r="O1243">
        <v>56</v>
      </c>
      <c r="P1243">
        <v>-50437.52</v>
      </c>
      <c r="Q1243" t="b">
        <v>0</v>
      </c>
      <c r="R1243" t="b">
        <v>0</v>
      </c>
      <c r="S1243" t="b">
        <v>0</v>
      </c>
      <c r="T1243" t="b">
        <v>0</v>
      </c>
      <c r="U1243">
        <v>0</v>
      </c>
      <c r="V1243" t="s">
        <v>4073</v>
      </c>
    </row>
    <row r="1244" spans="1:22" hidden="1" x14ac:dyDescent="0.45">
      <c r="A1244" s="2" t="s">
        <v>246</v>
      </c>
      <c r="B1244" s="11">
        <v>45586</v>
      </c>
      <c r="C1244" s="2" t="s">
        <v>2013</v>
      </c>
      <c r="D1244" s="2" t="s">
        <v>2018</v>
      </c>
      <c r="E1244">
        <v>151.34</v>
      </c>
      <c r="F1244">
        <v>8475.0400000000009</v>
      </c>
      <c r="G1244">
        <v>0</v>
      </c>
      <c r="H1244">
        <v>0</v>
      </c>
      <c r="I1244" s="2" t="s">
        <v>2023</v>
      </c>
      <c r="J1244" s="2" t="s">
        <v>2026</v>
      </c>
      <c r="K1244" s="2" t="s">
        <v>2267</v>
      </c>
      <c r="L1244" s="2" t="s">
        <v>4033</v>
      </c>
      <c r="M1244">
        <v>-151.34</v>
      </c>
      <c r="N1244" s="2" t="s">
        <v>4044</v>
      </c>
      <c r="O1244">
        <v>56</v>
      </c>
      <c r="P1244">
        <v>-8475.0400000000009</v>
      </c>
      <c r="Q1244" t="b">
        <v>0</v>
      </c>
      <c r="R1244" t="b">
        <v>0</v>
      </c>
      <c r="S1244" t="b">
        <v>0</v>
      </c>
      <c r="T1244" t="b">
        <v>0</v>
      </c>
      <c r="U1244">
        <v>0</v>
      </c>
      <c r="V1244" t="s">
        <v>4073</v>
      </c>
    </row>
    <row r="1245" spans="1:22" hidden="1" x14ac:dyDescent="0.45">
      <c r="A1245" s="2" t="s">
        <v>411</v>
      </c>
      <c r="B1245" s="11">
        <v>45679</v>
      </c>
      <c r="C1245" s="2" t="s">
        <v>2013</v>
      </c>
      <c r="D1245" s="2" t="s">
        <v>2018</v>
      </c>
      <c r="E1245">
        <v>571.80999999999995</v>
      </c>
      <c r="F1245">
        <v>50319.28</v>
      </c>
      <c r="G1245">
        <v>0</v>
      </c>
      <c r="H1245">
        <v>0</v>
      </c>
      <c r="I1245" s="2" t="s">
        <v>2023</v>
      </c>
      <c r="J1245" s="2" t="s">
        <v>2029</v>
      </c>
      <c r="K1245" s="2" t="s">
        <v>2432</v>
      </c>
      <c r="L1245" s="2" t="s">
        <v>4032</v>
      </c>
      <c r="M1245">
        <v>-571.80999999999995</v>
      </c>
      <c r="N1245" s="2" t="s">
        <v>4044</v>
      </c>
      <c r="O1245">
        <v>88</v>
      </c>
      <c r="P1245">
        <v>-50319.28</v>
      </c>
      <c r="Q1245" t="b">
        <v>0</v>
      </c>
      <c r="R1245" t="b">
        <v>0</v>
      </c>
      <c r="S1245" t="b">
        <v>0</v>
      </c>
      <c r="T1245" t="b">
        <v>0</v>
      </c>
      <c r="U1245">
        <v>0</v>
      </c>
      <c r="V1245" t="s">
        <v>4073</v>
      </c>
    </row>
    <row r="1246" spans="1:22" hidden="1" x14ac:dyDescent="0.45">
      <c r="A1246" s="2" t="s">
        <v>692</v>
      </c>
      <c r="B1246" s="11">
        <v>45832</v>
      </c>
      <c r="C1246" s="2" t="s">
        <v>2013</v>
      </c>
      <c r="D1246" s="2" t="s">
        <v>2018</v>
      </c>
      <c r="E1246">
        <v>151.68</v>
      </c>
      <c r="F1246">
        <v>8494.08</v>
      </c>
      <c r="G1246">
        <v>0</v>
      </c>
      <c r="H1246">
        <v>0</v>
      </c>
      <c r="I1246" s="2" t="s">
        <v>2022</v>
      </c>
      <c r="J1246" s="2" t="s">
        <v>2029</v>
      </c>
      <c r="K1246" s="2" t="s">
        <v>2713</v>
      </c>
      <c r="L1246" s="2" t="s">
        <v>4033</v>
      </c>
      <c r="M1246">
        <v>-151.68</v>
      </c>
      <c r="N1246" s="2" t="s">
        <v>4044</v>
      </c>
      <c r="O1246">
        <v>56</v>
      </c>
      <c r="P1246">
        <v>-8494.08</v>
      </c>
      <c r="Q1246" t="b">
        <v>0</v>
      </c>
      <c r="R1246" t="b">
        <v>0</v>
      </c>
      <c r="S1246" t="b">
        <v>0</v>
      </c>
      <c r="T1246" t="b">
        <v>0</v>
      </c>
      <c r="U1246">
        <v>0</v>
      </c>
      <c r="V1246" t="s">
        <v>4073</v>
      </c>
    </row>
    <row r="1247" spans="1:22" hidden="1" x14ac:dyDescent="0.45">
      <c r="A1247" s="2" t="s">
        <v>1371</v>
      </c>
      <c r="B1247" s="11">
        <v>45694</v>
      </c>
      <c r="C1247" s="2" t="s">
        <v>2011</v>
      </c>
      <c r="D1247" s="2" t="s">
        <v>2016</v>
      </c>
      <c r="E1247">
        <v>488.16</v>
      </c>
      <c r="F1247">
        <v>50280.480000000003</v>
      </c>
      <c r="G1247">
        <v>0</v>
      </c>
      <c r="H1247">
        <v>0</v>
      </c>
      <c r="I1247" s="2" t="s">
        <v>2023</v>
      </c>
      <c r="J1247" s="2" t="s">
        <v>2026</v>
      </c>
      <c r="K1247" s="2" t="s">
        <v>3392</v>
      </c>
      <c r="L1247" s="2" t="s">
        <v>4031</v>
      </c>
      <c r="M1247">
        <v>-488.16</v>
      </c>
      <c r="N1247" s="2" t="s">
        <v>2016</v>
      </c>
      <c r="O1247">
        <v>103</v>
      </c>
      <c r="P1247">
        <v>-50280.480000000003</v>
      </c>
      <c r="Q1247" t="b">
        <v>0</v>
      </c>
      <c r="R1247" t="b">
        <v>0</v>
      </c>
      <c r="S1247" t="b">
        <v>0</v>
      </c>
      <c r="T1247" t="b">
        <v>0</v>
      </c>
      <c r="U1247">
        <v>0</v>
      </c>
      <c r="V1247" t="s">
        <v>4073</v>
      </c>
    </row>
    <row r="1248" spans="1:22" hidden="1" x14ac:dyDescent="0.45">
      <c r="A1248" s="2" t="s">
        <v>169</v>
      </c>
      <c r="B1248" s="11">
        <v>45828</v>
      </c>
      <c r="C1248" s="2" t="s">
        <v>2013</v>
      </c>
      <c r="D1248" s="2" t="s">
        <v>2018</v>
      </c>
      <c r="E1248">
        <v>571.01</v>
      </c>
      <c r="F1248">
        <v>50248.88</v>
      </c>
      <c r="G1248">
        <v>0</v>
      </c>
      <c r="H1248">
        <v>0</v>
      </c>
      <c r="I1248" s="2" t="s">
        <v>2024</v>
      </c>
      <c r="J1248" s="2" t="s">
        <v>2027</v>
      </c>
      <c r="K1248" s="2" t="s">
        <v>2190</v>
      </c>
      <c r="L1248" s="2" t="s">
        <v>4032</v>
      </c>
      <c r="M1248">
        <v>-571.01</v>
      </c>
      <c r="N1248" s="2" t="s">
        <v>4044</v>
      </c>
      <c r="O1248">
        <v>88</v>
      </c>
      <c r="P1248">
        <v>-50248.88</v>
      </c>
      <c r="Q1248" t="b">
        <v>0</v>
      </c>
      <c r="R1248" t="b">
        <v>0</v>
      </c>
      <c r="S1248" t="b">
        <v>0</v>
      </c>
      <c r="T1248" t="b">
        <v>0</v>
      </c>
      <c r="U1248">
        <v>0</v>
      </c>
      <c r="V1248" t="s">
        <v>4073</v>
      </c>
    </row>
    <row r="1249" spans="1:22" hidden="1" x14ac:dyDescent="0.45">
      <c r="A1249" s="2" t="s">
        <v>1621</v>
      </c>
      <c r="B1249" s="11">
        <v>45028</v>
      </c>
      <c r="C1249" s="2" t="s">
        <v>2012</v>
      </c>
      <c r="D1249" s="2" t="s">
        <v>2017</v>
      </c>
      <c r="E1249">
        <v>896.81</v>
      </c>
      <c r="F1249">
        <v>50221.36</v>
      </c>
      <c r="G1249">
        <v>0</v>
      </c>
      <c r="H1249">
        <v>0</v>
      </c>
      <c r="I1249" s="2" t="s">
        <v>2025</v>
      </c>
      <c r="J1249" s="2" t="s">
        <v>2028</v>
      </c>
      <c r="K1249" s="2" t="s">
        <v>3642</v>
      </c>
      <c r="L1249" s="2" t="s">
        <v>4033</v>
      </c>
      <c r="M1249">
        <v>-896.81</v>
      </c>
      <c r="N1249" s="2" t="s">
        <v>4044</v>
      </c>
      <c r="O1249">
        <v>56</v>
      </c>
      <c r="P1249">
        <v>-50221.36</v>
      </c>
      <c r="Q1249" t="b">
        <v>0</v>
      </c>
      <c r="R1249" t="b">
        <v>0</v>
      </c>
      <c r="S1249" t="b">
        <v>0</v>
      </c>
      <c r="T1249" t="b">
        <v>0</v>
      </c>
      <c r="U1249">
        <v>0</v>
      </c>
      <c r="V1249" t="s">
        <v>4073</v>
      </c>
    </row>
    <row r="1250" spans="1:22" hidden="1" x14ac:dyDescent="0.45">
      <c r="A1250" s="2" t="s">
        <v>1551</v>
      </c>
      <c r="B1250" s="11">
        <v>45429</v>
      </c>
      <c r="C1250" s="2" t="s">
        <v>2011</v>
      </c>
      <c r="D1250" s="2" t="s">
        <v>2016</v>
      </c>
      <c r="E1250">
        <v>889.68</v>
      </c>
      <c r="F1250">
        <v>49822.079999999994</v>
      </c>
      <c r="G1250">
        <v>0</v>
      </c>
      <c r="H1250">
        <v>0</v>
      </c>
      <c r="I1250" s="2" t="s">
        <v>2023</v>
      </c>
      <c r="J1250" s="2" t="s">
        <v>2027</v>
      </c>
      <c r="K1250" s="2" t="s">
        <v>3572</v>
      </c>
      <c r="L1250" s="2" t="s">
        <v>4033</v>
      </c>
      <c r="M1250">
        <v>-889.68</v>
      </c>
      <c r="N1250" s="2" t="s">
        <v>2016</v>
      </c>
      <c r="O1250">
        <v>56</v>
      </c>
      <c r="P1250">
        <v>-49822.079999999994</v>
      </c>
      <c r="Q1250" t="b">
        <v>0</v>
      </c>
      <c r="R1250" t="b">
        <v>0</v>
      </c>
      <c r="S1250" t="b">
        <v>0</v>
      </c>
      <c r="T1250" t="b">
        <v>0</v>
      </c>
      <c r="U1250">
        <v>0</v>
      </c>
      <c r="V1250" t="s">
        <v>4073</v>
      </c>
    </row>
    <row r="1251" spans="1:22" hidden="1" x14ac:dyDescent="0.45">
      <c r="A1251" s="2" t="s">
        <v>1281</v>
      </c>
      <c r="B1251" s="11">
        <v>45547</v>
      </c>
      <c r="C1251" s="2" t="s">
        <v>2010</v>
      </c>
      <c r="D1251" s="2" t="s">
        <v>2015</v>
      </c>
      <c r="E1251">
        <v>0</v>
      </c>
      <c r="F1251">
        <v>0</v>
      </c>
      <c r="G1251">
        <v>112.08</v>
      </c>
      <c r="H1251">
        <v>9190.56</v>
      </c>
      <c r="I1251" s="2" t="s">
        <v>2021</v>
      </c>
      <c r="J1251" s="2" t="s">
        <v>2030</v>
      </c>
      <c r="K1251" s="2" t="s">
        <v>3302</v>
      </c>
      <c r="L1251" s="2" t="s">
        <v>4034</v>
      </c>
      <c r="M1251">
        <v>112.08</v>
      </c>
      <c r="N1251" s="2" t="s">
        <v>4042</v>
      </c>
      <c r="O1251">
        <v>82</v>
      </c>
      <c r="P1251">
        <v>9190.56</v>
      </c>
      <c r="Q1251" t="b">
        <v>0</v>
      </c>
      <c r="R1251" t="b">
        <v>0</v>
      </c>
      <c r="S1251" t="b">
        <v>0</v>
      </c>
      <c r="T1251" t="b">
        <v>0</v>
      </c>
      <c r="U1251">
        <v>0</v>
      </c>
      <c r="V1251" t="s">
        <v>4073</v>
      </c>
    </row>
    <row r="1252" spans="1:22" hidden="1" x14ac:dyDescent="0.45">
      <c r="A1252" s="2" t="s">
        <v>133</v>
      </c>
      <c r="B1252" s="11">
        <v>45345</v>
      </c>
      <c r="C1252" s="2" t="s">
        <v>2011</v>
      </c>
      <c r="D1252" s="2" t="s">
        <v>2016</v>
      </c>
      <c r="E1252">
        <v>150.66999999999999</v>
      </c>
      <c r="F1252">
        <v>9190.869999999999</v>
      </c>
      <c r="G1252">
        <v>0</v>
      </c>
      <c r="H1252">
        <v>0</v>
      </c>
      <c r="I1252" s="2" t="s">
        <v>2023</v>
      </c>
      <c r="J1252" s="2" t="s">
        <v>2026</v>
      </c>
      <c r="K1252" s="2" t="s">
        <v>2154</v>
      </c>
      <c r="L1252" s="2" t="s">
        <v>4035</v>
      </c>
      <c r="M1252">
        <v>-150.66999999999999</v>
      </c>
      <c r="N1252" s="2" t="s">
        <v>2016</v>
      </c>
      <c r="O1252">
        <v>61</v>
      </c>
      <c r="P1252">
        <v>-9190.869999999999</v>
      </c>
      <c r="Q1252" t="b">
        <v>0</v>
      </c>
      <c r="R1252" t="b">
        <v>0</v>
      </c>
      <c r="S1252" t="b">
        <v>0</v>
      </c>
      <c r="T1252" t="b">
        <v>0</v>
      </c>
      <c r="U1252">
        <v>0</v>
      </c>
      <c r="V1252" t="s">
        <v>4073</v>
      </c>
    </row>
    <row r="1253" spans="1:22" hidden="1" x14ac:dyDescent="0.45">
      <c r="A1253" s="2" t="s">
        <v>1628</v>
      </c>
      <c r="B1253" s="11">
        <v>45614</v>
      </c>
      <c r="C1253" s="2" t="s">
        <v>2013</v>
      </c>
      <c r="D1253" s="2" t="s">
        <v>2018</v>
      </c>
      <c r="E1253">
        <v>883.62</v>
      </c>
      <c r="F1253">
        <v>49482.720000000001</v>
      </c>
      <c r="G1253">
        <v>0</v>
      </c>
      <c r="H1253">
        <v>0</v>
      </c>
      <c r="I1253" s="2" t="s">
        <v>2022</v>
      </c>
      <c r="J1253" s="2" t="s">
        <v>2029</v>
      </c>
      <c r="K1253" s="2" t="s">
        <v>3649</v>
      </c>
      <c r="L1253" s="2" t="s">
        <v>4033</v>
      </c>
      <c r="M1253">
        <v>-883.62</v>
      </c>
      <c r="N1253" s="2" t="s">
        <v>4044</v>
      </c>
      <c r="O1253">
        <v>56</v>
      </c>
      <c r="P1253">
        <v>-49482.720000000001</v>
      </c>
      <c r="Q1253" t="b">
        <v>0</v>
      </c>
      <c r="R1253" t="b">
        <v>0</v>
      </c>
      <c r="S1253" t="b">
        <v>0</v>
      </c>
      <c r="T1253" t="b">
        <v>0</v>
      </c>
      <c r="U1253">
        <v>0</v>
      </c>
      <c r="V1253" t="s">
        <v>4073</v>
      </c>
    </row>
    <row r="1254" spans="1:22" hidden="1" x14ac:dyDescent="0.45">
      <c r="A1254" s="2" t="s">
        <v>334</v>
      </c>
      <c r="B1254" s="11">
        <v>44972</v>
      </c>
      <c r="C1254" s="2" t="s">
        <v>2012</v>
      </c>
      <c r="D1254" s="2" t="s">
        <v>2017</v>
      </c>
      <c r="E1254">
        <v>603.09</v>
      </c>
      <c r="F1254">
        <v>49453.380000000005</v>
      </c>
      <c r="G1254">
        <v>0</v>
      </c>
      <c r="H1254">
        <v>0</v>
      </c>
      <c r="I1254" s="2" t="s">
        <v>2022</v>
      </c>
      <c r="J1254" s="2" t="s">
        <v>2029</v>
      </c>
      <c r="K1254" s="2" t="s">
        <v>2355</v>
      </c>
      <c r="L1254" s="2" t="s">
        <v>4034</v>
      </c>
      <c r="M1254">
        <v>-603.09</v>
      </c>
      <c r="N1254" s="2" t="s">
        <v>4044</v>
      </c>
      <c r="O1254">
        <v>82</v>
      </c>
      <c r="P1254">
        <v>-49453.380000000005</v>
      </c>
      <c r="Q1254" t="b">
        <v>0</v>
      </c>
      <c r="R1254" t="b">
        <v>0</v>
      </c>
      <c r="S1254" t="b">
        <v>0</v>
      </c>
      <c r="T1254" t="b">
        <v>0</v>
      </c>
      <c r="U1254">
        <v>0</v>
      </c>
      <c r="V1254" t="s">
        <v>4073</v>
      </c>
    </row>
    <row r="1255" spans="1:22" hidden="1" x14ac:dyDescent="0.45">
      <c r="A1255" s="2" t="s">
        <v>1620</v>
      </c>
      <c r="B1255" s="11">
        <v>45555</v>
      </c>
      <c r="C1255" s="2" t="s">
        <v>2014</v>
      </c>
      <c r="D1255" s="2" t="s">
        <v>2019</v>
      </c>
      <c r="E1255">
        <v>0</v>
      </c>
      <c r="F1255">
        <v>0</v>
      </c>
      <c r="G1255">
        <v>881.32</v>
      </c>
      <c r="H1255">
        <v>49353.920000000006</v>
      </c>
      <c r="I1255" s="2" t="s">
        <v>2025</v>
      </c>
      <c r="J1255" s="2" t="s">
        <v>2030</v>
      </c>
      <c r="K1255" s="2" t="s">
        <v>3641</v>
      </c>
      <c r="L1255" s="2" t="s">
        <v>4033</v>
      </c>
      <c r="M1255">
        <v>881.32</v>
      </c>
      <c r="N1255" s="2" t="s">
        <v>4042</v>
      </c>
      <c r="O1255">
        <v>56</v>
      </c>
      <c r="P1255">
        <v>49353.920000000006</v>
      </c>
      <c r="Q1255" t="b">
        <v>0</v>
      </c>
      <c r="R1255" t="b">
        <v>0</v>
      </c>
      <c r="S1255" t="b">
        <v>0</v>
      </c>
      <c r="T1255" t="b">
        <v>0</v>
      </c>
      <c r="U1255">
        <v>0</v>
      </c>
      <c r="V1255" t="s">
        <v>4073</v>
      </c>
    </row>
    <row r="1256" spans="1:22" hidden="1" x14ac:dyDescent="0.45">
      <c r="A1256" s="2" t="s">
        <v>1841</v>
      </c>
      <c r="B1256" s="11">
        <v>45467</v>
      </c>
      <c r="C1256" s="2" t="s">
        <v>2012</v>
      </c>
      <c r="D1256" s="2" t="s">
        <v>2017</v>
      </c>
      <c r="E1256">
        <v>153.35</v>
      </c>
      <c r="F1256">
        <v>9354.35</v>
      </c>
      <c r="G1256">
        <v>0</v>
      </c>
      <c r="H1256">
        <v>0</v>
      </c>
      <c r="I1256" s="2" t="s">
        <v>2024</v>
      </c>
      <c r="J1256" s="2" t="s">
        <v>2028</v>
      </c>
      <c r="K1256" s="2" t="s">
        <v>3862</v>
      </c>
      <c r="L1256" s="2" t="s">
        <v>4035</v>
      </c>
      <c r="M1256">
        <v>-153.35</v>
      </c>
      <c r="N1256" s="2" t="s">
        <v>4044</v>
      </c>
      <c r="O1256">
        <v>61</v>
      </c>
      <c r="P1256">
        <v>-9354.35</v>
      </c>
      <c r="Q1256" t="b">
        <v>0</v>
      </c>
      <c r="R1256" t="b">
        <v>0</v>
      </c>
      <c r="S1256" t="b">
        <v>0</v>
      </c>
      <c r="T1256" t="b">
        <v>0</v>
      </c>
      <c r="U1256">
        <v>0</v>
      </c>
      <c r="V1256" t="s">
        <v>4073</v>
      </c>
    </row>
    <row r="1257" spans="1:22" hidden="1" x14ac:dyDescent="0.45">
      <c r="A1257" s="2" t="s">
        <v>146</v>
      </c>
      <c r="B1257" s="11">
        <v>45177</v>
      </c>
      <c r="C1257" s="2" t="s">
        <v>2014</v>
      </c>
      <c r="D1257" s="2" t="s">
        <v>2019</v>
      </c>
      <c r="E1257">
        <v>0</v>
      </c>
      <c r="F1257">
        <v>0</v>
      </c>
      <c r="G1257">
        <v>877.66</v>
      </c>
      <c r="H1257">
        <v>49148.959999999999</v>
      </c>
      <c r="I1257" s="2" t="s">
        <v>2021</v>
      </c>
      <c r="J1257" s="2" t="s">
        <v>2027</v>
      </c>
      <c r="K1257" s="2" t="s">
        <v>2167</v>
      </c>
      <c r="L1257" s="2" t="s">
        <v>4033</v>
      </c>
      <c r="M1257">
        <v>877.66</v>
      </c>
      <c r="N1257" s="2" t="s">
        <v>4042</v>
      </c>
      <c r="O1257">
        <v>56</v>
      </c>
      <c r="P1257">
        <v>49148.959999999999</v>
      </c>
      <c r="Q1257" t="b">
        <v>0</v>
      </c>
      <c r="R1257" t="b">
        <v>0</v>
      </c>
      <c r="S1257" t="b">
        <v>0</v>
      </c>
      <c r="T1257" t="b">
        <v>0</v>
      </c>
      <c r="U1257">
        <v>0</v>
      </c>
      <c r="V1257" t="s">
        <v>4073</v>
      </c>
    </row>
    <row r="1258" spans="1:22" hidden="1" x14ac:dyDescent="0.45">
      <c r="A1258" s="2" t="s">
        <v>29</v>
      </c>
      <c r="B1258" s="11">
        <v>45537</v>
      </c>
      <c r="C1258" s="2" t="s">
        <v>2011</v>
      </c>
      <c r="D1258" s="2" t="s">
        <v>2016</v>
      </c>
      <c r="E1258">
        <v>154.43</v>
      </c>
      <c r="F1258">
        <v>9420.23</v>
      </c>
      <c r="G1258">
        <v>0</v>
      </c>
      <c r="H1258">
        <v>0</v>
      </c>
      <c r="I1258" s="2" t="s">
        <v>2025</v>
      </c>
      <c r="J1258" s="2" t="s">
        <v>2027</v>
      </c>
      <c r="K1258" s="2" t="s">
        <v>2050</v>
      </c>
      <c r="L1258" s="2" t="s">
        <v>4035</v>
      </c>
      <c r="M1258">
        <v>-154.43</v>
      </c>
      <c r="N1258" s="2" t="s">
        <v>2016</v>
      </c>
      <c r="O1258">
        <v>61</v>
      </c>
      <c r="P1258">
        <v>-9420.23</v>
      </c>
      <c r="Q1258" t="b">
        <v>0</v>
      </c>
      <c r="R1258" t="b">
        <v>0</v>
      </c>
      <c r="S1258" t="b">
        <v>0</v>
      </c>
      <c r="T1258" t="b">
        <v>0</v>
      </c>
      <c r="U1258">
        <v>0</v>
      </c>
      <c r="V1258" t="s">
        <v>4073</v>
      </c>
    </row>
    <row r="1259" spans="1:22" hidden="1" x14ac:dyDescent="0.45">
      <c r="A1259" s="2" t="s">
        <v>479</v>
      </c>
      <c r="B1259" s="11">
        <v>45222</v>
      </c>
      <c r="C1259" s="2" t="s">
        <v>2011</v>
      </c>
      <c r="D1259" s="2" t="s">
        <v>2016</v>
      </c>
      <c r="E1259">
        <v>805.56</v>
      </c>
      <c r="F1259">
        <v>49139.159999999996</v>
      </c>
      <c r="G1259">
        <v>0</v>
      </c>
      <c r="H1259">
        <v>0</v>
      </c>
      <c r="I1259" s="2" t="s">
        <v>2020</v>
      </c>
      <c r="J1259" s="2" t="s">
        <v>2028</v>
      </c>
      <c r="K1259" s="2" t="s">
        <v>2500</v>
      </c>
      <c r="L1259" s="2" t="s">
        <v>4035</v>
      </c>
      <c r="M1259">
        <v>-805.56</v>
      </c>
      <c r="N1259" s="2" t="s">
        <v>2016</v>
      </c>
      <c r="O1259">
        <v>61</v>
      </c>
      <c r="P1259">
        <v>-49139.159999999996</v>
      </c>
      <c r="Q1259" t="b">
        <v>0</v>
      </c>
      <c r="R1259" t="b">
        <v>0</v>
      </c>
      <c r="S1259" t="b">
        <v>0</v>
      </c>
      <c r="T1259" t="b">
        <v>0</v>
      </c>
      <c r="U1259">
        <v>0</v>
      </c>
      <c r="V1259" t="s">
        <v>4073</v>
      </c>
    </row>
    <row r="1260" spans="1:22" hidden="1" x14ac:dyDescent="0.45">
      <c r="A1260" s="2" t="s">
        <v>1633</v>
      </c>
      <c r="B1260" s="11">
        <v>44959</v>
      </c>
      <c r="C1260" s="2" t="s">
        <v>2011</v>
      </c>
      <c r="D1260" s="2" t="s">
        <v>2016</v>
      </c>
      <c r="E1260">
        <v>870.5</v>
      </c>
      <c r="F1260">
        <v>48748</v>
      </c>
      <c r="G1260">
        <v>0</v>
      </c>
      <c r="H1260">
        <v>0</v>
      </c>
      <c r="I1260" s="2" t="s">
        <v>2024</v>
      </c>
      <c r="J1260" s="2" t="s">
        <v>2029</v>
      </c>
      <c r="K1260" s="2" t="s">
        <v>3654</v>
      </c>
      <c r="L1260" s="2" t="s">
        <v>4033</v>
      </c>
      <c r="M1260">
        <v>-870.5</v>
      </c>
      <c r="N1260" s="2" t="s">
        <v>2016</v>
      </c>
      <c r="O1260">
        <v>56</v>
      </c>
      <c r="P1260">
        <v>-48748</v>
      </c>
      <c r="Q1260" t="b">
        <v>0</v>
      </c>
      <c r="R1260" t="b">
        <v>0</v>
      </c>
      <c r="S1260" t="b">
        <v>0</v>
      </c>
      <c r="T1260" t="b">
        <v>0</v>
      </c>
      <c r="U1260">
        <v>0</v>
      </c>
      <c r="V1260" t="s">
        <v>4073</v>
      </c>
    </row>
    <row r="1261" spans="1:22" hidden="1" x14ac:dyDescent="0.45">
      <c r="A1261" s="2" t="s">
        <v>107</v>
      </c>
      <c r="B1261" s="11">
        <v>45789</v>
      </c>
      <c r="C1261" s="2" t="s">
        <v>2013</v>
      </c>
      <c r="D1261" s="2" t="s">
        <v>2018</v>
      </c>
      <c r="E1261">
        <v>121.65</v>
      </c>
      <c r="F1261">
        <v>9975.3000000000011</v>
      </c>
      <c r="G1261">
        <v>0</v>
      </c>
      <c r="H1261">
        <v>0</v>
      </c>
      <c r="I1261" s="2" t="s">
        <v>2021</v>
      </c>
      <c r="J1261" s="2" t="s">
        <v>2029</v>
      </c>
      <c r="K1261" s="2" t="s">
        <v>2128</v>
      </c>
      <c r="L1261" s="2" t="s">
        <v>4034</v>
      </c>
      <c r="M1261">
        <v>-121.65</v>
      </c>
      <c r="N1261" s="2" t="s">
        <v>4044</v>
      </c>
      <c r="O1261">
        <v>82</v>
      </c>
      <c r="P1261">
        <v>-9975.3000000000011</v>
      </c>
      <c r="Q1261" t="b">
        <v>0</v>
      </c>
      <c r="R1261" t="b">
        <v>0</v>
      </c>
      <c r="S1261" t="b">
        <v>0</v>
      </c>
      <c r="T1261" t="b">
        <v>0</v>
      </c>
      <c r="U1261">
        <v>0</v>
      </c>
      <c r="V1261" t="s">
        <v>4073</v>
      </c>
    </row>
    <row r="1262" spans="1:22" hidden="1" x14ac:dyDescent="0.45">
      <c r="A1262" s="2" t="s">
        <v>1641</v>
      </c>
      <c r="B1262" s="11">
        <v>45308</v>
      </c>
      <c r="C1262" s="2" t="s">
        <v>2012</v>
      </c>
      <c r="D1262" s="2" t="s">
        <v>2017</v>
      </c>
      <c r="E1262">
        <v>472.82</v>
      </c>
      <c r="F1262">
        <v>48700.46</v>
      </c>
      <c r="G1262">
        <v>0</v>
      </c>
      <c r="H1262">
        <v>0</v>
      </c>
      <c r="I1262" s="2" t="s">
        <v>2022</v>
      </c>
      <c r="J1262" s="2" t="s">
        <v>2028</v>
      </c>
      <c r="K1262" s="2" t="s">
        <v>3662</v>
      </c>
      <c r="L1262" s="2" t="s">
        <v>4031</v>
      </c>
      <c r="M1262">
        <v>-472.82</v>
      </c>
      <c r="N1262" s="2" t="s">
        <v>4044</v>
      </c>
      <c r="O1262">
        <v>103</v>
      </c>
      <c r="P1262">
        <v>-48700.46</v>
      </c>
      <c r="Q1262" t="b">
        <v>0</v>
      </c>
      <c r="R1262" t="b">
        <v>0</v>
      </c>
      <c r="S1262" t="b">
        <v>0</v>
      </c>
      <c r="T1262" t="b">
        <v>0</v>
      </c>
      <c r="U1262">
        <v>0</v>
      </c>
      <c r="V1262" t="s">
        <v>4073</v>
      </c>
    </row>
    <row r="1263" spans="1:22" hidden="1" x14ac:dyDescent="0.45">
      <c r="A1263" s="2" t="s">
        <v>1922</v>
      </c>
      <c r="B1263" s="11">
        <v>45223</v>
      </c>
      <c r="C1263" s="2" t="s">
        <v>2014</v>
      </c>
      <c r="D1263" s="2" t="s">
        <v>2019</v>
      </c>
      <c r="E1263">
        <v>0</v>
      </c>
      <c r="F1263">
        <v>0</v>
      </c>
      <c r="G1263">
        <v>166.31</v>
      </c>
      <c r="H1263">
        <v>10144.91</v>
      </c>
      <c r="I1263" s="2" t="s">
        <v>2024</v>
      </c>
      <c r="J1263" s="2" t="s">
        <v>2026</v>
      </c>
      <c r="K1263" s="2" t="s">
        <v>3943</v>
      </c>
      <c r="L1263" s="2" t="s">
        <v>4035</v>
      </c>
      <c r="M1263">
        <v>166.31</v>
      </c>
      <c r="N1263" s="2" t="s">
        <v>4042</v>
      </c>
      <c r="O1263">
        <v>61</v>
      </c>
      <c r="P1263">
        <v>10144.91</v>
      </c>
      <c r="Q1263" t="b">
        <v>0</v>
      </c>
      <c r="R1263" t="b">
        <v>0</v>
      </c>
      <c r="S1263" t="b">
        <v>0</v>
      </c>
      <c r="T1263" t="b">
        <v>0</v>
      </c>
      <c r="U1263">
        <v>0</v>
      </c>
      <c r="V1263" t="s">
        <v>4073</v>
      </c>
    </row>
    <row r="1264" spans="1:22" hidden="1" x14ac:dyDescent="0.45">
      <c r="A1264" s="2" t="s">
        <v>1368</v>
      </c>
      <c r="B1264" s="11">
        <v>45058</v>
      </c>
      <c r="C1264" s="2" t="s">
        <v>2013</v>
      </c>
      <c r="D1264" s="2" t="s">
        <v>2018</v>
      </c>
      <c r="E1264">
        <v>168.07</v>
      </c>
      <c r="F1264">
        <v>10252.27</v>
      </c>
      <c r="G1264">
        <v>0</v>
      </c>
      <c r="H1264">
        <v>0</v>
      </c>
      <c r="I1264" s="2" t="s">
        <v>2021</v>
      </c>
      <c r="J1264" s="2" t="s">
        <v>2026</v>
      </c>
      <c r="K1264" s="2" t="s">
        <v>3389</v>
      </c>
      <c r="L1264" s="2" t="s">
        <v>4035</v>
      </c>
      <c r="M1264">
        <v>-168.07</v>
      </c>
      <c r="N1264" s="2" t="s">
        <v>4044</v>
      </c>
      <c r="O1264">
        <v>61</v>
      </c>
      <c r="P1264">
        <v>-10252.27</v>
      </c>
      <c r="Q1264" t="b">
        <v>0</v>
      </c>
      <c r="R1264" t="b">
        <v>0</v>
      </c>
      <c r="S1264" t="b">
        <v>0</v>
      </c>
      <c r="T1264" t="b">
        <v>0</v>
      </c>
      <c r="U1264">
        <v>0</v>
      </c>
      <c r="V1264" t="s">
        <v>4073</v>
      </c>
    </row>
    <row r="1265" spans="1:22" hidden="1" x14ac:dyDescent="0.45">
      <c r="A1265" s="2" t="s">
        <v>109</v>
      </c>
      <c r="B1265" s="11">
        <v>44935</v>
      </c>
      <c r="C1265" s="2" t="s">
        <v>2010</v>
      </c>
      <c r="D1265" s="2" t="s">
        <v>2015</v>
      </c>
      <c r="E1265">
        <v>0</v>
      </c>
      <c r="F1265">
        <v>0</v>
      </c>
      <c r="G1265">
        <v>792.94</v>
      </c>
      <c r="H1265">
        <v>48369.340000000004</v>
      </c>
      <c r="I1265" s="2" t="s">
        <v>2024</v>
      </c>
      <c r="J1265" s="2" t="s">
        <v>2028</v>
      </c>
      <c r="K1265" s="2" t="s">
        <v>2130</v>
      </c>
      <c r="L1265" s="2" t="s">
        <v>4035</v>
      </c>
      <c r="M1265">
        <v>792.94</v>
      </c>
      <c r="N1265" s="2" t="s">
        <v>4042</v>
      </c>
      <c r="O1265">
        <v>61</v>
      </c>
      <c r="P1265">
        <v>48369.340000000004</v>
      </c>
      <c r="Q1265" t="b">
        <v>0</v>
      </c>
      <c r="R1265" t="b">
        <v>0</v>
      </c>
      <c r="S1265" t="b">
        <v>0</v>
      </c>
      <c r="T1265" t="b">
        <v>0</v>
      </c>
      <c r="U1265">
        <v>0</v>
      </c>
      <c r="V1265" t="s">
        <v>4073</v>
      </c>
    </row>
    <row r="1266" spans="1:22" hidden="1" x14ac:dyDescent="0.45">
      <c r="A1266" s="2" t="s">
        <v>833</v>
      </c>
      <c r="B1266" s="11">
        <v>45709</v>
      </c>
      <c r="C1266" s="2" t="s">
        <v>2011</v>
      </c>
      <c r="D1266" s="2" t="s">
        <v>2016</v>
      </c>
      <c r="E1266">
        <v>219.41</v>
      </c>
      <c r="F1266">
        <v>12286.96</v>
      </c>
      <c r="G1266">
        <v>0</v>
      </c>
      <c r="H1266">
        <v>0</v>
      </c>
      <c r="I1266" s="2" t="s">
        <v>2022</v>
      </c>
      <c r="J1266" s="2" t="s">
        <v>2026</v>
      </c>
      <c r="K1266" s="2" t="s">
        <v>2854</v>
      </c>
      <c r="L1266" s="2" t="s">
        <v>4033</v>
      </c>
      <c r="M1266">
        <v>-219.41</v>
      </c>
      <c r="N1266" s="2" t="s">
        <v>2016</v>
      </c>
      <c r="O1266">
        <v>56</v>
      </c>
      <c r="P1266">
        <v>-12286.96</v>
      </c>
      <c r="Q1266" t="b">
        <v>0</v>
      </c>
      <c r="R1266" t="b">
        <v>0</v>
      </c>
      <c r="S1266" t="b">
        <v>0</v>
      </c>
      <c r="T1266" t="b">
        <v>0</v>
      </c>
      <c r="U1266">
        <v>0</v>
      </c>
      <c r="V1266" t="s">
        <v>4073</v>
      </c>
    </row>
    <row r="1267" spans="1:22" hidden="1" x14ac:dyDescent="0.45">
      <c r="A1267" s="2" t="s">
        <v>425</v>
      </c>
      <c r="B1267" s="11">
        <v>45517</v>
      </c>
      <c r="C1267" s="2" t="s">
        <v>2010</v>
      </c>
      <c r="D1267" s="2" t="s">
        <v>2015</v>
      </c>
      <c r="E1267">
        <v>0</v>
      </c>
      <c r="F1267">
        <v>0</v>
      </c>
      <c r="G1267">
        <v>811.92</v>
      </c>
      <c r="H1267">
        <v>45467.519999999997</v>
      </c>
      <c r="I1267" s="2" t="s">
        <v>2021</v>
      </c>
      <c r="J1267" s="2" t="s">
        <v>2026</v>
      </c>
      <c r="K1267" s="2" t="s">
        <v>2446</v>
      </c>
      <c r="L1267" s="2" t="s">
        <v>4033</v>
      </c>
      <c r="M1267">
        <v>811.92</v>
      </c>
      <c r="N1267" s="2" t="s">
        <v>4042</v>
      </c>
      <c r="O1267">
        <v>56</v>
      </c>
      <c r="P1267">
        <v>45467.519999999997</v>
      </c>
      <c r="Q1267" t="b">
        <v>0</v>
      </c>
      <c r="R1267" t="b">
        <v>0</v>
      </c>
      <c r="S1267" t="b">
        <v>0</v>
      </c>
      <c r="T1267" t="b">
        <v>0</v>
      </c>
      <c r="U1267">
        <v>0</v>
      </c>
      <c r="V1267" t="s">
        <v>4073</v>
      </c>
    </row>
    <row r="1268" spans="1:22" hidden="1" x14ac:dyDescent="0.45">
      <c r="A1268" s="2" t="s">
        <v>925</v>
      </c>
      <c r="B1268" s="11">
        <v>45650</v>
      </c>
      <c r="C1268" s="2" t="s">
        <v>2011</v>
      </c>
      <c r="D1268" s="2" t="s">
        <v>2016</v>
      </c>
      <c r="E1268">
        <v>221.12</v>
      </c>
      <c r="F1268">
        <v>12382.720000000001</v>
      </c>
      <c r="G1268">
        <v>0</v>
      </c>
      <c r="H1268">
        <v>0</v>
      </c>
      <c r="I1268" s="2" t="s">
        <v>2023</v>
      </c>
      <c r="J1268" s="2" t="s">
        <v>2027</v>
      </c>
      <c r="K1268" s="2" t="s">
        <v>2946</v>
      </c>
      <c r="L1268" s="2" t="s">
        <v>4033</v>
      </c>
      <c r="M1268">
        <v>-221.12</v>
      </c>
      <c r="N1268" s="2" t="s">
        <v>2016</v>
      </c>
      <c r="O1268">
        <v>56</v>
      </c>
      <c r="P1268">
        <v>-12382.720000000001</v>
      </c>
      <c r="Q1268" t="b">
        <v>0</v>
      </c>
      <c r="R1268" t="b">
        <v>0</v>
      </c>
      <c r="S1268" t="b">
        <v>0</v>
      </c>
      <c r="T1268" t="b">
        <v>0</v>
      </c>
      <c r="U1268">
        <v>0</v>
      </c>
      <c r="V1268" t="s">
        <v>4073</v>
      </c>
    </row>
    <row r="1269" spans="1:22" hidden="1" x14ac:dyDescent="0.45">
      <c r="A1269" s="2" t="s">
        <v>59</v>
      </c>
      <c r="B1269" s="11">
        <v>44999</v>
      </c>
      <c r="C1269" s="2" t="s">
        <v>2012</v>
      </c>
      <c r="D1269" s="2" t="s">
        <v>2017</v>
      </c>
      <c r="E1269">
        <v>480.19</v>
      </c>
      <c r="F1269">
        <v>42256.72</v>
      </c>
      <c r="G1269">
        <v>0</v>
      </c>
      <c r="H1269">
        <v>0</v>
      </c>
      <c r="I1269" s="2" t="s">
        <v>2023</v>
      </c>
      <c r="J1269" s="2" t="s">
        <v>2030</v>
      </c>
      <c r="K1269" s="2" t="s">
        <v>2080</v>
      </c>
      <c r="L1269" s="2" t="s">
        <v>4032</v>
      </c>
      <c r="M1269">
        <v>-480.19</v>
      </c>
      <c r="N1269" s="2" t="s">
        <v>4044</v>
      </c>
      <c r="O1269">
        <v>88</v>
      </c>
      <c r="P1269">
        <v>-42256.72</v>
      </c>
      <c r="Q1269" t="b">
        <v>0</v>
      </c>
      <c r="R1269" t="b">
        <v>0</v>
      </c>
      <c r="S1269" t="b">
        <v>0</v>
      </c>
      <c r="T1269" t="b">
        <v>0</v>
      </c>
      <c r="U1269">
        <v>0</v>
      </c>
      <c r="V1269" t="s">
        <v>4073</v>
      </c>
    </row>
    <row r="1270" spans="1:22" hidden="1" x14ac:dyDescent="0.45">
      <c r="A1270" s="2" t="s">
        <v>1008</v>
      </c>
      <c r="B1270" s="11">
        <v>45490</v>
      </c>
      <c r="C1270" s="2" t="s">
        <v>2010</v>
      </c>
      <c r="D1270" s="2" t="s">
        <v>2015</v>
      </c>
      <c r="E1270">
        <v>0</v>
      </c>
      <c r="F1270">
        <v>0</v>
      </c>
      <c r="G1270">
        <v>142.47999999999999</v>
      </c>
      <c r="H1270">
        <v>14675.439999999999</v>
      </c>
      <c r="I1270" s="2" t="s">
        <v>2024</v>
      </c>
      <c r="J1270" s="2" t="s">
        <v>2030</v>
      </c>
      <c r="K1270" s="2" t="s">
        <v>3029</v>
      </c>
      <c r="L1270" s="2" t="s">
        <v>4031</v>
      </c>
      <c r="M1270">
        <v>142.47999999999999</v>
      </c>
      <c r="N1270" s="2" t="s">
        <v>4042</v>
      </c>
      <c r="O1270">
        <v>103</v>
      </c>
      <c r="P1270">
        <v>14675.439999999999</v>
      </c>
      <c r="Q1270" t="b">
        <v>0</v>
      </c>
      <c r="R1270" t="b">
        <v>0</v>
      </c>
      <c r="S1270" t="b">
        <v>0</v>
      </c>
      <c r="T1270" t="b">
        <v>0</v>
      </c>
      <c r="U1270">
        <v>0</v>
      </c>
      <c r="V1270" t="s">
        <v>4073</v>
      </c>
    </row>
    <row r="1271" spans="1:22" hidden="1" x14ac:dyDescent="0.45">
      <c r="A1271" s="2" t="s">
        <v>1199</v>
      </c>
      <c r="B1271" s="11">
        <v>45296</v>
      </c>
      <c r="C1271" s="2" t="s">
        <v>2010</v>
      </c>
      <c r="D1271" s="2" t="s">
        <v>2015</v>
      </c>
      <c r="E1271">
        <v>0</v>
      </c>
      <c r="F1271">
        <v>0</v>
      </c>
      <c r="G1271">
        <v>242.31</v>
      </c>
      <c r="H1271">
        <v>14780.91</v>
      </c>
      <c r="I1271" s="2" t="s">
        <v>2021</v>
      </c>
      <c r="J1271" s="2" t="s">
        <v>2030</v>
      </c>
      <c r="K1271" s="2" t="s">
        <v>3220</v>
      </c>
      <c r="L1271" s="2" t="s">
        <v>4035</v>
      </c>
      <c r="M1271">
        <v>242.31</v>
      </c>
      <c r="N1271" s="2" t="s">
        <v>4042</v>
      </c>
      <c r="O1271">
        <v>61</v>
      </c>
      <c r="P1271">
        <v>14780.91</v>
      </c>
      <c r="Q1271" t="b">
        <v>0</v>
      </c>
      <c r="R1271" t="b">
        <v>0</v>
      </c>
      <c r="S1271" t="b">
        <v>0</v>
      </c>
      <c r="T1271" t="b">
        <v>0</v>
      </c>
      <c r="U1271">
        <v>0</v>
      </c>
      <c r="V1271" t="s">
        <v>4073</v>
      </c>
    </row>
    <row r="1272" spans="1:22" hidden="1" x14ac:dyDescent="0.45">
      <c r="A1272" s="2" t="s">
        <v>1630</v>
      </c>
      <c r="B1272" s="11">
        <v>45068</v>
      </c>
      <c r="C1272" s="2" t="s">
        <v>2014</v>
      </c>
      <c r="D1272" s="2" t="s">
        <v>2019</v>
      </c>
      <c r="E1272">
        <v>0</v>
      </c>
      <c r="F1272">
        <v>0</v>
      </c>
      <c r="G1272">
        <v>145.24</v>
      </c>
      <c r="H1272">
        <v>14959.720000000001</v>
      </c>
      <c r="I1272" s="2" t="s">
        <v>2025</v>
      </c>
      <c r="J1272" s="2" t="s">
        <v>2028</v>
      </c>
      <c r="K1272" s="2" t="s">
        <v>3651</v>
      </c>
      <c r="L1272" s="2" t="s">
        <v>4031</v>
      </c>
      <c r="M1272">
        <v>145.24</v>
      </c>
      <c r="N1272" s="2" t="s">
        <v>4042</v>
      </c>
      <c r="O1272">
        <v>103</v>
      </c>
      <c r="P1272">
        <v>14959.720000000001</v>
      </c>
      <c r="Q1272" t="b">
        <v>0</v>
      </c>
      <c r="R1272" t="b">
        <v>0</v>
      </c>
      <c r="S1272" t="b">
        <v>0</v>
      </c>
      <c r="T1272" t="b">
        <v>0</v>
      </c>
      <c r="U1272">
        <v>0</v>
      </c>
      <c r="V1272" t="s">
        <v>4073</v>
      </c>
    </row>
    <row r="1273" spans="1:22" hidden="1" x14ac:dyDescent="0.45">
      <c r="A1273" s="2" t="s">
        <v>1441</v>
      </c>
      <c r="B1273" s="11">
        <v>45484</v>
      </c>
      <c r="C1273" s="2" t="s">
        <v>2011</v>
      </c>
      <c r="D1273" s="2" t="s">
        <v>2016</v>
      </c>
      <c r="E1273">
        <v>479.39</v>
      </c>
      <c r="F1273">
        <v>42186.32</v>
      </c>
      <c r="G1273">
        <v>0</v>
      </c>
      <c r="H1273">
        <v>0</v>
      </c>
      <c r="I1273" s="2" t="s">
        <v>2020</v>
      </c>
      <c r="J1273" s="2" t="s">
        <v>2026</v>
      </c>
      <c r="K1273" s="2" t="s">
        <v>3462</v>
      </c>
      <c r="L1273" s="2" t="s">
        <v>4032</v>
      </c>
      <c r="M1273">
        <v>-479.39</v>
      </c>
      <c r="N1273" s="2" t="s">
        <v>2016</v>
      </c>
      <c r="O1273">
        <v>88</v>
      </c>
      <c r="P1273">
        <v>-42186.32</v>
      </c>
      <c r="Q1273" t="b">
        <v>0</v>
      </c>
      <c r="R1273" t="b">
        <v>0</v>
      </c>
      <c r="S1273" t="b">
        <v>0</v>
      </c>
      <c r="T1273" t="b">
        <v>0</v>
      </c>
      <c r="U1273">
        <v>0</v>
      </c>
      <c r="V1273" t="s">
        <v>4073</v>
      </c>
    </row>
    <row r="1274" spans="1:22" hidden="1" x14ac:dyDescent="0.45">
      <c r="A1274" s="2" t="s">
        <v>1484</v>
      </c>
      <c r="B1274" s="11">
        <v>45427</v>
      </c>
      <c r="C1274" s="2" t="s">
        <v>2010</v>
      </c>
      <c r="D1274" s="2" t="s">
        <v>2015</v>
      </c>
      <c r="E1274">
        <v>0</v>
      </c>
      <c r="F1274">
        <v>0</v>
      </c>
      <c r="G1274">
        <v>185.76</v>
      </c>
      <c r="H1274">
        <v>15232.32</v>
      </c>
      <c r="I1274" s="2" t="s">
        <v>2023</v>
      </c>
      <c r="J1274" s="2" t="s">
        <v>2027</v>
      </c>
      <c r="K1274" s="2" t="s">
        <v>3505</v>
      </c>
      <c r="L1274" s="2" t="s">
        <v>4034</v>
      </c>
      <c r="M1274">
        <v>185.76</v>
      </c>
      <c r="N1274" s="2" t="s">
        <v>4042</v>
      </c>
      <c r="O1274">
        <v>82</v>
      </c>
      <c r="P1274">
        <v>15232.32</v>
      </c>
      <c r="Q1274" t="b">
        <v>0</v>
      </c>
      <c r="R1274" t="b">
        <v>0</v>
      </c>
      <c r="S1274" t="b">
        <v>0</v>
      </c>
      <c r="T1274" t="b">
        <v>0</v>
      </c>
      <c r="U1274">
        <v>0</v>
      </c>
      <c r="V1274" t="s">
        <v>4073</v>
      </c>
    </row>
    <row r="1275" spans="1:22" hidden="1" x14ac:dyDescent="0.45">
      <c r="A1275" s="2" t="s">
        <v>1513</v>
      </c>
      <c r="B1275" s="11">
        <v>45526</v>
      </c>
      <c r="C1275" s="2" t="s">
        <v>2014</v>
      </c>
      <c r="D1275" s="2" t="s">
        <v>2019</v>
      </c>
      <c r="E1275">
        <v>0</v>
      </c>
      <c r="F1275">
        <v>0</v>
      </c>
      <c r="G1275">
        <v>252.83</v>
      </c>
      <c r="H1275">
        <v>15422.630000000001</v>
      </c>
      <c r="I1275" s="2" t="s">
        <v>2023</v>
      </c>
      <c r="J1275" s="2" t="s">
        <v>2028</v>
      </c>
      <c r="K1275" s="2" t="s">
        <v>3534</v>
      </c>
      <c r="L1275" s="2" t="s">
        <v>4035</v>
      </c>
      <c r="M1275">
        <v>252.83</v>
      </c>
      <c r="N1275" s="2" t="s">
        <v>4042</v>
      </c>
      <c r="O1275">
        <v>61</v>
      </c>
      <c r="P1275">
        <v>15422.630000000001</v>
      </c>
      <c r="Q1275" t="b">
        <v>0</v>
      </c>
      <c r="R1275" t="b">
        <v>0</v>
      </c>
      <c r="S1275" t="b">
        <v>0</v>
      </c>
      <c r="T1275" t="b">
        <v>0</v>
      </c>
      <c r="U1275">
        <v>0</v>
      </c>
      <c r="V1275" t="s">
        <v>4073</v>
      </c>
    </row>
    <row r="1276" spans="1:22" hidden="1" x14ac:dyDescent="0.45">
      <c r="A1276" s="2" t="s">
        <v>1485</v>
      </c>
      <c r="B1276" s="11">
        <v>45695</v>
      </c>
      <c r="C1276" s="2" t="s">
        <v>2014</v>
      </c>
      <c r="D1276" s="2" t="s">
        <v>2019</v>
      </c>
      <c r="E1276">
        <v>0</v>
      </c>
      <c r="F1276">
        <v>0</v>
      </c>
      <c r="G1276">
        <v>278.45999999999998</v>
      </c>
      <c r="H1276">
        <v>15593.759999999998</v>
      </c>
      <c r="I1276" s="2" t="s">
        <v>2023</v>
      </c>
      <c r="J1276" s="2" t="s">
        <v>2028</v>
      </c>
      <c r="K1276" s="2" t="s">
        <v>3506</v>
      </c>
      <c r="L1276" s="2" t="s">
        <v>4033</v>
      </c>
      <c r="M1276">
        <v>278.45999999999998</v>
      </c>
      <c r="N1276" s="2" t="s">
        <v>4042</v>
      </c>
      <c r="O1276">
        <v>56</v>
      </c>
      <c r="P1276">
        <v>15593.759999999998</v>
      </c>
      <c r="Q1276" t="b">
        <v>0</v>
      </c>
      <c r="R1276" t="b">
        <v>0</v>
      </c>
      <c r="S1276" t="b">
        <v>0</v>
      </c>
      <c r="T1276" t="b">
        <v>0</v>
      </c>
      <c r="U1276">
        <v>0</v>
      </c>
      <c r="V1276" t="s">
        <v>4073</v>
      </c>
    </row>
    <row r="1277" spans="1:22" hidden="1" x14ac:dyDescent="0.45">
      <c r="A1277" s="2" t="s">
        <v>1032</v>
      </c>
      <c r="B1277" s="11">
        <v>44949</v>
      </c>
      <c r="C1277" s="2" t="s">
        <v>2010</v>
      </c>
      <c r="D1277" s="2" t="s">
        <v>2015</v>
      </c>
      <c r="E1277">
        <v>0</v>
      </c>
      <c r="F1277">
        <v>0</v>
      </c>
      <c r="G1277">
        <v>256.32</v>
      </c>
      <c r="H1277">
        <v>15635.52</v>
      </c>
      <c r="I1277" s="2" t="s">
        <v>2020</v>
      </c>
      <c r="J1277" s="2" t="s">
        <v>2026</v>
      </c>
      <c r="K1277" s="2" t="s">
        <v>3053</v>
      </c>
      <c r="L1277" s="2" t="s">
        <v>4035</v>
      </c>
      <c r="M1277">
        <v>256.32</v>
      </c>
      <c r="N1277" s="2" t="s">
        <v>4042</v>
      </c>
      <c r="O1277">
        <v>61</v>
      </c>
      <c r="P1277">
        <v>15635.52</v>
      </c>
      <c r="Q1277" t="b">
        <v>0</v>
      </c>
      <c r="R1277" t="b">
        <v>0</v>
      </c>
      <c r="S1277" t="b">
        <v>0</v>
      </c>
      <c r="T1277" t="b">
        <v>0</v>
      </c>
      <c r="U1277">
        <v>0</v>
      </c>
      <c r="V1277" t="s">
        <v>4073</v>
      </c>
    </row>
    <row r="1278" spans="1:22" hidden="1" x14ac:dyDescent="0.45">
      <c r="A1278" s="2" t="s">
        <v>750</v>
      </c>
      <c r="B1278" s="11">
        <v>45524</v>
      </c>
      <c r="C1278" s="2" t="s">
        <v>2012</v>
      </c>
      <c r="D1278" s="2" t="s">
        <v>2017</v>
      </c>
      <c r="E1278">
        <v>407.27</v>
      </c>
      <c r="F1278">
        <v>41948.81</v>
      </c>
      <c r="G1278">
        <v>0</v>
      </c>
      <c r="H1278">
        <v>0</v>
      </c>
      <c r="I1278" s="2" t="s">
        <v>2024</v>
      </c>
      <c r="J1278" s="2" t="s">
        <v>2029</v>
      </c>
      <c r="K1278" s="2" t="s">
        <v>2771</v>
      </c>
      <c r="L1278" s="2" t="s">
        <v>4031</v>
      </c>
      <c r="M1278">
        <v>-407.27</v>
      </c>
      <c r="N1278" s="2" t="s">
        <v>4044</v>
      </c>
      <c r="O1278">
        <v>103</v>
      </c>
      <c r="P1278">
        <v>-41948.81</v>
      </c>
      <c r="Q1278" t="b">
        <v>0</v>
      </c>
      <c r="R1278" t="b">
        <v>0</v>
      </c>
      <c r="S1278" t="b">
        <v>0</v>
      </c>
      <c r="T1278" t="b">
        <v>0</v>
      </c>
      <c r="U1278">
        <v>0</v>
      </c>
      <c r="V1278" t="s">
        <v>4073</v>
      </c>
    </row>
    <row r="1279" spans="1:22" hidden="1" x14ac:dyDescent="0.45">
      <c r="A1279" s="2" t="s">
        <v>1857</v>
      </c>
      <c r="B1279" s="11">
        <v>45645</v>
      </c>
      <c r="C1279" s="2" t="s">
        <v>2012</v>
      </c>
      <c r="D1279" s="2" t="s">
        <v>2017</v>
      </c>
      <c r="E1279">
        <v>405.28</v>
      </c>
      <c r="F1279">
        <v>41743.839999999997</v>
      </c>
      <c r="G1279">
        <v>0</v>
      </c>
      <c r="H1279">
        <v>0</v>
      </c>
      <c r="I1279" s="2" t="s">
        <v>2021</v>
      </c>
      <c r="J1279" s="2" t="s">
        <v>2028</v>
      </c>
      <c r="K1279" s="2" t="s">
        <v>3878</v>
      </c>
      <c r="L1279" s="2" t="s">
        <v>4031</v>
      </c>
      <c r="M1279">
        <v>-405.28</v>
      </c>
      <c r="N1279" s="2" t="s">
        <v>4044</v>
      </c>
      <c r="O1279">
        <v>103</v>
      </c>
      <c r="P1279">
        <v>-41743.839999999997</v>
      </c>
      <c r="Q1279" t="b">
        <v>0</v>
      </c>
      <c r="R1279" t="b">
        <v>0</v>
      </c>
      <c r="S1279" t="b">
        <v>0</v>
      </c>
      <c r="T1279" t="b">
        <v>0</v>
      </c>
      <c r="U1279">
        <v>0</v>
      </c>
      <c r="V1279" t="s">
        <v>4073</v>
      </c>
    </row>
    <row r="1280" spans="1:22" hidden="1" x14ac:dyDescent="0.45">
      <c r="A1280" s="2" t="s">
        <v>882</v>
      </c>
      <c r="B1280" s="11">
        <v>45300</v>
      </c>
      <c r="C1280" s="2" t="s">
        <v>2012</v>
      </c>
      <c r="D1280" s="2" t="s">
        <v>2017</v>
      </c>
      <c r="E1280">
        <v>508.47</v>
      </c>
      <c r="F1280">
        <v>41694.54</v>
      </c>
      <c r="G1280">
        <v>0</v>
      </c>
      <c r="H1280">
        <v>0</v>
      </c>
      <c r="I1280" s="2" t="s">
        <v>2022</v>
      </c>
      <c r="J1280" s="2" t="s">
        <v>2026</v>
      </c>
      <c r="K1280" s="2" t="s">
        <v>2903</v>
      </c>
      <c r="L1280" s="2" t="s">
        <v>4034</v>
      </c>
      <c r="M1280">
        <v>-508.47</v>
      </c>
      <c r="N1280" s="2" t="s">
        <v>4044</v>
      </c>
      <c r="O1280">
        <v>82</v>
      </c>
      <c r="P1280">
        <v>-41694.54</v>
      </c>
      <c r="Q1280" t="b">
        <v>0</v>
      </c>
      <c r="R1280" t="b">
        <v>0</v>
      </c>
      <c r="S1280" t="b">
        <v>0</v>
      </c>
      <c r="T1280" t="b">
        <v>0</v>
      </c>
      <c r="U1280">
        <v>0</v>
      </c>
      <c r="V1280" t="s">
        <v>4073</v>
      </c>
    </row>
    <row r="1281" spans="1:22" hidden="1" x14ac:dyDescent="0.45">
      <c r="A1281" s="2" t="s">
        <v>534</v>
      </c>
      <c r="B1281" s="11">
        <v>45250</v>
      </c>
      <c r="C1281" s="2" t="s">
        <v>2012</v>
      </c>
      <c r="D1281" s="2" t="s">
        <v>2017</v>
      </c>
      <c r="E1281">
        <v>154.30000000000001</v>
      </c>
      <c r="F1281">
        <v>15892.900000000001</v>
      </c>
      <c r="G1281">
        <v>0</v>
      </c>
      <c r="H1281">
        <v>0</v>
      </c>
      <c r="I1281" s="2" t="s">
        <v>2023</v>
      </c>
      <c r="J1281" s="2" t="s">
        <v>2026</v>
      </c>
      <c r="K1281" s="2" t="s">
        <v>2555</v>
      </c>
      <c r="L1281" s="2" t="s">
        <v>4031</v>
      </c>
      <c r="M1281">
        <v>-154.30000000000001</v>
      </c>
      <c r="N1281" s="2" t="s">
        <v>4044</v>
      </c>
      <c r="O1281">
        <v>103</v>
      </c>
      <c r="P1281">
        <v>-15892.900000000001</v>
      </c>
      <c r="Q1281" t="b">
        <v>0</v>
      </c>
      <c r="R1281" t="b">
        <v>0</v>
      </c>
      <c r="S1281" t="b">
        <v>0</v>
      </c>
      <c r="T1281" t="b">
        <v>0</v>
      </c>
      <c r="U1281">
        <v>0</v>
      </c>
      <c r="V1281" t="s">
        <v>4073</v>
      </c>
    </row>
    <row r="1282" spans="1:22" hidden="1" x14ac:dyDescent="0.45">
      <c r="A1282" s="2" t="s">
        <v>1052</v>
      </c>
      <c r="B1282" s="11">
        <v>45364</v>
      </c>
      <c r="C1282" s="2" t="s">
        <v>2010</v>
      </c>
      <c r="D1282" s="2" t="s">
        <v>2015</v>
      </c>
      <c r="E1282">
        <v>0</v>
      </c>
      <c r="F1282">
        <v>0</v>
      </c>
      <c r="G1282">
        <v>284.06</v>
      </c>
      <c r="H1282">
        <v>15907.36</v>
      </c>
      <c r="I1282" s="2" t="s">
        <v>2025</v>
      </c>
      <c r="J1282" s="2" t="s">
        <v>2026</v>
      </c>
      <c r="K1282" s="2" t="s">
        <v>3073</v>
      </c>
      <c r="L1282" s="2" t="s">
        <v>4033</v>
      </c>
      <c r="M1282">
        <v>284.06</v>
      </c>
      <c r="N1282" s="2" t="s">
        <v>4042</v>
      </c>
      <c r="O1282">
        <v>56</v>
      </c>
      <c r="P1282">
        <v>15907.36</v>
      </c>
      <c r="Q1282" t="b">
        <v>0</v>
      </c>
      <c r="R1282" t="b">
        <v>0</v>
      </c>
      <c r="S1282" t="b">
        <v>0</v>
      </c>
      <c r="T1282" t="b">
        <v>0</v>
      </c>
      <c r="U1282">
        <v>0</v>
      </c>
      <c r="V1282" t="s">
        <v>4073</v>
      </c>
    </row>
    <row r="1283" spans="1:22" hidden="1" x14ac:dyDescent="0.45">
      <c r="A1283" s="2" t="s">
        <v>929</v>
      </c>
      <c r="B1283" s="11">
        <v>44930</v>
      </c>
      <c r="C1283" s="2" t="s">
        <v>2013</v>
      </c>
      <c r="D1283" s="2" t="s">
        <v>2018</v>
      </c>
      <c r="E1283">
        <v>739.56</v>
      </c>
      <c r="F1283">
        <v>41415.360000000001</v>
      </c>
      <c r="G1283">
        <v>0</v>
      </c>
      <c r="H1283">
        <v>0</v>
      </c>
      <c r="I1283" s="2" t="s">
        <v>2024</v>
      </c>
      <c r="J1283" s="2" t="s">
        <v>2028</v>
      </c>
      <c r="K1283" s="2" t="s">
        <v>2950</v>
      </c>
      <c r="L1283" s="2" t="s">
        <v>4033</v>
      </c>
      <c r="M1283">
        <v>-739.56</v>
      </c>
      <c r="N1283" s="2" t="s">
        <v>4044</v>
      </c>
      <c r="O1283">
        <v>56</v>
      </c>
      <c r="P1283">
        <v>-41415.360000000001</v>
      </c>
      <c r="Q1283" t="b">
        <v>0</v>
      </c>
      <c r="R1283" t="b">
        <v>0</v>
      </c>
      <c r="S1283" t="b">
        <v>0</v>
      </c>
      <c r="T1283" t="b">
        <v>0</v>
      </c>
      <c r="U1283">
        <v>0</v>
      </c>
      <c r="V1283" t="s">
        <v>4073</v>
      </c>
    </row>
    <row r="1284" spans="1:22" hidden="1" x14ac:dyDescent="0.45">
      <c r="A1284" s="2" t="s">
        <v>1919</v>
      </c>
      <c r="B1284" s="11">
        <v>45786</v>
      </c>
      <c r="C1284" s="2" t="s">
        <v>2013</v>
      </c>
      <c r="D1284" s="2" t="s">
        <v>2018</v>
      </c>
      <c r="E1284">
        <v>284.08</v>
      </c>
      <c r="F1284">
        <v>15908.48</v>
      </c>
      <c r="G1284">
        <v>0</v>
      </c>
      <c r="H1284">
        <v>0</v>
      </c>
      <c r="I1284" s="2" t="s">
        <v>2023</v>
      </c>
      <c r="J1284" s="2" t="s">
        <v>2030</v>
      </c>
      <c r="K1284" s="2" t="s">
        <v>3940</v>
      </c>
      <c r="L1284" s="2" t="s">
        <v>4033</v>
      </c>
      <c r="M1284">
        <v>-284.08</v>
      </c>
      <c r="N1284" s="2" t="s">
        <v>4044</v>
      </c>
      <c r="O1284">
        <v>56</v>
      </c>
      <c r="P1284">
        <v>-15908.48</v>
      </c>
      <c r="Q1284" t="b">
        <v>0</v>
      </c>
      <c r="R1284" t="b">
        <v>0</v>
      </c>
      <c r="S1284" t="b">
        <v>0</v>
      </c>
      <c r="T1284" t="b">
        <v>0</v>
      </c>
      <c r="U1284">
        <v>0</v>
      </c>
      <c r="V1284" t="s">
        <v>4073</v>
      </c>
    </row>
    <row r="1285" spans="1:22" hidden="1" x14ac:dyDescent="0.45">
      <c r="A1285" s="2" t="s">
        <v>988</v>
      </c>
      <c r="B1285" s="11">
        <v>45799</v>
      </c>
      <c r="C1285" s="2" t="s">
        <v>2010</v>
      </c>
      <c r="D1285" s="2" t="s">
        <v>2015</v>
      </c>
      <c r="E1285">
        <v>0</v>
      </c>
      <c r="F1285">
        <v>0</v>
      </c>
      <c r="G1285">
        <v>504.44</v>
      </c>
      <c r="H1285">
        <v>41364.080000000002</v>
      </c>
      <c r="I1285" s="2" t="s">
        <v>2025</v>
      </c>
      <c r="J1285" s="2" t="s">
        <v>2027</v>
      </c>
      <c r="K1285" s="2" t="s">
        <v>3009</v>
      </c>
      <c r="L1285" s="2" t="s">
        <v>4034</v>
      </c>
      <c r="M1285">
        <v>504.44</v>
      </c>
      <c r="N1285" s="2" t="s">
        <v>4042</v>
      </c>
      <c r="O1285">
        <v>82</v>
      </c>
      <c r="P1285">
        <v>41364.080000000002</v>
      </c>
      <c r="Q1285" t="b">
        <v>0</v>
      </c>
      <c r="R1285" t="b">
        <v>0</v>
      </c>
      <c r="S1285" t="b">
        <v>0</v>
      </c>
      <c r="T1285" t="b">
        <v>0</v>
      </c>
      <c r="U1285">
        <v>0</v>
      </c>
      <c r="V1285" t="s">
        <v>4073</v>
      </c>
    </row>
    <row r="1286" spans="1:22" hidden="1" x14ac:dyDescent="0.45">
      <c r="A1286" s="2" t="s">
        <v>722</v>
      </c>
      <c r="B1286" s="11">
        <v>45588</v>
      </c>
      <c r="C1286" s="2" t="s">
        <v>2010</v>
      </c>
      <c r="D1286" s="2" t="s">
        <v>2015</v>
      </c>
      <c r="E1286">
        <v>0</v>
      </c>
      <c r="F1286">
        <v>0</v>
      </c>
      <c r="G1286">
        <v>734.04</v>
      </c>
      <c r="H1286">
        <v>41106.239999999998</v>
      </c>
      <c r="I1286" s="2" t="s">
        <v>2020</v>
      </c>
      <c r="J1286" s="2" t="s">
        <v>2030</v>
      </c>
      <c r="K1286" s="2" t="s">
        <v>2743</v>
      </c>
      <c r="L1286" s="2" t="s">
        <v>4033</v>
      </c>
      <c r="M1286">
        <v>734.04</v>
      </c>
      <c r="N1286" s="2" t="s">
        <v>4042</v>
      </c>
      <c r="O1286">
        <v>56</v>
      </c>
      <c r="P1286">
        <v>41106.239999999998</v>
      </c>
      <c r="Q1286" t="b">
        <v>0</v>
      </c>
      <c r="R1286" t="b">
        <v>0</v>
      </c>
      <c r="S1286" t="b">
        <v>0</v>
      </c>
      <c r="T1286" t="b">
        <v>0</v>
      </c>
      <c r="U1286">
        <v>0</v>
      </c>
      <c r="V1286" t="s">
        <v>4073</v>
      </c>
    </row>
    <row r="1287" spans="1:22" hidden="1" x14ac:dyDescent="0.45">
      <c r="A1287" s="2" t="s">
        <v>997</v>
      </c>
      <c r="B1287" s="11">
        <v>45572</v>
      </c>
      <c r="C1287" s="2" t="s">
        <v>2011</v>
      </c>
      <c r="D1287" s="2" t="s">
        <v>2016</v>
      </c>
      <c r="E1287">
        <v>270.42</v>
      </c>
      <c r="F1287">
        <v>16495.620000000003</v>
      </c>
      <c r="G1287">
        <v>0</v>
      </c>
      <c r="H1287">
        <v>0</v>
      </c>
      <c r="I1287" s="2" t="s">
        <v>2022</v>
      </c>
      <c r="J1287" s="2" t="s">
        <v>2026</v>
      </c>
      <c r="K1287" s="2" t="s">
        <v>3018</v>
      </c>
      <c r="L1287" s="2" t="s">
        <v>4035</v>
      </c>
      <c r="M1287">
        <v>-270.42</v>
      </c>
      <c r="N1287" s="2" t="s">
        <v>2016</v>
      </c>
      <c r="O1287">
        <v>61</v>
      </c>
      <c r="P1287">
        <v>-16495.620000000003</v>
      </c>
      <c r="Q1287" t="b">
        <v>0</v>
      </c>
      <c r="R1287" t="b">
        <v>0</v>
      </c>
      <c r="S1287" t="b">
        <v>0</v>
      </c>
      <c r="T1287" t="b">
        <v>0</v>
      </c>
      <c r="U1287">
        <v>0</v>
      </c>
      <c r="V1287" t="s">
        <v>4073</v>
      </c>
    </row>
    <row r="1288" spans="1:22" hidden="1" x14ac:dyDescent="0.45">
      <c r="A1288" s="2" t="s">
        <v>1306</v>
      </c>
      <c r="B1288" s="11">
        <v>45372</v>
      </c>
      <c r="C1288" s="2" t="s">
        <v>2012</v>
      </c>
      <c r="D1288" s="2" t="s">
        <v>2017</v>
      </c>
      <c r="E1288">
        <v>294.74</v>
      </c>
      <c r="F1288">
        <v>16505.440000000002</v>
      </c>
      <c r="G1288">
        <v>0</v>
      </c>
      <c r="H1288">
        <v>0</v>
      </c>
      <c r="I1288" s="2" t="s">
        <v>2020</v>
      </c>
      <c r="J1288" s="2" t="s">
        <v>2029</v>
      </c>
      <c r="K1288" s="2" t="s">
        <v>3327</v>
      </c>
      <c r="L1288" s="2" t="s">
        <v>4033</v>
      </c>
      <c r="M1288">
        <v>-294.74</v>
      </c>
      <c r="N1288" s="2" t="s">
        <v>4044</v>
      </c>
      <c r="O1288">
        <v>56</v>
      </c>
      <c r="P1288">
        <v>-16505.440000000002</v>
      </c>
      <c r="Q1288" t="b">
        <v>0</v>
      </c>
      <c r="R1288" t="b">
        <v>0</v>
      </c>
      <c r="S1288" t="b">
        <v>0</v>
      </c>
      <c r="T1288" t="b">
        <v>0</v>
      </c>
      <c r="U1288">
        <v>0</v>
      </c>
      <c r="V1288" t="s">
        <v>4073</v>
      </c>
    </row>
    <row r="1289" spans="1:22" hidden="1" x14ac:dyDescent="0.45">
      <c r="A1289" s="2" t="s">
        <v>1126</v>
      </c>
      <c r="B1289" s="11">
        <v>45370</v>
      </c>
      <c r="C1289" s="2" t="s">
        <v>2012</v>
      </c>
      <c r="D1289" s="2" t="s">
        <v>2017</v>
      </c>
      <c r="E1289">
        <v>732.61</v>
      </c>
      <c r="F1289">
        <v>41026.160000000003</v>
      </c>
      <c r="G1289">
        <v>0</v>
      </c>
      <c r="H1289">
        <v>0</v>
      </c>
      <c r="I1289" s="2" t="s">
        <v>2024</v>
      </c>
      <c r="J1289" s="2" t="s">
        <v>2027</v>
      </c>
      <c r="K1289" s="2" t="s">
        <v>3147</v>
      </c>
      <c r="L1289" s="2" t="s">
        <v>4033</v>
      </c>
      <c r="M1289">
        <v>-732.61</v>
      </c>
      <c r="N1289" s="2" t="s">
        <v>4044</v>
      </c>
      <c r="O1289">
        <v>56</v>
      </c>
      <c r="P1289">
        <v>-41026.160000000003</v>
      </c>
      <c r="Q1289" t="b">
        <v>0</v>
      </c>
      <c r="R1289" t="b">
        <v>0</v>
      </c>
      <c r="S1289" t="b">
        <v>0</v>
      </c>
      <c r="T1289" t="b">
        <v>0</v>
      </c>
      <c r="U1289">
        <v>0</v>
      </c>
      <c r="V1289" t="s">
        <v>4073</v>
      </c>
    </row>
    <row r="1290" spans="1:22" hidden="1" x14ac:dyDescent="0.45">
      <c r="A1290" s="2" t="s">
        <v>1048</v>
      </c>
      <c r="B1290" s="11">
        <v>45429</v>
      </c>
      <c r="C1290" s="2" t="s">
        <v>2011</v>
      </c>
      <c r="D1290" s="2" t="s">
        <v>2016</v>
      </c>
      <c r="E1290">
        <v>398.06</v>
      </c>
      <c r="F1290">
        <v>41000.18</v>
      </c>
      <c r="G1290">
        <v>0</v>
      </c>
      <c r="H1290">
        <v>0</v>
      </c>
      <c r="I1290" s="2" t="s">
        <v>2024</v>
      </c>
      <c r="J1290" s="2" t="s">
        <v>2029</v>
      </c>
      <c r="K1290" s="2" t="s">
        <v>3069</v>
      </c>
      <c r="L1290" s="2" t="s">
        <v>4031</v>
      </c>
      <c r="M1290">
        <v>-398.06</v>
      </c>
      <c r="N1290" s="2" t="s">
        <v>2016</v>
      </c>
      <c r="O1290">
        <v>103</v>
      </c>
      <c r="P1290">
        <v>-41000.18</v>
      </c>
      <c r="Q1290" t="b">
        <v>0</v>
      </c>
      <c r="R1290" t="b">
        <v>0</v>
      </c>
      <c r="S1290" t="b">
        <v>0</v>
      </c>
      <c r="T1290" t="b">
        <v>0</v>
      </c>
      <c r="U1290">
        <v>0</v>
      </c>
      <c r="V1290" t="s">
        <v>4073</v>
      </c>
    </row>
    <row r="1291" spans="1:22" hidden="1" x14ac:dyDescent="0.45">
      <c r="A1291" s="2" t="s">
        <v>222</v>
      </c>
      <c r="B1291" s="11">
        <v>45608</v>
      </c>
      <c r="C1291" s="2" t="s">
        <v>2014</v>
      </c>
      <c r="D1291" s="2" t="s">
        <v>2019</v>
      </c>
      <c r="E1291">
        <v>0</v>
      </c>
      <c r="F1291">
        <v>0</v>
      </c>
      <c r="G1291">
        <v>668.17</v>
      </c>
      <c r="H1291">
        <v>40758.369999999995</v>
      </c>
      <c r="I1291" s="2" t="s">
        <v>2020</v>
      </c>
      <c r="J1291" s="2" t="s">
        <v>2028</v>
      </c>
      <c r="K1291" s="2" t="s">
        <v>2243</v>
      </c>
      <c r="L1291" s="2" t="s">
        <v>4035</v>
      </c>
      <c r="M1291">
        <v>668.17</v>
      </c>
      <c r="N1291" s="2" t="s">
        <v>4042</v>
      </c>
      <c r="O1291">
        <v>61</v>
      </c>
      <c r="P1291">
        <v>40758.369999999995</v>
      </c>
      <c r="Q1291" t="b">
        <v>0</v>
      </c>
      <c r="R1291" t="b">
        <v>0</v>
      </c>
      <c r="S1291" t="b">
        <v>0</v>
      </c>
      <c r="T1291" t="b">
        <v>0</v>
      </c>
      <c r="U1291">
        <v>0</v>
      </c>
      <c r="V1291" t="s">
        <v>4073</v>
      </c>
    </row>
    <row r="1292" spans="1:22" hidden="1" x14ac:dyDescent="0.45">
      <c r="A1292" s="2" t="s">
        <v>1340</v>
      </c>
      <c r="B1292" s="11">
        <v>45069</v>
      </c>
      <c r="C1292" s="2" t="s">
        <v>2011</v>
      </c>
      <c r="D1292" s="2" t="s">
        <v>2016</v>
      </c>
      <c r="E1292">
        <v>394.02</v>
      </c>
      <c r="F1292">
        <v>40584.06</v>
      </c>
      <c r="G1292">
        <v>0</v>
      </c>
      <c r="H1292">
        <v>0</v>
      </c>
      <c r="I1292" s="2" t="s">
        <v>2021</v>
      </c>
      <c r="J1292" s="2" t="s">
        <v>2026</v>
      </c>
      <c r="K1292" s="2" t="s">
        <v>3361</v>
      </c>
      <c r="L1292" s="2" t="s">
        <v>4031</v>
      </c>
      <c r="M1292">
        <v>-394.02</v>
      </c>
      <c r="N1292" s="2" t="s">
        <v>2016</v>
      </c>
      <c r="O1292">
        <v>103</v>
      </c>
      <c r="P1292">
        <v>-40584.06</v>
      </c>
      <c r="Q1292" t="b">
        <v>0</v>
      </c>
      <c r="R1292" t="b">
        <v>0</v>
      </c>
      <c r="S1292" t="b">
        <v>0</v>
      </c>
      <c r="T1292" t="b">
        <v>0</v>
      </c>
      <c r="U1292">
        <v>0</v>
      </c>
      <c r="V1292" t="s">
        <v>4073</v>
      </c>
    </row>
    <row r="1293" spans="1:22" hidden="1" x14ac:dyDescent="0.45">
      <c r="A1293" s="2" t="s">
        <v>1483</v>
      </c>
      <c r="B1293" s="11">
        <v>45061</v>
      </c>
      <c r="C1293" s="2" t="s">
        <v>2012</v>
      </c>
      <c r="D1293" s="2" t="s">
        <v>2017</v>
      </c>
      <c r="E1293">
        <v>665.12</v>
      </c>
      <c r="F1293">
        <v>40572.32</v>
      </c>
      <c r="G1293">
        <v>0</v>
      </c>
      <c r="H1293">
        <v>0</v>
      </c>
      <c r="I1293" s="2" t="s">
        <v>2023</v>
      </c>
      <c r="J1293" s="2" t="s">
        <v>2029</v>
      </c>
      <c r="K1293" s="2" t="s">
        <v>3504</v>
      </c>
      <c r="L1293" s="2" t="s">
        <v>4035</v>
      </c>
      <c r="M1293">
        <v>-665.12</v>
      </c>
      <c r="N1293" s="2" t="s">
        <v>4044</v>
      </c>
      <c r="O1293">
        <v>61</v>
      </c>
      <c r="P1293">
        <v>-40572.32</v>
      </c>
      <c r="Q1293" t="b">
        <v>0</v>
      </c>
      <c r="R1293" t="b">
        <v>0</v>
      </c>
      <c r="S1293" t="b">
        <v>0</v>
      </c>
      <c r="T1293" t="b">
        <v>0</v>
      </c>
      <c r="U1293">
        <v>0</v>
      </c>
      <c r="V1293" t="s">
        <v>4073</v>
      </c>
    </row>
    <row r="1294" spans="1:22" hidden="1" x14ac:dyDescent="0.45">
      <c r="A1294" s="2" t="s">
        <v>232</v>
      </c>
      <c r="B1294" s="11">
        <v>45251</v>
      </c>
      <c r="C1294" s="2" t="s">
        <v>2012</v>
      </c>
      <c r="D1294" s="2" t="s">
        <v>2017</v>
      </c>
      <c r="E1294">
        <v>491.91</v>
      </c>
      <c r="F1294">
        <v>40336.620000000003</v>
      </c>
      <c r="G1294">
        <v>0</v>
      </c>
      <c r="H1294">
        <v>0</v>
      </c>
      <c r="I1294" s="2" t="s">
        <v>2020</v>
      </c>
      <c r="J1294" s="2" t="s">
        <v>2026</v>
      </c>
      <c r="K1294" s="2" t="s">
        <v>2253</v>
      </c>
      <c r="L1294" s="2" t="s">
        <v>4034</v>
      </c>
      <c r="M1294">
        <v>-491.91</v>
      </c>
      <c r="N1294" s="2" t="s">
        <v>4044</v>
      </c>
      <c r="O1294">
        <v>82</v>
      </c>
      <c r="P1294">
        <v>-40336.620000000003</v>
      </c>
      <c r="Q1294" t="b">
        <v>0</v>
      </c>
      <c r="R1294" t="b">
        <v>0</v>
      </c>
      <c r="S1294" t="b">
        <v>0</v>
      </c>
      <c r="T1294" t="b">
        <v>0</v>
      </c>
      <c r="U1294">
        <v>0</v>
      </c>
      <c r="V1294" t="s">
        <v>4073</v>
      </c>
    </row>
    <row r="1295" spans="1:22" hidden="1" x14ac:dyDescent="0.45">
      <c r="A1295" s="2" t="s">
        <v>434</v>
      </c>
      <c r="B1295" s="11">
        <v>45611</v>
      </c>
      <c r="C1295" s="2" t="s">
        <v>2013</v>
      </c>
      <c r="D1295" s="2" t="s">
        <v>2018</v>
      </c>
      <c r="E1295">
        <v>189.31</v>
      </c>
      <c r="F1295">
        <v>16659.28</v>
      </c>
      <c r="G1295">
        <v>0</v>
      </c>
      <c r="H1295">
        <v>0</v>
      </c>
      <c r="I1295" s="2" t="s">
        <v>2021</v>
      </c>
      <c r="J1295" s="2" t="s">
        <v>2030</v>
      </c>
      <c r="K1295" s="2" t="s">
        <v>2455</v>
      </c>
      <c r="L1295" s="2" t="s">
        <v>4032</v>
      </c>
      <c r="M1295">
        <v>-189.31</v>
      </c>
      <c r="N1295" s="2" t="s">
        <v>4044</v>
      </c>
      <c r="O1295">
        <v>88</v>
      </c>
      <c r="P1295">
        <v>-16659.28</v>
      </c>
      <c r="Q1295" t="b">
        <v>0</v>
      </c>
      <c r="R1295" t="b">
        <v>0</v>
      </c>
      <c r="S1295" t="b">
        <v>0</v>
      </c>
      <c r="T1295" t="b">
        <v>0</v>
      </c>
      <c r="U1295">
        <v>0</v>
      </c>
      <c r="V1295" t="s">
        <v>4073</v>
      </c>
    </row>
    <row r="1296" spans="1:22" hidden="1" x14ac:dyDescent="0.45">
      <c r="A1296" s="2" t="s">
        <v>595</v>
      </c>
      <c r="B1296" s="11">
        <v>45055</v>
      </c>
      <c r="C1296" s="2" t="s">
        <v>2011</v>
      </c>
      <c r="D1296" s="2" t="s">
        <v>2016</v>
      </c>
      <c r="E1296">
        <v>661.12</v>
      </c>
      <c r="F1296">
        <v>40328.32</v>
      </c>
      <c r="G1296">
        <v>0</v>
      </c>
      <c r="H1296">
        <v>0</v>
      </c>
      <c r="I1296" s="2" t="s">
        <v>2021</v>
      </c>
      <c r="J1296" s="2" t="s">
        <v>2030</v>
      </c>
      <c r="K1296" s="2" t="s">
        <v>2616</v>
      </c>
      <c r="L1296" s="2" t="s">
        <v>4035</v>
      </c>
      <c r="M1296">
        <v>-661.12</v>
      </c>
      <c r="N1296" s="2" t="s">
        <v>2016</v>
      </c>
      <c r="O1296">
        <v>61</v>
      </c>
      <c r="P1296">
        <v>-40328.32</v>
      </c>
      <c r="Q1296" t="b">
        <v>0</v>
      </c>
      <c r="R1296" t="b">
        <v>0</v>
      </c>
      <c r="S1296" t="b">
        <v>0</v>
      </c>
      <c r="T1296" t="b">
        <v>0</v>
      </c>
      <c r="U1296">
        <v>0</v>
      </c>
      <c r="V1296" t="s">
        <v>4073</v>
      </c>
    </row>
    <row r="1297" spans="1:22" hidden="1" x14ac:dyDescent="0.45">
      <c r="A1297" s="2" t="s">
        <v>1097</v>
      </c>
      <c r="B1297" s="11">
        <v>45215</v>
      </c>
      <c r="C1297" s="2" t="s">
        <v>2014</v>
      </c>
      <c r="D1297" s="2" t="s">
        <v>2019</v>
      </c>
      <c r="E1297">
        <v>0</v>
      </c>
      <c r="F1297">
        <v>0</v>
      </c>
      <c r="G1297">
        <v>298.58</v>
      </c>
      <c r="H1297">
        <v>16720.48</v>
      </c>
      <c r="I1297" s="2" t="s">
        <v>2022</v>
      </c>
      <c r="J1297" s="2" t="s">
        <v>2027</v>
      </c>
      <c r="K1297" s="2" t="s">
        <v>3118</v>
      </c>
      <c r="L1297" s="2" t="s">
        <v>4033</v>
      </c>
      <c r="M1297">
        <v>298.58</v>
      </c>
      <c r="N1297" s="2" t="s">
        <v>4042</v>
      </c>
      <c r="O1297">
        <v>56</v>
      </c>
      <c r="P1297">
        <v>16720.48</v>
      </c>
      <c r="Q1297" t="b">
        <v>0</v>
      </c>
      <c r="R1297" t="b">
        <v>0</v>
      </c>
      <c r="S1297" t="b">
        <v>0</v>
      </c>
      <c r="T1297" t="b">
        <v>0</v>
      </c>
      <c r="U1297">
        <v>0</v>
      </c>
      <c r="V1297" t="s">
        <v>4073</v>
      </c>
    </row>
    <row r="1298" spans="1:22" hidden="1" x14ac:dyDescent="0.45">
      <c r="A1298" s="2" t="s">
        <v>1834</v>
      </c>
      <c r="B1298" s="11">
        <v>45474</v>
      </c>
      <c r="C1298" s="2" t="s">
        <v>2010</v>
      </c>
      <c r="D1298" s="2" t="s">
        <v>2015</v>
      </c>
      <c r="E1298">
        <v>0</v>
      </c>
      <c r="F1298">
        <v>0</v>
      </c>
      <c r="G1298">
        <v>166.02</v>
      </c>
      <c r="H1298">
        <v>14609.76</v>
      </c>
      <c r="I1298" s="2" t="s">
        <v>2022</v>
      </c>
      <c r="J1298" s="2" t="s">
        <v>2026</v>
      </c>
      <c r="K1298" s="2" t="s">
        <v>3855</v>
      </c>
      <c r="L1298" s="2" t="s">
        <v>4032</v>
      </c>
      <c r="M1298">
        <v>166.02</v>
      </c>
      <c r="N1298" s="2" t="s">
        <v>4042</v>
      </c>
      <c r="O1298">
        <v>88</v>
      </c>
      <c r="P1298">
        <v>14609.76</v>
      </c>
      <c r="Q1298" t="b">
        <v>0</v>
      </c>
      <c r="R1298" t="b">
        <v>0</v>
      </c>
      <c r="S1298" t="b">
        <v>0</v>
      </c>
      <c r="T1298" t="b">
        <v>0</v>
      </c>
      <c r="U1298">
        <v>0</v>
      </c>
      <c r="V1298" t="s">
        <v>4073</v>
      </c>
    </row>
    <row r="1299" spans="1:22" hidden="1" x14ac:dyDescent="0.45">
      <c r="A1299" s="2" t="s">
        <v>1231</v>
      </c>
      <c r="B1299" s="11">
        <v>45792</v>
      </c>
      <c r="C1299" s="2" t="s">
        <v>2011</v>
      </c>
      <c r="D1299" s="2" t="s">
        <v>2016</v>
      </c>
      <c r="E1299">
        <v>695.83</v>
      </c>
      <c r="F1299">
        <v>42445.630000000005</v>
      </c>
      <c r="G1299">
        <v>0</v>
      </c>
      <c r="H1299">
        <v>0</v>
      </c>
      <c r="I1299" s="2" t="s">
        <v>2025</v>
      </c>
      <c r="J1299" s="2" t="s">
        <v>2028</v>
      </c>
      <c r="K1299" s="2" t="s">
        <v>3252</v>
      </c>
      <c r="L1299" s="2" t="s">
        <v>4035</v>
      </c>
      <c r="M1299">
        <v>-695.83</v>
      </c>
      <c r="N1299" s="2" t="s">
        <v>2016</v>
      </c>
      <c r="O1299">
        <v>61</v>
      </c>
      <c r="P1299">
        <v>-42445.630000000005</v>
      </c>
      <c r="Q1299" t="b">
        <v>0</v>
      </c>
      <c r="R1299" t="b">
        <v>0</v>
      </c>
      <c r="S1299" t="b">
        <v>0</v>
      </c>
      <c r="T1299" t="b">
        <v>0</v>
      </c>
      <c r="U1299">
        <v>0</v>
      </c>
      <c r="V1299" t="s">
        <v>4073</v>
      </c>
    </row>
    <row r="1300" spans="1:22" hidden="1" x14ac:dyDescent="0.45">
      <c r="A1300" s="2" t="s">
        <v>1003</v>
      </c>
      <c r="B1300" s="11">
        <v>45127</v>
      </c>
      <c r="C1300" s="2" t="s">
        <v>2011</v>
      </c>
      <c r="D1300" s="2" t="s">
        <v>2016</v>
      </c>
      <c r="E1300">
        <v>759.38</v>
      </c>
      <c r="F1300">
        <v>42525.279999999999</v>
      </c>
      <c r="G1300">
        <v>0</v>
      </c>
      <c r="H1300">
        <v>0</v>
      </c>
      <c r="I1300" s="2" t="s">
        <v>2020</v>
      </c>
      <c r="J1300" s="2" t="s">
        <v>2030</v>
      </c>
      <c r="K1300" s="2" t="s">
        <v>3024</v>
      </c>
      <c r="L1300" s="2" t="s">
        <v>4033</v>
      </c>
      <c r="M1300">
        <v>-759.38</v>
      </c>
      <c r="N1300" s="2" t="s">
        <v>2016</v>
      </c>
      <c r="O1300">
        <v>56</v>
      </c>
      <c r="P1300">
        <v>-42525.279999999999</v>
      </c>
      <c r="Q1300" t="b">
        <v>0</v>
      </c>
      <c r="R1300" t="b">
        <v>0</v>
      </c>
      <c r="S1300" t="b">
        <v>0</v>
      </c>
      <c r="T1300" t="b">
        <v>0</v>
      </c>
      <c r="U1300">
        <v>0</v>
      </c>
      <c r="V1300" t="s">
        <v>4073</v>
      </c>
    </row>
    <row r="1301" spans="1:22" hidden="1" x14ac:dyDescent="0.45">
      <c r="A1301" s="2" t="s">
        <v>1757</v>
      </c>
      <c r="B1301" s="11">
        <v>45664</v>
      </c>
      <c r="C1301" s="2" t="s">
        <v>2013</v>
      </c>
      <c r="D1301" s="2" t="s">
        <v>2018</v>
      </c>
      <c r="E1301">
        <v>759.41</v>
      </c>
      <c r="F1301">
        <v>42526.96</v>
      </c>
      <c r="G1301">
        <v>0</v>
      </c>
      <c r="H1301">
        <v>0</v>
      </c>
      <c r="I1301" s="2" t="s">
        <v>2024</v>
      </c>
      <c r="J1301" s="2" t="s">
        <v>2026</v>
      </c>
      <c r="K1301" s="2" t="s">
        <v>3778</v>
      </c>
      <c r="L1301" s="2" t="s">
        <v>4033</v>
      </c>
      <c r="M1301">
        <v>-759.41</v>
      </c>
      <c r="N1301" s="2" t="s">
        <v>4044</v>
      </c>
      <c r="O1301">
        <v>56</v>
      </c>
      <c r="P1301">
        <v>-42526.96</v>
      </c>
      <c r="Q1301" t="b">
        <v>0</v>
      </c>
      <c r="R1301" t="b">
        <v>0</v>
      </c>
      <c r="S1301" t="b">
        <v>0</v>
      </c>
      <c r="T1301" t="b">
        <v>0</v>
      </c>
      <c r="U1301">
        <v>0</v>
      </c>
      <c r="V1301" t="s">
        <v>4073</v>
      </c>
    </row>
    <row r="1302" spans="1:22" hidden="1" x14ac:dyDescent="0.45">
      <c r="A1302" s="2" t="s">
        <v>1594</v>
      </c>
      <c r="B1302" s="11">
        <v>45755</v>
      </c>
      <c r="C1302" s="2" t="s">
        <v>2013</v>
      </c>
      <c r="D1302" s="2" t="s">
        <v>2018</v>
      </c>
      <c r="E1302">
        <v>203.77</v>
      </c>
      <c r="F1302">
        <v>12429.970000000001</v>
      </c>
      <c r="G1302">
        <v>0</v>
      </c>
      <c r="H1302">
        <v>0</v>
      </c>
      <c r="I1302" s="2" t="s">
        <v>2025</v>
      </c>
      <c r="J1302" s="2" t="s">
        <v>2028</v>
      </c>
      <c r="K1302" s="2" t="s">
        <v>3615</v>
      </c>
      <c r="L1302" s="2" t="s">
        <v>4035</v>
      </c>
      <c r="M1302">
        <v>-203.77</v>
      </c>
      <c r="N1302" s="2" t="s">
        <v>4044</v>
      </c>
      <c r="O1302">
        <v>61</v>
      </c>
      <c r="P1302">
        <v>-12429.970000000001</v>
      </c>
      <c r="Q1302" t="b">
        <v>0</v>
      </c>
      <c r="R1302" t="b">
        <v>0</v>
      </c>
      <c r="S1302" t="b">
        <v>0</v>
      </c>
      <c r="T1302" t="b">
        <v>0</v>
      </c>
      <c r="U1302">
        <v>0</v>
      </c>
      <c r="V1302" t="s">
        <v>4073</v>
      </c>
    </row>
    <row r="1303" spans="1:22" hidden="1" x14ac:dyDescent="0.45">
      <c r="A1303" s="2" t="s">
        <v>1451</v>
      </c>
      <c r="B1303" s="11">
        <v>45618</v>
      </c>
      <c r="C1303" s="2" t="s">
        <v>2014</v>
      </c>
      <c r="D1303" s="2" t="s">
        <v>2019</v>
      </c>
      <c r="E1303">
        <v>0</v>
      </c>
      <c r="F1303">
        <v>0</v>
      </c>
      <c r="G1303">
        <v>224.69</v>
      </c>
      <c r="H1303">
        <v>12582.64</v>
      </c>
      <c r="I1303" s="2" t="s">
        <v>2025</v>
      </c>
      <c r="J1303" s="2" t="s">
        <v>2029</v>
      </c>
      <c r="K1303" s="2" t="s">
        <v>3472</v>
      </c>
      <c r="L1303" s="2" t="s">
        <v>4033</v>
      </c>
      <c r="M1303">
        <v>224.69</v>
      </c>
      <c r="N1303" s="2" t="s">
        <v>4042</v>
      </c>
      <c r="O1303">
        <v>56</v>
      </c>
      <c r="P1303">
        <v>12582.64</v>
      </c>
      <c r="Q1303" t="b">
        <v>0</v>
      </c>
      <c r="R1303" t="b">
        <v>0</v>
      </c>
      <c r="S1303" t="b">
        <v>0</v>
      </c>
      <c r="T1303" t="b">
        <v>0</v>
      </c>
      <c r="U1303">
        <v>0</v>
      </c>
      <c r="V1303" t="s">
        <v>4073</v>
      </c>
    </row>
    <row r="1304" spans="1:22" hidden="1" x14ac:dyDescent="0.45">
      <c r="A1304" s="2" t="s">
        <v>368</v>
      </c>
      <c r="B1304" s="11">
        <v>45525</v>
      </c>
      <c r="C1304" s="2" t="s">
        <v>2012</v>
      </c>
      <c r="D1304" s="2" t="s">
        <v>2017</v>
      </c>
      <c r="E1304">
        <v>803.21</v>
      </c>
      <c r="F1304">
        <v>44979.76</v>
      </c>
      <c r="G1304">
        <v>0</v>
      </c>
      <c r="H1304">
        <v>0</v>
      </c>
      <c r="I1304" s="2" t="s">
        <v>2020</v>
      </c>
      <c r="J1304" s="2" t="s">
        <v>2030</v>
      </c>
      <c r="K1304" s="2" t="s">
        <v>2389</v>
      </c>
      <c r="L1304" s="2" t="s">
        <v>4033</v>
      </c>
      <c r="M1304">
        <v>-803.21</v>
      </c>
      <c r="N1304" s="2" t="s">
        <v>4044</v>
      </c>
      <c r="O1304">
        <v>56</v>
      </c>
      <c r="P1304">
        <v>-44979.76</v>
      </c>
      <c r="Q1304" t="b">
        <v>0</v>
      </c>
      <c r="R1304" t="b">
        <v>0</v>
      </c>
      <c r="S1304" t="b">
        <v>0</v>
      </c>
      <c r="T1304" t="b">
        <v>0</v>
      </c>
      <c r="U1304">
        <v>0</v>
      </c>
      <c r="V1304" t="s">
        <v>4073</v>
      </c>
    </row>
    <row r="1305" spans="1:22" hidden="1" x14ac:dyDescent="0.45">
      <c r="A1305" s="2" t="s">
        <v>1418</v>
      </c>
      <c r="B1305" s="11">
        <v>45021</v>
      </c>
      <c r="C1305" s="2" t="s">
        <v>2011</v>
      </c>
      <c r="D1305" s="2" t="s">
        <v>2016</v>
      </c>
      <c r="E1305">
        <v>225.89</v>
      </c>
      <c r="F1305">
        <v>12649.84</v>
      </c>
      <c r="G1305">
        <v>0</v>
      </c>
      <c r="H1305">
        <v>0</v>
      </c>
      <c r="I1305" s="2" t="s">
        <v>2021</v>
      </c>
      <c r="J1305" s="2" t="s">
        <v>2028</v>
      </c>
      <c r="K1305" s="2" t="s">
        <v>3439</v>
      </c>
      <c r="L1305" s="2" t="s">
        <v>4033</v>
      </c>
      <c r="M1305">
        <v>-225.89</v>
      </c>
      <c r="N1305" s="2" t="s">
        <v>2016</v>
      </c>
      <c r="O1305">
        <v>56</v>
      </c>
      <c r="P1305">
        <v>-12649.84</v>
      </c>
      <c r="Q1305" t="b">
        <v>0</v>
      </c>
      <c r="R1305" t="b">
        <v>0</v>
      </c>
      <c r="S1305" t="b">
        <v>0</v>
      </c>
      <c r="T1305" t="b">
        <v>0</v>
      </c>
      <c r="U1305">
        <v>0</v>
      </c>
      <c r="V1305" t="s">
        <v>4073</v>
      </c>
    </row>
    <row r="1306" spans="1:22" hidden="1" x14ac:dyDescent="0.45">
      <c r="A1306" s="2" t="s">
        <v>1430</v>
      </c>
      <c r="B1306" s="11">
        <v>45244</v>
      </c>
      <c r="C1306" s="2" t="s">
        <v>2011</v>
      </c>
      <c r="D1306" s="2" t="s">
        <v>2016</v>
      </c>
      <c r="E1306">
        <v>803.08</v>
      </c>
      <c r="F1306">
        <v>44972.480000000003</v>
      </c>
      <c r="G1306">
        <v>0</v>
      </c>
      <c r="H1306">
        <v>0</v>
      </c>
      <c r="I1306" s="2" t="s">
        <v>2024</v>
      </c>
      <c r="J1306" s="2" t="s">
        <v>2028</v>
      </c>
      <c r="K1306" s="2" t="s">
        <v>3451</v>
      </c>
      <c r="L1306" s="2" t="s">
        <v>4033</v>
      </c>
      <c r="M1306">
        <v>-803.08</v>
      </c>
      <c r="N1306" s="2" t="s">
        <v>2016</v>
      </c>
      <c r="O1306">
        <v>56</v>
      </c>
      <c r="P1306">
        <v>-44972.480000000003</v>
      </c>
      <c r="Q1306" t="b">
        <v>0</v>
      </c>
      <c r="R1306" t="b">
        <v>0</v>
      </c>
      <c r="S1306" t="b">
        <v>0</v>
      </c>
      <c r="T1306" t="b">
        <v>0</v>
      </c>
      <c r="U1306">
        <v>0</v>
      </c>
      <c r="V1306" t="s">
        <v>4073</v>
      </c>
    </row>
    <row r="1307" spans="1:22" hidden="1" x14ac:dyDescent="0.45">
      <c r="A1307" s="2" t="s">
        <v>1256</v>
      </c>
      <c r="B1307" s="11">
        <v>45281</v>
      </c>
      <c r="C1307" s="2" t="s">
        <v>2012</v>
      </c>
      <c r="D1307" s="2" t="s">
        <v>2017</v>
      </c>
      <c r="E1307">
        <v>227.05</v>
      </c>
      <c r="F1307">
        <v>12714.800000000001</v>
      </c>
      <c r="G1307">
        <v>0</v>
      </c>
      <c r="H1307">
        <v>0</v>
      </c>
      <c r="I1307" s="2" t="s">
        <v>2021</v>
      </c>
      <c r="J1307" s="2" t="s">
        <v>2029</v>
      </c>
      <c r="K1307" s="2" t="s">
        <v>3277</v>
      </c>
      <c r="L1307" s="2" t="s">
        <v>4033</v>
      </c>
      <c r="M1307">
        <v>-227.05</v>
      </c>
      <c r="N1307" s="2" t="s">
        <v>4044</v>
      </c>
      <c r="O1307">
        <v>56</v>
      </c>
      <c r="P1307">
        <v>-12714.800000000001</v>
      </c>
      <c r="Q1307" t="b">
        <v>0</v>
      </c>
      <c r="R1307" t="b">
        <v>0</v>
      </c>
      <c r="S1307" t="b">
        <v>0</v>
      </c>
      <c r="T1307" t="b">
        <v>0</v>
      </c>
      <c r="U1307">
        <v>0</v>
      </c>
      <c r="V1307" t="s">
        <v>4073</v>
      </c>
    </row>
    <row r="1308" spans="1:22" hidden="1" x14ac:dyDescent="0.45">
      <c r="A1308" s="2" t="s">
        <v>1128</v>
      </c>
      <c r="B1308" s="11">
        <v>45539</v>
      </c>
      <c r="C1308" s="2" t="s">
        <v>2013</v>
      </c>
      <c r="D1308" s="2" t="s">
        <v>2018</v>
      </c>
      <c r="E1308">
        <v>436.55</v>
      </c>
      <c r="F1308">
        <v>44964.65</v>
      </c>
      <c r="G1308">
        <v>0</v>
      </c>
      <c r="H1308">
        <v>0</v>
      </c>
      <c r="I1308" s="2" t="s">
        <v>2020</v>
      </c>
      <c r="J1308" s="2" t="s">
        <v>2027</v>
      </c>
      <c r="K1308" s="2" t="s">
        <v>3149</v>
      </c>
      <c r="L1308" s="2" t="s">
        <v>4031</v>
      </c>
      <c r="M1308">
        <v>-436.55</v>
      </c>
      <c r="N1308" s="2" t="s">
        <v>4044</v>
      </c>
      <c r="O1308">
        <v>103</v>
      </c>
      <c r="P1308">
        <v>-44964.65</v>
      </c>
      <c r="Q1308" t="b">
        <v>0</v>
      </c>
      <c r="R1308" t="b">
        <v>0</v>
      </c>
      <c r="S1308" t="b">
        <v>0</v>
      </c>
      <c r="T1308" t="b">
        <v>0</v>
      </c>
      <c r="U1308">
        <v>0</v>
      </c>
      <c r="V1308" t="s">
        <v>4073</v>
      </c>
    </row>
    <row r="1309" spans="1:22" hidden="1" x14ac:dyDescent="0.45">
      <c r="A1309" s="2" t="s">
        <v>1563</v>
      </c>
      <c r="B1309" s="11">
        <v>45526</v>
      </c>
      <c r="C1309" s="2" t="s">
        <v>2012</v>
      </c>
      <c r="D1309" s="2" t="s">
        <v>2017</v>
      </c>
      <c r="E1309">
        <v>736.29</v>
      </c>
      <c r="F1309">
        <v>44913.689999999995</v>
      </c>
      <c r="G1309">
        <v>0</v>
      </c>
      <c r="H1309">
        <v>0</v>
      </c>
      <c r="I1309" s="2" t="s">
        <v>2020</v>
      </c>
      <c r="J1309" s="2" t="s">
        <v>2028</v>
      </c>
      <c r="K1309" s="2" t="s">
        <v>3584</v>
      </c>
      <c r="L1309" s="2" t="s">
        <v>4035</v>
      </c>
      <c r="M1309">
        <v>-736.29</v>
      </c>
      <c r="N1309" s="2" t="s">
        <v>4044</v>
      </c>
      <c r="O1309">
        <v>61</v>
      </c>
      <c r="P1309">
        <v>-44913.689999999995</v>
      </c>
      <c r="Q1309" t="b">
        <v>0</v>
      </c>
      <c r="R1309" t="b">
        <v>0</v>
      </c>
      <c r="S1309" t="b">
        <v>0</v>
      </c>
      <c r="T1309" t="b">
        <v>0</v>
      </c>
      <c r="U1309">
        <v>0</v>
      </c>
      <c r="V1309" t="s">
        <v>4073</v>
      </c>
    </row>
    <row r="1310" spans="1:22" hidden="1" x14ac:dyDescent="0.45">
      <c r="A1310" s="2" t="s">
        <v>82</v>
      </c>
      <c r="B1310" s="11">
        <v>45343</v>
      </c>
      <c r="C1310" s="2" t="s">
        <v>2011</v>
      </c>
      <c r="D1310" s="2" t="s">
        <v>2016</v>
      </c>
      <c r="E1310">
        <v>156.53</v>
      </c>
      <c r="F1310">
        <v>12835.460000000001</v>
      </c>
      <c r="G1310">
        <v>0</v>
      </c>
      <c r="H1310">
        <v>0</v>
      </c>
      <c r="I1310" s="2" t="s">
        <v>2024</v>
      </c>
      <c r="J1310" s="2" t="s">
        <v>2026</v>
      </c>
      <c r="K1310" s="2" t="s">
        <v>2103</v>
      </c>
      <c r="L1310" s="2" t="s">
        <v>4034</v>
      </c>
      <c r="M1310">
        <v>-156.53</v>
      </c>
      <c r="N1310" s="2" t="s">
        <v>2016</v>
      </c>
      <c r="O1310">
        <v>82</v>
      </c>
      <c r="P1310">
        <v>-12835.460000000001</v>
      </c>
      <c r="Q1310" t="b">
        <v>0</v>
      </c>
      <c r="R1310" t="b">
        <v>0</v>
      </c>
      <c r="S1310" t="b">
        <v>0</v>
      </c>
      <c r="T1310" t="b">
        <v>0</v>
      </c>
      <c r="U1310">
        <v>0</v>
      </c>
      <c r="V1310" t="s">
        <v>4073</v>
      </c>
    </row>
    <row r="1311" spans="1:22" hidden="1" x14ac:dyDescent="0.45">
      <c r="A1311" s="2" t="s">
        <v>359</v>
      </c>
      <c r="B1311" s="11">
        <v>45030</v>
      </c>
      <c r="C1311" s="2" t="s">
        <v>2011</v>
      </c>
      <c r="D1311" s="2" t="s">
        <v>2016</v>
      </c>
      <c r="E1311">
        <v>509.89</v>
      </c>
      <c r="F1311">
        <v>44870.32</v>
      </c>
      <c r="G1311">
        <v>0</v>
      </c>
      <c r="H1311">
        <v>0</v>
      </c>
      <c r="I1311" s="2" t="s">
        <v>2021</v>
      </c>
      <c r="J1311" s="2" t="s">
        <v>2026</v>
      </c>
      <c r="K1311" s="2" t="s">
        <v>2380</v>
      </c>
      <c r="L1311" s="2" t="s">
        <v>4032</v>
      </c>
      <c r="M1311">
        <v>-509.89</v>
      </c>
      <c r="N1311" s="2" t="s">
        <v>2016</v>
      </c>
      <c r="O1311">
        <v>88</v>
      </c>
      <c r="P1311">
        <v>-44870.32</v>
      </c>
      <c r="Q1311" t="b">
        <v>0</v>
      </c>
      <c r="R1311" t="b">
        <v>0</v>
      </c>
      <c r="S1311" t="b">
        <v>0</v>
      </c>
      <c r="T1311" t="b">
        <v>0</v>
      </c>
      <c r="U1311">
        <v>0</v>
      </c>
      <c r="V1311" t="s">
        <v>4073</v>
      </c>
    </row>
    <row r="1312" spans="1:22" hidden="1" x14ac:dyDescent="0.45">
      <c r="A1312" s="2" t="s">
        <v>1666</v>
      </c>
      <c r="B1312" s="11">
        <v>45246</v>
      </c>
      <c r="C1312" s="2" t="s">
        <v>2013</v>
      </c>
      <c r="D1312" s="2" t="s">
        <v>2018</v>
      </c>
      <c r="E1312">
        <v>543.41</v>
      </c>
      <c r="F1312">
        <v>44559.619999999995</v>
      </c>
      <c r="G1312">
        <v>0</v>
      </c>
      <c r="H1312">
        <v>0</v>
      </c>
      <c r="I1312" s="2" t="s">
        <v>2021</v>
      </c>
      <c r="J1312" s="2" t="s">
        <v>2028</v>
      </c>
      <c r="K1312" s="2" t="s">
        <v>3687</v>
      </c>
      <c r="L1312" s="2" t="s">
        <v>4034</v>
      </c>
      <c r="M1312">
        <v>-543.41</v>
      </c>
      <c r="N1312" s="2" t="s">
        <v>4044</v>
      </c>
      <c r="O1312">
        <v>82</v>
      </c>
      <c r="P1312">
        <v>-44559.619999999995</v>
      </c>
      <c r="Q1312" t="b">
        <v>0</v>
      </c>
      <c r="R1312" t="b">
        <v>0</v>
      </c>
      <c r="S1312" t="b">
        <v>0</v>
      </c>
      <c r="T1312" t="b">
        <v>0</v>
      </c>
      <c r="U1312">
        <v>0</v>
      </c>
      <c r="V1312" t="s">
        <v>4073</v>
      </c>
    </row>
    <row r="1313" spans="1:22" hidden="1" x14ac:dyDescent="0.45">
      <c r="A1313" s="2" t="s">
        <v>397</v>
      </c>
      <c r="B1313" s="11">
        <v>45548</v>
      </c>
      <c r="C1313" s="2" t="s">
        <v>2012</v>
      </c>
      <c r="D1313" s="2" t="s">
        <v>2017</v>
      </c>
      <c r="E1313">
        <v>542.61</v>
      </c>
      <c r="F1313">
        <v>44494.020000000004</v>
      </c>
      <c r="G1313">
        <v>0</v>
      </c>
      <c r="H1313">
        <v>0</v>
      </c>
      <c r="I1313" s="2" t="s">
        <v>2024</v>
      </c>
      <c r="J1313" s="2" t="s">
        <v>2029</v>
      </c>
      <c r="K1313" s="2" t="s">
        <v>2418</v>
      </c>
      <c r="L1313" s="2" t="s">
        <v>4034</v>
      </c>
      <c r="M1313">
        <v>-542.61</v>
      </c>
      <c r="N1313" s="2" t="s">
        <v>4044</v>
      </c>
      <c r="O1313">
        <v>82</v>
      </c>
      <c r="P1313">
        <v>-44494.020000000004</v>
      </c>
      <c r="Q1313" t="b">
        <v>0</v>
      </c>
      <c r="R1313" t="b">
        <v>0</v>
      </c>
      <c r="S1313" t="b">
        <v>0</v>
      </c>
      <c r="T1313" t="b">
        <v>0</v>
      </c>
      <c r="U1313">
        <v>0</v>
      </c>
      <c r="V1313" t="s">
        <v>4073</v>
      </c>
    </row>
    <row r="1314" spans="1:22" hidden="1" x14ac:dyDescent="0.45">
      <c r="A1314" s="2" t="s">
        <v>1901</v>
      </c>
      <c r="B1314" s="11">
        <v>45159</v>
      </c>
      <c r="C1314" s="2" t="s">
        <v>2012</v>
      </c>
      <c r="D1314" s="2" t="s">
        <v>2017</v>
      </c>
      <c r="E1314">
        <v>503.88</v>
      </c>
      <c r="F1314">
        <v>44341.440000000002</v>
      </c>
      <c r="G1314">
        <v>0</v>
      </c>
      <c r="H1314">
        <v>0</v>
      </c>
      <c r="I1314" s="2" t="s">
        <v>2023</v>
      </c>
      <c r="J1314" s="2" t="s">
        <v>2027</v>
      </c>
      <c r="K1314" s="2" t="s">
        <v>3922</v>
      </c>
      <c r="L1314" s="2" t="s">
        <v>4032</v>
      </c>
      <c r="M1314">
        <v>-503.88</v>
      </c>
      <c r="N1314" s="2" t="s">
        <v>4044</v>
      </c>
      <c r="O1314">
        <v>88</v>
      </c>
      <c r="P1314">
        <v>-44341.440000000002</v>
      </c>
      <c r="Q1314" t="b">
        <v>0</v>
      </c>
      <c r="R1314" t="b">
        <v>0</v>
      </c>
      <c r="S1314" t="b">
        <v>0</v>
      </c>
      <c r="T1314" t="b">
        <v>0</v>
      </c>
      <c r="U1314">
        <v>0</v>
      </c>
      <c r="V1314" t="s">
        <v>4073</v>
      </c>
    </row>
    <row r="1315" spans="1:22" hidden="1" x14ac:dyDescent="0.45">
      <c r="A1315" s="2" t="s">
        <v>239</v>
      </c>
      <c r="B1315" s="11">
        <v>45148</v>
      </c>
      <c r="C1315" s="2" t="s">
        <v>2012</v>
      </c>
      <c r="D1315" s="2" t="s">
        <v>2017</v>
      </c>
      <c r="E1315">
        <v>539.15</v>
      </c>
      <c r="F1315">
        <v>44210.299999999996</v>
      </c>
      <c r="G1315">
        <v>0</v>
      </c>
      <c r="H1315">
        <v>0</v>
      </c>
      <c r="I1315" s="2" t="s">
        <v>2022</v>
      </c>
      <c r="J1315" s="2" t="s">
        <v>2026</v>
      </c>
      <c r="K1315" s="2" t="s">
        <v>2260</v>
      </c>
      <c r="L1315" s="2" t="s">
        <v>4034</v>
      </c>
      <c r="M1315">
        <v>-539.15</v>
      </c>
      <c r="N1315" s="2" t="s">
        <v>4044</v>
      </c>
      <c r="O1315">
        <v>82</v>
      </c>
      <c r="P1315">
        <v>-44210.299999999996</v>
      </c>
      <c r="Q1315" t="b">
        <v>0</v>
      </c>
      <c r="R1315" t="b">
        <v>0</v>
      </c>
      <c r="S1315" t="b">
        <v>0</v>
      </c>
      <c r="T1315" t="b">
        <v>0</v>
      </c>
      <c r="U1315">
        <v>0</v>
      </c>
      <c r="V1315" t="s">
        <v>4073</v>
      </c>
    </row>
    <row r="1316" spans="1:22" hidden="1" x14ac:dyDescent="0.45">
      <c r="A1316" s="2" t="s">
        <v>895</v>
      </c>
      <c r="B1316" s="11">
        <v>44966</v>
      </c>
      <c r="C1316" s="2" t="s">
        <v>2013</v>
      </c>
      <c r="D1316" s="2" t="s">
        <v>2018</v>
      </c>
      <c r="E1316">
        <v>482.67</v>
      </c>
      <c r="F1316">
        <v>39578.94</v>
      </c>
      <c r="G1316">
        <v>0</v>
      </c>
      <c r="H1316">
        <v>0</v>
      </c>
      <c r="I1316" s="2" t="s">
        <v>2022</v>
      </c>
      <c r="J1316" s="2" t="s">
        <v>2030</v>
      </c>
      <c r="K1316" s="2" t="s">
        <v>2916</v>
      </c>
      <c r="L1316" s="2" t="s">
        <v>4034</v>
      </c>
      <c r="M1316">
        <v>-482.67</v>
      </c>
      <c r="N1316" s="2" t="s">
        <v>4044</v>
      </c>
      <c r="O1316">
        <v>82</v>
      </c>
      <c r="P1316">
        <v>-39578.94</v>
      </c>
      <c r="Q1316" t="b">
        <v>0</v>
      </c>
      <c r="R1316" t="b">
        <v>0</v>
      </c>
      <c r="S1316" t="b">
        <v>0</v>
      </c>
      <c r="T1316" t="b">
        <v>0</v>
      </c>
      <c r="U1316">
        <v>0</v>
      </c>
      <c r="V1316" t="s">
        <v>4073</v>
      </c>
    </row>
    <row r="1317" spans="1:22" hidden="1" x14ac:dyDescent="0.45">
      <c r="A1317" s="2" t="s">
        <v>835</v>
      </c>
      <c r="B1317" s="11">
        <v>45699</v>
      </c>
      <c r="C1317" s="2" t="s">
        <v>2012</v>
      </c>
      <c r="D1317" s="2" t="s">
        <v>2017</v>
      </c>
      <c r="E1317">
        <v>723.9</v>
      </c>
      <c r="F1317">
        <v>44157.9</v>
      </c>
      <c r="G1317">
        <v>0</v>
      </c>
      <c r="H1317">
        <v>0</v>
      </c>
      <c r="I1317" s="2" t="s">
        <v>2022</v>
      </c>
      <c r="J1317" s="2" t="s">
        <v>2028</v>
      </c>
      <c r="K1317" s="2" t="s">
        <v>2856</v>
      </c>
      <c r="L1317" s="2" t="s">
        <v>4035</v>
      </c>
      <c r="M1317">
        <v>-723.9</v>
      </c>
      <c r="N1317" s="2" t="s">
        <v>4044</v>
      </c>
      <c r="O1317">
        <v>61</v>
      </c>
      <c r="P1317">
        <v>-44157.9</v>
      </c>
      <c r="Q1317" t="b">
        <v>0</v>
      </c>
      <c r="R1317" t="b">
        <v>0</v>
      </c>
      <c r="S1317" t="b">
        <v>0</v>
      </c>
      <c r="T1317" t="b">
        <v>0</v>
      </c>
      <c r="U1317">
        <v>0</v>
      </c>
      <c r="V1317" t="s">
        <v>4073</v>
      </c>
    </row>
    <row r="1318" spans="1:22" hidden="1" x14ac:dyDescent="0.45">
      <c r="A1318" s="2" t="s">
        <v>832</v>
      </c>
      <c r="B1318" s="11">
        <v>45174</v>
      </c>
      <c r="C1318" s="2" t="s">
        <v>2012</v>
      </c>
      <c r="D1318" s="2" t="s">
        <v>2017</v>
      </c>
      <c r="E1318">
        <v>784.89</v>
      </c>
      <c r="F1318">
        <v>43953.84</v>
      </c>
      <c r="G1318">
        <v>0</v>
      </c>
      <c r="H1318">
        <v>0</v>
      </c>
      <c r="I1318" s="2" t="s">
        <v>2021</v>
      </c>
      <c r="J1318" s="2" t="s">
        <v>2027</v>
      </c>
      <c r="K1318" s="2" t="s">
        <v>2853</v>
      </c>
      <c r="L1318" s="2" t="s">
        <v>4033</v>
      </c>
      <c r="M1318">
        <v>-784.89</v>
      </c>
      <c r="N1318" s="2" t="s">
        <v>4044</v>
      </c>
      <c r="O1318">
        <v>56</v>
      </c>
      <c r="P1318">
        <v>-43953.84</v>
      </c>
      <c r="Q1318" t="b">
        <v>0</v>
      </c>
      <c r="R1318" t="b">
        <v>0</v>
      </c>
      <c r="S1318" t="b">
        <v>0</v>
      </c>
      <c r="T1318" t="b">
        <v>0</v>
      </c>
      <c r="U1318">
        <v>0</v>
      </c>
      <c r="V1318" t="s">
        <v>4073</v>
      </c>
    </row>
    <row r="1319" spans="1:22" hidden="1" x14ac:dyDescent="0.45">
      <c r="A1319" s="2" t="s">
        <v>1274</v>
      </c>
      <c r="B1319" s="11">
        <v>45785</v>
      </c>
      <c r="C1319" s="2" t="s">
        <v>2010</v>
      </c>
      <c r="D1319" s="2" t="s">
        <v>2015</v>
      </c>
      <c r="E1319">
        <v>0</v>
      </c>
      <c r="F1319">
        <v>0</v>
      </c>
      <c r="G1319">
        <v>720.36</v>
      </c>
      <c r="H1319">
        <v>43941.96</v>
      </c>
      <c r="I1319" s="2" t="s">
        <v>2025</v>
      </c>
      <c r="J1319" s="2" t="s">
        <v>2028</v>
      </c>
      <c r="K1319" s="2" t="s">
        <v>3295</v>
      </c>
      <c r="L1319" s="2" t="s">
        <v>4035</v>
      </c>
      <c r="M1319">
        <v>720.36</v>
      </c>
      <c r="N1319" s="2" t="s">
        <v>4042</v>
      </c>
      <c r="O1319">
        <v>61</v>
      </c>
      <c r="P1319">
        <v>43941.96</v>
      </c>
      <c r="Q1319" t="b">
        <v>0</v>
      </c>
      <c r="R1319" t="b">
        <v>0</v>
      </c>
      <c r="S1319" t="b">
        <v>0</v>
      </c>
      <c r="T1319" t="b">
        <v>0</v>
      </c>
      <c r="U1319">
        <v>0</v>
      </c>
      <c r="V1319" t="s">
        <v>4073</v>
      </c>
    </row>
    <row r="1320" spans="1:22" hidden="1" x14ac:dyDescent="0.45">
      <c r="A1320" s="2" t="s">
        <v>1557</v>
      </c>
      <c r="B1320" s="11">
        <v>45609</v>
      </c>
      <c r="C1320" s="2" t="s">
        <v>2014</v>
      </c>
      <c r="D1320" s="2" t="s">
        <v>2019</v>
      </c>
      <c r="E1320">
        <v>0</v>
      </c>
      <c r="F1320">
        <v>0</v>
      </c>
      <c r="G1320">
        <v>718.52</v>
      </c>
      <c r="H1320">
        <v>43829.72</v>
      </c>
      <c r="I1320" s="2" t="s">
        <v>2022</v>
      </c>
      <c r="J1320" s="2" t="s">
        <v>2028</v>
      </c>
      <c r="K1320" s="2" t="s">
        <v>3578</v>
      </c>
      <c r="L1320" s="2" t="s">
        <v>4035</v>
      </c>
      <c r="M1320">
        <v>718.52</v>
      </c>
      <c r="N1320" s="2" t="s">
        <v>4042</v>
      </c>
      <c r="O1320">
        <v>61</v>
      </c>
      <c r="P1320">
        <v>43829.72</v>
      </c>
      <c r="Q1320" t="b">
        <v>0</v>
      </c>
      <c r="R1320" t="b">
        <v>0</v>
      </c>
      <c r="S1320" t="b">
        <v>0</v>
      </c>
      <c r="T1320" t="b">
        <v>0</v>
      </c>
      <c r="U1320">
        <v>0</v>
      </c>
      <c r="V1320" t="s">
        <v>4073</v>
      </c>
    </row>
    <row r="1321" spans="1:22" hidden="1" x14ac:dyDescent="0.45">
      <c r="A1321" s="2" t="s">
        <v>1313</v>
      </c>
      <c r="B1321" s="11">
        <v>45040</v>
      </c>
      <c r="C1321" s="2" t="s">
        <v>2013</v>
      </c>
      <c r="D1321" s="2" t="s">
        <v>2018</v>
      </c>
      <c r="E1321">
        <v>780.61</v>
      </c>
      <c r="F1321">
        <v>43714.16</v>
      </c>
      <c r="G1321">
        <v>0</v>
      </c>
      <c r="H1321">
        <v>0</v>
      </c>
      <c r="I1321" s="2" t="s">
        <v>2020</v>
      </c>
      <c r="J1321" s="2" t="s">
        <v>2028</v>
      </c>
      <c r="K1321" s="2" t="s">
        <v>3334</v>
      </c>
      <c r="L1321" s="2" t="s">
        <v>4033</v>
      </c>
      <c r="M1321">
        <v>-780.61</v>
      </c>
      <c r="N1321" s="2" t="s">
        <v>4044</v>
      </c>
      <c r="O1321">
        <v>56</v>
      </c>
      <c r="P1321">
        <v>-43714.16</v>
      </c>
      <c r="Q1321" t="b">
        <v>0</v>
      </c>
      <c r="R1321" t="b">
        <v>0</v>
      </c>
      <c r="S1321" t="b">
        <v>0</v>
      </c>
      <c r="T1321" t="b">
        <v>0</v>
      </c>
      <c r="U1321">
        <v>0</v>
      </c>
      <c r="V1321" t="s">
        <v>4073</v>
      </c>
    </row>
    <row r="1322" spans="1:22" hidden="1" x14ac:dyDescent="0.45">
      <c r="A1322" s="2" t="s">
        <v>1790</v>
      </c>
      <c r="B1322" s="11">
        <v>45413</v>
      </c>
      <c r="C1322" s="2" t="s">
        <v>2010</v>
      </c>
      <c r="D1322" s="2" t="s">
        <v>2015</v>
      </c>
      <c r="E1322">
        <v>0</v>
      </c>
      <c r="F1322">
        <v>0</v>
      </c>
      <c r="G1322">
        <v>778.57</v>
      </c>
      <c r="H1322">
        <v>43599.920000000006</v>
      </c>
      <c r="I1322" s="2" t="s">
        <v>2023</v>
      </c>
      <c r="J1322" s="2" t="s">
        <v>2030</v>
      </c>
      <c r="K1322" s="2" t="s">
        <v>3811</v>
      </c>
      <c r="L1322" s="2" t="s">
        <v>4033</v>
      </c>
      <c r="M1322">
        <v>778.57</v>
      </c>
      <c r="N1322" s="2" t="s">
        <v>4042</v>
      </c>
      <c r="O1322">
        <v>56</v>
      </c>
      <c r="P1322">
        <v>43599.920000000006</v>
      </c>
      <c r="Q1322" t="b">
        <v>0</v>
      </c>
      <c r="R1322" t="b">
        <v>0</v>
      </c>
      <c r="S1322" t="b">
        <v>0</v>
      </c>
      <c r="T1322" t="b">
        <v>0</v>
      </c>
      <c r="U1322">
        <v>0</v>
      </c>
      <c r="V1322" t="s">
        <v>4073</v>
      </c>
    </row>
    <row r="1323" spans="1:22" hidden="1" x14ac:dyDescent="0.45">
      <c r="A1323" s="2" t="s">
        <v>908</v>
      </c>
      <c r="B1323" s="11">
        <v>45435</v>
      </c>
      <c r="C1323" s="2" t="s">
        <v>2013</v>
      </c>
      <c r="D1323" s="2" t="s">
        <v>2018</v>
      </c>
      <c r="E1323">
        <v>244.58</v>
      </c>
      <c r="F1323">
        <v>13696.480000000001</v>
      </c>
      <c r="G1323">
        <v>0</v>
      </c>
      <c r="H1323">
        <v>0</v>
      </c>
      <c r="I1323" s="2" t="s">
        <v>2020</v>
      </c>
      <c r="J1323" s="2" t="s">
        <v>2028</v>
      </c>
      <c r="K1323" s="2" t="s">
        <v>2929</v>
      </c>
      <c r="L1323" s="2" t="s">
        <v>4033</v>
      </c>
      <c r="M1323">
        <v>-244.58</v>
      </c>
      <c r="N1323" s="2" t="s">
        <v>4044</v>
      </c>
      <c r="O1323">
        <v>56</v>
      </c>
      <c r="P1323">
        <v>-13696.480000000001</v>
      </c>
      <c r="Q1323" t="b">
        <v>0</v>
      </c>
      <c r="R1323" t="b">
        <v>0</v>
      </c>
      <c r="S1323" t="b">
        <v>0</v>
      </c>
      <c r="T1323" t="b">
        <v>0</v>
      </c>
      <c r="U1323">
        <v>0</v>
      </c>
      <c r="V1323" t="s">
        <v>4073</v>
      </c>
    </row>
    <row r="1324" spans="1:22" hidden="1" x14ac:dyDescent="0.45">
      <c r="A1324" s="2" t="s">
        <v>1009</v>
      </c>
      <c r="B1324" s="11">
        <v>45797</v>
      </c>
      <c r="C1324" s="2" t="s">
        <v>2012</v>
      </c>
      <c r="D1324" s="2" t="s">
        <v>2017</v>
      </c>
      <c r="E1324">
        <v>225.03</v>
      </c>
      <c r="F1324">
        <v>13726.83</v>
      </c>
      <c r="G1324">
        <v>0</v>
      </c>
      <c r="H1324">
        <v>0</v>
      </c>
      <c r="I1324" s="2" t="s">
        <v>2020</v>
      </c>
      <c r="J1324" s="2" t="s">
        <v>2030</v>
      </c>
      <c r="K1324" s="2" t="s">
        <v>3030</v>
      </c>
      <c r="L1324" s="2" t="s">
        <v>4035</v>
      </c>
      <c r="M1324">
        <v>-225.03</v>
      </c>
      <c r="N1324" s="2" t="s">
        <v>4044</v>
      </c>
      <c r="O1324">
        <v>61</v>
      </c>
      <c r="P1324">
        <v>-13726.83</v>
      </c>
      <c r="Q1324" t="b">
        <v>0</v>
      </c>
      <c r="R1324" t="b">
        <v>0</v>
      </c>
      <c r="S1324" t="b">
        <v>0</v>
      </c>
      <c r="T1324" t="b">
        <v>0</v>
      </c>
      <c r="U1324">
        <v>0</v>
      </c>
      <c r="V1324" t="s">
        <v>4073</v>
      </c>
    </row>
    <row r="1325" spans="1:22" hidden="1" x14ac:dyDescent="0.45">
      <c r="A1325" s="2" t="s">
        <v>1462</v>
      </c>
      <c r="B1325" s="11">
        <v>45450</v>
      </c>
      <c r="C1325" s="2" t="s">
        <v>2012</v>
      </c>
      <c r="D1325" s="2" t="s">
        <v>2017</v>
      </c>
      <c r="E1325">
        <v>226.75</v>
      </c>
      <c r="F1325">
        <v>13831.75</v>
      </c>
      <c r="G1325">
        <v>0</v>
      </c>
      <c r="H1325">
        <v>0</v>
      </c>
      <c r="I1325" s="2" t="s">
        <v>2021</v>
      </c>
      <c r="J1325" s="2" t="s">
        <v>2027</v>
      </c>
      <c r="K1325" s="2" t="s">
        <v>3483</v>
      </c>
      <c r="L1325" s="2" t="s">
        <v>4035</v>
      </c>
      <c r="M1325">
        <v>-226.75</v>
      </c>
      <c r="N1325" s="2" t="s">
        <v>4044</v>
      </c>
      <c r="O1325">
        <v>61</v>
      </c>
      <c r="P1325">
        <v>-13831.75</v>
      </c>
      <c r="Q1325" t="b">
        <v>0</v>
      </c>
      <c r="R1325" t="b">
        <v>0</v>
      </c>
      <c r="S1325" t="b">
        <v>0</v>
      </c>
      <c r="T1325" t="b">
        <v>0</v>
      </c>
      <c r="U1325">
        <v>0</v>
      </c>
      <c r="V1325" t="s">
        <v>4073</v>
      </c>
    </row>
    <row r="1326" spans="1:22" hidden="1" x14ac:dyDescent="0.45">
      <c r="A1326" s="2" t="s">
        <v>954</v>
      </c>
      <c r="B1326" s="11">
        <v>45642</v>
      </c>
      <c r="C1326" s="2" t="s">
        <v>2012</v>
      </c>
      <c r="D1326" s="2" t="s">
        <v>2017</v>
      </c>
      <c r="E1326">
        <v>770.2</v>
      </c>
      <c r="F1326">
        <v>43131.200000000004</v>
      </c>
      <c r="G1326">
        <v>0</v>
      </c>
      <c r="H1326">
        <v>0</v>
      </c>
      <c r="I1326" s="2" t="s">
        <v>2022</v>
      </c>
      <c r="J1326" s="2" t="s">
        <v>2029</v>
      </c>
      <c r="K1326" s="2" t="s">
        <v>2975</v>
      </c>
      <c r="L1326" s="2" t="s">
        <v>4033</v>
      </c>
      <c r="M1326">
        <v>-770.2</v>
      </c>
      <c r="N1326" s="2" t="s">
        <v>4044</v>
      </c>
      <c r="O1326">
        <v>56</v>
      </c>
      <c r="P1326">
        <v>-43131.200000000004</v>
      </c>
      <c r="Q1326" t="b">
        <v>0</v>
      </c>
      <c r="R1326" t="b">
        <v>0</v>
      </c>
      <c r="S1326" t="b">
        <v>0</v>
      </c>
      <c r="T1326" t="b">
        <v>0</v>
      </c>
      <c r="U1326">
        <v>0</v>
      </c>
      <c r="V1326" t="s">
        <v>4073</v>
      </c>
    </row>
    <row r="1327" spans="1:22" hidden="1" x14ac:dyDescent="0.45">
      <c r="A1327" s="2" t="s">
        <v>792</v>
      </c>
      <c r="B1327" s="11">
        <v>45421</v>
      </c>
      <c r="C1327" s="2" t="s">
        <v>2012</v>
      </c>
      <c r="D1327" s="2" t="s">
        <v>2017</v>
      </c>
      <c r="E1327">
        <v>170.41</v>
      </c>
      <c r="F1327">
        <v>13973.619999999999</v>
      </c>
      <c r="G1327">
        <v>0</v>
      </c>
      <c r="H1327">
        <v>0</v>
      </c>
      <c r="I1327" s="2" t="s">
        <v>2025</v>
      </c>
      <c r="J1327" s="2" t="s">
        <v>2029</v>
      </c>
      <c r="K1327" s="2" t="s">
        <v>2813</v>
      </c>
      <c r="L1327" s="2" t="s">
        <v>4034</v>
      </c>
      <c r="M1327">
        <v>-170.41</v>
      </c>
      <c r="N1327" s="2" t="s">
        <v>4044</v>
      </c>
      <c r="O1327">
        <v>82</v>
      </c>
      <c r="P1327">
        <v>-13973.619999999999</v>
      </c>
      <c r="Q1327" t="b">
        <v>0</v>
      </c>
      <c r="R1327" t="b">
        <v>0</v>
      </c>
      <c r="S1327" t="b">
        <v>0</v>
      </c>
      <c r="T1327" t="b">
        <v>0</v>
      </c>
      <c r="U1327">
        <v>0</v>
      </c>
      <c r="V1327" t="s">
        <v>4073</v>
      </c>
    </row>
    <row r="1328" spans="1:22" hidden="1" x14ac:dyDescent="0.45">
      <c r="A1328" s="2" t="s">
        <v>1763</v>
      </c>
      <c r="B1328" s="11">
        <v>45664</v>
      </c>
      <c r="C1328" s="2" t="s">
        <v>2011</v>
      </c>
      <c r="D1328" s="2" t="s">
        <v>2016</v>
      </c>
      <c r="E1328">
        <v>136.12</v>
      </c>
      <c r="F1328">
        <v>14020.36</v>
      </c>
      <c r="G1328">
        <v>0</v>
      </c>
      <c r="H1328">
        <v>0</v>
      </c>
      <c r="I1328" s="2" t="s">
        <v>2022</v>
      </c>
      <c r="J1328" s="2" t="s">
        <v>2030</v>
      </c>
      <c r="K1328" s="2" t="s">
        <v>3784</v>
      </c>
      <c r="L1328" s="2" t="s">
        <v>4031</v>
      </c>
      <c r="M1328">
        <v>-136.12</v>
      </c>
      <c r="N1328" s="2" t="s">
        <v>2016</v>
      </c>
      <c r="O1328">
        <v>103</v>
      </c>
      <c r="P1328">
        <v>-14020.36</v>
      </c>
      <c r="Q1328" t="b">
        <v>0</v>
      </c>
      <c r="R1328" t="b">
        <v>0</v>
      </c>
      <c r="S1328" t="b">
        <v>0</v>
      </c>
      <c r="T1328" t="b">
        <v>0</v>
      </c>
      <c r="U1328">
        <v>0</v>
      </c>
      <c r="V1328" t="s">
        <v>4073</v>
      </c>
    </row>
    <row r="1329" spans="1:22" hidden="1" x14ac:dyDescent="0.45">
      <c r="A1329" s="2" t="s">
        <v>1743</v>
      </c>
      <c r="B1329" s="11">
        <v>45667</v>
      </c>
      <c r="C1329" s="2" t="s">
        <v>2011</v>
      </c>
      <c r="D1329" s="2" t="s">
        <v>2016</v>
      </c>
      <c r="E1329">
        <v>698.8</v>
      </c>
      <c r="F1329">
        <v>42626.799999999996</v>
      </c>
      <c r="G1329">
        <v>0</v>
      </c>
      <c r="H1329">
        <v>0</v>
      </c>
      <c r="I1329" s="2" t="s">
        <v>2022</v>
      </c>
      <c r="J1329" s="2" t="s">
        <v>2030</v>
      </c>
      <c r="K1329" s="2" t="s">
        <v>3764</v>
      </c>
      <c r="L1329" s="2" t="s">
        <v>4035</v>
      </c>
      <c r="M1329">
        <v>-698.8</v>
      </c>
      <c r="N1329" s="2" t="s">
        <v>2016</v>
      </c>
      <c r="O1329">
        <v>61</v>
      </c>
      <c r="P1329">
        <v>-42626.799999999996</v>
      </c>
      <c r="Q1329" t="b">
        <v>0</v>
      </c>
      <c r="R1329" t="b">
        <v>0</v>
      </c>
      <c r="S1329" t="b">
        <v>0</v>
      </c>
      <c r="T1329" t="b">
        <v>0</v>
      </c>
      <c r="U1329">
        <v>0</v>
      </c>
      <c r="V1329" t="s">
        <v>4073</v>
      </c>
    </row>
    <row r="1330" spans="1:22" hidden="1" x14ac:dyDescent="0.45">
      <c r="A1330" s="2" t="s">
        <v>811</v>
      </c>
      <c r="B1330" s="11">
        <v>45056</v>
      </c>
      <c r="C1330" s="2" t="s">
        <v>2013</v>
      </c>
      <c r="D1330" s="2" t="s">
        <v>2018</v>
      </c>
      <c r="E1330">
        <v>256.63</v>
      </c>
      <c r="F1330">
        <v>14371.279999999999</v>
      </c>
      <c r="G1330">
        <v>0</v>
      </c>
      <c r="H1330">
        <v>0</v>
      </c>
      <c r="I1330" s="2" t="s">
        <v>2023</v>
      </c>
      <c r="J1330" s="2" t="s">
        <v>2029</v>
      </c>
      <c r="K1330" s="2" t="s">
        <v>2832</v>
      </c>
      <c r="L1330" s="2" t="s">
        <v>4033</v>
      </c>
      <c r="M1330">
        <v>-256.63</v>
      </c>
      <c r="N1330" s="2" t="s">
        <v>4044</v>
      </c>
      <c r="O1330">
        <v>56</v>
      </c>
      <c r="P1330">
        <v>-14371.279999999999</v>
      </c>
      <c r="Q1330" t="b">
        <v>0</v>
      </c>
      <c r="R1330" t="b">
        <v>0</v>
      </c>
      <c r="S1330" t="b">
        <v>0</v>
      </c>
      <c r="T1330" t="b">
        <v>0</v>
      </c>
      <c r="U1330">
        <v>0</v>
      </c>
      <c r="V1330" t="s">
        <v>4073</v>
      </c>
    </row>
    <row r="1331" spans="1:22" hidden="1" x14ac:dyDescent="0.45">
      <c r="A1331" s="2" t="s">
        <v>894</v>
      </c>
      <c r="B1331" s="11">
        <v>44950</v>
      </c>
      <c r="C1331" s="2" t="s">
        <v>2012</v>
      </c>
      <c r="D1331" s="2" t="s">
        <v>2017</v>
      </c>
      <c r="E1331">
        <v>176.17</v>
      </c>
      <c r="F1331">
        <v>14445.939999999999</v>
      </c>
      <c r="G1331">
        <v>0</v>
      </c>
      <c r="H1331">
        <v>0</v>
      </c>
      <c r="I1331" s="2" t="s">
        <v>2020</v>
      </c>
      <c r="J1331" s="2" t="s">
        <v>2030</v>
      </c>
      <c r="K1331" s="2" t="s">
        <v>2915</v>
      </c>
      <c r="L1331" s="2" t="s">
        <v>4034</v>
      </c>
      <c r="M1331">
        <v>-176.17</v>
      </c>
      <c r="N1331" s="2" t="s">
        <v>4044</v>
      </c>
      <c r="O1331">
        <v>82</v>
      </c>
      <c r="P1331">
        <v>-14445.939999999999</v>
      </c>
      <c r="Q1331" t="b">
        <v>0</v>
      </c>
      <c r="R1331" t="b">
        <v>0</v>
      </c>
      <c r="S1331" t="b">
        <v>0</v>
      </c>
      <c r="T1331" t="b">
        <v>0</v>
      </c>
      <c r="U1331">
        <v>0</v>
      </c>
      <c r="V1331" t="s">
        <v>4073</v>
      </c>
    </row>
    <row r="1332" spans="1:22" hidden="1" x14ac:dyDescent="0.45">
      <c r="A1332" s="2" t="s">
        <v>1439</v>
      </c>
      <c r="B1332" s="11">
        <v>45364</v>
      </c>
      <c r="C1332" s="2" t="s">
        <v>2014</v>
      </c>
      <c r="D1332" s="2" t="s">
        <v>2019</v>
      </c>
      <c r="E1332">
        <v>0</v>
      </c>
      <c r="F1332">
        <v>0</v>
      </c>
      <c r="G1332">
        <v>536.59</v>
      </c>
      <c r="H1332">
        <v>44000.380000000005</v>
      </c>
      <c r="I1332" s="2" t="s">
        <v>2020</v>
      </c>
      <c r="J1332" s="2" t="s">
        <v>2030</v>
      </c>
      <c r="K1332" s="2" t="s">
        <v>3460</v>
      </c>
      <c r="L1332" s="2" t="s">
        <v>4034</v>
      </c>
      <c r="M1332">
        <v>536.59</v>
      </c>
      <c r="N1332" s="2" t="s">
        <v>4042</v>
      </c>
      <c r="O1332">
        <v>82</v>
      </c>
      <c r="P1332">
        <v>44000.380000000005</v>
      </c>
      <c r="Q1332" t="b">
        <v>0</v>
      </c>
      <c r="R1332" t="b">
        <v>0</v>
      </c>
      <c r="S1332" t="b">
        <v>0</v>
      </c>
      <c r="T1332" t="b">
        <v>0</v>
      </c>
      <c r="U1332">
        <v>0</v>
      </c>
      <c r="V1332" t="s">
        <v>4073</v>
      </c>
    </row>
    <row r="1333" spans="1:22" hidden="1" x14ac:dyDescent="0.45">
      <c r="A1333" s="2" t="s">
        <v>1043</v>
      </c>
      <c r="B1333" s="11">
        <v>45370</v>
      </c>
      <c r="C1333" s="2" t="s">
        <v>2012</v>
      </c>
      <c r="D1333" s="2" t="s">
        <v>2017</v>
      </c>
      <c r="E1333">
        <v>432.35</v>
      </c>
      <c r="F1333">
        <v>26373.350000000002</v>
      </c>
      <c r="G1333">
        <v>0</v>
      </c>
      <c r="H1333">
        <v>0</v>
      </c>
      <c r="I1333" s="2" t="s">
        <v>2022</v>
      </c>
      <c r="J1333" s="2" t="s">
        <v>2027</v>
      </c>
      <c r="K1333" s="2" t="s">
        <v>3064</v>
      </c>
      <c r="L1333" s="2" t="s">
        <v>4035</v>
      </c>
      <c r="M1333">
        <v>-432.35</v>
      </c>
      <c r="N1333" s="2" t="s">
        <v>4044</v>
      </c>
      <c r="O1333">
        <v>61</v>
      </c>
      <c r="P1333">
        <v>-26373.350000000002</v>
      </c>
      <c r="Q1333" t="b">
        <v>0</v>
      </c>
      <c r="R1333" t="b">
        <v>0</v>
      </c>
      <c r="S1333" t="b">
        <v>0</v>
      </c>
      <c r="T1333" t="b">
        <v>0</v>
      </c>
      <c r="U1333">
        <v>0</v>
      </c>
      <c r="V1333" t="s">
        <v>4073</v>
      </c>
    </row>
    <row r="1334" spans="1:22" hidden="1" x14ac:dyDescent="0.45">
      <c r="A1334" s="2" t="s">
        <v>1737</v>
      </c>
      <c r="B1334" s="11">
        <v>45677</v>
      </c>
      <c r="C1334" s="2" t="s">
        <v>2012</v>
      </c>
      <c r="D1334" s="2" t="s">
        <v>2017</v>
      </c>
      <c r="E1334">
        <v>1574.77</v>
      </c>
      <c r="F1334">
        <v>96060.97</v>
      </c>
      <c r="G1334">
        <v>0</v>
      </c>
      <c r="H1334">
        <v>0</v>
      </c>
      <c r="I1334" s="2" t="s">
        <v>2020</v>
      </c>
      <c r="J1334" s="2" t="s">
        <v>2026</v>
      </c>
      <c r="K1334" s="2" t="s">
        <v>3758</v>
      </c>
      <c r="L1334" s="2" t="s">
        <v>4035</v>
      </c>
      <c r="M1334">
        <v>-1574.77</v>
      </c>
      <c r="N1334" s="2" t="s">
        <v>4044</v>
      </c>
      <c r="O1334">
        <v>61</v>
      </c>
      <c r="P1334">
        <v>-96060.97</v>
      </c>
      <c r="Q1334" t="b">
        <v>0</v>
      </c>
      <c r="R1334" t="b">
        <v>0</v>
      </c>
      <c r="S1334" t="b">
        <v>0</v>
      </c>
      <c r="T1334" t="b">
        <v>0</v>
      </c>
      <c r="U1334">
        <v>0</v>
      </c>
      <c r="V1334" t="s">
        <v>4073</v>
      </c>
    </row>
    <row r="1335" spans="1:22" hidden="1" x14ac:dyDescent="0.45">
      <c r="A1335" s="2" t="s">
        <v>327</v>
      </c>
      <c r="B1335" s="11">
        <v>44943</v>
      </c>
      <c r="C1335" s="2" t="s">
        <v>2010</v>
      </c>
      <c r="D1335" s="2" t="s">
        <v>2015</v>
      </c>
      <c r="E1335">
        <v>0</v>
      </c>
      <c r="F1335">
        <v>0</v>
      </c>
      <c r="G1335">
        <v>1067.1500000000001</v>
      </c>
      <c r="H1335">
        <v>65096.150000000009</v>
      </c>
      <c r="I1335" s="2" t="s">
        <v>2020</v>
      </c>
      <c r="J1335" s="2" t="s">
        <v>2028</v>
      </c>
      <c r="K1335" s="2" t="s">
        <v>2348</v>
      </c>
      <c r="L1335" s="2" t="s">
        <v>4035</v>
      </c>
      <c r="M1335">
        <v>1067.1500000000001</v>
      </c>
      <c r="N1335" s="2" t="s">
        <v>4042</v>
      </c>
      <c r="O1335">
        <v>61</v>
      </c>
      <c r="P1335">
        <v>65096.150000000009</v>
      </c>
      <c r="Q1335" t="b">
        <v>0</v>
      </c>
      <c r="R1335" t="b">
        <v>0</v>
      </c>
      <c r="S1335" t="b">
        <v>0</v>
      </c>
      <c r="T1335" t="b">
        <v>0</v>
      </c>
      <c r="U1335">
        <v>0</v>
      </c>
      <c r="V1335" t="s">
        <v>4073</v>
      </c>
    </row>
    <row r="1336" spans="1:22" hidden="1" x14ac:dyDescent="0.45">
      <c r="A1336" s="2" t="s">
        <v>1740</v>
      </c>
      <c r="B1336" s="11">
        <v>44999</v>
      </c>
      <c r="C1336" s="2" t="s">
        <v>2014</v>
      </c>
      <c r="D1336" s="2" t="s">
        <v>2019</v>
      </c>
      <c r="E1336">
        <v>0</v>
      </c>
      <c r="F1336">
        <v>0</v>
      </c>
      <c r="G1336">
        <v>1732.54</v>
      </c>
      <c r="H1336">
        <v>142068.28</v>
      </c>
      <c r="I1336" s="2" t="s">
        <v>2021</v>
      </c>
      <c r="J1336" s="2" t="s">
        <v>2029</v>
      </c>
      <c r="K1336" s="2" t="s">
        <v>3761</v>
      </c>
      <c r="L1336" s="2" t="s">
        <v>4034</v>
      </c>
      <c r="M1336">
        <v>1732.54</v>
      </c>
      <c r="N1336" s="2" t="s">
        <v>4042</v>
      </c>
      <c r="O1336">
        <v>82</v>
      </c>
      <c r="P1336">
        <v>142068.28</v>
      </c>
      <c r="Q1336" t="b">
        <v>0</v>
      </c>
      <c r="R1336" t="b">
        <v>0</v>
      </c>
      <c r="S1336" t="b">
        <v>0</v>
      </c>
      <c r="T1336" t="b">
        <v>0</v>
      </c>
      <c r="U1336">
        <v>0</v>
      </c>
      <c r="V1336" t="s">
        <v>4073</v>
      </c>
    </row>
    <row r="1337" spans="1:22" hidden="1" x14ac:dyDescent="0.45">
      <c r="A1337" s="2" t="s">
        <v>78</v>
      </c>
      <c r="B1337" s="11">
        <v>45831</v>
      </c>
      <c r="C1337" s="2" t="s">
        <v>2013</v>
      </c>
      <c r="D1337" s="2" t="s">
        <v>2018</v>
      </c>
      <c r="E1337">
        <v>1735.7</v>
      </c>
      <c r="F1337">
        <v>142327.4</v>
      </c>
      <c r="G1337">
        <v>0</v>
      </c>
      <c r="H1337">
        <v>0</v>
      </c>
      <c r="I1337" s="2" t="s">
        <v>2023</v>
      </c>
      <c r="J1337" s="2" t="s">
        <v>2030</v>
      </c>
      <c r="K1337" s="2" t="s">
        <v>2099</v>
      </c>
      <c r="L1337" s="2" t="s">
        <v>4034</v>
      </c>
      <c r="M1337">
        <v>-1735.7</v>
      </c>
      <c r="N1337" s="2" t="s">
        <v>4044</v>
      </c>
      <c r="O1337">
        <v>82</v>
      </c>
      <c r="P1337">
        <v>-142327.4</v>
      </c>
      <c r="Q1337" t="b">
        <v>0</v>
      </c>
      <c r="R1337" t="b">
        <v>0</v>
      </c>
      <c r="S1337" t="b">
        <v>0</v>
      </c>
      <c r="T1337" t="b">
        <v>0</v>
      </c>
      <c r="U1337">
        <v>0</v>
      </c>
      <c r="V1337" t="s">
        <v>4073</v>
      </c>
    </row>
    <row r="1338" spans="1:22" hidden="1" x14ac:dyDescent="0.45">
      <c r="A1338" s="2" t="s">
        <v>57</v>
      </c>
      <c r="B1338" s="11">
        <v>45359</v>
      </c>
      <c r="C1338" s="2" t="s">
        <v>2010</v>
      </c>
      <c r="D1338" s="2" t="s">
        <v>2015</v>
      </c>
      <c r="E1338">
        <v>0</v>
      </c>
      <c r="F1338">
        <v>0</v>
      </c>
      <c r="G1338">
        <v>1744.89</v>
      </c>
      <c r="H1338">
        <v>143080.98000000001</v>
      </c>
      <c r="I1338" s="2" t="s">
        <v>2024</v>
      </c>
      <c r="J1338" s="2" t="s">
        <v>2028</v>
      </c>
      <c r="K1338" s="2" t="s">
        <v>2078</v>
      </c>
      <c r="L1338" s="2" t="s">
        <v>4034</v>
      </c>
      <c r="M1338">
        <v>1744.89</v>
      </c>
      <c r="N1338" s="2" t="s">
        <v>4042</v>
      </c>
      <c r="O1338">
        <v>82</v>
      </c>
      <c r="P1338">
        <v>143080.98000000001</v>
      </c>
      <c r="Q1338" t="b">
        <v>0</v>
      </c>
      <c r="R1338" t="b">
        <v>0</v>
      </c>
      <c r="S1338" t="b">
        <v>0</v>
      </c>
      <c r="T1338" t="b">
        <v>0</v>
      </c>
      <c r="U1338">
        <v>0</v>
      </c>
      <c r="V1338" t="s">
        <v>4073</v>
      </c>
    </row>
    <row r="1339" spans="1:22" hidden="1" x14ac:dyDescent="0.45">
      <c r="A1339" s="2" t="s">
        <v>1811</v>
      </c>
      <c r="B1339" s="11">
        <v>45245</v>
      </c>
      <c r="C1339" s="2" t="s">
        <v>2011</v>
      </c>
      <c r="D1339" s="2" t="s">
        <v>2016</v>
      </c>
      <c r="E1339">
        <v>1746.92</v>
      </c>
      <c r="F1339">
        <v>143247.44</v>
      </c>
      <c r="G1339">
        <v>0</v>
      </c>
      <c r="H1339">
        <v>0</v>
      </c>
      <c r="I1339" s="2" t="s">
        <v>2022</v>
      </c>
      <c r="J1339" s="2" t="s">
        <v>2027</v>
      </c>
      <c r="K1339" s="2" t="s">
        <v>3832</v>
      </c>
      <c r="L1339" s="2" t="s">
        <v>4034</v>
      </c>
      <c r="M1339">
        <v>-1746.92</v>
      </c>
      <c r="N1339" s="2" t="s">
        <v>2016</v>
      </c>
      <c r="O1339">
        <v>82</v>
      </c>
      <c r="P1339">
        <v>-143247.44</v>
      </c>
      <c r="Q1339" t="b">
        <v>0</v>
      </c>
      <c r="R1339" t="b">
        <v>0</v>
      </c>
      <c r="S1339" t="b">
        <v>0</v>
      </c>
      <c r="T1339" t="b">
        <v>0</v>
      </c>
      <c r="U1339">
        <v>0</v>
      </c>
      <c r="V1339" t="s">
        <v>4073</v>
      </c>
    </row>
    <row r="1340" spans="1:22" hidden="1" x14ac:dyDescent="0.45">
      <c r="A1340" s="2" t="s">
        <v>186</v>
      </c>
      <c r="B1340" s="11">
        <v>45511</v>
      </c>
      <c r="C1340" s="2" t="s">
        <v>2010</v>
      </c>
      <c r="D1340" s="2" t="s">
        <v>2015</v>
      </c>
      <c r="E1340">
        <v>0</v>
      </c>
      <c r="F1340">
        <v>0</v>
      </c>
      <c r="G1340">
        <v>1750.45</v>
      </c>
      <c r="H1340">
        <v>143536.9</v>
      </c>
      <c r="I1340" s="2" t="s">
        <v>2021</v>
      </c>
      <c r="J1340" s="2" t="s">
        <v>2028</v>
      </c>
      <c r="K1340" s="2" t="s">
        <v>2207</v>
      </c>
      <c r="L1340" s="2" t="s">
        <v>4034</v>
      </c>
      <c r="M1340">
        <v>1750.45</v>
      </c>
      <c r="N1340" s="2" t="s">
        <v>4042</v>
      </c>
      <c r="O1340">
        <v>82</v>
      </c>
      <c r="P1340">
        <v>143536.9</v>
      </c>
      <c r="Q1340" t="b">
        <v>0</v>
      </c>
      <c r="R1340" t="b">
        <v>0</v>
      </c>
      <c r="S1340" t="b">
        <v>0</v>
      </c>
      <c r="T1340" t="b">
        <v>0</v>
      </c>
      <c r="U1340">
        <v>0</v>
      </c>
      <c r="V1340" t="s">
        <v>4073</v>
      </c>
    </row>
    <row r="1341" spans="1:22" hidden="1" x14ac:dyDescent="0.45">
      <c r="A1341" s="2" t="s">
        <v>1690</v>
      </c>
      <c r="B1341" s="11">
        <v>45672</v>
      </c>
      <c r="C1341" s="2" t="s">
        <v>2012</v>
      </c>
      <c r="D1341" s="2" t="s">
        <v>2017</v>
      </c>
      <c r="E1341">
        <v>1751.78</v>
      </c>
      <c r="F1341">
        <v>143645.96</v>
      </c>
      <c r="G1341">
        <v>0</v>
      </c>
      <c r="H1341">
        <v>0</v>
      </c>
      <c r="I1341" s="2" t="s">
        <v>2025</v>
      </c>
      <c r="J1341" s="2" t="s">
        <v>2027</v>
      </c>
      <c r="K1341" s="2" t="s">
        <v>3711</v>
      </c>
      <c r="L1341" s="2" t="s">
        <v>4034</v>
      </c>
      <c r="M1341">
        <v>-1751.78</v>
      </c>
      <c r="N1341" s="2" t="s">
        <v>4044</v>
      </c>
      <c r="O1341">
        <v>82</v>
      </c>
      <c r="P1341">
        <v>-143645.96</v>
      </c>
      <c r="Q1341" t="b">
        <v>0</v>
      </c>
      <c r="R1341" t="b">
        <v>0</v>
      </c>
      <c r="S1341" t="b">
        <v>0</v>
      </c>
      <c r="T1341" t="b">
        <v>0</v>
      </c>
      <c r="U1341">
        <v>0</v>
      </c>
      <c r="V1341" t="s">
        <v>4073</v>
      </c>
    </row>
    <row r="1342" spans="1:22" hidden="1" x14ac:dyDescent="0.45">
      <c r="A1342" s="2" t="s">
        <v>874</v>
      </c>
      <c r="B1342" s="11">
        <v>45491</v>
      </c>
      <c r="C1342" s="2" t="s">
        <v>2010</v>
      </c>
      <c r="D1342" s="2" t="s">
        <v>2015</v>
      </c>
      <c r="E1342">
        <v>0</v>
      </c>
      <c r="F1342">
        <v>0</v>
      </c>
      <c r="G1342">
        <v>2355.54</v>
      </c>
      <c r="H1342">
        <v>143687.94</v>
      </c>
      <c r="I1342" s="2" t="s">
        <v>2025</v>
      </c>
      <c r="J1342" s="2" t="s">
        <v>2028</v>
      </c>
      <c r="K1342" s="2" t="s">
        <v>2895</v>
      </c>
      <c r="L1342" s="2" t="s">
        <v>4035</v>
      </c>
      <c r="M1342">
        <v>2355.54</v>
      </c>
      <c r="N1342" s="2" t="s">
        <v>4042</v>
      </c>
      <c r="O1342">
        <v>61</v>
      </c>
      <c r="P1342">
        <v>143687.94</v>
      </c>
      <c r="Q1342" t="b">
        <v>0</v>
      </c>
      <c r="R1342" t="b">
        <v>0</v>
      </c>
      <c r="S1342" t="b">
        <v>0</v>
      </c>
      <c r="T1342" t="b">
        <v>0</v>
      </c>
      <c r="U1342">
        <v>0</v>
      </c>
      <c r="V1342" t="s">
        <v>4073</v>
      </c>
    </row>
    <row r="1343" spans="1:22" hidden="1" x14ac:dyDescent="0.45">
      <c r="A1343" s="2" t="s">
        <v>662</v>
      </c>
      <c r="B1343" s="11">
        <v>45527</v>
      </c>
      <c r="C1343" s="2" t="s">
        <v>2013</v>
      </c>
      <c r="D1343" s="2" t="s">
        <v>2018</v>
      </c>
      <c r="E1343">
        <v>1730.45</v>
      </c>
      <c r="F1343">
        <v>141896.9</v>
      </c>
      <c r="G1343">
        <v>0</v>
      </c>
      <c r="H1343">
        <v>0</v>
      </c>
      <c r="I1343" s="2" t="s">
        <v>2021</v>
      </c>
      <c r="J1343" s="2" t="s">
        <v>2029</v>
      </c>
      <c r="K1343" s="2" t="s">
        <v>2683</v>
      </c>
      <c r="L1343" s="2" t="s">
        <v>4034</v>
      </c>
      <c r="M1343">
        <v>-1730.45</v>
      </c>
      <c r="N1343" s="2" t="s">
        <v>4044</v>
      </c>
      <c r="O1343">
        <v>82</v>
      </c>
      <c r="P1343">
        <v>-141896.9</v>
      </c>
      <c r="Q1343" t="b">
        <v>0</v>
      </c>
      <c r="R1343" t="b">
        <v>0</v>
      </c>
      <c r="S1343" t="b">
        <v>0</v>
      </c>
      <c r="T1343" t="b">
        <v>0</v>
      </c>
      <c r="U1343">
        <v>0</v>
      </c>
      <c r="V1343" t="s">
        <v>4073</v>
      </c>
    </row>
    <row r="1344" spans="1:22" hidden="1" x14ac:dyDescent="0.45">
      <c r="A1344" s="2" t="s">
        <v>1555</v>
      </c>
      <c r="B1344" s="11">
        <v>45495</v>
      </c>
      <c r="C1344" s="2" t="s">
        <v>2011</v>
      </c>
      <c r="D1344" s="2" t="s">
        <v>2016</v>
      </c>
      <c r="E1344">
        <v>1395.73</v>
      </c>
      <c r="F1344">
        <v>143760.19</v>
      </c>
      <c r="G1344">
        <v>0</v>
      </c>
      <c r="H1344">
        <v>0</v>
      </c>
      <c r="I1344" s="2" t="s">
        <v>2024</v>
      </c>
      <c r="J1344" s="2" t="s">
        <v>2026</v>
      </c>
      <c r="K1344" s="2" t="s">
        <v>3576</v>
      </c>
      <c r="L1344" s="2" t="s">
        <v>4031</v>
      </c>
      <c r="M1344">
        <v>-1395.73</v>
      </c>
      <c r="N1344" s="2" t="s">
        <v>2016</v>
      </c>
      <c r="O1344">
        <v>103</v>
      </c>
      <c r="P1344">
        <v>-143760.19</v>
      </c>
      <c r="Q1344" t="b">
        <v>0</v>
      </c>
      <c r="R1344" t="b">
        <v>0</v>
      </c>
      <c r="S1344" t="b">
        <v>0</v>
      </c>
      <c r="T1344" t="b">
        <v>0</v>
      </c>
      <c r="U1344">
        <v>0</v>
      </c>
      <c r="V1344" t="s">
        <v>4073</v>
      </c>
    </row>
    <row r="1345" spans="1:22" hidden="1" x14ac:dyDescent="0.45">
      <c r="A1345" s="2" t="s">
        <v>1664</v>
      </c>
      <c r="B1345" s="11">
        <v>45604</v>
      </c>
      <c r="C1345" s="2" t="s">
        <v>2012</v>
      </c>
      <c r="D1345" s="2" t="s">
        <v>2017</v>
      </c>
      <c r="E1345">
        <v>1765.08</v>
      </c>
      <c r="F1345">
        <v>144736.56</v>
      </c>
      <c r="G1345">
        <v>0</v>
      </c>
      <c r="H1345">
        <v>0</v>
      </c>
      <c r="I1345" s="2" t="s">
        <v>2022</v>
      </c>
      <c r="J1345" s="2" t="s">
        <v>2028</v>
      </c>
      <c r="K1345" s="2" t="s">
        <v>3685</v>
      </c>
      <c r="L1345" s="2" t="s">
        <v>4034</v>
      </c>
      <c r="M1345">
        <v>-1765.08</v>
      </c>
      <c r="N1345" s="2" t="s">
        <v>4044</v>
      </c>
      <c r="O1345">
        <v>82</v>
      </c>
      <c r="P1345">
        <v>-144736.56</v>
      </c>
      <c r="Q1345" t="b">
        <v>0</v>
      </c>
      <c r="R1345" t="b">
        <v>0</v>
      </c>
      <c r="S1345" t="b">
        <v>0</v>
      </c>
      <c r="T1345" t="b">
        <v>0</v>
      </c>
      <c r="U1345">
        <v>0</v>
      </c>
      <c r="V1345" t="s">
        <v>4073</v>
      </c>
    </row>
    <row r="1346" spans="1:22" hidden="1" x14ac:dyDescent="0.45">
      <c r="A1346" s="2" t="s">
        <v>383</v>
      </c>
      <c r="B1346" s="11">
        <v>44945</v>
      </c>
      <c r="C1346" s="2" t="s">
        <v>2010</v>
      </c>
      <c r="D1346" s="2" t="s">
        <v>2015</v>
      </c>
      <c r="E1346">
        <v>0</v>
      </c>
      <c r="F1346">
        <v>0</v>
      </c>
      <c r="G1346">
        <v>2599.69</v>
      </c>
      <c r="H1346">
        <v>145582.64000000001</v>
      </c>
      <c r="I1346" s="2" t="s">
        <v>2020</v>
      </c>
      <c r="J1346" s="2" t="s">
        <v>2029</v>
      </c>
      <c r="K1346" s="2" t="s">
        <v>2404</v>
      </c>
      <c r="L1346" s="2" t="s">
        <v>4033</v>
      </c>
      <c r="M1346">
        <v>2599.69</v>
      </c>
      <c r="N1346" s="2" t="s">
        <v>4042</v>
      </c>
      <c r="O1346">
        <v>56</v>
      </c>
      <c r="P1346">
        <v>145582.64000000001</v>
      </c>
      <c r="Q1346" t="b">
        <v>0</v>
      </c>
      <c r="R1346" t="b">
        <v>0</v>
      </c>
      <c r="S1346" t="b">
        <v>0</v>
      </c>
      <c r="T1346" t="b">
        <v>0</v>
      </c>
      <c r="U1346">
        <v>0</v>
      </c>
      <c r="V1346" t="s">
        <v>4073</v>
      </c>
    </row>
    <row r="1347" spans="1:22" hidden="1" x14ac:dyDescent="0.45">
      <c r="A1347" s="2" t="s">
        <v>1614</v>
      </c>
      <c r="B1347" s="11">
        <v>45495</v>
      </c>
      <c r="C1347" s="2" t="s">
        <v>2010</v>
      </c>
      <c r="D1347" s="2" t="s">
        <v>2015</v>
      </c>
      <c r="E1347">
        <v>0</v>
      </c>
      <c r="F1347">
        <v>0</v>
      </c>
      <c r="G1347">
        <v>2395.19</v>
      </c>
      <c r="H1347">
        <v>146106.59</v>
      </c>
      <c r="I1347" s="2" t="s">
        <v>2025</v>
      </c>
      <c r="J1347" s="2" t="s">
        <v>2030</v>
      </c>
      <c r="K1347" s="2" t="s">
        <v>3635</v>
      </c>
      <c r="L1347" s="2" t="s">
        <v>4035</v>
      </c>
      <c r="M1347">
        <v>2395.19</v>
      </c>
      <c r="N1347" s="2" t="s">
        <v>4042</v>
      </c>
      <c r="O1347">
        <v>61</v>
      </c>
      <c r="P1347">
        <v>146106.59</v>
      </c>
      <c r="Q1347" t="b">
        <v>0</v>
      </c>
      <c r="R1347" t="b">
        <v>0</v>
      </c>
      <c r="S1347" t="b">
        <v>0</v>
      </c>
      <c r="T1347" t="b">
        <v>0</v>
      </c>
      <c r="U1347">
        <v>0</v>
      </c>
      <c r="V1347" t="s">
        <v>4073</v>
      </c>
    </row>
    <row r="1348" spans="1:22" hidden="1" x14ac:dyDescent="0.45">
      <c r="A1348" s="2" t="s">
        <v>1937</v>
      </c>
      <c r="B1348" s="11">
        <v>45435</v>
      </c>
      <c r="C1348" s="2" t="s">
        <v>2012</v>
      </c>
      <c r="D1348" s="2" t="s">
        <v>2017</v>
      </c>
      <c r="E1348">
        <v>1661.05</v>
      </c>
      <c r="F1348">
        <v>146172.4</v>
      </c>
      <c r="G1348">
        <v>0</v>
      </c>
      <c r="H1348">
        <v>0</v>
      </c>
      <c r="I1348" s="2" t="s">
        <v>2023</v>
      </c>
      <c r="J1348" s="2" t="s">
        <v>2028</v>
      </c>
      <c r="K1348" s="2" t="s">
        <v>3958</v>
      </c>
      <c r="L1348" s="2" t="s">
        <v>4032</v>
      </c>
      <c r="M1348">
        <v>-1661.05</v>
      </c>
      <c r="N1348" s="2" t="s">
        <v>4044</v>
      </c>
      <c r="O1348">
        <v>88</v>
      </c>
      <c r="P1348">
        <v>-146172.4</v>
      </c>
      <c r="Q1348" t="b">
        <v>0</v>
      </c>
      <c r="R1348" t="b">
        <v>0</v>
      </c>
      <c r="S1348" t="b">
        <v>0</v>
      </c>
      <c r="T1348" t="b">
        <v>0</v>
      </c>
      <c r="U1348">
        <v>0</v>
      </c>
      <c r="V1348" t="s">
        <v>4073</v>
      </c>
    </row>
    <row r="1349" spans="1:22" hidden="1" x14ac:dyDescent="0.45">
      <c r="A1349" s="2" t="s">
        <v>1534</v>
      </c>
      <c r="B1349" s="11">
        <v>44935</v>
      </c>
      <c r="C1349" s="2" t="s">
        <v>2010</v>
      </c>
      <c r="D1349" s="2" t="s">
        <v>2015</v>
      </c>
      <c r="E1349">
        <v>0</v>
      </c>
      <c r="F1349">
        <v>0</v>
      </c>
      <c r="G1349">
        <v>2396.8000000000002</v>
      </c>
      <c r="H1349">
        <v>146204.80000000002</v>
      </c>
      <c r="I1349" s="2" t="s">
        <v>2022</v>
      </c>
      <c r="J1349" s="2" t="s">
        <v>2029</v>
      </c>
      <c r="K1349" s="2" t="s">
        <v>3555</v>
      </c>
      <c r="L1349" s="2" t="s">
        <v>4035</v>
      </c>
      <c r="M1349">
        <v>2396.8000000000002</v>
      </c>
      <c r="N1349" s="2" t="s">
        <v>4042</v>
      </c>
      <c r="O1349">
        <v>61</v>
      </c>
      <c r="P1349">
        <v>146204.80000000002</v>
      </c>
      <c r="Q1349" t="b">
        <v>0</v>
      </c>
      <c r="R1349" t="b">
        <v>0</v>
      </c>
      <c r="S1349" t="b">
        <v>0</v>
      </c>
      <c r="T1349" t="b">
        <v>0</v>
      </c>
      <c r="U1349">
        <v>0</v>
      </c>
      <c r="V1349" t="s">
        <v>4073</v>
      </c>
    </row>
    <row r="1350" spans="1:22" hidden="1" x14ac:dyDescent="0.45">
      <c r="A1350" s="2" t="s">
        <v>171</v>
      </c>
      <c r="B1350" s="11">
        <v>45705</v>
      </c>
      <c r="C1350" s="2" t="s">
        <v>2010</v>
      </c>
      <c r="D1350" s="2" t="s">
        <v>2015</v>
      </c>
      <c r="E1350">
        <v>0</v>
      </c>
      <c r="F1350">
        <v>0</v>
      </c>
      <c r="G1350">
        <v>2614.6799999999998</v>
      </c>
      <c r="H1350">
        <v>146422.07999999999</v>
      </c>
      <c r="I1350" s="2" t="s">
        <v>2021</v>
      </c>
      <c r="J1350" s="2" t="s">
        <v>2030</v>
      </c>
      <c r="K1350" s="2" t="s">
        <v>2192</v>
      </c>
      <c r="L1350" s="2" t="s">
        <v>4033</v>
      </c>
      <c r="M1350">
        <v>2614.6799999999998</v>
      </c>
      <c r="N1350" s="2" t="s">
        <v>4042</v>
      </c>
      <c r="O1350">
        <v>56</v>
      </c>
      <c r="P1350">
        <v>146422.07999999999</v>
      </c>
      <c r="Q1350" t="b">
        <v>0</v>
      </c>
      <c r="R1350" t="b">
        <v>0</v>
      </c>
      <c r="S1350" t="b">
        <v>0</v>
      </c>
      <c r="T1350" t="b">
        <v>0</v>
      </c>
      <c r="U1350">
        <v>0</v>
      </c>
      <c r="V1350" t="s">
        <v>4073</v>
      </c>
    </row>
    <row r="1351" spans="1:22" hidden="1" x14ac:dyDescent="0.45">
      <c r="A1351" s="2" t="s">
        <v>1808</v>
      </c>
      <c r="B1351" s="11">
        <v>45551</v>
      </c>
      <c r="C1351" s="2" t="s">
        <v>2011</v>
      </c>
      <c r="D1351" s="2" t="s">
        <v>2016</v>
      </c>
      <c r="E1351">
        <v>1667.55</v>
      </c>
      <c r="F1351">
        <v>146744.4</v>
      </c>
      <c r="G1351">
        <v>0</v>
      </c>
      <c r="H1351">
        <v>0</v>
      </c>
      <c r="I1351" s="2" t="s">
        <v>2021</v>
      </c>
      <c r="J1351" s="2" t="s">
        <v>2026</v>
      </c>
      <c r="K1351" s="2" t="s">
        <v>3829</v>
      </c>
      <c r="L1351" s="2" t="s">
        <v>4032</v>
      </c>
      <c r="M1351">
        <v>-1667.55</v>
      </c>
      <c r="N1351" s="2" t="s">
        <v>2016</v>
      </c>
      <c r="O1351">
        <v>88</v>
      </c>
      <c r="P1351">
        <v>-146744.4</v>
      </c>
      <c r="Q1351" t="b">
        <v>0</v>
      </c>
      <c r="R1351" t="b">
        <v>0</v>
      </c>
      <c r="S1351" t="b">
        <v>0</v>
      </c>
      <c r="T1351" t="b">
        <v>0</v>
      </c>
      <c r="U1351">
        <v>0</v>
      </c>
      <c r="V1351" t="s">
        <v>4073</v>
      </c>
    </row>
    <row r="1352" spans="1:22" hidden="1" x14ac:dyDescent="0.45">
      <c r="A1352" s="2" t="s">
        <v>132</v>
      </c>
      <c r="B1352" s="11">
        <v>45128</v>
      </c>
      <c r="C1352" s="2" t="s">
        <v>2012</v>
      </c>
      <c r="D1352" s="2" t="s">
        <v>2017</v>
      </c>
      <c r="E1352">
        <v>1405.18</v>
      </c>
      <c r="F1352">
        <v>144733.54</v>
      </c>
      <c r="G1352">
        <v>0</v>
      </c>
      <c r="H1352">
        <v>0</v>
      </c>
      <c r="I1352" s="2" t="s">
        <v>2025</v>
      </c>
      <c r="J1352" s="2" t="s">
        <v>2027</v>
      </c>
      <c r="K1352" s="2" t="s">
        <v>2153</v>
      </c>
      <c r="L1352" s="2" t="s">
        <v>4031</v>
      </c>
      <c r="M1352">
        <v>-1405.18</v>
      </c>
      <c r="N1352" s="2" t="s">
        <v>4044</v>
      </c>
      <c r="O1352">
        <v>103</v>
      </c>
      <c r="P1352">
        <v>-144733.54</v>
      </c>
      <c r="Q1352" t="b">
        <v>0</v>
      </c>
      <c r="R1352" t="b">
        <v>0</v>
      </c>
      <c r="S1352" t="b">
        <v>0</v>
      </c>
      <c r="T1352" t="b">
        <v>0</v>
      </c>
      <c r="U1352">
        <v>0</v>
      </c>
      <c r="V1352" t="s">
        <v>4073</v>
      </c>
    </row>
    <row r="1353" spans="1:22" hidden="1" x14ac:dyDescent="0.45">
      <c r="A1353" s="2" t="s">
        <v>1524</v>
      </c>
      <c r="B1353" s="11">
        <v>45513</v>
      </c>
      <c r="C1353" s="2" t="s">
        <v>2012</v>
      </c>
      <c r="D1353" s="2" t="s">
        <v>2017</v>
      </c>
      <c r="E1353">
        <v>1372.85</v>
      </c>
      <c r="F1353">
        <v>141403.54999999999</v>
      </c>
      <c r="G1353">
        <v>0</v>
      </c>
      <c r="H1353">
        <v>0</v>
      </c>
      <c r="I1353" s="2" t="s">
        <v>2022</v>
      </c>
      <c r="J1353" s="2" t="s">
        <v>2026</v>
      </c>
      <c r="K1353" s="2" t="s">
        <v>3545</v>
      </c>
      <c r="L1353" s="2" t="s">
        <v>4031</v>
      </c>
      <c r="M1353">
        <v>-1372.85</v>
      </c>
      <c r="N1353" s="2" t="s">
        <v>4044</v>
      </c>
      <c r="O1353">
        <v>103</v>
      </c>
      <c r="P1353">
        <v>-141403.54999999999</v>
      </c>
      <c r="Q1353" t="b">
        <v>0</v>
      </c>
      <c r="R1353" t="b">
        <v>0</v>
      </c>
      <c r="S1353" t="b">
        <v>0</v>
      </c>
      <c r="T1353" t="b">
        <v>0</v>
      </c>
      <c r="U1353">
        <v>0</v>
      </c>
      <c r="V1353" t="s">
        <v>4073</v>
      </c>
    </row>
    <row r="1354" spans="1:22" hidden="1" x14ac:dyDescent="0.45">
      <c r="A1354" s="2" t="s">
        <v>1154</v>
      </c>
      <c r="B1354" s="11">
        <v>45139</v>
      </c>
      <c r="C1354" s="2" t="s">
        <v>2014</v>
      </c>
      <c r="D1354" s="2" t="s">
        <v>2019</v>
      </c>
      <c r="E1354">
        <v>0</v>
      </c>
      <c r="F1354">
        <v>0</v>
      </c>
      <c r="G1354">
        <v>2523.88</v>
      </c>
      <c r="H1354">
        <v>141337.28</v>
      </c>
      <c r="I1354" s="2" t="s">
        <v>2021</v>
      </c>
      <c r="J1354" s="2" t="s">
        <v>2027</v>
      </c>
      <c r="K1354" s="2" t="s">
        <v>3175</v>
      </c>
      <c r="L1354" s="2" t="s">
        <v>4033</v>
      </c>
      <c r="M1354">
        <v>2523.88</v>
      </c>
      <c r="N1354" s="2" t="s">
        <v>4042</v>
      </c>
      <c r="O1354">
        <v>56</v>
      </c>
      <c r="P1354">
        <v>141337.28</v>
      </c>
      <c r="Q1354" t="b">
        <v>0</v>
      </c>
      <c r="R1354" t="b">
        <v>0</v>
      </c>
      <c r="S1354" t="b">
        <v>0</v>
      </c>
      <c r="T1354" t="b">
        <v>0</v>
      </c>
      <c r="U1354">
        <v>0</v>
      </c>
      <c r="V1354" t="s">
        <v>4073</v>
      </c>
    </row>
    <row r="1355" spans="1:22" hidden="1" x14ac:dyDescent="0.45">
      <c r="A1355" s="2" t="s">
        <v>85</v>
      </c>
      <c r="B1355" s="11">
        <v>45751</v>
      </c>
      <c r="C1355" s="2" t="s">
        <v>2013</v>
      </c>
      <c r="D1355" s="2" t="s">
        <v>2018</v>
      </c>
      <c r="E1355">
        <v>1368.26</v>
      </c>
      <c r="F1355">
        <v>140930.78</v>
      </c>
      <c r="G1355">
        <v>0</v>
      </c>
      <c r="H1355">
        <v>0</v>
      </c>
      <c r="I1355" s="2" t="s">
        <v>2024</v>
      </c>
      <c r="J1355" s="2" t="s">
        <v>2026</v>
      </c>
      <c r="K1355" s="2" t="s">
        <v>2106</v>
      </c>
      <c r="L1355" s="2" t="s">
        <v>4031</v>
      </c>
      <c r="M1355">
        <v>-1368.26</v>
      </c>
      <c r="N1355" s="2" t="s">
        <v>4044</v>
      </c>
      <c r="O1355">
        <v>103</v>
      </c>
      <c r="P1355">
        <v>-140930.78</v>
      </c>
      <c r="Q1355" t="b">
        <v>0</v>
      </c>
      <c r="R1355" t="b">
        <v>0</v>
      </c>
      <c r="S1355" t="b">
        <v>0</v>
      </c>
      <c r="T1355" t="b">
        <v>0</v>
      </c>
      <c r="U1355">
        <v>0</v>
      </c>
      <c r="V1355" t="s">
        <v>4073</v>
      </c>
    </row>
    <row r="1356" spans="1:22" hidden="1" x14ac:dyDescent="0.45">
      <c r="A1356" s="2" t="s">
        <v>1591</v>
      </c>
      <c r="B1356" s="11">
        <v>45156</v>
      </c>
      <c r="C1356" s="2" t="s">
        <v>2011</v>
      </c>
      <c r="D1356" s="2" t="s">
        <v>2016</v>
      </c>
      <c r="E1356">
        <v>1307.6099999999999</v>
      </c>
      <c r="F1356">
        <v>134683.82999999999</v>
      </c>
      <c r="G1356">
        <v>0</v>
      </c>
      <c r="H1356">
        <v>0</v>
      </c>
      <c r="I1356" s="2" t="s">
        <v>2021</v>
      </c>
      <c r="J1356" s="2" t="s">
        <v>2029</v>
      </c>
      <c r="K1356" s="2" t="s">
        <v>3612</v>
      </c>
      <c r="L1356" s="2" t="s">
        <v>4031</v>
      </c>
      <c r="M1356">
        <v>-1307.6099999999999</v>
      </c>
      <c r="N1356" s="2" t="s">
        <v>2016</v>
      </c>
      <c r="O1356">
        <v>103</v>
      </c>
      <c r="P1356">
        <v>-134683.82999999999</v>
      </c>
      <c r="Q1356" t="b">
        <v>0</v>
      </c>
      <c r="R1356" t="b">
        <v>0</v>
      </c>
      <c r="S1356" t="b">
        <v>0</v>
      </c>
      <c r="T1356" t="b">
        <v>0</v>
      </c>
      <c r="U1356">
        <v>0</v>
      </c>
      <c r="V1356" t="s">
        <v>4073</v>
      </c>
    </row>
    <row r="1357" spans="1:22" hidden="1" x14ac:dyDescent="0.45">
      <c r="A1357" s="2" t="s">
        <v>1284</v>
      </c>
      <c r="B1357" s="11">
        <v>45770</v>
      </c>
      <c r="C1357" s="2" t="s">
        <v>2011</v>
      </c>
      <c r="D1357" s="2" t="s">
        <v>2016</v>
      </c>
      <c r="E1357">
        <v>1321.13</v>
      </c>
      <c r="F1357">
        <v>136076.39000000001</v>
      </c>
      <c r="G1357">
        <v>0</v>
      </c>
      <c r="H1357">
        <v>0</v>
      </c>
      <c r="I1357" s="2" t="s">
        <v>2024</v>
      </c>
      <c r="J1357" s="2" t="s">
        <v>2027</v>
      </c>
      <c r="K1357" s="2" t="s">
        <v>3305</v>
      </c>
      <c r="L1357" s="2" t="s">
        <v>4031</v>
      </c>
      <c r="M1357">
        <v>-1321.13</v>
      </c>
      <c r="N1357" s="2" t="s">
        <v>2016</v>
      </c>
      <c r="O1357">
        <v>103</v>
      </c>
      <c r="P1357">
        <v>-136076.39000000001</v>
      </c>
      <c r="Q1357" t="b">
        <v>0</v>
      </c>
      <c r="R1357" t="b">
        <v>0</v>
      </c>
      <c r="S1357" t="b">
        <v>0</v>
      </c>
      <c r="T1357" t="b">
        <v>0</v>
      </c>
      <c r="U1357">
        <v>0</v>
      </c>
      <c r="V1357" t="s">
        <v>4073</v>
      </c>
    </row>
    <row r="1358" spans="1:22" hidden="1" x14ac:dyDescent="0.45">
      <c r="A1358" s="2" t="s">
        <v>516</v>
      </c>
      <c r="B1358" s="11">
        <v>44987</v>
      </c>
      <c r="C1358" s="2" t="s">
        <v>2012</v>
      </c>
      <c r="D1358" s="2" t="s">
        <v>2017</v>
      </c>
      <c r="E1358">
        <v>1547.67</v>
      </c>
      <c r="F1358">
        <v>136194.96000000002</v>
      </c>
      <c r="G1358">
        <v>0</v>
      </c>
      <c r="H1358">
        <v>0</v>
      </c>
      <c r="I1358" s="2" t="s">
        <v>2020</v>
      </c>
      <c r="J1358" s="2" t="s">
        <v>2026</v>
      </c>
      <c r="K1358" s="2" t="s">
        <v>2537</v>
      </c>
      <c r="L1358" s="2" t="s">
        <v>4032</v>
      </c>
      <c r="M1358">
        <v>-1547.67</v>
      </c>
      <c r="N1358" s="2" t="s">
        <v>4044</v>
      </c>
      <c r="O1358">
        <v>88</v>
      </c>
      <c r="P1358">
        <v>-136194.96000000002</v>
      </c>
      <c r="Q1358" t="b">
        <v>0</v>
      </c>
      <c r="R1358" t="b">
        <v>0</v>
      </c>
      <c r="S1358" t="b">
        <v>0</v>
      </c>
      <c r="T1358" t="b">
        <v>0</v>
      </c>
      <c r="U1358">
        <v>0</v>
      </c>
      <c r="V1358" t="s">
        <v>4073</v>
      </c>
    </row>
    <row r="1359" spans="1:22" hidden="1" x14ac:dyDescent="0.45">
      <c r="A1359" s="2" t="s">
        <v>482</v>
      </c>
      <c r="B1359" s="11">
        <v>45191</v>
      </c>
      <c r="C1359" s="2" t="s">
        <v>2014</v>
      </c>
      <c r="D1359" s="2" t="s">
        <v>2019</v>
      </c>
      <c r="E1359">
        <v>0</v>
      </c>
      <c r="F1359">
        <v>0</v>
      </c>
      <c r="G1359">
        <v>1668.4</v>
      </c>
      <c r="H1359">
        <v>136808.80000000002</v>
      </c>
      <c r="I1359" s="2" t="s">
        <v>2024</v>
      </c>
      <c r="J1359" s="2" t="s">
        <v>2030</v>
      </c>
      <c r="K1359" s="2" t="s">
        <v>2503</v>
      </c>
      <c r="L1359" s="2" t="s">
        <v>4034</v>
      </c>
      <c r="M1359">
        <v>1668.4</v>
      </c>
      <c r="N1359" s="2" t="s">
        <v>4042</v>
      </c>
      <c r="O1359">
        <v>82</v>
      </c>
      <c r="P1359">
        <v>136808.80000000002</v>
      </c>
      <c r="Q1359" t="b">
        <v>0</v>
      </c>
      <c r="R1359" t="b">
        <v>0</v>
      </c>
      <c r="S1359" t="b">
        <v>0</v>
      </c>
      <c r="T1359" t="b">
        <v>0</v>
      </c>
      <c r="U1359">
        <v>0</v>
      </c>
      <c r="V1359" t="s">
        <v>4073</v>
      </c>
    </row>
    <row r="1360" spans="1:22" hidden="1" x14ac:dyDescent="0.45">
      <c r="A1360" s="2" t="s">
        <v>777</v>
      </c>
      <c r="B1360" s="11">
        <v>44992</v>
      </c>
      <c r="C1360" s="2" t="s">
        <v>2011</v>
      </c>
      <c r="D1360" s="2" t="s">
        <v>2016</v>
      </c>
      <c r="E1360">
        <v>1557.62</v>
      </c>
      <c r="F1360">
        <v>137070.56</v>
      </c>
      <c r="G1360">
        <v>0</v>
      </c>
      <c r="H1360">
        <v>0</v>
      </c>
      <c r="I1360" s="2" t="s">
        <v>2024</v>
      </c>
      <c r="J1360" s="2" t="s">
        <v>2029</v>
      </c>
      <c r="K1360" s="2" t="s">
        <v>2798</v>
      </c>
      <c r="L1360" s="2" t="s">
        <v>4032</v>
      </c>
      <c r="M1360">
        <v>-1557.62</v>
      </c>
      <c r="N1360" s="2" t="s">
        <v>2016</v>
      </c>
      <c r="O1360">
        <v>88</v>
      </c>
      <c r="P1360">
        <v>-137070.56</v>
      </c>
      <c r="Q1360" t="b">
        <v>0</v>
      </c>
      <c r="R1360" t="b">
        <v>0</v>
      </c>
      <c r="S1360" t="b">
        <v>0</v>
      </c>
      <c r="T1360" t="b">
        <v>0</v>
      </c>
      <c r="U1360">
        <v>0</v>
      </c>
      <c r="V1360" t="s">
        <v>4073</v>
      </c>
    </row>
    <row r="1361" spans="1:22" hidden="1" x14ac:dyDescent="0.45">
      <c r="A1361" s="2" t="s">
        <v>834</v>
      </c>
      <c r="B1361" s="11">
        <v>45551</v>
      </c>
      <c r="C1361" s="2" t="s">
        <v>2010</v>
      </c>
      <c r="D1361" s="2" t="s">
        <v>2015</v>
      </c>
      <c r="E1361">
        <v>0</v>
      </c>
      <c r="F1361">
        <v>0</v>
      </c>
      <c r="G1361">
        <v>1558.82</v>
      </c>
      <c r="H1361">
        <v>137176.16</v>
      </c>
      <c r="I1361" s="2" t="s">
        <v>2024</v>
      </c>
      <c r="J1361" s="2" t="s">
        <v>2029</v>
      </c>
      <c r="K1361" s="2" t="s">
        <v>2855</v>
      </c>
      <c r="L1361" s="2" t="s">
        <v>4032</v>
      </c>
      <c r="M1361">
        <v>1558.82</v>
      </c>
      <c r="N1361" s="2" t="s">
        <v>4042</v>
      </c>
      <c r="O1361">
        <v>88</v>
      </c>
      <c r="P1361">
        <v>137176.16</v>
      </c>
      <c r="Q1361" t="b">
        <v>0</v>
      </c>
      <c r="R1361" t="b">
        <v>0</v>
      </c>
      <c r="S1361" t="b">
        <v>0</v>
      </c>
      <c r="T1361" t="b">
        <v>0</v>
      </c>
      <c r="U1361">
        <v>0</v>
      </c>
      <c r="V1361" t="s">
        <v>4073</v>
      </c>
    </row>
    <row r="1362" spans="1:22" hidden="1" x14ac:dyDescent="0.45">
      <c r="A1362" s="2" t="s">
        <v>1241</v>
      </c>
      <c r="B1362" s="11">
        <v>45517</v>
      </c>
      <c r="C1362" s="2" t="s">
        <v>2011</v>
      </c>
      <c r="D1362" s="2" t="s">
        <v>2016</v>
      </c>
      <c r="E1362">
        <v>1331.89</v>
      </c>
      <c r="F1362">
        <v>137184.67000000001</v>
      </c>
      <c r="G1362">
        <v>0</v>
      </c>
      <c r="H1362">
        <v>0</v>
      </c>
      <c r="I1362" s="2" t="s">
        <v>2024</v>
      </c>
      <c r="J1362" s="2" t="s">
        <v>2028</v>
      </c>
      <c r="K1362" s="2" t="s">
        <v>3262</v>
      </c>
      <c r="L1362" s="2" t="s">
        <v>4031</v>
      </c>
      <c r="M1362">
        <v>-1331.89</v>
      </c>
      <c r="N1362" s="2" t="s">
        <v>2016</v>
      </c>
      <c r="O1362">
        <v>103</v>
      </c>
      <c r="P1362">
        <v>-137184.67000000001</v>
      </c>
      <c r="Q1362" t="b">
        <v>0</v>
      </c>
      <c r="R1362" t="b">
        <v>0</v>
      </c>
      <c r="S1362" t="b">
        <v>0</v>
      </c>
      <c r="T1362" t="b">
        <v>0</v>
      </c>
      <c r="U1362">
        <v>0</v>
      </c>
      <c r="V1362" t="s">
        <v>4073</v>
      </c>
    </row>
    <row r="1363" spans="1:22" hidden="1" x14ac:dyDescent="0.45">
      <c r="A1363" s="2" t="s">
        <v>1067</v>
      </c>
      <c r="B1363" s="11">
        <v>45559</v>
      </c>
      <c r="C1363" s="2" t="s">
        <v>2010</v>
      </c>
      <c r="D1363" s="2" t="s">
        <v>2015</v>
      </c>
      <c r="E1363">
        <v>0</v>
      </c>
      <c r="F1363">
        <v>0</v>
      </c>
      <c r="G1363">
        <v>2455.5100000000002</v>
      </c>
      <c r="H1363">
        <v>137508.56</v>
      </c>
      <c r="I1363" s="2" t="s">
        <v>2020</v>
      </c>
      <c r="J1363" s="2" t="s">
        <v>2026</v>
      </c>
      <c r="K1363" s="2" t="s">
        <v>3088</v>
      </c>
      <c r="L1363" s="2" t="s">
        <v>4033</v>
      </c>
      <c r="M1363">
        <v>2455.5100000000002</v>
      </c>
      <c r="N1363" s="2" t="s">
        <v>4042</v>
      </c>
      <c r="O1363">
        <v>56</v>
      </c>
      <c r="P1363">
        <v>137508.56</v>
      </c>
      <c r="Q1363" t="b">
        <v>0</v>
      </c>
      <c r="R1363" t="b">
        <v>0</v>
      </c>
      <c r="S1363" t="b">
        <v>0</v>
      </c>
      <c r="T1363" t="b">
        <v>0</v>
      </c>
      <c r="U1363">
        <v>0</v>
      </c>
      <c r="V1363" t="s">
        <v>4073</v>
      </c>
    </row>
    <row r="1364" spans="1:22" hidden="1" x14ac:dyDescent="0.45">
      <c r="A1364" s="2" t="s">
        <v>456</v>
      </c>
      <c r="B1364" s="11">
        <v>45824</v>
      </c>
      <c r="C1364" s="2" t="s">
        <v>2011</v>
      </c>
      <c r="D1364" s="2" t="s">
        <v>2016</v>
      </c>
      <c r="E1364">
        <v>1562.72</v>
      </c>
      <c r="F1364">
        <v>137519.36000000002</v>
      </c>
      <c r="G1364">
        <v>0</v>
      </c>
      <c r="H1364">
        <v>0</v>
      </c>
      <c r="I1364" s="2" t="s">
        <v>2022</v>
      </c>
      <c r="J1364" s="2" t="s">
        <v>2030</v>
      </c>
      <c r="K1364" s="2" t="s">
        <v>2477</v>
      </c>
      <c r="L1364" s="2" t="s">
        <v>4032</v>
      </c>
      <c r="M1364">
        <v>-1562.72</v>
      </c>
      <c r="N1364" s="2" t="s">
        <v>2016</v>
      </c>
      <c r="O1364">
        <v>88</v>
      </c>
      <c r="P1364">
        <v>-137519.36000000002</v>
      </c>
      <c r="Q1364" t="b">
        <v>0</v>
      </c>
      <c r="R1364" t="b">
        <v>0</v>
      </c>
      <c r="S1364" t="b">
        <v>0</v>
      </c>
      <c r="T1364" t="b">
        <v>0</v>
      </c>
      <c r="U1364">
        <v>0</v>
      </c>
      <c r="V1364" t="s">
        <v>4073</v>
      </c>
    </row>
    <row r="1365" spans="1:22" hidden="1" x14ac:dyDescent="0.45">
      <c r="A1365" s="2" t="s">
        <v>1130</v>
      </c>
      <c r="B1365" s="11">
        <v>45342</v>
      </c>
      <c r="C1365" s="2" t="s">
        <v>2011</v>
      </c>
      <c r="D1365" s="2" t="s">
        <v>2016</v>
      </c>
      <c r="E1365">
        <v>1337.28</v>
      </c>
      <c r="F1365">
        <v>137739.84</v>
      </c>
      <c r="G1365">
        <v>0</v>
      </c>
      <c r="H1365">
        <v>0</v>
      </c>
      <c r="I1365" s="2" t="s">
        <v>2021</v>
      </c>
      <c r="J1365" s="2" t="s">
        <v>2028</v>
      </c>
      <c r="K1365" s="2" t="s">
        <v>3151</v>
      </c>
      <c r="L1365" s="2" t="s">
        <v>4031</v>
      </c>
      <c r="M1365">
        <v>-1337.28</v>
      </c>
      <c r="N1365" s="2" t="s">
        <v>2016</v>
      </c>
      <c r="O1365">
        <v>103</v>
      </c>
      <c r="P1365">
        <v>-137739.84</v>
      </c>
      <c r="Q1365" t="b">
        <v>0</v>
      </c>
      <c r="R1365" t="b">
        <v>0</v>
      </c>
      <c r="S1365" t="b">
        <v>0</v>
      </c>
      <c r="T1365" t="b">
        <v>0</v>
      </c>
      <c r="U1365">
        <v>0</v>
      </c>
      <c r="V1365" t="s">
        <v>4073</v>
      </c>
    </row>
    <row r="1366" spans="1:22" hidden="1" x14ac:dyDescent="0.45">
      <c r="A1366" s="2" t="s">
        <v>362</v>
      </c>
      <c r="B1366" s="11">
        <v>45308</v>
      </c>
      <c r="C1366" s="2" t="s">
        <v>2011</v>
      </c>
      <c r="D1366" s="2" t="s">
        <v>2016</v>
      </c>
      <c r="E1366">
        <v>1567.36</v>
      </c>
      <c r="F1366">
        <v>137927.67999999999</v>
      </c>
      <c r="G1366">
        <v>0</v>
      </c>
      <c r="H1366">
        <v>0</v>
      </c>
      <c r="I1366" s="2" t="s">
        <v>2024</v>
      </c>
      <c r="J1366" s="2" t="s">
        <v>2027</v>
      </c>
      <c r="K1366" s="2" t="s">
        <v>2383</v>
      </c>
      <c r="L1366" s="2" t="s">
        <v>4032</v>
      </c>
      <c r="M1366">
        <v>-1567.36</v>
      </c>
      <c r="N1366" s="2" t="s">
        <v>2016</v>
      </c>
      <c r="O1366">
        <v>88</v>
      </c>
      <c r="P1366">
        <v>-137927.67999999999</v>
      </c>
      <c r="Q1366" t="b">
        <v>0</v>
      </c>
      <c r="R1366" t="b">
        <v>0</v>
      </c>
      <c r="S1366" t="b">
        <v>0</v>
      </c>
      <c r="T1366" t="b">
        <v>0</v>
      </c>
      <c r="U1366">
        <v>0</v>
      </c>
      <c r="V1366" t="s">
        <v>4073</v>
      </c>
    </row>
    <row r="1367" spans="1:22" hidden="1" x14ac:dyDescent="0.45">
      <c r="A1367" s="2" t="s">
        <v>559</v>
      </c>
      <c r="B1367" s="11">
        <v>45433</v>
      </c>
      <c r="C1367" s="2" t="s">
        <v>2011</v>
      </c>
      <c r="D1367" s="2" t="s">
        <v>2016</v>
      </c>
      <c r="E1367">
        <v>1683.19</v>
      </c>
      <c r="F1367">
        <v>138021.58000000002</v>
      </c>
      <c r="G1367">
        <v>0</v>
      </c>
      <c r="H1367">
        <v>0</v>
      </c>
      <c r="I1367" s="2" t="s">
        <v>2024</v>
      </c>
      <c r="J1367" s="2" t="s">
        <v>2028</v>
      </c>
      <c r="K1367" s="2" t="s">
        <v>2580</v>
      </c>
      <c r="L1367" s="2" t="s">
        <v>4034</v>
      </c>
      <c r="M1367">
        <v>-1683.19</v>
      </c>
      <c r="N1367" s="2" t="s">
        <v>2016</v>
      </c>
      <c r="O1367">
        <v>82</v>
      </c>
      <c r="P1367">
        <v>-138021.58000000002</v>
      </c>
      <c r="Q1367" t="b">
        <v>0</v>
      </c>
      <c r="R1367" t="b">
        <v>0</v>
      </c>
      <c r="S1367" t="b">
        <v>0</v>
      </c>
      <c r="T1367" t="b">
        <v>0</v>
      </c>
      <c r="U1367">
        <v>0</v>
      </c>
      <c r="V1367" t="s">
        <v>4073</v>
      </c>
    </row>
    <row r="1368" spans="1:22" hidden="1" x14ac:dyDescent="0.45">
      <c r="A1368" s="2" t="s">
        <v>720</v>
      </c>
      <c r="B1368" s="11">
        <v>45068</v>
      </c>
      <c r="C1368" s="2" t="s">
        <v>2010</v>
      </c>
      <c r="D1368" s="2" t="s">
        <v>2015</v>
      </c>
      <c r="E1368">
        <v>0</v>
      </c>
      <c r="F1368">
        <v>0</v>
      </c>
      <c r="G1368">
        <v>1701.37</v>
      </c>
      <c r="H1368">
        <v>139512.34</v>
      </c>
      <c r="I1368" s="2" t="s">
        <v>2023</v>
      </c>
      <c r="J1368" s="2" t="s">
        <v>2028</v>
      </c>
      <c r="K1368" s="2" t="s">
        <v>2741</v>
      </c>
      <c r="L1368" s="2" t="s">
        <v>4034</v>
      </c>
      <c r="M1368">
        <v>1701.37</v>
      </c>
      <c r="N1368" s="2" t="s">
        <v>4042</v>
      </c>
      <c r="O1368">
        <v>82</v>
      </c>
      <c r="P1368">
        <v>139512.34</v>
      </c>
      <c r="Q1368" t="b">
        <v>0</v>
      </c>
      <c r="R1368" t="b">
        <v>0</v>
      </c>
      <c r="S1368" t="b">
        <v>0</v>
      </c>
      <c r="T1368" t="b">
        <v>0</v>
      </c>
      <c r="U1368">
        <v>0</v>
      </c>
      <c r="V1368" t="s">
        <v>4073</v>
      </c>
    </row>
    <row r="1369" spans="1:22" hidden="1" x14ac:dyDescent="0.45">
      <c r="A1369" s="2" t="s">
        <v>1799</v>
      </c>
      <c r="B1369" s="11">
        <v>45818</v>
      </c>
      <c r="C1369" s="2" t="s">
        <v>2010</v>
      </c>
      <c r="D1369" s="2" t="s">
        <v>2015</v>
      </c>
      <c r="E1369">
        <v>0</v>
      </c>
      <c r="F1369">
        <v>0</v>
      </c>
      <c r="G1369">
        <v>2290.62</v>
      </c>
      <c r="H1369">
        <v>139727.82</v>
      </c>
      <c r="I1369" s="2" t="s">
        <v>2020</v>
      </c>
      <c r="J1369" s="2" t="s">
        <v>2029</v>
      </c>
      <c r="K1369" s="2" t="s">
        <v>3820</v>
      </c>
      <c r="L1369" s="2" t="s">
        <v>4035</v>
      </c>
      <c r="M1369">
        <v>2290.62</v>
      </c>
      <c r="N1369" s="2" t="s">
        <v>4042</v>
      </c>
      <c r="O1369">
        <v>61</v>
      </c>
      <c r="P1369">
        <v>139727.82</v>
      </c>
      <c r="Q1369" t="b">
        <v>0</v>
      </c>
      <c r="R1369" t="b">
        <v>0</v>
      </c>
      <c r="S1369" t="b">
        <v>0</v>
      </c>
      <c r="T1369" t="b">
        <v>0</v>
      </c>
      <c r="U1369">
        <v>0</v>
      </c>
      <c r="V1369" t="s">
        <v>4073</v>
      </c>
    </row>
    <row r="1370" spans="1:22" hidden="1" x14ac:dyDescent="0.45">
      <c r="A1370" s="2" t="s">
        <v>509</v>
      </c>
      <c r="B1370" s="11">
        <v>45113</v>
      </c>
      <c r="C1370" s="2" t="s">
        <v>2011</v>
      </c>
      <c r="D1370" s="2" t="s">
        <v>2016</v>
      </c>
      <c r="E1370">
        <v>1358.2</v>
      </c>
      <c r="F1370">
        <v>139894.6</v>
      </c>
      <c r="G1370">
        <v>0</v>
      </c>
      <c r="H1370">
        <v>0</v>
      </c>
      <c r="I1370" s="2" t="s">
        <v>2020</v>
      </c>
      <c r="J1370" s="2" t="s">
        <v>2029</v>
      </c>
      <c r="K1370" s="2" t="s">
        <v>2530</v>
      </c>
      <c r="L1370" s="2" t="s">
        <v>4031</v>
      </c>
      <c r="M1370">
        <v>-1358.2</v>
      </c>
      <c r="N1370" s="2" t="s">
        <v>2016</v>
      </c>
      <c r="O1370">
        <v>103</v>
      </c>
      <c r="P1370">
        <v>-139894.6</v>
      </c>
      <c r="Q1370" t="b">
        <v>0</v>
      </c>
      <c r="R1370" t="b">
        <v>0</v>
      </c>
      <c r="S1370" t="b">
        <v>0</v>
      </c>
      <c r="T1370" t="b">
        <v>0</v>
      </c>
      <c r="U1370">
        <v>0</v>
      </c>
      <c r="V1370" t="s">
        <v>4073</v>
      </c>
    </row>
    <row r="1371" spans="1:22" hidden="1" x14ac:dyDescent="0.45">
      <c r="A1371" s="2" t="s">
        <v>1536</v>
      </c>
      <c r="B1371" s="11">
        <v>45418</v>
      </c>
      <c r="C1371" s="2" t="s">
        <v>2012</v>
      </c>
      <c r="D1371" s="2" t="s">
        <v>2017</v>
      </c>
      <c r="E1371">
        <v>1359.89</v>
      </c>
      <c r="F1371">
        <v>140068.67000000001</v>
      </c>
      <c r="G1371">
        <v>0</v>
      </c>
      <c r="H1371">
        <v>0</v>
      </c>
      <c r="I1371" s="2" t="s">
        <v>2020</v>
      </c>
      <c r="J1371" s="2" t="s">
        <v>2030</v>
      </c>
      <c r="K1371" s="2" t="s">
        <v>3557</v>
      </c>
      <c r="L1371" s="2" t="s">
        <v>4031</v>
      </c>
      <c r="M1371">
        <v>-1359.89</v>
      </c>
      <c r="N1371" s="2" t="s">
        <v>4044</v>
      </c>
      <c r="O1371">
        <v>103</v>
      </c>
      <c r="P1371">
        <v>-140068.67000000001</v>
      </c>
      <c r="Q1371" t="b">
        <v>0</v>
      </c>
      <c r="R1371" t="b">
        <v>0</v>
      </c>
      <c r="S1371" t="b">
        <v>0</v>
      </c>
      <c r="T1371" t="b">
        <v>0</v>
      </c>
      <c r="U1371">
        <v>0</v>
      </c>
      <c r="V1371" t="s">
        <v>4073</v>
      </c>
    </row>
    <row r="1372" spans="1:22" hidden="1" x14ac:dyDescent="0.45">
      <c r="A1372" s="2" t="s">
        <v>766</v>
      </c>
      <c r="B1372" s="11">
        <v>45740</v>
      </c>
      <c r="C1372" s="2" t="s">
        <v>2014</v>
      </c>
      <c r="D1372" s="2" t="s">
        <v>2019</v>
      </c>
      <c r="E1372">
        <v>0</v>
      </c>
      <c r="F1372">
        <v>0</v>
      </c>
      <c r="G1372">
        <v>2507.58</v>
      </c>
      <c r="H1372">
        <v>140424.47999999998</v>
      </c>
      <c r="I1372" s="2" t="s">
        <v>2025</v>
      </c>
      <c r="J1372" s="2" t="s">
        <v>2027</v>
      </c>
      <c r="K1372" s="2" t="s">
        <v>2787</v>
      </c>
      <c r="L1372" s="2" t="s">
        <v>4033</v>
      </c>
      <c r="M1372">
        <v>2507.58</v>
      </c>
      <c r="N1372" s="2" t="s">
        <v>4042</v>
      </c>
      <c r="O1372">
        <v>56</v>
      </c>
      <c r="P1372">
        <v>140424.47999999998</v>
      </c>
      <c r="Q1372" t="b">
        <v>0</v>
      </c>
      <c r="R1372" t="b">
        <v>0</v>
      </c>
      <c r="S1372" t="b">
        <v>0</v>
      </c>
      <c r="T1372" t="b">
        <v>0</v>
      </c>
      <c r="U1372">
        <v>0</v>
      </c>
      <c r="V1372" t="s">
        <v>4073</v>
      </c>
    </row>
    <row r="1373" spans="1:22" hidden="1" x14ac:dyDescent="0.45">
      <c r="A1373" s="2" t="s">
        <v>1735</v>
      </c>
      <c r="B1373" s="11">
        <v>45429</v>
      </c>
      <c r="C1373" s="2" t="s">
        <v>2014</v>
      </c>
      <c r="D1373" s="2" t="s">
        <v>2019</v>
      </c>
      <c r="E1373">
        <v>0</v>
      </c>
      <c r="F1373">
        <v>0</v>
      </c>
      <c r="G1373">
        <v>1791.26</v>
      </c>
      <c r="H1373">
        <v>146883.32</v>
      </c>
      <c r="I1373" s="2" t="s">
        <v>2022</v>
      </c>
      <c r="J1373" s="2" t="s">
        <v>2029</v>
      </c>
      <c r="K1373" s="2" t="s">
        <v>3756</v>
      </c>
      <c r="L1373" s="2" t="s">
        <v>4034</v>
      </c>
      <c r="M1373">
        <v>1791.26</v>
      </c>
      <c r="N1373" s="2" t="s">
        <v>4042</v>
      </c>
      <c r="O1373">
        <v>82</v>
      </c>
      <c r="P1373">
        <v>146883.32</v>
      </c>
      <c r="Q1373" t="b">
        <v>0</v>
      </c>
      <c r="R1373" t="b">
        <v>0</v>
      </c>
      <c r="S1373" t="b">
        <v>0</v>
      </c>
      <c r="T1373" t="b">
        <v>0</v>
      </c>
      <c r="U1373">
        <v>0</v>
      </c>
      <c r="V1373" t="s">
        <v>4073</v>
      </c>
    </row>
    <row r="1374" spans="1:22" hidden="1" x14ac:dyDescent="0.45">
      <c r="A1374" s="2" t="s">
        <v>394</v>
      </c>
      <c r="B1374" s="11">
        <v>45058</v>
      </c>
      <c r="C1374" s="2" t="s">
        <v>2014</v>
      </c>
      <c r="D1374" s="2" t="s">
        <v>2019</v>
      </c>
      <c r="E1374">
        <v>0</v>
      </c>
      <c r="F1374">
        <v>0</v>
      </c>
      <c r="G1374">
        <v>2409.8200000000002</v>
      </c>
      <c r="H1374">
        <v>146999.02000000002</v>
      </c>
      <c r="I1374" s="2" t="s">
        <v>2020</v>
      </c>
      <c r="J1374" s="2" t="s">
        <v>2026</v>
      </c>
      <c r="K1374" s="2" t="s">
        <v>2415</v>
      </c>
      <c r="L1374" s="2" t="s">
        <v>4035</v>
      </c>
      <c r="M1374">
        <v>2409.8200000000002</v>
      </c>
      <c r="N1374" s="2" t="s">
        <v>4042</v>
      </c>
      <c r="O1374">
        <v>61</v>
      </c>
      <c r="P1374">
        <v>146999.02000000002</v>
      </c>
      <c r="Q1374" t="b">
        <v>0</v>
      </c>
      <c r="R1374" t="b">
        <v>0</v>
      </c>
      <c r="S1374" t="b">
        <v>0</v>
      </c>
      <c r="T1374" t="b">
        <v>0</v>
      </c>
      <c r="U1374">
        <v>0</v>
      </c>
      <c r="V1374" t="s">
        <v>4073</v>
      </c>
    </row>
    <row r="1375" spans="1:22" hidden="1" x14ac:dyDescent="0.45">
      <c r="A1375" s="2" t="s">
        <v>1206</v>
      </c>
      <c r="B1375" s="11">
        <v>45435</v>
      </c>
      <c r="C1375" s="2" t="s">
        <v>2012</v>
      </c>
      <c r="D1375" s="2" t="s">
        <v>2017</v>
      </c>
      <c r="E1375">
        <v>1792.82</v>
      </c>
      <c r="F1375">
        <v>147011.24</v>
      </c>
      <c r="G1375">
        <v>0</v>
      </c>
      <c r="H1375">
        <v>0</v>
      </c>
      <c r="I1375" s="2" t="s">
        <v>2021</v>
      </c>
      <c r="J1375" s="2" t="s">
        <v>2026</v>
      </c>
      <c r="K1375" s="2" t="s">
        <v>3227</v>
      </c>
      <c r="L1375" s="2" t="s">
        <v>4034</v>
      </c>
      <c r="M1375">
        <v>-1792.82</v>
      </c>
      <c r="N1375" s="2" t="s">
        <v>4044</v>
      </c>
      <c r="O1375">
        <v>82</v>
      </c>
      <c r="P1375">
        <v>-147011.24</v>
      </c>
      <c r="Q1375" t="b">
        <v>0</v>
      </c>
      <c r="R1375" t="b">
        <v>0</v>
      </c>
      <c r="S1375" t="b">
        <v>0</v>
      </c>
      <c r="T1375" t="b">
        <v>0</v>
      </c>
      <c r="U1375">
        <v>0</v>
      </c>
      <c r="V1375" t="s">
        <v>4073</v>
      </c>
    </row>
    <row r="1376" spans="1:22" hidden="1" x14ac:dyDescent="0.45">
      <c r="A1376" s="2" t="s">
        <v>1492</v>
      </c>
      <c r="B1376" s="11">
        <v>45754</v>
      </c>
      <c r="C1376" s="2" t="s">
        <v>2012</v>
      </c>
      <c r="D1376" s="2" t="s">
        <v>2017</v>
      </c>
      <c r="E1376">
        <v>1674.78</v>
      </c>
      <c r="F1376">
        <v>147380.63999999998</v>
      </c>
      <c r="G1376">
        <v>0</v>
      </c>
      <c r="H1376">
        <v>0</v>
      </c>
      <c r="I1376" s="2" t="s">
        <v>2024</v>
      </c>
      <c r="J1376" s="2" t="s">
        <v>2028</v>
      </c>
      <c r="K1376" s="2" t="s">
        <v>3513</v>
      </c>
      <c r="L1376" s="2" t="s">
        <v>4032</v>
      </c>
      <c r="M1376">
        <v>-1674.78</v>
      </c>
      <c r="N1376" s="2" t="s">
        <v>4044</v>
      </c>
      <c r="O1376">
        <v>88</v>
      </c>
      <c r="P1376">
        <v>-147380.63999999998</v>
      </c>
      <c r="Q1376" t="b">
        <v>0</v>
      </c>
      <c r="R1376" t="b">
        <v>0</v>
      </c>
      <c r="S1376" t="b">
        <v>0</v>
      </c>
      <c r="T1376" t="b">
        <v>0</v>
      </c>
      <c r="U1376">
        <v>0</v>
      </c>
      <c r="V1376" t="s">
        <v>4073</v>
      </c>
    </row>
    <row r="1377" spans="1:22" hidden="1" x14ac:dyDescent="0.45">
      <c r="A1377" s="2" t="s">
        <v>200</v>
      </c>
      <c r="B1377" s="11">
        <v>45546</v>
      </c>
      <c r="C1377" s="2" t="s">
        <v>2010</v>
      </c>
      <c r="D1377" s="2" t="s">
        <v>2015</v>
      </c>
      <c r="E1377">
        <v>0</v>
      </c>
      <c r="F1377">
        <v>0</v>
      </c>
      <c r="G1377">
        <v>2772.6</v>
      </c>
      <c r="H1377">
        <v>155265.60000000001</v>
      </c>
      <c r="I1377" s="2" t="s">
        <v>2024</v>
      </c>
      <c r="J1377" s="2" t="s">
        <v>2029</v>
      </c>
      <c r="K1377" s="2" t="s">
        <v>2221</v>
      </c>
      <c r="L1377" s="2" t="s">
        <v>4033</v>
      </c>
      <c r="M1377">
        <v>2772.6</v>
      </c>
      <c r="N1377" s="2" t="s">
        <v>4042</v>
      </c>
      <c r="O1377">
        <v>56</v>
      </c>
      <c r="P1377">
        <v>155265.60000000001</v>
      </c>
      <c r="Q1377" t="b">
        <v>0</v>
      </c>
      <c r="R1377" t="b">
        <v>0</v>
      </c>
      <c r="S1377" t="b">
        <v>0</v>
      </c>
      <c r="T1377" t="b">
        <v>0</v>
      </c>
      <c r="U1377">
        <v>0</v>
      </c>
      <c r="V1377" t="s">
        <v>4073</v>
      </c>
    </row>
    <row r="1378" spans="1:22" hidden="1" x14ac:dyDescent="0.45">
      <c r="A1378" s="2" t="s">
        <v>448</v>
      </c>
      <c r="B1378" s="11">
        <v>45660</v>
      </c>
      <c r="C1378" s="2" t="s">
        <v>2012</v>
      </c>
      <c r="D1378" s="2" t="s">
        <v>2017</v>
      </c>
      <c r="E1378">
        <v>1899.59</v>
      </c>
      <c r="F1378">
        <v>155766.38</v>
      </c>
      <c r="G1378">
        <v>0</v>
      </c>
      <c r="H1378">
        <v>0</v>
      </c>
      <c r="I1378" s="2" t="s">
        <v>2024</v>
      </c>
      <c r="J1378" s="2" t="s">
        <v>2026</v>
      </c>
      <c r="K1378" s="2" t="s">
        <v>2469</v>
      </c>
      <c r="L1378" s="2" t="s">
        <v>4034</v>
      </c>
      <c r="M1378">
        <v>-1899.59</v>
      </c>
      <c r="N1378" s="2" t="s">
        <v>4044</v>
      </c>
      <c r="O1378">
        <v>82</v>
      </c>
      <c r="P1378">
        <v>-155766.38</v>
      </c>
      <c r="Q1378" t="b">
        <v>0</v>
      </c>
      <c r="R1378" t="b">
        <v>0</v>
      </c>
      <c r="S1378" t="b">
        <v>0</v>
      </c>
      <c r="T1378" t="b">
        <v>0</v>
      </c>
      <c r="U1378">
        <v>0</v>
      </c>
      <c r="V1378" t="s">
        <v>4073</v>
      </c>
    </row>
    <row r="1379" spans="1:22" hidden="1" x14ac:dyDescent="0.45">
      <c r="A1379" s="2" t="s">
        <v>1605</v>
      </c>
      <c r="B1379" s="11">
        <v>45614</v>
      </c>
      <c r="C1379" s="2" t="s">
        <v>2012</v>
      </c>
      <c r="D1379" s="2" t="s">
        <v>2017</v>
      </c>
      <c r="E1379">
        <v>1776.59</v>
      </c>
      <c r="F1379">
        <v>156339.91999999998</v>
      </c>
      <c r="G1379">
        <v>0</v>
      </c>
      <c r="H1379">
        <v>0</v>
      </c>
      <c r="I1379" s="2" t="s">
        <v>2023</v>
      </c>
      <c r="J1379" s="2" t="s">
        <v>2028</v>
      </c>
      <c r="K1379" s="2" t="s">
        <v>3626</v>
      </c>
      <c r="L1379" s="2" t="s">
        <v>4032</v>
      </c>
      <c r="M1379">
        <v>-1776.59</v>
      </c>
      <c r="N1379" s="2" t="s">
        <v>4044</v>
      </c>
      <c r="O1379">
        <v>88</v>
      </c>
      <c r="P1379">
        <v>-156339.91999999998</v>
      </c>
      <c r="Q1379" t="b">
        <v>0</v>
      </c>
      <c r="R1379" t="b">
        <v>0</v>
      </c>
      <c r="S1379" t="b">
        <v>0</v>
      </c>
      <c r="T1379" t="b">
        <v>0</v>
      </c>
      <c r="U1379">
        <v>0</v>
      </c>
      <c r="V1379" t="s">
        <v>4073</v>
      </c>
    </row>
    <row r="1380" spans="1:22" hidden="1" x14ac:dyDescent="0.45">
      <c r="A1380" s="2" t="s">
        <v>1853</v>
      </c>
      <c r="B1380" s="11">
        <v>45660</v>
      </c>
      <c r="C1380" s="2" t="s">
        <v>2010</v>
      </c>
      <c r="D1380" s="2" t="s">
        <v>2015</v>
      </c>
      <c r="E1380">
        <v>0</v>
      </c>
      <c r="F1380">
        <v>0</v>
      </c>
      <c r="G1380">
        <v>1521.98</v>
      </c>
      <c r="H1380">
        <v>156763.94</v>
      </c>
      <c r="I1380" s="2" t="s">
        <v>2023</v>
      </c>
      <c r="J1380" s="2" t="s">
        <v>2028</v>
      </c>
      <c r="K1380" s="2" t="s">
        <v>3874</v>
      </c>
      <c r="L1380" s="2" t="s">
        <v>4031</v>
      </c>
      <c r="M1380">
        <v>1521.98</v>
      </c>
      <c r="N1380" s="2" t="s">
        <v>4042</v>
      </c>
      <c r="O1380">
        <v>103</v>
      </c>
      <c r="P1380">
        <v>156763.94</v>
      </c>
      <c r="Q1380" t="b">
        <v>0</v>
      </c>
      <c r="R1380" t="b">
        <v>0</v>
      </c>
      <c r="S1380" t="b">
        <v>0</v>
      </c>
      <c r="T1380" t="b">
        <v>0</v>
      </c>
      <c r="U1380">
        <v>0</v>
      </c>
      <c r="V1380" t="s">
        <v>4073</v>
      </c>
    </row>
    <row r="1381" spans="1:22" hidden="1" x14ac:dyDescent="0.45">
      <c r="A1381" s="2" t="s">
        <v>145</v>
      </c>
      <c r="B1381" s="11">
        <v>45537</v>
      </c>
      <c r="C1381" s="2" t="s">
        <v>2011</v>
      </c>
      <c r="D1381" s="2" t="s">
        <v>2016</v>
      </c>
      <c r="E1381">
        <v>1915.19</v>
      </c>
      <c r="F1381">
        <v>157045.58000000002</v>
      </c>
      <c r="G1381">
        <v>0</v>
      </c>
      <c r="H1381">
        <v>0</v>
      </c>
      <c r="I1381" s="2" t="s">
        <v>2021</v>
      </c>
      <c r="J1381" s="2" t="s">
        <v>2027</v>
      </c>
      <c r="K1381" s="2" t="s">
        <v>2166</v>
      </c>
      <c r="L1381" s="2" t="s">
        <v>4034</v>
      </c>
      <c r="M1381">
        <v>-1915.19</v>
      </c>
      <c r="N1381" s="2" t="s">
        <v>2016</v>
      </c>
      <c r="O1381">
        <v>82</v>
      </c>
      <c r="P1381">
        <v>-157045.58000000002</v>
      </c>
      <c r="Q1381" t="b">
        <v>0</v>
      </c>
      <c r="R1381" t="b">
        <v>0</v>
      </c>
      <c r="S1381" t="b">
        <v>0</v>
      </c>
      <c r="T1381" t="b">
        <v>0</v>
      </c>
      <c r="U1381">
        <v>0</v>
      </c>
      <c r="V1381" t="s">
        <v>4073</v>
      </c>
    </row>
    <row r="1382" spans="1:22" hidden="1" x14ac:dyDescent="0.45">
      <c r="A1382" s="2" t="s">
        <v>1844</v>
      </c>
      <c r="B1382" s="11">
        <v>44966</v>
      </c>
      <c r="C1382" s="2" t="s">
        <v>2011</v>
      </c>
      <c r="D1382" s="2" t="s">
        <v>2016</v>
      </c>
      <c r="E1382">
        <v>1915.58</v>
      </c>
      <c r="F1382">
        <v>157077.56</v>
      </c>
      <c r="G1382">
        <v>0</v>
      </c>
      <c r="H1382">
        <v>0</v>
      </c>
      <c r="I1382" s="2" t="s">
        <v>2024</v>
      </c>
      <c r="J1382" s="2" t="s">
        <v>2030</v>
      </c>
      <c r="K1382" s="2" t="s">
        <v>3865</v>
      </c>
      <c r="L1382" s="2" t="s">
        <v>4034</v>
      </c>
      <c r="M1382">
        <v>-1915.58</v>
      </c>
      <c r="N1382" s="2" t="s">
        <v>2016</v>
      </c>
      <c r="O1382">
        <v>82</v>
      </c>
      <c r="P1382">
        <v>-157077.56</v>
      </c>
      <c r="Q1382" t="b">
        <v>0</v>
      </c>
      <c r="R1382" t="b">
        <v>0</v>
      </c>
      <c r="S1382" t="b">
        <v>0</v>
      </c>
      <c r="T1382" t="b">
        <v>0</v>
      </c>
      <c r="U1382">
        <v>0</v>
      </c>
      <c r="V1382" t="s">
        <v>4073</v>
      </c>
    </row>
    <row r="1383" spans="1:22" hidden="1" x14ac:dyDescent="0.45">
      <c r="A1383" s="2" t="s">
        <v>655</v>
      </c>
      <c r="B1383" s="11">
        <v>45055</v>
      </c>
      <c r="C1383" s="2" t="s">
        <v>2014</v>
      </c>
      <c r="D1383" s="2" t="s">
        <v>2019</v>
      </c>
      <c r="E1383">
        <v>0</v>
      </c>
      <c r="F1383">
        <v>0</v>
      </c>
      <c r="G1383">
        <v>1525.47</v>
      </c>
      <c r="H1383">
        <v>157123.41</v>
      </c>
      <c r="I1383" s="2" t="s">
        <v>2022</v>
      </c>
      <c r="J1383" s="2" t="s">
        <v>2029</v>
      </c>
      <c r="K1383" s="2" t="s">
        <v>2676</v>
      </c>
      <c r="L1383" s="2" t="s">
        <v>4031</v>
      </c>
      <c r="M1383">
        <v>1525.47</v>
      </c>
      <c r="N1383" s="2" t="s">
        <v>4042</v>
      </c>
      <c r="O1383">
        <v>103</v>
      </c>
      <c r="P1383">
        <v>157123.41</v>
      </c>
      <c r="Q1383" t="b">
        <v>0</v>
      </c>
      <c r="R1383" t="b">
        <v>0</v>
      </c>
      <c r="S1383" t="b">
        <v>0</v>
      </c>
      <c r="T1383" t="b">
        <v>0</v>
      </c>
      <c r="U1383">
        <v>0</v>
      </c>
      <c r="V1383" t="s">
        <v>4073</v>
      </c>
    </row>
    <row r="1384" spans="1:22" hidden="1" x14ac:dyDescent="0.45">
      <c r="A1384" s="2" t="s">
        <v>1738</v>
      </c>
      <c r="B1384" s="11">
        <v>45674</v>
      </c>
      <c r="C1384" s="2" t="s">
        <v>2011</v>
      </c>
      <c r="D1384" s="2" t="s">
        <v>2016</v>
      </c>
      <c r="E1384">
        <v>1527.19</v>
      </c>
      <c r="F1384">
        <v>157300.57</v>
      </c>
      <c r="G1384">
        <v>0</v>
      </c>
      <c r="H1384">
        <v>0</v>
      </c>
      <c r="I1384" s="2" t="s">
        <v>2025</v>
      </c>
      <c r="J1384" s="2" t="s">
        <v>2030</v>
      </c>
      <c r="K1384" s="2" t="s">
        <v>3759</v>
      </c>
      <c r="L1384" s="2" t="s">
        <v>4031</v>
      </c>
      <c r="M1384">
        <v>-1527.19</v>
      </c>
      <c r="N1384" s="2" t="s">
        <v>2016</v>
      </c>
      <c r="O1384">
        <v>103</v>
      </c>
      <c r="P1384">
        <v>-157300.57</v>
      </c>
      <c r="Q1384" t="b">
        <v>0</v>
      </c>
      <c r="R1384" t="b">
        <v>0</v>
      </c>
      <c r="S1384" t="b">
        <v>0</v>
      </c>
      <c r="T1384" t="b">
        <v>0</v>
      </c>
      <c r="U1384">
        <v>0</v>
      </c>
      <c r="V1384" t="s">
        <v>4073</v>
      </c>
    </row>
    <row r="1385" spans="1:22" hidden="1" x14ac:dyDescent="0.45">
      <c r="A1385" s="2" t="s">
        <v>243</v>
      </c>
      <c r="B1385" s="11">
        <v>45121</v>
      </c>
      <c r="C1385" s="2" t="s">
        <v>2011</v>
      </c>
      <c r="D1385" s="2" t="s">
        <v>2016</v>
      </c>
      <c r="E1385">
        <v>1527.74</v>
      </c>
      <c r="F1385">
        <v>157357.22</v>
      </c>
      <c r="G1385">
        <v>0</v>
      </c>
      <c r="H1385">
        <v>0</v>
      </c>
      <c r="I1385" s="2" t="s">
        <v>2025</v>
      </c>
      <c r="J1385" s="2" t="s">
        <v>2026</v>
      </c>
      <c r="K1385" s="2" t="s">
        <v>2264</v>
      </c>
      <c r="L1385" s="2" t="s">
        <v>4031</v>
      </c>
      <c r="M1385">
        <v>-1527.74</v>
      </c>
      <c r="N1385" s="2" t="s">
        <v>2016</v>
      </c>
      <c r="O1385">
        <v>103</v>
      </c>
      <c r="P1385">
        <v>-157357.22</v>
      </c>
      <c r="Q1385" t="b">
        <v>0</v>
      </c>
      <c r="R1385" t="b">
        <v>0</v>
      </c>
      <c r="S1385" t="b">
        <v>0</v>
      </c>
      <c r="T1385" t="b">
        <v>0</v>
      </c>
      <c r="U1385">
        <v>0</v>
      </c>
      <c r="V1385" t="s">
        <v>4073</v>
      </c>
    </row>
    <row r="1386" spans="1:22" hidden="1" x14ac:dyDescent="0.45">
      <c r="A1386" s="2" t="s">
        <v>579</v>
      </c>
      <c r="B1386" s="11">
        <v>45048</v>
      </c>
      <c r="C1386" s="2" t="s">
        <v>2013</v>
      </c>
      <c r="D1386" s="2" t="s">
        <v>2018</v>
      </c>
      <c r="E1386">
        <v>1788.83</v>
      </c>
      <c r="F1386">
        <v>157417.03999999998</v>
      </c>
      <c r="G1386">
        <v>0</v>
      </c>
      <c r="H1386">
        <v>0</v>
      </c>
      <c r="I1386" s="2" t="s">
        <v>2022</v>
      </c>
      <c r="J1386" s="2" t="s">
        <v>2026</v>
      </c>
      <c r="K1386" s="2" t="s">
        <v>2600</v>
      </c>
      <c r="L1386" s="2" t="s">
        <v>4032</v>
      </c>
      <c r="M1386">
        <v>-1788.83</v>
      </c>
      <c r="N1386" s="2" t="s">
        <v>4044</v>
      </c>
      <c r="O1386">
        <v>88</v>
      </c>
      <c r="P1386">
        <v>-157417.03999999998</v>
      </c>
      <c r="Q1386" t="b">
        <v>0</v>
      </c>
      <c r="R1386" t="b">
        <v>0</v>
      </c>
      <c r="S1386" t="b">
        <v>0</v>
      </c>
      <c r="T1386" t="b">
        <v>0</v>
      </c>
      <c r="U1386">
        <v>0</v>
      </c>
      <c r="V1386" t="s">
        <v>4073</v>
      </c>
    </row>
    <row r="1387" spans="1:22" hidden="1" x14ac:dyDescent="0.45">
      <c r="A1387" s="2" t="s">
        <v>718</v>
      </c>
      <c r="B1387" s="11">
        <v>45827</v>
      </c>
      <c r="C1387" s="2" t="s">
        <v>2013</v>
      </c>
      <c r="D1387" s="2" t="s">
        <v>2018</v>
      </c>
      <c r="E1387">
        <v>1789.3</v>
      </c>
      <c r="F1387">
        <v>157458.4</v>
      </c>
      <c r="G1387">
        <v>0</v>
      </c>
      <c r="H1387">
        <v>0</v>
      </c>
      <c r="I1387" s="2" t="s">
        <v>2023</v>
      </c>
      <c r="J1387" s="2" t="s">
        <v>2030</v>
      </c>
      <c r="K1387" s="2" t="s">
        <v>2739</v>
      </c>
      <c r="L1387" s="2" t="s">
        <v>4032</v>
      </c>
      <c r="M1387">
        <v>-1789.3</v>
      </c>
      <c r="N1387" s="2" t="s">
        <v>4044</v>
      </c>
      <c r="O1387">
        <v>88</v>
      </c>
      <c r="P1387">
        <v>-157458.4</v>
      </c>
      <c r="Q1387" t="b">
        <v>0</v>
      </c>
      <c r="R1387" t="b">
        <v>0</v>
      </c>
      <c r="S1387" t="b">
        <v>0</v>
      </c>
      <c r="T1387" t="b">
        <v>0</v>
      </c>
      <c r="U1387">
        <v>0</v>
      </c>
      <c r="V1387" t="s">
        <v>4073</v>
      </c>
    </row>
    <row r="1388" spans="1:22" hidden="1" x14ac:dyDescent="0.45">
      <c r="A1388" s="2" t="s">
        <v>405</v>
      </c>
      <c r="B1388" s="11">
        <v>45525</v>
      </c>
      <c r="C1388" s="2" t="s">
        <v>2011</v>
      </c>
      <c r="D1388" s="2" t="s">
        <v>2016</v>
      </c>
      <c r="E1388">
        <v>1922.54</v>
      </c>
      <c r="F1388">
        <v>157648.28</v>
      </c>
      <c r="G1388">
        <v>0</v>
      </c>
      <c r="H1388">
        <v>0</v>
      </c>
      <c r="I1388" s="2" t="s">
        <v>2023</v>
      </c>
      <c r="J1388" s="2" t="s">
        <v>2030</v>
      </c>
      <c r="K1388" s="2" t="s">
        <v>2426</v>
      </c>
      <c r="L1388" s="2" t="s">
        <v>4034</v>
      </c>
      <c r="M1388">
        <v>-1922.54</v>
      </c>
      <c r="N1388" s="2" t="s">
        <v>2016</v>
      </c>
      <c r="O1388">
        <v>82</v>
      </c>
      <c r="P1388">
        <v>-157648.28</v>
      </c>
      <c r="Q1388" t="b">
        <v>0</v>
      </c>
      <c r="R1388" t="b">
        <v>0</v>
      </c>
      <c r="S1388" t="b">
        <v>0</v>
      </c>
      <c r="T1388" t="b">
        <v>0</v>
      </c>
      <c r="U1388">
        <v>0</v>
      </c>
      <c r="V1388" t="s">
        <v>4073</v>
      </c>
    </row>
    <row r="1389" spans="1:22" hidden="1" x14ac:dyDescent="0.45">
      <c r="A1389" s="2" t="s">
        <v>852</v>
      </c>
      <c r="B1389" s="11">
        <v>45574</v>
      </c>
      <c r="C1389" s="2" t="s">
        <v>2013</v>
      </c>
      <c r="D1389" s="2" t="s">
        <v>2018</v>
      </c>
      <c r="E1389">
        <v>1801.16</v>
      </c>
      <c r="F1389">
        <v>158502.08000000002</v>
      </c>
      <c r="G1389">
        <v>0</v>
      </c>
      <c r="H1389">
        <v>0</v>
      </c>
      <c r="I1389" s="2" t="s">
        <v>2025</v>
      </c>
      <c r="J1389" s="2" t="s">
        <v>2030</v>
      </c>
      <c r="K1389" s="2" t="s">
        <v>2873</v>
      </c>
      <c r="L1389" s="2" t="s">
        <v>4032</v>
      </c>
      <c r="M1389">
        <v>-1801.16</v>
      </c>
      <c r="N1389" s="2" t="s">
        <v>4044</v>
      </c>
      <c r="O1389">
        <v>88</v>
      </c>
      <c r="P1389">
        <v>-158502.08000000002</v>
      </c>
      <c r="Q1389" t="b">
        <v>0</v>
      </c>
      <c r="R1389" t="b">
        <v>0</v>
      </c>
      <c r="S1389" t="b">
        <v>0</v>
      </c>
      <c r="T1389" t="b">
        <v>0</v>
      </c>
      <c r="U1389">
        <v>0</v>
      </c>
      <c r="V1389" t="s">
        <v>4073</v>
      </c>
    </row>
    <row r="1390" spans="1:22" hidden="1" x14ac:dyDescent="0.45">
      <c r="A1390" s="2" t="s">
        <v>1254</v>
      </c>
      <c r="B1390" s="11">
        <v>45476</v>
      </c>
      <c r="C1390" s="2" t="s">
        <v>2012</v>
      </c>
      <c r="D1390" s="2" t="s">
        <v>2017</v>
      </c>
      <c r="E1390">
        <v>1809.92</v>
      </c>
      <c r="F1390">
        <v>159272.96000000002</v>
      </c>
      <c r="G1390">
        <v>0</v>
      </c>
      <c r="H1390">
        <v>0</v>
      </c>
      <c r="I1390" s="2" t="s">
        <v>2021</v>
      </c>
      <c r="J1390" s="2" t="s">
        <v>2030</v>
      </c>
      <c r="K1390" s="2" t="s">
        <v>3275</v>
      </c>
      <c r="L1390" s="2" t="s">
        <v>4032</v>
      </c>
      <c r="M1390">
        <v>-1809.92</v>
      </c>
      <c r="N1390" s="2" t="s">
        <v>4044</v>
      </c>
      <c r="O1390">
        <v>88</v>
      </c>
      <c r="P1390">
        <v>-159272.96000000002</v>
      </c>
      <c r="Q1390" t="b">
        <v>0</v>
      </c>
      <c r="R1390" t="b">
        <v>0</v>
      </c>
      <c r="S1390" t="b">
        <v>0</v>
      </c>
      <c r="T1390" t="b">
        <v>0</v>
      </c>
      <c r="U1390">
        <v>0</v>
      </c>
      <c r="V1390" t="s">
        <v>4073</v>
      </c>
    </row>
    <row r="1391" spans="1:22" hidden="1" x14ac:dyDescent="0.45">
      <c r="A1391" s="2" t="s">
        <v>707</v>
      </c>
      <c r="B1391" s="11">
        <v>45681</v>
      </c>
      <c r="C1391" s="2" t="s">
        <v>2011</v>
      </c>
      <c r="D1391" s="2" t="s">
        <v>2016</v>
      </c>
      <c r="E1391">
        <v>1546.69</v>
      </c>
      <c r="F1391">
        <v>159309.07</v>
      </c>
      <c r="G1391">
        <v>0</v>
      </c>
      <c r="H1391">
        <v>0</v>
      </c>
      <c r="I1391" s="2" t="s">
        <v>2021</v>
      </c>
      <c r="J1391" s="2" t="s">
        <v>2029</v>
      </c>
      <c r="K1391" s="2" t="s">
        <v>2728</v>
      </c>
      <c r="L1391" s="2" t="s">
        <v>4031</v>
      </c>
      <c r="M1391">
        <v>-1546.69</v>
      </c>
      <c r="N1391" s="2" t="s">
        <v>2016</v>
      </c>
      <c r="O1391">
        <v>103</v>
      </c>
      <c r="P1391">
        <v>-159309.07</v>
      </c>
      <c r="Q1391" t="b">
        <v>0</v>
      </c>
      <c r="R1391" t="b">
        <v>0</v>
      </c>
      <c r="S1391" t="b">
        <v>0</v>
      </c>
      <c r="T1391" t="b">
        <v>0</v>
      </c>
      <c r="U1391">
        <v>0</v>
      </c>
      <c r="V1391" t="s">
        <v>4073</v>
      </c>
    </row>
    <row r="1392" spans="1:22" hidden="1" x14ac:dyDescent="0.45">
      <c r="A1392" s="2" t="s">
        <v>1696</v>
      </c>
      <c r="B1392" s="11">
        <v>44967</v>
      </c>
      <c r="C1392" s="2" t="s">
        <v>2010</v>
      </c>
      <c r="D1392" s="2" t="s">
        <v>2015</v>
      </c>
      <c r="E1392">
        <v>0</v>
      </c>
      <c r="F1392">
        <v>0</v>
      </c>
      <c r="G1392">
        <v>2620.3200000000002</v>
      </c>
      <c r="H1392">
        <v>159839.52000000002</v>
      </c>
      <c r="I1392" s="2" t="s">
        <v>2024</v>
      </c>
      <c r="J1392" s="2" t="s">
        <v>2026</v>
      </c>
      <c r="K1392" s="2" t="s">
        <v>3717</v>
      </c>
      <c r="L1392" s="2" t="s">
        <v>4035</v>
      </c>
      <c r="M1392">
        <v>2620.3200000000002</v>
      </c>
      <c r="N1392" s="2" t="s">
        <v>4042</v>
      </c>
      <c r="O1392">
        <v>61</v>
      </c>
      <c r="P1392">
        <v>159839.52000000002</v>
      </c>
      <c r="Q1392" t="b">
        <v>0</v>
      </c>
      <c r="R1392" t="b">
        <v>0</v>
      </c>
      <c r="S1392" t="b">
        <v>0</v>
      </c>
      <c r="T1392" t="b">
        <v>0</v>
      </c>
      <c r="U1392">
        <v>0</v>
      </c>
      <c r="V1392" t="s">
        <v>4073</v>
      </c>
    </row>
    <row r="1393" spans="1:22" hidden="1" x14ac:dyDescent="0.45">
      <c r="A1393" s="2" t="s">
        <v>1992</v>
      </c>
      <c r="B1393" s="11">
        <v>45097</v>
      </c>
      <c r="C1393" s="2" t="s">
        <v>2010</v>
      </c>
      <c r="D1393" s="2" t="s">
        <v>2015</v>
      </c>
      <c r="E1393">
        <v>0</v>
      </c>
      <c r="F1393">
        <v>0</v>
      </c>
      <c r="G1393">
        <v>1819.43</v>
      </c>
      <c r="H1393">
        <v>160109.84</v>
      </c>
      <c r="I1393" s="2" t="s">
        <v>2020</v>
      </c>
      <c r="J1393" s="2" t="s">
        <v>2026</v>
      </c>
      <c r="K1393" s="2" t="s">
        <v>4013</v>
      </c>
      <c r="L1393" s="2" t="s">
        <v>4032</v>
      </c>
      <c r="M1393">
        <v>1819.43</v>
      </c>
      <c r="N1393" s="2" t="s">
        <v>4042</v>
      </c>
      <c r="O1393">
        <v>88</v>
      </c>
      <c r="P1393">
        <v>160109.84</v>
      </c>
      <c r="Q1393" t="b">
        <v>0</v>
      </c>
      <c r="R1393" t="b">
        <v>0</v>
      </c>
      <c r="S1393" t="b">
        <v>0</v>
      </c>
      <c r="T1393" t="b">
        <v>0</v>
      </c>
      <c r="U1393">
        <v>0</v>
      </c>
      <c r="V1393" t="s">
        <v>4073</v>
      </c>
    </row>
    <row r="1394" spans="1:22" hidden="1" x14ac:dyDescent="0.45">
      <c r="A1394" s="2" t="s">
        <v>1947</v>
      </c>
      <c r="B1394" s="11">
        <v>45307</v>
      </c>
      <c r="C1394" s="2" t="s">
        <v>2012</v>
      </c>
      <c r="D1394" s="2" t="s">
        <v>2017</v>
      </c>
      <c r="E1394">
        <v>1506.81</v>
      </c>
      <c r="F1394">
        <v>155201.43</v>
      </c>
      <c r="G1394">
        <v>0</v>
      </c>
      <c r="H1394">
        <v>0</v>
      </c>
      <c r="I1394" s="2" t="s">
        <v>2023</v>
      </c>
      <c r="J1394" s="2" t="s">
        <v>2029</v>
      </c>
      <c r="K1394" s="2" t="s">
        <v>3968</v>
      </c>
      <c r="L1394" s="2" t="s">
        <v>4031</v>
      </c>
      <c r="M1394">
        <v>-1506.81</v>
      </c>
      <c r="N1394" s="2" t="s">
        <v>4044</v>
      </c>
      <c r="O1394">
        <v>103</v>
      </c>
      <c r="P1394">
        <v>-155201.43</v>
      </c>
      <c r="Q1394" t="b">
        <v>0</v>
      </c>
      <c r="R1394" t="b">
        <v>0</v>
      </c>
      <c r="S1394" t="b">
        <v>0</v>
      </c>
      <c r="T1394" t="b">
        <v>0</v>
      </c>
      <c r="U1394">
        <v>0</v>
      </c>
      <c r="V1394" t="s">
        <v>4073</v>
      </c>
    </row>
    <row r="1395" spans="1:22" hidden="1" x14ac:dyDescent="0.45">
      <c r="A1395" s="2" t="s">
        <v>588</v>
      </c>
      <c r="B1395" s="11">
        <v>45628</v>
      </c>
      <c r="C1395" s="2" t="s">
        <v>2010</v>
      </c>
      <c r="D1395" s="2" t="s">
        <v>2015</v>
      </c>
      <c r="E1395">
        <v>0</v>
      </c>
      <c r="F1395">
        <v>0</v>
      </c>
      <c r="G1395">
        <v>1301.08</v>
      </c>
      <c r="H1395">
        <v>134011.24</v>
      </c>
      <c r="I1395" s="2" t="s">
        <v>2022</v>
      </c>
      <c r="J1395" s="2" t="s">
        <v>2029</v>
      </c>
      <c r="K1395" s="2" t="s">
        <v>2609</v>
      </c>
      <c r="L1395" s="2" t="s">
        <v>4031</v>
      </c>
      <c r="M1395">
        <v>1301.08</v>
      </c>
      <c r="N1395" s="2" t="s">
        <v>4042</v>
      </c>
      <c r="O1395">
        <v>103</v>
      </c>
      <c r="P1395">
        <v>134011.24</v>
      </c>
      <c r="Q1395" t="b">
        <v>0</v>
      </c>
      <c r="R1395" t="b">
        <v>0</v>
      </c>
      <c r="S1395" t="b">
        <v>0</v>
      </c>
      <c r="T1395" t="b">
        <v>0</v>
      </c>
      <c r="U1395">
        <v>0</v>
      </c>
      <c r="V1395" t="s">
        <v>4073</v>
      </c>
    </row>
    <row r="1396" spans="1:22" hidden="1" x14ac:dyDescent="0.45">
      <c r="A1396" s="2" t="s">
        <v>1047</v>
      </c>
      <c r="B1396" s="11">
        <v>45371</v>
      </c>
      <c r="C1396" s="2" t="s">
        <v>2010</v>
      </c>
      <c r="D1396" s="2" t="s">
        <v>2015</v>
      </c>
      <c r="E1396">
        <v>0</v>
      </c>
      <c r="F1396">
        <v>0</v>
      </c>
      <c r="G1396">
        <v>1884.23</v>
      </c>
      <c r="H1396">
        <v>154506.86000000002</v>
      </c>
      <c r="I1396" s="2" t="s">
        <v>2025</v>
      </c>
      <c r="J1396" s="2" t="s">
        <v>2026</v>
      </c>
      <c r="K1396" s="2" t="s">
        <v>3068</v>
      </c>
      <c r="L1396" s="2" t="s">
        <v>4034</v>
      </c>
      <c r="M1396">
        <v>1884.23</v>
      </c>
      <c r="N1396" s="2" t="s">
        <v>4042</v>
      </c>
      <c r="O1396">
        <v>82</v>
      </c>
      <c r="P1396">
        <v>154506.86000000002</v>
      </c>
      <c r="Q1396" t="b">
        <v>0</v>
      </c>
      <c r="R1396" t="b">
        <v>0</v>
      </c>
      <c r="S1396" t="b">
        <v>0</v>
      </c>
      <c r="T1396" t="b">
        <v>0</v>
      </c>
      <c r="U1396">
        <v>0</v>
      </c>
      <c r="V1396" t="s">
        <v>4073</v>
      </c>
    </row>
    <row r="1397" spans="1:22" hidden="1" x14ac:dyDescent="0.45">
      <c r="A1397" s="2" t="s">
        <v>608</v>
      </c>
      <c r="B1397" s="11">
        <v>45271</v>
      </c>
      <c r="C1397" s="2" t="s">
        <v>2013</v>
      </c>
      <c r="D1397" s="2" t="s">
        <v>2018</v>
      </c>
      <c r="E1397">
        <v>1748.81</v>
      </c>
      <c r="F1397">
        <v>153895.28</v>
      </c>
      <c r="G1397">
        <v>0</v>
      </c>
      <c r="H1397">
        <v>0</v>
      </c>
      <c r="I1397" s="2" t="s">
        <v>2024</v>
      </c>
      <c r="J1397" s="2" t="s">
        <v>2026</v>
      </c>
      <c r="K1397" s="2" t="s">
        <v>2629</v>
      </c>
      <c r="L1397" s="2" t="s">
        <v>4032</v>
      </c>
      <c r="M1397">
        <v>-1748.81</v>
      </c>
      <c r="N1397" s="2" t="s">
        <v>4044</v>
      </c>
      <c r="O1397">
        <v>88</v>
      </c>
      <c r="P1397">
        <v>-153895.28</v>
      </c>
      <c r="Q1397" t="b">
        <v>0</v>
      </c>
      <c r="R1397" t="b">
        <v>0</v>
      </c>
      <c r="S1397" t="b">
        <v>0</v>
      </c>
      <c r="T1397" t="b">
        <v>0</v>
      </c>
      <c r="U1397">
        <v>0</v>
      </c>
      <c r="V1397" t="s">
        <v>4073</v>
      </c>
    </row>
    <row r="1398" spans="1:22" hidden="1" x14ac:dyDescent="0.45">
      <c r="A1398" s="2" t="s">
        <v>998</v>
      </c>
      <c r="B1398" s="11">
        <v>45587</v>
      </c>
      <c r="C1398" s="2" t="s">
        <v>2010</v>
      </c>
      <c r="D1398" s="2" t="s">
        <v>2015</v>
      </c>
      <c r="E1398">
        <v>0</v>
      </c>
      <c r="F1398">
        <v>0</v>
      </c>
      <c r="G1398">
        <v>1807.47</v>
      </c>
      <c r="H1398">
        <v>148212.54</v>
      </c>
      <c r="I1398" s="2" t="s">
        <v>2024</v>
      </c>
      <c r="J1398" s="2" t="s">
        <v>2029</v>
      </c>
      <c r="K1398" s="2" t="s">
        <v>3019</v>
      </c>
      <c r="L1398" s="2" t="s">
        <v>4034</v>
      </c>
      <c r="M1398">
        <v>1807.47</v>
      </c>
      <c r="N1398" s="2" t="s">
        <v>4042</v>
      </c>
      <c r="O1398">
        <v>82</v>
      </c>
      <c r="P1398">
        <v>148212.54</v>
      </c>
      <c r="Q1398" t="b">
        <v>0</v>
      </c>
      <c r="R1398" t="b">
        <v>0</v>
      </c>
      <c r="S1398" t="b">
        <v>0</v>
      </c>
      <c r="T1398" t="b">
        <v>0</v>
      </c>
      <c r="U1398">
        <v>0</v>
      </c>
      <c r="V1398" t="s">
        <v>4073</v>
      </c>
    </row>
    <row r="1399" spans="1:22" hidden="1" x14ac:dyDescent="0.45">
      <c r="A1399" s="2" t="s">
        <v>1180</v>
      </c>
      <c r="B1399" s="11">
        <v>45363</v>
      </c>
      <c r="C1399" s="2" t="s">
        <v>2013</v>
      </c>
      <c r="D1399" s="2" t="s">
        <v>2018</v>
      </c>
      <c r="E1399">
        <v>1814.27</v>
      </c>
      <c r="F1399">
        <v>148770.13999999998</v>
      </c>
      <c r="G1399">
        <v>0</v>
      </c>
      <c r="H1399">
        <v>0</v>
      </c>
      <c r="I1399" s="2" t="s">
        <v>2020</v>
      </c>
      <c r="J1399" s="2" t="s">
        <v>2030</v>
      </c>
      <c r="K1399" s="2" t="s">
        <v>3201</v>
      </c>
      <c r="L1399" s="2" t="s">
        <v>4034</v>
      </c>
      <c r="M1399">
        <v>-1814.27</v>
      </c>
      <c r="N1399" s="2" t="s">
        <v>4044</v>
      </c>
      <c r="O1399">
        <v>82</v>
      </c>
      <c r="P1399">
        <v>-148770.13999999998</v>
      </c>
      <c r="Q1399" t="b">
        <v>0</v>
      </c>
      <c r="R1399" t="b">
        <v>0</v>
      </c>
      <c r="S1399" t="b">
        <v>0</v>
      </c>
      <c r="T1399" t="b">
        <v>0</v>
      </c>
      <c r="U1399">
        <v>0</v>
      </c>
      <c r="V1399" t="s">
        <v>4073</v>
      </c>
    </row>
    <row r="1400" spans="1:22" hidden="1" x14ac:dyDescent="0.45">
      <c r="A1400" s="2" t="s">
        <v>353</v>
      </c>
      <c r="B1400" s="11">
        <v>45580</v>
      </c>
      <c r="C1400" s="2" t="s">
        <v>2013</v>
      </c>
      <c r="D1400" s="2" t="s">
        <v>2018</v>
      </c>
      <c r="E1400">
        <v>1693.2</v>
      </c>
      <c r="F1400">
        <v>149001.60000000001</v>
      </c>
      <c r="G1400">
        <v>0</v>
      </c>
      <c r="H1400">
        <v>0</v>
      </c>
      <c r="I1400" s="2" t="s">
        <v>2022</v>
      </c>
      <c r="J1400" s="2" t="s">
        <v>2027</v>
      </c>
      <c r="K1400" s="2" t="s">
        <v>2374</v>
      </c>
      <c r="L1400" s="2" t="s">
        <v>4032</v>
      </c>
      <c r="M1400">
        <v>-1693.2</v>
      </c>
      <c r="N1400" s="2" t="s">
        <v>4044</v>
      </c>
      <c r="O1400">
        <v>88</v>
      </c>
      <c r="P1400">
        <v>-149001.60000000001</v>
      </c>
      <c r="Q1400" t="b">
        <v>0</v>
      </c>
      <c r="R1400" t="b">
        <v>0</v>
      </c>
      <c r="S1400" t="b">
        <v>0</v>
      </c>
      <c r="T1400" t="b">
        <v>0</v>
      </c>
      <c r="U1400">
        <v>0</v>
      </c>
      <c r="V1400" t="s">
        <v>4073</v>
      </c>
    </row>
    <row r="1401" spans="1:22" hidden="1" x14ac:dyDescent="0.45">
      <c r="A1401" s="2" t="s">
        <v>1452</v>
      </c>
      <c r="B1401" s="11">
        <v>45359</v>
      </c>
      <c r="C1401" s="2" t="s">
        <v>2011</v>
      </c>
      <c r="D1401" s="2" t="s">
        <v>2016</v>
      </c>
      <c r="E1401">
        <v>1447.98</v>
      </c>
      <c r="F1401">
        <v>149141.94</v>
      </c>
      <c r="G1401">
        <v>0</v>
      </c>
      <c r="H1401">
        <v>0</v>
      </c>
      <c r="I1401" s="2" t="s">
        <v>2024</v>
      </c>
      <c r="J1401" s="2" t="s">
        <v>2029</v>
      </c>
      <c r="K1401" s="2" t="s">
        <v>3473</v>
      </c>
      <c r="L1401" s="2" t="s">
        <v>4031</v>
      </c>
      <c r="M1401">
        <v>-1447.98</v>
      </c>
      <c r="N1401" s="2" t="s">
        <v>2016</v>
      </c>
      <c r="O1401">
        <v>103</v>
      </c>
      <c r="P1401">
        <v>-149141.94</v>
      </c>
      <c r="Q1401" t="b">
        <v>0</v>
      </c>
      <c r="R1401" t="b">
        <v>0</v>
      </c>
      <c r="S1401" t="b">
        <v>0</v>
      </c>
      <c r="T1401" t="b">
        <v>0</v>
      </c>
      <c r="U1401">
        <v>0</v>
      </c>
      <c r="V1401" t="s">
        <v>4073</v>
      </c>
    </row>
    <row r="1402" spans="1:22" hidden="1" x14ac:dyDescent="0.45">
      <c r="A1402" s="2" t="s">
        <v>139</v>
      </c>
      <c r="B1402" s="11">
        <v>45671</v>
      </c>
      <c r="C1402" s="2" t="s">
        <v>2011</v>
      </c>
      <c r="D1402" s="2" t="s">
        <v>2016</v>
      </c>
      <c r="E1402">
        <v>1697.34</v>
      </c>
      <c r="F1402">
        <v>149365.91999999998</v>
      </c>
      <c r="G1402">
        <v>0</v>
      </c>
      <c r="H1402">
        <v>0</v>
      </c>
      <c r="I1402" s="2" t="s">
        <v>2022</v>
      </c>
      <c r="J1402" s="2" t="s">
        <v>2026</v>
      </c>
      <c r="K1402" s="2" t="s">
        <v>2160</v>
      </c>
      <c r="L1402" s="2" t="s">
        <v>4032</v>
      </c>
      <c r="M1402">
        <v>-1697.34</v>
      </c>
      <c r="N1402" s="2" t="s">
        <v>2016</v>
      </c>
      <c r="O1402">
        <v>88</v>
      </c>
      <c r="P1402">
        <v>-149365.91999999998</v>
      </c>
      <c r="Q1402" t="b">
        <v>0</v>
      </c>
      <c r="R1402" t="b">
        <v>0</v>
      </c>
      <c r="S1402" t="b">
        <v>0</v>
      </c>
      <c r="T1402" t="b">
        <v>0</v>
      </c>
      <c r="U1402">
        <v>0</v>
      </c>
      <c r="V1402" t="s">
        <v>4073</v>
      </c>
    </row>
    <row r="1403" spans="1:22" hidden="1" x14ac:dyDescent="0.45">
      <c r="A1403" s="2" t="s">
        <v>1218</v>
      </c>
      <c r="B1403" s="11">
        <v>45068</v>
      </c>
      <c r="C1403" s="2" t="s">
        <v>2011</v>
      </c>
      <c r="D1403" s="2" t="s">
        <v>2016</v>
      </c>
      <c r="E1403">
        <v>1457.86</v>
      </c>
      <c r="F1403">
        <v>150159.57999999999</v>
      </c>
      <c r="G1403">
        <v>0</v>
      </c>
      <c r="H1403">
        <v>0</v>
      </c>
      <c r="I1403" s="2" t="s">
        <v>2020</v>
      </c>
      <c r="J1403" s="2" t="s">
        <v>2026</v>
      </c>
      <c r="K1403" s="2" t="s">
        <v>3239</v>
      </c>
      <c r="L1403" s="2" t="s">
        <v>4031</v>
      </c>
      <c r="M1403">
        <v>-1457.86</v>
      </c>
      <c r="N1403" s="2" t="s">
        <v>2016</v>
      </c>
      <c r="O1403">
        <v>103</v>
      </c>
      <c r="P1403">
        <v>-150159.57999999999</v>
      </c>
      <c r="Q1403" t="b">
        <v>0</v>
      </c>
      <c r="R1403" t="b">
        <v>0</v>
      </c>
      <c r="S1403" t="b">
        <v>0</v>
      </c>
      <c r="T1403" t="b">
        <v>0</v>
      </c>
      <c r="U1403">
        <v>0</v>
      </c>
      <c r="V1403" t="s">
        <v>4073</v>
      </c>
    </row>
    <row r="1404" spans="1:22" hidden="1" x14ac:dyDescent="0.45">
      <c r="A1404" s="2" t="s">
        <v>1567</v>
      </c>
      <c r="B1404" s="11">
        <v>45341</v>
      </c>
      <c r="C1404" s="2" t="s">
        <v>2011</v>
      </c>
      <c r="D1404" s="2" t="s">
        <v>2016</v>
      </c>
      <c r="E1404">
        <v>1835.61</v>
      </c>
      <c r="F1404">
        <v>150520.01999999999</v>
      </c>
      <c r="G1404">
        <v>0</v>
      </c>
      <c r="H1404">
        <v>0</v>
      </c>
      <c r="I1404" s="2" t="s">
        <v>2020</v>
      </c>
      <c r="J1404" s="2" t="s">
        <v>2029</v>
      </c>
      <c r="K1404" s="2" t="s">
        <v>3588</v>
      </c>
      <c r="L1404" s="2" t="s">
        <v>4034</v>
      </c>
      <c r="M1404">
        <v>-1835.61</v>
      </c>
      <c r="N1404" s="2" t="s">
        <v>2016</v>
      </c>
      <c r="O1404">
        <v>82</v>
      </c>
      <c r="P1404">
        <v>-150520.01999999999</v>
      </c>
      <c r="Q1404" t="b">
        <v>0</v>
      </c>
      <c r="R1404" t="b">
        <v>0</v>
      </c>
      <c r="S1404" t="b">
        <v>0</v>
      </c>
      <c r="T1404" t="b">
        <v>0</v>
      </c>
      <c r="U1404">
        <v>0</v>
      </c>
      <c r="V1404" t="s">
        <v>4073</v>
      </c>
    </row>
    <row r="1405" spans="1:22" hidden="1" x14ac:dyDescent="0.45">
      <c r="A1405" s="2" t="s">
        <v>1584</v>
      </c>
      <c r="B1405" s="11">
        <v>45770</v>
      </c>
      <c r="C1405" s="2" t="s">
        <v>2011</v>
      </c>
      <c r="D1405" s="2" t="s">
        <v>2016</v>
      </c>
      <c r="E1405">
        <v>1836.46</v>
      </c>
      <c r="F1405">
        <v>150589.72</v>
      </c>
      <c r="G1405">
        <v>0</v>
      </c>
      <c r="H1405">
        <v>0</v>
      </c>
      <c r="I1405" s="2" t="s">
        <v>2023</v>
      </c>
      <c r="J1405" s="2" t="s">
        <v>2026</v>
      </c>
      <c r="K1405" s="2" t="s">
        <v>3605</v>
      </c>
      <c r="L1405" s="2" t="s">
        <v>4034</v>
      </c>
      <c r="M1405">
        <v>-1836.46</v>
      </c>
      <c r="N1405" s="2" t="s">
        <v>2016</v>
      </c>
      <c r="O1405">
        <v>82</v>
      </c>
      <c r="P1405">
        <v>-150589.72</v>
      </c>
      <c r="Q1405" t="b">
        <v>0</v>
      </c>
      <c r="R1405" t="b">
        <v>0</v>
      </c>
      <c r="S1405" t="b">
        <v>0</v>
      </c>
      <c r="T1405" t="b">
        <v>0</v>
      </c>
      <c r="U1405">
        <v>0</v>
      </c>
      <c r="V1405" t="s">
        <v>4073</v>
      </c>
    </row>
    <row r="1406" spans="1:22" hidden="1" x14ac:dyDescent="0.45">
      <c r="A1406" s="2" t="s">
        <v>1406</v>
      </c>
      <c r="B1406" s="11">
        <v>45009</v>
      </c>
      <c r="C1406" s="2" t="s">
        <v>2011</v>
      </c>
      <c r="D1406" s="2" t="s">
        <v>2016</v>
      </c>
      <c r="E1406">
        <v>1837.1</v>
      </c>
      <c r="F1406">
        <v>150642.19999999998</v>
      </c>
      <c r="G1406">
        <v>0</v>
      </c>
      <c r="H1406">
        <v>0</v>
      </c>
      <c r="I1406" s="2" t="s">
        <v>2021</v>
      </c>
      <c r="J1406" s="2" t="s">
        <v>2026</v>
      </c>
      <c r="K1406" s="2" t="s">
        <v>3427</v>
      </c>
      <c r="L1406" s="2" t="s">
        <v>4034</v>
      </c>
      <c r="M1406">
        <v>-1837.1</v>
      </c>
      <c r="N1406" s="2" t="s">
        <v>2016</v>
      </c>
      <c r="O1406">
        <v>82</v>
      </c>
      <c r="P1406">
        <v>-150642.19999999998</v>
      </c>
      <c r="Q1406" t="b">
        <v>0</v>
      </c>
      <c r="R1406" t="b">
        <v>0</v>
      </c>
      <c r="S1406" t="b">
        <v>0</v>
      </c>
      <c r="T1406" t="b">
        <v>0</v>
      </c>
      <c r="U1406">
        <v>0</v>
      </c>
      <c r="V1406" t="s">
        <v>4073</v>
      </c>
    </row>
    <row r="1407" spans="1:22" hidden="1" x14ac:dyDescent="0.45">
      <c r="A1407" s="2" t="s">
        <v>1453</v>
      </c>
      <c r="B1407" s="11">
        <v>44964</v>
      </c>
      <c r="C1407" s="2" t="s">
        <v>2012</v>
      </c>
      <c r="D1407" s="2" t="s">
        <v>2017</v>
      </c>
      <c r="E1407">
        <v>1846.98</v>
      </c>
      <c r="F1407">
        <v>151452.36000000002</v>
      </c>
      <c r="G1407">
        <v>0</v>
      </c>
      <c r="H1407">
        <v>0</v>
      </c>
      <c r="I1407" s="2" t="s">
        <v>2021</v>
      </c>
      <c r="J1407" s="2" t="s">
        <v>2028</v>
      </c>
      <c r="K1407" s="2" t="s">
        <v>3474</v>
      </c>
      <c r="L1407" s="2" t="s">
        <v>4034</v>
      </c>
      <c r="M1407">
        <v>-1846.98</v>
      </c>
      <c r="N1407" s="2" t="s">
        <v>4044</v>
      </c>
      <c r="O1407">
        <v>82</v>
      </c>
      <c r="P1407">
        <v>-151452.36000000002</v>
      </c>
      <c r="Q1407" t="b">
        <v>0</v>
      </c>
      <c r="R1407" t="b">
        <v>0</v>
      </c>
      <c r="S1407" t="b">
        <v>0</v>
      </c>
      <c r="T1407" t="b">
        <v>0</v>
      </c>
      <c r="U1407">
        <v>0</v>
      </c>
      <c r="V1407" t="s">
        <v>4073</v>
      </c>
    </row>
    <row r="1408" spans="1:22" hidden="1" x14ac:dyDescent="0.45">
      <c r="A1408" s="2" t="s">
        <v>1332</v>
      </c>
      <c r="B1408" s="11">
        <v>45636</v>
      </c>
      <c r="C1408" s="2" t="s">
        <v>2013</v>
      </c>
      <c r="D1408" s="2" t="s">
        <v>2018</v>
      </c>
      <c r="E1408">
        <v>1471.95</v>
      </c>
      <c r="F1408">
        <v>151610.85</v>
      </c>
      <c r="G1408">
        <v>0</v>
      </c>
      <c r="H1408">
        <v>0</v>
      </c>
      <c r="I1408" s="2" t="s">
        <v>2021</v>
      </c>
      <c r="J1408" s="2" t="s">
        <v>2028</v>
      </c>
      <c r="K1408" s="2" t="s">
        <v>3353</v>
      </c>
      <c r="L1408" s="2" t="s">
        <v>4031</v>
      </c>
      <c r="M1408">
        <v>-1471.95</v>
      </c>
      <c r="N1408" s="2" t="s">
        <v>4044</v>
      </c>
      <c r="O1408">
        <v>103</v>
      </c>
      <c r="P1408">
        <v>-151610.85</v>
      </c>
      <c r="Q1408" t="b">
        <v>0</v>
      </c>
      <c r="R1408" t="b">
        <v>0</v>
      </c>
      <c r="S1408" t="b">
        <v>0</v>
      </c>
      <c r="T1408" t="b">
        <v>0</v>
      </c>
      <c r="U1408">
        <v>0</v>
      </c>
      <c r="V1408" t="s">
        <v>4073</v>
      </c>
    </row>
    <row r="1409" spans="1:22" hidden="1" x14ac:dyDescent="0.45">
      <c r="A1409" s="2" t="s">
        <v>1862</v>
      </c>
      <c r="B1409" s="11">
        <v>44945</v>
      </c>
      <c r="C1409" s="2" t="s">
        <v>2011</v>
      </c>
      <c r="D1409" s="2" t="s">
        <v>2016</v>
      </c>
      <c r="E1409">
        <v>1849.24</v>
      </c>
      <c r="F1409">
        <v>151637.68</v>
      </c>
      <c r="G1409">
        <v>0</v>
      </c>
      <c r="H1409">
        <v>0</v>
      </c>
      <c r="I1409" s="2" t="s">
        <v>2023</v>
      </c>
      <c r="J1409" s="2" t="s">
        <v>2028</v>
      </c>
      <c r="K1409" s="2" t="s">
        <v>3883</v>
      </c>
      <c r="L1409" s="2" t="s">
        <v>4034</v>
      </c>
      <c r="M1409">
        <v>-1849.24</v>
      </c>
      <c r="N1409" s="2" t="s">
        <v>2016</v>
      </c>
      <c r="O1409">
        <v>82</v>
      </c>
      <c r="P1409">
        <v>-151637.68</v>
      </c>
      <c r="Q1409" t="b">
        <v>0</v>
      </c>
      <c r="R1409" t="b">
        <v>0</v>
      </c>
      <c r="S1409" t="b">
        <v>0</v>
      </c>
      <c r="T1409" t="b">
        <v>0</v>
      </c>
      <c r="U1409">
        <v>0</v>
      </c>
      <c r="V1409" t="s">
        <v>4073</v>
      </c>
    </row>
    <row r="1410" spans="1:22" hidden="1" x14ac:dyDescent="0.45">
      <c r="A1410" s="2" t="s">
        <v>726</v>
      </c>
      <c r="B1410" s="11">
        <v>45476</v>
      </c>
      <c r="C1410" s="2" t="s">
        <v>2012</v>
      </c>
      <c r="D1410" s="2" t="s">
        <v>2017</v>
      </c>
      <c r="E1410">
        <v>1858.28</v>
      </c>
      <c r="F1410">
        <v>152378.96</v>
      </c>
      <c r="G1410">
        <v>0</v>
      </c>
      <c r="H1410">
        <v>0</v>
      </c>
      <c r="I1410" s="2" t="s">
        <v>2025</v>
      </c>
      <c r="J1410" s="2" t="s">
        <v>2028</v>
      </c>
      <c r="K1410" s="2" t="s">
        <v>2747</v>
      </c>
      <c r="L1410" s="2" t="s">
        <v>4034</v>
      </c>
      <c r="M1410">
        <v>-1858.28</v>
      </c>
      <c r="N1410" s="2" t="s">
        <v>4044</v>
      </c>
      <c r="O1410">
        <v>82</v>
      </c>
      <c r="P1410">
        <v>-152378.96</v>
      </c>
      <c r="Q1410" t="b">
        <v>0</v>
      </c>
      <c r="R1410" t="b">
        <v>0</v>
      </c>
      <c r="S1410" t="b">
        <v>0</v>
      </c>
      <c r="T1410" t="b">
        <v>0</v>
      </c>
      <c r="U1410">
        <v>0</v>
      </c>
      <c r="V1410" t="s">
        <v>4073</v>
      </c>
    </row>
    <row r="1411" spans="1:22" hidden="1" x14ac:dyDescent="0.45">
      <c r="A1411" s="2" t="s">
        <v>1456</v>
      </c>
      <c r="B1411" s="11">
        <v>45519</v>
      </c>
      <c r="C1411" s="2" t="s">
        <v>2013</v>
      </c>
      <c r="D1411" s="2" t="s">
        <v>2018</v>
      </c>
      <c r="E1411">
        <v>1733.89</v>
      </c>
      <c r="F1411">
        <v>152582.32</v>
      </c>
      <c r="G1411">
        <v>0</v>
      </c>
      <c r="H1411">
        <v>0</v>
      </c>
      <c r="I1411" s="2" t="s">
        <v>2023</v>
      </c>
      <c r="J1411" s="2" t="s">
        <v>2026</v>
      </c>
      <c r="K1411" s="2" t="s">
        <v>3477</v>
      </c>
      <c r="L1411" s="2" t="s">
        <v>4032</v>
      </c>
      <c r="M1411">
        <v>-1733.89</v>
      </c>
      <c r="N1411" s="2" t="s">
        <v>4044</v>
      </c>
      <c r="O1411">
        <v>88</v>
      </c>
      <c r="P1411">
        <v>-152582.32</v>
      </c>
      <c r="Q1411" t="b">
        <v>0</v>
      </c>
      <c r="R1411" t="b">
        <v>0</v>
      </c>
      <c r="S1411" t="b">
        <v>0</v>
      </c>
      <c r="T1411" t="b">
        <v>0</v>
      </c>
      <c r="U1411">
        <v>0</v>
      </c>
      <c r="V1411" t="s">
        <v>4073</v>
      </c>
    </row>
    <row r="1412" spans="1:22" hidden="1" x14ac:dyDescent="0.45">
      <c r="A1412" s="2" t="s">
        <v>946</v>
      </c>
      <c r="B1412" s="11">
        <v>45650</v>
      </c>
      <c r="C1412" s="2" t="s">
        <v>2014</v>
      </c>
      <c r="D1412" s="2" t="s">
        <v>2019</v>
      </c>
      <c r="E1412">
        <v>0</v>
      </c>
      <c r="F1412">
        <v>0</v>
      </c>
      <c r="G1412">
        <v>1861.57</v>
      </c>
      <c r="H1412">
        <v>152648.74</v>
      </c>
      <c r="I1412" s="2" t="s">
        <v>2025</v>
      </c>
      <c r="J1412" s="2" t="s">
        <v>2026</v>
      </c>
      <c r="K1412" s="2" t="s">
        <v>2967</v>
      </c>
      <c r="L1412" s="2" t="s">
        <v>4034</v>
      </c>
      <c r="M1412">
        <v>1861.57</v>
      </c>
      <c r="N1412" s="2" t="s">
        <v>4042</v>
      </c>
      <c r="O1412">
        <v>82</v>
      </c>
      <c r="P1412">
        <v>152648.74</v>
      </c>
      <c r="Q1412" t="b">
        <v>0</v>
      </c>
      <c r="R1412" t="b">
        <v>0</v>
      </c>
      <c r="S1412" t="b">
        <v>0</v>
      </c>
      <c r="T1412" t="b">
        <v>0</v>
      </c>
      <c r="U1412">
        <v>0</v>
      </c>
      <c r="V1412" t="s">
        <v>4073</v>
      </c>
    </row>
    <row r="1413" spans="1:22" hidden="1" x14ac:dyDescent="0.45">
      <c r="A1413" s="2" t="s">
        <v>976</v>
      </c>
      <c r="B1413" s="11">
        <v>45049</v>
      </c>
      <c r="C1413" s="2" t="s">
        <v>2010</v>
      </c>
      <c r="D1413" s="2" t="s">
        <v>2015</v>
      </c>
      <c r="E1413">
        <v>0</v>
      </c>
      <c r="F1413">
        <v>0</v>
      </c>
      <c r="G1413">
        <v>1864.27</v>
      </c>
      <c r="H1413">
        <v>152870.13999999998</v>
      </c>
      <c r="I1413" s="2" t="s">
        <v>2021</v>
      </c>
      <c r="J1413" s="2" t="s">
        <v>2026</v>
      </c>
      <c r="K1413" s="2" t="s">
        <v>2997</v>
      </c>
      <c r="L1413" s="2" t="s">
        <v>4034</v>
      </c>
      <c r="M1413">
        <v>1864.27</v>
      </c>
      <c r="N1413" s="2" t="s">
        <v>4042</v>
      </c>
      <c r="O1413">
        <v>82</v>
      </c>
      <c r="P1413">
        <v>152870.13999999998</v>
      </c>
      <c r="Q1413" t="b">
        <v>0</v>
      </c>
      <c r="R1413" t="b">
        <v>0</v>
      </c>
      <c r="S1413" t="b">
        <v>0</v>
      </c>
      <c r="T1413" t="b">
        <v>0</v>
      </c>
      <c r="U1413">
        <v>0</v>
      </c>
      <c r="V1413" t="s">
        <v>4073</v>
      </c>
    </row>
    <row r="1414" spans="1:22" hidden="1" x14ac:dyDescent="0.45">
      <c r="A1414" s="2" t="s">
        <v>1523</v>
      </c>
      <c r="B1414" s="11">
        <v>44981</v>
      </c>
      <c r="C1414" s="2" t="s">
        <v>2010</v>
      </c>
      <c r="D1414" s="2" t="s">
        <v>2015</v>
      </c>
      <c r="E1414">
        <v>0</v>
      </c>
      <c r="F1414">
        <v>0</v>
      </c>
      <c r="G1414">
        <v>2736.74</v>
      </c>
      <c r="H1414">
        <v>153257.44</v>
      </c>
      <c r="I1414" s="2" t="s">
        <v>2021</v>
      </c>
      <c r="J1414" s="2" t="s">
        <v>2028</v>
      </c>
      <c r="K1414" s="2" t="s">
        <v>3544</v>
      </c>
      <c r="L1414" s="2" t="s">
        <v>4033</v>
      </c>
      <c r="M1414">
        <v>2736.74</v>
      </c>
      <c r="N1414" s="2" t="s">
        <v>4042</v>
      </c>
      <c r="O1414">
        <v>56</v>
      </c>
      <c r="P1414">
        <v>153257.44</v>
      </c>
      <c r="Q1414" t="b">
        <v>0</v>
      </c>
      <c r="R1414" t="b">
        <v>0</v>
      </c>
      <c r="S1414" t="b">
        <v>0</v>
      </c>
      <c r="T1414" t="b">
        <v>0</v>
      </c>
      <c r="U1414">
        <v>0</v>
      </c>
      <c r="V1414" t="s">
        <v>4073</v>
      </c>
    </row>
    <row r="1415" spans="1:22" hidden="1" x14ac:dyDescent="0.45">
      <c r="A1415" s="2" t="s">
        <v>1402</v>
      </c>
      <c r="B1415" s="11">
        <v>45210</v>
      </c>
      <c r="C1415" s="2" t="s">
        <v>2011</v>
      </c>
      <c r="D1415" s="2" t="s">
        <v>2016</v>
      </c>
      <c r="E1415">
        <v>1749.68</v>
      </c>
      <c r="F1415">
        <v>153971.84</v>
      </c>
      <c r="G1415">
        <v>0</v>
      </c>
      <c r="H1415">
        <v>0</v>
      </c>
      <c r="I1415" s="2" t="s">
        <v>2021</v>
      </c>
      <c r="J1415" s="2" t="s">
        <v>2029</v>
      </c>
      <c r="K1415" s="2" t="s">
        <v>3423</v>
      </c>
      <c r="L1415" s="2" t="s">
        <v>4032</v>
      </c>
      <c r="M1415">
        <v>-1749.68</v>
      </c>
      <c r="N1415" s="2" t="s">
        <v>2016</v>
      </c>
      <c r="O1415">
        <v>88</v>
      </c>
      <c r="P1415">
        <v>-153971.84</v>
      </c>
      <c r="Q1415" t="b">
        <v>0</v>
      </c>
      <c r="R1415" t="b">
        <v>0</v>
      </c>
      <c r="S1415" t="b">
        <v>0</v>
      </c>
      <c r="T1415" t="b">
        <v>0</v>
      </c>
      <c r="U1415">
        <v>0</v>
      </c>
      <c r="V1415" t="s">
        <v>4073</v>
      </c>
    </row>
    <row r="1416" spans="1:22" hidden="1" x14ac:dyDescent="0.45">
      <c r="A1416" s="2" t="s">
        <v>1961</v>
      </c>
      <c r="B1416" s="11">
        <v>45387</v>
      </c>
      <c r="C1416" s="2" t="s">
        <v>2011</v>
      </c>
      <c r="D1416" s="2" t="s">
        <v>2016</v>
      </c>
      <c r="E1416">
        <v>1517.29</v>
      </c>
      <c r="F1416">
        <v>133521.51999999999</v>
      </c>
      <c r="G1416">
        <v>0</v>
      </c>
      <c r="H1416">
        <v>0</v>
      </c>
      <c r="I1416" s="2" t="s">
        <v>2022</v>
      </c>
      <c r="J1416" s="2" t="s">
        <v>2030</v>
      </c>
      <c r="K1416" s="2" t="s">
        <v>3982</v>
      </c>
      <c r="L1416" s="2" t="s">
        <v>4032</v>
      </c>
      <c r="M1416">
        <v>-1517.29</v>
      </c>
      <c r="N1416" s="2" t="s">
        <v>2016</v>
      </c>
      <c r="O1416">
        <v>88</v>
      </c>
      <c r="P1416">
        <v>-133521.51999999999</v>
      </c>
      <c r="Q1416" t="b">
        <v>0</v>
      </c>
      <c r="R1416" t="b">
        <v>0</v>
      </c>
      <c r="S1416" t="b">
        <v>0</v>
      </c>
      <c r="T1416" t="b">
        <v>0</v>
      </c>
      <c r="U1416">
        <v>0</v>
      </c>
      <c r="V1416" t="s">
        <v>4073</v>
      </c>
    </row>
    <row r="1417" spans="1:22" hidden="1" x14ac:dyDescent="0.45">
      <c r="A1417" s="2" t="s">
        <v>518</v>
      </c>
      <c r="B1417" s="11">
        <v>45182</v>
      </c>
      <c r="C1417" s="2" t="s">
        <v>2012</v>
      </c>
      <c r="D1417" s="2" t="s">
        <v>2017</v>
      </c>
      <c r="E1417">
        <v>1295.97</v>
      </c>
      <c r="F1417">
        <v>133484.91</v>
      </c>
      <c r="G1417">
        <v>0</v>
      </c>
      <c r="H1417">
        <v>0</v>
      </c>
      <c r="I1417" s="2" t="s">
        <v>2021</v>
      </c>
      <c r="J1417" s="2" t="s">
        <v>2027</v>
      </c>
      <c r="K1417" s="2" t="s">
        <v>2539</v>
      </c>
      <c r="L1417" s="2" t="s">
        <v>4031</v>
      </c>
      <c r="M1417">
        <v>-1295.97</v>
      </c>
      <c r="N1417" s="2" t="s">
        <v>4044</v>
      </c>
      <c r="O1417">
        <v>103</v>
      </c>
      <c r="P1417">
        <v>-133484.91</v>
      </c>
      <c r="Q1417" t="b">
        <v>0</v>
      </c>
      <c r="R1417" t="b">
        <v>0</v>
      </c>
      <c r="S1417" t="b">
        <v>0</v>
      </c>
      <c r="T1417" t="b">
        <v>0</v>
      </c>
      <c r="U1417">
        <v>0</v>
      </c>
      <c r="V1417" t="s">
        <v>4073</v>
      </c>
    </row>
    <row r="1418" spans="1:22" hidden="1" x14ac:dyDescent="0.45">
      <c r="A1418" s="2" t="s">
        <v>1095</v>
      </c>
      <c r="B1418" s="11">
        <v>45628</v>
      </c>
      <c r="C1418" s="2" t="s">
        <v>2013</v>
      </c>
      <c r="D1418" s="2" t="s">
        <v>2018</v>
      </c>
      <c r="E1418">
        <v>1295.49</v>
      </c>
      <c r="F1418">
        <v>133435.47</v>
      </c>
      <c r="G1418">
        <v>0</v>
      </c>
      <c r="H1418">
        <v>0</v>
      </c>
      <c r="I1418" s="2" t="s">
        <v>2020</v>
      </c>
      <c r="J1418" s="2" t="s">
        <v>2029</v>
      </c>
      <c r="K1418" s="2" t="s">
        <v>3116</v>
      </c>
      <c r="L1418" s="2" t="s">
        <v>4031</v>
      </c>
      <c r="M1418">
        <v>-1295.49</v>
      </c>
      <c r="N1418" s="2" t="s">
        <v>4044</v>
      </c>
      <c r="O1418">
        <v>103</v>
      </c>
      <c r="P1418">
        <v>-133435.47</v>
      </c>
      <c r="Q1418" t="b">
        <v>0</v>
      </c>
      <c r="R1418" t="b">
        <v>0</v>
      </c>
      <c r="S1418" t="b">
        <v>0</v>
      </c>
      <c r="T1418" t="b">
        <v>0</v>
      </c>
      <c r="U1418">
        <v>0</v>
      </c>
      <c r="V1418" t="s">
        <v>4073</v>
      </c>
    </row>
    <row r="1419" spans="1:22" hidden="1" x14ac:dyDescent="0.45">
      <c r="A1419" s="2" t="s">
        <v>536</v>
      </c>
      <c r="B1419" s="11">
        <v>44942</v>
      </c>
      <c r="C1419" s="2" t="s">
        <v>2012</v>
      </c>
      <c r="D1419" s="2" t="s">
        <v>2017</v>
      </c>
      <c r="E1419">
        <v>1455.97</v>
      </c>
      <c r="F1419">
        <v>119389.54000000001</v>
      </c>
      <c r="G1419">
        <v>0</v>
      </c>
      <c r="H1419">
        <v>0</v>
      </c>
      <c r="I1419" s="2" t="s">
        <v>2023</v>
      </c>
      <c r="J1419" s="2" t="s">
        <v>2028</v>
      </c>
      <c r="K1419" s="2" t="s">
        <v>2557</v>
      </c>
      <c r="L1419" s="2" t="s">
        <v>4034</v>
      </c>
      <c r="M1419">
        <v>-1455.97</v>
      </c>
      <c r="N1419" s="2" t="s">
        <v>4044</v>
      </c>
      <c r="O1419">
        <v>82</v>
      </c>
      <c r="P1419">
        <v>-119389.54000000001</v>
      </c>
      <c r="Q1419" t="b">
        <v>0</v>
      </c>
      <c r="R1419" t="b">
        <v>0</v>
      </c>
      <c r="S1419" t="b">
        <v>0</v>
      </c>
      <c r="T1419" t="b">
        <v>0</v>
      </c>
      <c r="U1419">
        <v>0</v>
      </c>
      <c r="V1419" t="s">
        <v>4073</v>
      </c>
    </row>
    <row r="1420" spans="1:22" hidden="1" x14ac:dyDescent="0.45">
      <c r="A1420" s="2" t="s">
        <v>216</v>
      </c>
      <c r="B1420" s="11">
        <v>44965</v>
      </c>
      <c r="C1420" s="2" t="s">
        <v>2012</v>
      </c>
      <c r="D1420" s="2" t="s">
        <v>2017</v>
      </c>
      <c r="E1420">
        <v>1161.43</v>
      </c>
      <c r="F1420">
        <v>119627.29000000001</v>
      </c>
      <c r="G1420">
        <v>0</v>
      </c>
      <c r="H1420">
        <v>0</v>
      </c>
      <c r="I1420" s="2" t="s">
        <v>2022</v>
      </c>
      <c r="J1420" s="2" t="s">
        <v>2026</v>
      </c>
      <c r="K1420" s="2" t="s">
        <v>2237</v>
      </c>
      <c r="L1420" s="2" t="s">
        <v>4031</v>
      </c>
      <c r="M1420">
        <v>-1161.43</v>
      </c>
      <c r="N1420" s="2" t="s">
        <v>4044</v>
      </c>
      <c r="O1420">
        <v>103</v>
      </c>
      <c r="P1420">
        <v>-119627.29000000001</v>
      </c>
      <c r="Q1420" t="b">
        <v>0</v>
      </c>
      <c r="R1420" t="b">
        <v>0</v>
      </c>
      <c r="S1420" t="b">
        <v>0</v>
      </c>
      <c r="T1420" t="b">
        <v>0</v>
      </c>
      <c r="U1420">
        <v>0</v>
      </c>
      <c r="V1420" t="s">
        <v>4073</v>
      </c>
    </row>
    <row r="1421" spans="1:22" hidden="1" x14ac:dyDescent="0.45">
      <c r="A1421" s="2" t="s">
        <v>352</v>
      </c>
      <c r="B1421" s="11">
        <v>45050</v>
      </c>
      <c r="C1421" s="2" t="s">
        <v>2011</v>
      </c>
      <c r="D1421" s="2" t="s">
        <v>2016</v>
      </c>
      <c r="E1421">
        <v>1161.96</v>
      </c>
      <c r="F1421">
        <v>119681.88</v>
      </c>
      <c r="G1421">
        <v>0</v>
      </c>
      <c r="H1421">
        <v>0</v>
      </c>
      <c r="I1421" s="2" t="s">
        <v>2021</v>
      </c>
      <c r="J1421" s="2" t="s">
        <v>2030</v>
      </c>
      <c r="K1421" s="2" t="s">
        <v>2373</v>
      </c>
      <c r="L1421" s="2" t="s">
        <v>4031</v>
      </c>
      <c r="M1421">
        <v>-1161.96</v>
      </c>
      <c r="N1421" s="2" t="s">
        <v>2016</v>
      </c>
      <c r="O1421">
        <v>103</v>
      </c>
      <c r="P1421">
        <v>-119681.88</v>
      </c>
      <c r="Q1421" t="b">
        <v>0</v>
      </c>
      <c r="R1421" t="b">
        <v>0</v>
      </c>
      <c r="S1421" t="b">
        <v>0</v>
      </c>
      <c r="T1421" t="b">
        <v>0</v>
      </c>
      <c r="U1421">
        <v>0</v>
      </c>
      <c r="V1421" t="s">
        <v>4073</v>
      </c>
    </row>
    <row r="1422" spans="1:22" hidden="1" x14ac:dyDescent="0.45">
      <c r="A1422" s="2" t="s">
        <v>1472</v>
      </c>
      <c r="B1422" s="11">
        <v>45047</v>
      </c>
      <c r="C1422" s="2" t="s">
        <v>2013</v>
      </c>
      <c r="D1422" s="2" t="s">
        <v>2018</v>
      </c>
      <c r="E1422">
        <v>1162.8900000000001</v>
      </c>
      <c r="F1422">
        <v>119777.67000000001</v>
      </c>
      <c r="G1422">
        <v>0</v>
      </c>
      <c r="H1422">
        <v>0</v>
      </c>
      <c r="I1422" s="2" t="s">
        <v>2020</v>
      </c>
      <c r="J1422" s="2" t="s">
        <v>2026</v>
      </c>
      <c r="K1422" s="2" t="s">
        <v>3493</v>
      </c>
      <c r="L1422" s="2" t="s">
        <v>4031</v>
      </c>
      <c r="M1422">
        <v>-1162.8900000000001</v>
      </c>
      <c r="N1422" s="2" t="s">
        <v>4044</v>
      </c>
      <c r="O1422">
        <v>103</v>
      </c>
      <c r="P1422">
        <v>-119777.67000000001</v>
      </c>
      <c r="Q1422" t="b">
        <v>0</v>
      </c>
      <c r="R1422" t="b">
        <v>0</v>
      </c>
      <c r="S1422" t="b">
        <v>0</v>
      </c>
      <c r="T1422" t="b">
        <v>0</v>
      </c>
      <c r="U1422">
        <v>0</v>
      </c>
      <c r="V1422" t="s">
        <v>4073</v>
      </c>
    </row>
    <row r="1423" spans="1:22" hidden="1" x14ac:dyDescent="0.45">
      <c r="A1423" s="2" t="s">
        <v>912</v>
      </c>
      <c r="B1423" s="11">
        <v>45643</v>
      </c>
      <c r="C1423" s="2" t="s">
        <v>2012</v>
      </c>
      <c r="D1423" s="2" t="s">
        <v>2017</v>
      </c>
      <c r="E1423">
        <v>1965.36</v>
      </c>
      <c r="F1423">
        <v>119886.95999999999</v>
      </c>
      <c r="G1423">
        <v>0</v>
      </c>
      <c r="H1423">
        <v>0</v>
      </c>
      <c r="I1423" s="2" t="s">
        <v>2022</v>
      </c>
      <c r="J1423" s="2" t="s">
        <v>2029</v>
      </c>
      <c r="K1423" s="2" t="s">
        <v>2933</v>
      </c>
      <c r="L1423" s="2" t="s">
        <v>4035</v>
      </c>
      <c r="M1423">
        <v>-1965.36</v>
      </c>
      <c r="N1423" s="2" t="s">
        <v>4044</v>
      </c>
      <c r="O1423">
        <v>61</v>
      </c>
      <c r="P1423">
        <v>-119886.95999999999</v>
      </c>
      <c r="Q1423" t="b">
        <v>0</v>
      </c>
      <c r="R1423" t="b">
        <v>0</v>
      </c>
      <c r="S1423" t="b">
        <v>0</v>
      </c>
      <c r="T1423" t="b">
        <v>0</v>
      </c>
      <c r="U1423">
        <v>0</v>
      </c>
      <c r="V1423" t="s">
        <v>4073</v>
      </c>
    </row>
    <row r="1424" spans="1:22" hidden="1" x14ac:dyDescent="0.45">
      <c r="A1424" s="2" t="s">
        <v>802</v>
      </c>
      <c r="B1424" s="11">
        <v>44965</v>
      </c>
      <c r="C1424" s="2" t="s">
        <v>2010</v>
      </c>
      <c r="D1424" s="2" t="s">
        <v>2015</v>
      </c>
      <c r="E1424">
        <v>0</v>
      </c>
      <c r="F1424">
        <v>0</v>
      </c>
      <c r="G1424">
        <v>1965.39</v>
      </c>
      <c r="H1424">
        <v>119888.79000000001</v>
      </c>
      <c r="I1424" s="2" t="s">
        <v>2023</v>
      </c>
      <c r="J1424" s="2" t="s">
        <v>2027</v>
      </c>
      <c r="K1424" s="2" t="s">
        <v>2823</v>
      </c>
      <c r="L1424" s="2" t="s">
        <v>4035</v>
      </c>
      <c r="M1424">
        <v>1965.39</v>
      </c>
      <c r="N1424" s="2" t="s">
        <v>4042</v>
      </c>
      <c r="O1424">
        <v>61</v>
      </c>
      <c r="P1424">
        <v>119888.79000000001</v>
      </c>
      <c r="Q1424" t="b">
        <v>0</v>
      </c>
      <c r="R1424" t="b">
        <v>0</v>
      </c>
      <c r="S1424" t="b">
        <v>0</v>
      </c>
      <c r="T1424" t="b">
        <v>0</v>
      </c>
      <c r="U1424">
        <v>0</v>
      </c>
      <c r="V1424" t="s">
        <v>4073</v>
      </c>
    </row>
    <row r="1425" spans="1:22" hidden="1" x14ac:dyDescent="0.45">
      <c r="A1425" s="2" t="s">
        <v>120</v>
      </c>
      <c r="B1425" s="11">
        <v>45702</v>
      </c>
      <c r="C1425" s="2" t="s">
        <v>2012</v>
      </c>
      <c r="D1425" s="2" t="s">
        <v>2017</v>
      </c>
      <c r="E1425">
        <v>1166.95</v>
      </c>
      <c r="F1425">
        <v>120195.85</v>
      </c>
      <c r="G1425">
        <v>0</v>
      </c>
      <c r="H1425">
        <v>0</v>
      </c>
      <c r="I1425" s="2" t="s">
        <v>2020</v>
      </c>
      <c r="J1425" s="2" t="s">
        <v>2030</v>
      </c>
      <c r="K1425" s="2" t="s">
        <v>2141</v>
      </c>
      <c r="L1425" s="2" t="s">
        <v>4031</v>
      </c>
      <c r="M1425">
        <v>-1166.95</v>
      </c>
      <c r="N1425" s="2" t="s">
        <v>4044</v>
      </c>
      <c r="O1425">
        <v>103</v>
      </c>
      <c r="P1425">
        <v>-120195.85</v>
      </c>
      <c r="Q1425" t="b">
        <v>0</v>
      </c>
      <c r="R1425" t="b">
        <v>0</v>
      </c>
      <c r="S1425" t="b">
        <v>0</v>
      </c>
      <c r="T1425" t="b">
        <v>0</v>
      </c>
      <c r="U1425">
        <v>0</v>
      </c>
      <c r="V1425" t="s">
        <v>4073</v>
      </c>
    </row>
    <row r="1426" spans="1:22" hidden="1" x14ac:dyDescent="0.45">
      <c r="A1426" s="2" t="s">
        <v>1635</v>
      </c>
      <c r="B1426" s="11">
        <v>45001</v>
      </c>
      <c r="C1426" s="2" t="s">
        <v>2013</v>
      </c>
      <c r="D1426" s="2" t="s">
        <v>2018</v>
      </c>
      <c r="E1426">
        <v>1466.95</v>
      </c>
      <c r="F1426">
        <v>120289.90000000001</v>
      </c>
      <c r="G1426">
        <v>0</v>
      </c>
      <c r="H1426">
        <v>0</v>
      </c>
      <c r="I1426" s="2" t="s">
        <v>2025</v>
      </c>
      <c r="J1426" s="2" t="s">
        <v>2027</v>
      </c>
      <c r="K1426" s="2" t="s">
        <v>3656</v>
      </c>
      <c r="L1426" s="2" t="s">
        <v>4034</v>
      </c>
      <c r="M1426">
        <v>-1466.95</v>
      </c>
      <c r="N1426" s="2" t="s">
        <v>4044</v>
      </c>
      <c r="O1426">
        <v>82</v>
      </c>
      <c r="P1426">
        <v>-120289.90000000001</v>
      </c>
      <c r="Q1426" t="b">
        <v>0</v>
      </c>
      <c r="R1426" t="b">
        <v>0</v>
      </c>
      <c r="S1426" t="b">
        <v>0</v>
      </c>
      <c r="T1426" t="b">
        <v>0</v>
      </c>
      <c r="U1426">
        <v>0</v>
      </c>
      <c r="V1426" t="s">
        <v>4073</v>
      </c>
    </row>
    <row r="1427" spans="1:22" hidden="1" x14ac:dyDescent="0.45">
      <c r="A1427" s="2" t="s">
        <v>55</v>
      </c>
      <c r="B1427" s="11">
        <v>45370</v>
      </c>
      <c r="C1427" s="2" t="s">
        <v>2014</v>
      </c>
      <c r="D1427" s="2" t="s">
        <v>2019</v>
      </c>
      <c r="E1427">
        <v>0</v>
      </c>
      <c r="F1427">
        <v>0</v>
      </c>
      <c r="G1427">
        <v>1368.77</v>
      </c>
      <c r="H1427">
        <v>120451.76</v>
      </c>
      <c r="I1427" s="2" t="s">
        <v>2023</v>
      </c>
      <c r="J1427" s="2" t="s">
        <v>2026</v>
      </c>
      <c r="K1427" s="2" t="s">
        <v>2076</v>
      </c>
      <c r="L1427" s="2" t="s">
        <v>4032</v>
      </c>
      <c r="M1427">
        <v>1368.77</v>
      </c>
      <c r="N1427" s="2" t="s">
        <v>4042</v>
      </c>
      <c r="O1427">
        <v>88</v>
      </c>
      <c r="P1427">
        <v>120451.76</v>
      </c>
      <c r="Q1427" t="b">
        <v>0</v>
      </c>
      <c r="R1427" t="b">
        <v>0</v>
      </c>
      <c r="S1427" t="b">
        <v>0</v>
      </c>
      <c r="T1427" t="b">
        <v>0</v>
      </c>
      <c r="U1427">
        <v>0</v>
      </c>
      <c r="V1427" t="s">
        <v>4073</v>
      </c>
    </row>
    <row r="1428" spans="1:22" hidden="1" x14ac:dyDescent="0.45">
      <c r="A1428" s="2" t="s">
        <v>47</v>
      </c>
      <c r="B1428" s="11">
        <v>45096</v>
      </c>
      <c r="C1428" s="2" t="s">
        <v>2013</v>
      </c>
      <c r="D1428" s="2" t="s">
        <v>2018</v>
      </c>
      <c r="E1428">
        <v>1469.2</v>
      </c>
      <c r="F1428">
        <v>120474.40000000001</v>
      </c>
      <c r="G1428">
        <v>0</v>
      </c>
      <c r="H1428">
        <v>0</v>
      </c>
      <c r="I1428" s="2" t="s">
        <v>2022</v>
      </c>
      <c r="J1428" s="2" t="s">
        <v>2026</v>
      </c>
      <c r="K1428" s="2" t="s">
        <v>2068</v>
      </c>
      <c r="L1428" s="2" t="s">
        <v>4034</v>
      </c>
      <c r="M1428">
        <v>-1469.2</v>
      </c>
      <c r="N1428" s="2" t="s">
        <v>4044</v>
      </c>
      <c r="O1428">
        <v>82</v>
      </c>
      <c r="P1428">
        <v>-120474.40000000001</v>
      </c>
      <c r="Q1428" t="b">
        <v>0</v>
      </c>
      <c r="R1428" t="b">
        <v>0</v>
      </c>
      <c r="S1428" t="b">
        <v>0</v>
      </c>
      <c r="T1428" t="b">
        <v>0</v>
      </c>
      <c r="U1428">
        <v>0</v>
      </c>
      <c r="V1428" t="s">
        <v>4073</v>
      </c>
    </row>
    <row r="1429" spans="1:22" hidden="1" x14ac:dyDescent="0.45">
      <c r="A1429" s="2" t="s">
        <v>1681</v>
      </c>
      <c r="B1429" s="11">
        <v>44999</v>
      </c>
      <c r="C1429" s="2" t="s">
        <v>2011</v>
      </c>
      <c r="D1429" s="2" t="s">
        <v>2016</v>
      </c>
      <c r="E1429">
        <v>1478.02</v>
      </c>
      <c r="F1429">
        <v>121197.64</v>
      </c>
      <c r="G1429">
        <v>0</v>
      </c>
      <c r="H1429">
        <v>0</v>
      </c>
      <c r="I1429" s="2" t="s">
        <v>2024</v>
      </c>
      <c r="J1429" s="2" t="s">
        <v>2028</v>
      </c>
      <c r="K1429" s="2" t="s">
        <v>3702</v>
      </c>
      <c r="L1429" s="2" t="s">
        <v>4034</v>
      </c>
      <c r="M1429">
        <v>-1478.02</v>
      </c>
      <c r="N1429" s="2" t="s">
        <v>2016</v>
      </c>
      <c r="O1429">
        <v>82</v>
      </c>
      <c r="P1429">
        <v>-121197.64</v>
      </c>
      <c r="Q1429" t="b">
        <v>0</v>
      </c>
      <c r="R1429" t="b">
        <v>0</v>
      </c>
      <c r="S1429" t="b">
        <v>0</v>
      </c>
      <c r="T1429" t="b">
        <v>0</v>
      </c>
      <c r="U1429">
        <v>0</v>
      </c>
      <c r="V1429" t="s">
        <v>4073</v>
      </c>
    </row>
    <row r="1430" spans="1:22" hidden="1" x14ac:dyDescent="0.45">
      <c r="A1430" s="2" t="s">
        <v>813</v>
      </c>
      <c r="B1430" s="11">
        <v>45600</v>
      </c>
      <c r="C1430" s="2" t="s">
        <v>2011</v>
      </c>
      <c r="D1430" s="2" t="s">
        <v>2016</v>
      </c>
      <c r="E1430">
        <v>1181.69</v>
      </c>
      <c r="F1430">
        <v>121714.07</v>
      </c>
      <c r="G1430">
        <v>0</v>
      </c>
      <c r="H1430">
        <v>0</v>
      </c>
      <c r="I1430" s="2" t="s">
        <v>2020</v>
      </c>
      <c r="J1430" s="2" t="s">
        <v>2030</v>
      </c>
      <c r="K1430" s="2" t="s">
        <v>2834</v>
      </c>
      <c r="L1430" s="2" t="s">
        <v>4031</v>
      </c>
      <c r="M1430">
        <v>-1181.69</v>
      </c>
      <c r="N1430" s="2" t="s">
        <v>2016</v>
      </c>
      <c r="O1430">
        <v>103</v>
      </c>
      <c r="P1430">
        <v>-121714.07</v>
      </c>
      <c r="Q1430" t="b">
        <v>0</v>
      </c>
      <c r="R1430" t="b">
        <v>0</v>
      </c>
      <c r="S1430" t="b">
        <v>0</v>
      </c>
      <c r="T1430" t="b">
        <v>0</v>
      </c>
      <c r="U1430">
        <v>0</v>
      </c>
      <c r="V1430" t="s">
        <v>4073</v>
      </c>
    </row>
    <row r="1431" spans="1:22" hidden="1" x14ac:dyDescent="0.45">
      <c r="A1431" s="2" t="s">
        <v>818</v>
      </c>
      <c r="B1431" s="11">
        <v>45832</v>
      </c>
      <c r="C1431" s="2" t="s">
        <v>2013</v>
      </c>
      <c r="D1431" s="2" t="s">
        <v>2018</v>
      </c>
      <c r="E1431">
        <v>1491.54</v>
      </c>
      <c r="F1431">
        <v>122306.28</v>
      </c>
      <c r="G1431">
        <v>0</v>
      </c>
      <c r="H1431">
        <v>0</v>
      </c>
      <c r="I1431" s="2" t="s">
        <v>2023</v>
      </c>
      <c r="J1431" s="2" t="s">
        <v>2030</v>
      </c>
      <c r="K1431" s="2" t="s">
        <v>2839</v>
      </c>
      <c r="L1431" s="2" t="s">
        <v>4034</v>
      </c>
      <c r="M1431">
        <v>-1491.54</v>
      </c>
      <c r="N1431" s="2" t="s">
        <v>4044</v>
      </c>
      <c r="O1431">
        <v>82</v>
      </c>
      <c r="P1431">
        <v>-122306.28</v>
      </c>
      <c r="Q1431" t="b">
        <v>0</v>
      </c>
      <c r="R1431" t="b">
        <v>0</v>
      </c>
      <c r="S1431" t="b">
        <v>0</v>
      </c>
      <c r="T1431" t="b">
        <v>0</v>
      </c>
      <c r="U1431">
        <v>0</v>
      </c>
      <c r="V1431" t="s">
        <v>4073</v>
      </c>
    </row>
    <row r="1432" spans="1:22" hidden="1" x14ac:dyDescent="0.45">
      <c r="A1432" s="2" t="s">
        <v>1852</v>
      </c>
      <c r="B1432" s="11">
        <v>45421</v>
      </c>
      <c r="C1432" s="2" t="s">
        <v>2014</v>
      </c>
      <c r="D1432" s="2" t="s">
        <v>2019</v>
      </c>
      <c r="E1432">
        <v>0</v>
      </c>
      <c r="F1432">
        <v>0</v>
      </c>
      <c r="G1432">
        <v>1492.82</v>
      </c>
      <c r="H1432">
        <v>122411.23999999999</v>
      </c>
      <c r="I1432" s="2" t="s">
        <v>2022</v>
      </c>
      <c r="J1432" s="2" t="s">
        <v>2029</v>
      </c>
      <c r="K1432" s="2" t="s">
        <v>3873</v>
      </c>
      <c r="L1432" s="2" t="s">
        <v>4034</v>
      </c>
      <c r="M1432">
        <v>1492.82</v>
      </c>
      <c r="N1432" s="2" t="s">
        <v>4042</v>
      </c>
      <c r="O1432">
        <v>82</v>
      </c>
      <c r="P1432">
        <v>122411.23999999999</v>
      </c>
      <c r="Q1432" t="b">
        <v>0</v>
      </c>
      <c r="R1432" t="b">
        <v>0</v>
      </c>
      <c r="S1432" t="b">
        <v>0</v>
      </c>
      <c r="T1432" t="b">
        <v>0</v>
      </c>
      <c r="U1432">
        <v>0</v>
      </c>
      <c r="V1432" t="s">
        <v>4073</v>
      </c>
    </row>
    <row r="1433" spans="1:22" hidden="1" x14ac:dyDescent="0.45">
      <c r="A1433" s="2" t="s">
        <v>1578</v>
      </c>
      <c r="B1433" s="11">
        <v>45021</v>
      </c>
      <c r="C1433" s="2" t="s">
        <v>2013</v>
      </c>
      <c r="D1433" s="2" t="s">
        <v>2018</v>
      </c>
      <c r="E1433">
        <v>1497.64</v>
      </c>
      <c r="F1433">
        <v>122806.48000000001</v>
      </c>
      <c r="G1433">
        <v>0</v>
      </c>
      <c r="H1433">
        <v>0</v>
      </c>
      <c r="I1433" s="2" t="s">
        <v>2021</v>
      </c>
      <c r="J1433" s="2" t="s">
        <v>2028</v>
      </c>
      <c r="K1433" s="2" t="s">
        <v>3599</v>
      </c>
      <c r="L1433" s="2" t="s">
        <v>4034</v>
      </c>
      <c r="M1433">
        <v>-1497.64</v>
      </c>
      <c r="N1433" s="2" t="s">
        <v>4044</v>
      </c>
      <c r="O1433">
        <v>82</v>
      </c>
      <c r="P1433">
        <v>-122806.48000000001</v>
      </c>
      <c r="Q1433" t="b">
        <v>0</v>
      </c>
      <c r="R1433" t="b">
        <v>0</v>
      </c>
      <c r="S1433" t="b">
        <v>0</v>
      </c>
      <c r="T1433" t="b">
        <v>0</v>
      </c>
      <c r="U1433">
        <v>0</v>
      </c>
      <c r="V1433" t="s">
        <v>4073</v>
      </c>
    </row>
    <row r="1434" spans="1:22" hidden="1" x14ac:dyDescent="0.45">
      <c r="A1434" s="2" t="s">
        <v>626</v>
      </c>
      <c r="B1434" s="11">
        <v>45475</v>
      </c>
      <c r="C1434" s="2" t="s">
        <v>2011</v>
      </c>
      <c r="D1434" s="2" t="s">
        <v>2016</v>
      </c>
      <c r="E1434">
        <v>1498.49</v>
      </c>
      <c r="F1434">
        <v>122876.18000000001</v>
      </c>
      <c r="G1434">
        <v>0</v>
      </c>
      <c r="H1434">
        <v>0</v>
      </c>
      <c r="I1434" s="2" t="s">
        <v>2021</v>
      </c>
      <c r="J1434" s="2" t="s">
        <v>2028</v>
      </c>
      <c r="K1434" s="2" t="s">
        <v>2647</v>
      </c>
      <c r="L1434" s="2" t="s">
        <v>4034</v>
      </c>
      <c r="M1434">
        <v>-1498.49</v>
      </c>
      <c r="N1434" s="2" t="s">
        <v>2016</v>
      </c>
      <c r="O1434">
        <v>82</v>
      </c>
      <c r="P1434">
        <v>-122876.18000000001</v>
      </c>
      <c r="Q1434" t="b">
        <v>0</v>
      </c>
      <c r="R1434" t="b">
        <v>0</v>
      </c>
      <c r="S1434" t="b">
        <v>0</v>
      </c>
      <c r="T1434" t="b">
        <v>0</v>
      </c>
      <c r="U1434">
        <v>0</v>
      </c>
      <c r="V1434" t="s">
        <v>4073</v>
      </c>
    </row>
    <row r="1435" spans="1:22" hidden="1" x14ac:dyDescent="0.45">
      <c r="A1435" s="2" t="s">
        <v>2006</v>
      </c>
      <c r="B1435" s="11">
        <v>45147</v>
      </c>
      <c r="C1435" s="2" t="s">
        <v>2010</v>
      </c>
      <c r="D1435" s="2" t="s">
        <v>2015</v>
      </c>
      <c r="E1435">
        <v>0</v>
      </c>
      <c r="F1435">
        <v>0</v>
      </c>
      <c r="G1435">
        <v>2016.99</v>
      </c>
      <c r="H1435">
        <v>123036.39</v>
      </c>
      <c r="I1435" s="2" t="s">
        <v>2021</v>
      </c>
      <c r="J1435" s="2" t="s">
        <v>2028</v>
      </c>
      <c r="K1435" s="2" t="s">
        <v>4027</v>
      </c>
      <c r="L1435" s="2" t="s">
        <v>4035</v>
      </c>
      <c r="M1435">
        <v>2016.99</v>
      </c>
      <c r="N1435" s="2" t="s">
        <v>4042</v>
      </c>
      <c r="O1435">
        <v>61</v>
      </c>
      <c r="P1435">
        <v>123036.39</v>
      </c>
      <c r="Q1435" t="b">
        <v>0</v>
      </c>
      <c r="R1435" t="b">
        <v>0</v>
      </c>
      <c r="S1435" t="b">
        <v>0</v>
      </c>
      <c r="T1435" t="b">
        <v>0</v>
      </c>
      <c r="U1435">
        <v>0</v>
      </c>
      <c r="V1435" t="s">
        <v>4073</v>
      </c>
    </row>
    <row r="1436" spans="1:22" hidden="1" x14ac:dyDescent="0.45">
      <c r="A1436" s="2" t="s">
        <v>652</v>
      </c>
      <c r="B1436" s="11">
        <v>45779</v>
      </c>
      <c r="C1436" s="2" t="s">
        <v>2012</v>
      </c>
      <c r="D1436" s="2" t="s">
        <v>2017</v>
      </c>
      <c r="E1436">
        <v>1455.41</v>
      </c>
      <c r="F1436">
        <v>119343.62000000001</v>
      </c>
      <c r="G1436">
        <v>0</v>
      </c>
      <c r="H1436">
        <v>0</v>
      </c>
      <c r="I1436" s="2" t="s">
        <v>2024</v>
      </c>
      <c r="J1436" s="2" t="s">
        <v>2028</v>
      </c>
      <c r="K1436" s="2" t="s">
        <v>2673</v>
      </c>
      <c r="L1436" s="2" t="s">
        <v>4034</v>
      </c>
      <c r="M1436">
        <v>-1455.41</v>
      </c>
      <c r="N1436" s="2" t="s">
        <v>4044</v>
      </c>
      <c r="O1436">
        <v>82</v>
      </c>
      <c r="P1436">
        <v>-119343.62000000001</v>
      </c>
      <c r="Q1436" t="b">
        <v>0</v>
      </c>
      <c r="R1436" t="b">
        <v>0</v>
      </c>
      <c r="S1436" t="b">
        <v>0</v>
      </c>
      <c r="T1436" t="b">
        <v>0</v>
      </c>
      <c r="U1436">
        <v>0</v>
      </c>
      <c r="V1436" t="s">
        <v>4073</v>
      </c>
    </row>
    <row r="1437" spans="1:22" hidden="1" x14ac:dyDescent="0.45">
      <c r="A1437" s="2" t="s">
        <v>1645</v>
      </c>
      <c r="B1437" s="11">
        <v>45068</v>
      </c>
      <c r="C1437" s="2" t="s">
        <v>2010</v>
      </c>
      <c r="D1437" s="2" t="s">
        <v>2015</v>
      </c>
      <c r="E1437">
        <v>0</v>
      </c>
      <c r="F1437">
        <v>0</v>
      </c>
      <c r="G1437">
        <v>2017.86</v>
      </c>
      <c r="H1437">
        <v>123089.45999999999</v>
      </c>
      <c r="I1437" s="2" t="s">
        <v>2021</v>
      </c>
      <c r="J1437" s="2" t="s">
        <v>2026</v>
      </c>
      <c r="K1437" s="2" t="s">
        <v>3666</v>
      </c>
      <c r="L1437" s="2" t="s">
        <v>4035</v>
      </c>
      <c r="M1437">
        <v>2017.86</v>
      </c>
      <c r="N1437" s="2" t="s">
        <v>4042</v>
      </c>
      <c r="O1437">
        <v>61</v>
      </c>
      <c r="P1437">
        <v>123089.45999999999</v>
      </c>
      <c r="Q1437" t="b">
        <v>0</v>
      </c>
      <c r="R1437" t="b">
        <v>0</v>
      </c>
      <c r="S1437" t="b">
        <v>0</v>
      </c>
      <c r="T1437" t="b">
        <v>0</v>
      </c>
      <c r="U1437">
        <v>0</v>
      </c>
      <c r="V1437" t="s">
        <v>4073</v>
      </c>
    </row>
    <row r="1438" spans="1:22" hidden="1" x14ac:dyDescent="0.45">
      <c r="A1438" s="2" t="s">
        <v>1955</v>
      </c>
      <c r="B1438" s="11">
        <v>45505</v>
      </c>
      <c r="C1438" s="2" t="s">
        <v>2013</v>
      </c>
      <c r="D1438" s="2" t="s">
        <v>2018</v>
      </c>
      <c r="E1438">
        <v>1453.46</v>
      </c>
      <c r="F1438">
        <v>119183.72</v>
      </c>
      <c r="G1438">
        <v>0</v>
      </c>
      <c r="H1438">
        <v>0</v>
      </c>
      <c r="I1438" s="2" t="s">
        <v>2024</v>
      </c>
      <c r="J1438" s="2" t="s">
        <v>2028</v>
      </c>
      <c r="K1438" s="2" t="s">
        <v>3976</v>
      </c>
      <c r="L1438" s="2" t="s">
        <v>4034</v>
      </c>
      <c r="M1438">
        <v>-1453.46</v>
      </c>
      <c r="N1438" s="2" t="s">
        <v>4044</v>
      </c>
      <c r="O1438">
        <v>82</v>
      </c>
      <c r="P1438">
        <v>-119183.72</v>
      </c>
      <c r="Q1438" t="b">
        <v>0</v>
      </c>
      <c r="R1438" t="b">
        <v>0</v>
      </c>
      <c r="S1438" t="b">
        <v>0</v>
      </c>
      <c r="T1438" t="b">
        <v>0</v>
      </c>
      <c r="U1438">
        <v>0</v>
      </c>
      <c r="V1438" t="s">
        <v>4073</v>
      </c>
    </row>
    <row r="1439" spans="1:22" hidden="1" x14ac:dyDescent="0.45">
      <c r="A1439" s="2" t="s">
        <v>984</v>
      </c>
      <c r="B1439" s="11">
        <v>45126</v>
      </c>
      <c r="C1439" s="2" t="s">
        <v>2011</v>
      </c>
      <c r="D1439" s="2" t="s">
        <v>2016</v>
      </c>
      <c r="E1439">
        <v>1155.1300000000001</v>
      </c>
      <c r="F1439">
        <v>118978.39000000001</v>
      </c>
      <c r="G1439">
        <v>0</v>
      </c>
      <c r="H1439">
        <v>0</v>
      </c>
      <c r="I1439" s="2" t="s">
        <v>2025</v>
      </c>
      <c r="J1439" s="2" t="s">
        <v>2028</v>
      </c>
      <c r="K1439" s="2" t="s">
        <v>3005</v>
      </c>
      <c r="L1439" s="2" t="s">
        <v>4031</v>
      </c>
      <c r="M1439">
        <v>-1155.1300000000001</v>
      </c>
      <c r="N1439" s="2" t="s">
        <v>2016</v>
      </c>
      <c r="O1439">
        <v>103</v>
      </c>
      <c r="P1439">
        <v>-118978.39000000001</v>
      </c>
      <c r="Q1439" t="b">
        <v>0</v>
      </c>
      <c r="R1439" t="b">
        <v>0</v>
      </c>
      <c r="S1439" t="b">
        <v>0</v>
      </c>
      <c r="T1439" t="b">
        <v>0</v>
      </c>
      <c r="U1439">
        <v>0</v>
      </c>
      <c r="V1439" t="s">
        <v>4073</v>
      </c>
    </row>
    <row r="1440" spans="1:22" hidden="1" x14ac:dyDescent="0.45">
      <c r="A1440" s="2" t="s">
        <v>1297</v>
      </c>
      <c r="B1440" s="11">
        <v>45357</v>
      </c>
      <c r="C1440" s="2" t="s">
        <v>2012</v>
      </c>
      <c r="D1440" s="2" t="s">
        <v>2017</v>
      </c>
      <c r="E1440">
        <v>1902.83</v>
      </c>
      <c r="F1440">
        <v>116072.62999999999</v>
      </c>
      <c r="G1440">
        <v>0</v>
      </c>
      <c r="H1440">
        <v>0</v>
      </c>
      <c r="I1440" s="2" t="s">
        <v>2025</v>
      </c>
      <c r="J1440" s="2" t="s">
        <v>2030</v>
      </c>
      <c r="K1440" s="2" t="s">
        <v>3318</v>
      </c>
      <c r="L1440" s="2" t="s">
        <v>4035</v>
      </c>
      <c r="M1440">
        <v>-1902.83</v>
      </c>
      <c r="N1440" s="2" t="s">
        <v>4044</v>
      </c>
      <c r="O1440">
        <v>61</v>
      </c>
      <c r="P1440">
        <v>-116072.62999999999</v>
      </c>
      <c r="Q1440" t="b">
        <v>0</v>
      </c>
      <c r="R1440" t="b">
        <v>0</v>
      </c>
      <c r="S1440" t="b">
        <v>0</v>
      </c>
      <c r="T1440" t="b">
        <v>0</v>
      </c>
      <c r="U1440">
        <v>0</v>
      </c>
      <c r="V1440" t="s">
        <v>4073</v>
      </c>
    </row>
    <row r="1441" spans="1:22" hidden="1" x14ac:dyDescent="0.45">
      <c r="A1441" s="2" t="s">
        <v>43</v>
      </c>
      <c r="B1441" s="11">
        <v>45247</v>
      </c>
      <c r="C1441" s="2" t="s">
        <v>2013</v>
      </c>
      <c r="D1441" s="2" t="s">
        <v>2018</v>
      </c>
      <c r="E1441">
        <v>1416.83</v>
      </c>
      <c r="F1441">
        <v>116180.06</v>
      </c>
      <c r="G1441">
        <v>0</v>
      </c>
      <c r="H1441">
        <v>0</v>
      </c>
      <c r="I1441" s="2" t="s">
        <v>2025</v>
      </c>
      <c r="J1441" s="2" t="s">
        <v>2026</v>
      </c>
      <c r="K1441" s="2" t="s">
        <v>2064</v>
      </c>
      <c r="L1441" s="2" t="s">
        <v>4034</v>
      </c>
      <c r="M1441">
        <v>-1416.83</v>
      </c>
      <c r="N1441" s="2" t="s">
        <v>4044</v>
      </c>
      <c r="O1441">
        <v>82</v>
      </c>
      <c r="P1441">
        <v>-116180.06</v>
      </c>
      <c r="Q1441" t="b">
        <v>0</v>
      </c>
      <c r="R1441" t="b">
        <v>0</v>
      </c>
      <c r="S1441" t="b">
        <v>0</v>
      </c>
      <c r="T1441" t="b">
        <v>0</v>
      </c>
      <c r="U1441">
        <v>0</v>
      </c>
      <c r="V1441" t="s">
        <v>4073</v>
      </c>
    </row>
    <row r="1442" spans="1:22" hidden="1" x14ac:dyDescent="0.45">
      <c r="A1442" s="2" t="s">
        <v>1858</v>
      </c>
      <c r="B1442" s="11">
        <v>45120</v>
      </c>
      <c r="C1442" s="2" t="s">
        <v>2011</v>
      </c>
      <c r="D1442" s="2" t="s">
        <v>2016</v>
      </c>
      <c r="E1442">
        <v>1418.69</v>
      </c>
      <c r="F1442">
        <v>116332.58</v>
      </c>
      <c r="G1442">
        <v>0</v>
      </c>
      <c r="H1442">
        <v>0</v>
      </c>
      <c r="I1442" s="2" t="s">
        <v>2021</v>
      </c>
      <c r="J1442" s="2" t="s">
        <v>2027</v>
      </c>
      <c r="K1442" s="2" t="s">
        <v>3879</v>
      </c>
      <c r="L1442" s="2" t="s">
        <v>4034</v>
      </c>
      <c r="M1442">
        <v>-1418.69</v>
      </c>
      <c r="N1442" s="2" t="s">
        <v>2016</v>
      </c>
      <c r="O1442">
        <v>82</v>
      </c>
      <c r="P1442">
        <v>-116332.58</v>
      </c>
      <c r="Q1442" t="b">
        <v>0</v>
      </c>
      <c r="R1442" t="b">
        <v>0</v>
      </c>
      <c r="S1442" t="b">
        <v>0</v>
      </c>
      <c r="T1442" t="b">
        <v>0</v>
      </c>
      <c r="U1442">
        <v>0</v>
      </c>
      <c r="V1442" t="s">
        <v>4073</v>
      </c>
    </row>
    <row r="1443" spans="1:22" hidden="1" x14ac:dyDescent="0.45">
      <c r="A1443" s="2" t="s">
        <v>613</v>
      </c>
      <c r="B1443" s="11">
        <v>45691</v>
      </c>
      <c r="C1443" s="2" t="s">
        <v>2013</v>
      </c>
      <c r="D1443" s="2" t="s">
        <v>2018</v>
      </c>
      <c r="E1443">
        <v>1911.86</v>
      </c>
      <c r="F1443">
        <v>116623.45999999999</v>
      </c>
      <c r="G1443">
        <v>0</v>
      </c>
      <c r="H1443">
        <v>0</v>
      </c>
      <c r="I1443" s="2" t="s">
        <v>2025</v>
      </c>
      <c r="J1443" s="2" t="s">
        <v>2029</v>
      </c>
      <c r="K1443" s="2" t="s">
        <v>2634</v>
      </c>
      <c r="L1443" s="2" t="s">
        <v>4035</v>
      </c>
      <c r="M1443">
        <v>-1911.86</v>
      </c>
      <c r="N1443" s="2" t="s">
        <v>4044</v>
      </c>
      <c r="O1443">
        <v>61</v>
      </c>
      <c r="P1443">
        <v>-116623.45999999999</v>
      </c>
      <c r="Q1443" t="b">
        <v>0</v>
      </c>
      <c r="R1443" t="b">
        <v>0</v>
      </c>
      <c r="S1443" t="b">
        <v>0</v>
      </c>
      <c r="T1443" t="b">
        <v>0</v>
      </c>
      <c r="U1443">
        <v>0</v>
      </c>
      <c r="V1443" t="s">
        <v>4073</v>
      </c>
    </row>
    <row r="1444" spans="1:22" hidden="1" x14ac:dyDescent="0.45">
      <c r="A1444" s="2" t="s">
        <v>672</v>
      </c>
      <c r="B1444" s="11">
        <v>45569</v>
      </c>
      <c r="C1444" s="2" t="s">
        <v>2011</v>
      </c>
      <c r="D1444" s="2" t="s">
        <v>2016</v>
      </c>
      <c r="E1444">
        <v>1327.71</v>
      </c>
      <c r="F1444">
        <v>116838.48000000001</v>
      </c>
      <c r="G1444">
        <v>0</v>
      </c>
      <c r="H1444">
        <v>0</v>
      </c>
      <c r="I1444" s="2" t="s">
        <v>2023</v>
      </c>
      <c r="J1444" s="2" t="s">
        <v>2029</v>
      </c>
      <c r="K1444" s="2" t="s">
        <v>2693</v>
      </c>
      <c r="L1444" s="2" t="s">
        <v>4032</v>
      </c>
      <c r="M1444">
        <v>-1327.71</v>
      </c>
      <c r="N1444" s="2" t="s">
        <v>2016</v>
      </c>
      <c r="O1444">
        <v>88</v>
      </c>
      <c r="P1444">
        <v>-116838.48000000001</v>
      </c>
      <c r="Q1444" t="b">
        <v>0</v>
      </c>
      <c r="R1444" t="b">
        <v>0</v>
      </c>
      <c r="S1444" t="b">
        <v>0</v>
      </c>
      <c r="T1444" t="b">
        <v>0</v>
      </c>
      <c r="U1444">
        <v>0</v>
      </c>
      <c r="V1444" t="s">
        <v>4073</v>
      </c>
    </row>
    <row r="1445" spans="1:22" hidden="1" x14ac:dyDescent="0.45">
      <c r="A1445" s="2" t="s">
        <v>773</v>
      </c>
      <c r="B1445" s="11">
        <v>45706</v>
      </c>
      <c r="C1445" s="2" t="s">
        <v>2011</v>
      </c>
      <c r="D1445" s="2" t="s">
        <v>2016</v>
      </c>
      <c r="E1445">
        <v>1425.68</v>
      </c>
      <c r="F1445">
        <v>116905.76000000001</v>
      </c>
      <c r="G1445">
        <v>0</v>
      </c>
      <c r="H1445">
        <v>0</v>
      </c>
      <c r="I1445" s="2" t="s">
        <v>2022</v>
      </c>
      <c r="J1445" s="2" t="s">
        <v>2027</v>
      </c>
      <c r="K1445" s="2" t="s">
        <v>2794</v>
      </c>
      <c r="L1445" s="2" t="s">
        <v>4034</v>
      </c>
      <c r="M1445">
        <v>-1425.68</v>
      </c>
      <c r="N1445" s="2" t="s">
        <v>2016</v>
      </c>
      <c r="O1445">
        <v>82</v>
      </c>
      <c r="P1445">
        <v>-116905.76000000001</v>
      </c>
      <c r="Q1445" t="b">
        <v>0</v>
      </c>
      <c r="R1445" t="b">
        <v>0</v>
      </c>
      <c r="S1445" t="b">
        <v>0</v>
      </c>
      <c r="T1445" t="b">
        <v>0</v>
      </c>
      <c r="U1445">
        <v>0</v>
      </c>
      <c r="V1445" t="s">
        <v>4073</v>
      </c>
    </row>
    <row r="1446" spans="1:22" hidden="1" x14ac:dyDescent="0.45">
      <c r="A1446" s="2" t="s">
        <v>463</v>
      </c>
      <c r="B1446" s="11">
        <v>44964</v>
      </c>
      <c r="C1446" s="2" t="s">
        <v>2014</v>
      </c>
      <c r="D1446" s="2" t="s">
        <v>2019</v>
      </c>
      <c r="E1446">
        <v>0</v>
      </c>
      <c r="F1446">
        <v>0</v>
      </c>
      <c r="G1446">
        <v>1428.23</v>
      </c>
      <c r="H1446">
        <v>117114.86</v>
      </c>
      <c r="I1446" s="2" t="s">
        <v>2021</v>
      </c>
      <c r="J1446" s="2" t="s">
        <v>2029</v>
      </c>
      <c r="K1446" s="2" t="s">
        <v>2484</v>
      </c>
      <c r="L1446" s="2" t="s">
        <v>4034</v>
      </c>
      <c r="M1446">
        <v>1428.23</v>
      </c>
      <c r="N1446" s="2" t="s">
        <v>4042</v>
      </c>
      <c r="O1446">
        <v>82</v>
      </c>
      <c r="P1446">
        <v>117114.86</v>
      </c>
      <c r="Q1446" t="b">
        <v>0</v>
      </c>
      <c r="R1446" t="b">
        <v>0</v>
      </c>
      <c r="S1446" t="b">
        <v>0</v>
      </c>
      <c r="T1446" t="b">
        <v>0</v>
      </c>
      <c r="U1446">
        <v>0</v>
      </c>
      <c r="V1446" t="s">
        <v>4073</v>
      </c>
    </row>
    <row r="1447" spans="1:22" hidden="1" x14ac:dyDescent="0.45">
      <c r="A1447" s="2" t="s">
        <v>738</v>
      </c>
      <c r="B1447" s="11">
        <v>45615</v>
      </c>
      <c r="C1447" s="2" t="s">
        <v>2010</v>
      </c>
      <c r="D1447" s="2" t="s">
        <v>2015</v>
      </c>
      <c r="E1447">
        <v>0</v>
      </c>
      <c r="F1447">
        <v>0</v>
      </c>
      <c r="G1447">
        <v>2093.2399999999998</v>
      </c>
      <c r="H1447">
        <v>117221.43999999999</v>
      </c>
      <c r="I1447" s="2" t="s">
        <v>2025</v>
      </c>
      <c r="J1447" s="2" t="s">
        <v>2030</v>
      </c>
      <c r="K1447" s="2" t="s">
        <v>2759</v>
      </c>
      <c r="L1447" s="2" t="s">
        <v>4033</v>
      </c>
      <c r="M1447">
        <v>2093.2399999999998</v>
      </c>
      <c r="N1447" s="2" t="s">
        <v>4042</v>
      </c>
      <c r="O1447">
        <v>56</v>
      </c>
      <c r="P1447">
        <v>117221.43999999999</v>
      </c>
      <c r="Q1447" t="b">
        <v>0</v>
      </c>
      <c r="R1447" t="b">
        <v>0</v>
      </c>
      <c r="S1447" t="b">
        <v>0</v>
      </c>
      <c r="T1447" t="b">
        <v>0</v>
      </c>
      <c r="U1447">
        <v>0</v>
      </c>
      <c r="V1447" t="s">
        <v>4073</v>
      </c>
    </row>
    <row r="1448" spans="1:22" hidden="1" x14ac:dyDescent="0.45">
      <c r="A1448" s="2" t="s">
        <v>1562</v>
      </c>
      <c r="B1448" s="11">
        <v>45251</v>
      </c>
      <c r="C1448" s="2" t="s">
        <v>2010</v>
      </c>
      <c r="D1448" s="2" t="s">
        <v>2015</v>
      </c>
      <c r="E1448">
        <v>0</v>
      </c>
      <c r="F1448">
        <v>0</v>
      </c>
      <c r="G1448">
        <v>1923.84</v>
      </c>
      <c r="H1448">
        <v>117354.23999999999</v>
      </c>
      <c r="I1448" s="2" t="s">
        <v>2025</v>
      </c>
      <c r="J1448" s="2" t="s">
        <v>2030</v>
      </c>
      <c r="K1448" s="2" t="s">
        <v>3583</v>
      </c>
      <c r="L1448" s="2" t="s">
        <v>4035</v>
      </c>
      <c r="M1448">
        <v>1923.84</v>
      </c>
      <c r="N1448" s="2" t="s">
        <v>4042</v>
      </c>
      <c r="O1448">
        <v>61</v>
      </c>
      <c r="P1448">
        <v>117354.23999999999</v>
      </c>
      <c r="Q1448" t="b">
        <v>0</v>
      </c>
      <c r="R1448" t="b">
        <v>0</v>
      </c>
      <c r="S1448" t="b">
        <v>0</v>
      </c>
      <c r="T1448" t="b">
        <v>0</v>
      </c>
      <c r="U1448">
        <v>0</v>
      </c>
      <c r="V1448" t="s">
        <v>4073</v>
      </c>
    </row>
    <row r="1449" spans="1:22" hidden="1" x14ac:dyDescent="0.45">
      <c r="A1449" s="2" t="s">
        <v>1330</v>
      </c>
      <c r="B1449" s="11">
        <v>45712</v>
      </c>
      <c r="C1449" s="2" t="s">
        <v>2011</v>
      </c>
      <c r="D1449" s="2" t="s">
        <v>2016</v>
      </c>
      <c r="E1449">
        <v>1924.14</v>
      </c>
      <c r="F1449">
        <v>117372.54000000001</v>
      </c>
      <c r="G1449">
        <v>0</v>
      </c>
      <c r="H1449">
        <v>0</v>
      </c>
      <c r="I1449" s="2" t="s">
        <v>2023</v>
      </c>
      <c r="J1449" s="2" t="s">
        <v>2030</v>
      </c>
      <c r="K1449" s="2" t="s">
        <v>3351</v>
      </c>
      <c r="L1449" s="2" t="s">
        <v>4035</v>
      </c>
      <c r="M1449">
        <v>-1924.14</v>
      </c>
      <c r="N1449" s="2" t="s">
        <v>2016</v>
      </c>
      <c r="O1449">
        <v>61</v>
      </c>
      <c r="P1449">
        <v>-117372.54000000001</v>
      </c>
      <c r="Q1449" t="b">
        <v>0</v>
      </c>
      <c r="R1449" t="b">
        <v>0</v>
      </c>
      <c r="S1449" t="b">
        <v>0</v>
      </c>
      <c r="T1449" t="b">
        <v>0</v>
      </c>
      <c r="U1449">
        <v>0</v>
      </c>
      <c r="V1449" t="s">
        <v>4073</v>
      </c>
    </row>
    <row r="1450" spans="1:22" hidden="1" x14ac:dyDescent="0.45">
      <c r="A1450" s="2" t="s">
        <v>1972</v>
      </c>
      <c r="B1450" s="11">
        <v>45464</v>
      </c>
      <c r="C1450" s="2" t="s">
        <v>2012</v>
      </c>
      <c r="D1450" s="2" t="s">
        <v>2017</v>
      </c>
      <c r="E1450">
        <v>1927.94</v>
      </c>
      <c r="F1450">
        <v>117604.34</v>
      </c>
      <c r="G1450">
        <v>0</v>
      </c>
      <c r="H1450">
        <v>0</v>
      </c>
      <c r="I1450" s="2" t="s">
        <v>2025</v>
      </c>
      <c r="J1450" s="2" t="s">
        <v>2030</v>
      </c>
      <c r="K1450" s="2" t="s">
        <v>3993</v>
      </c>
      <c r="L1450" s="2" t="s">
        <v>4035</v>
      </c>
      <c r="M1450">
        <v>-1927.94</v>
      </c>
      <c r="N1450" s="2" t="s">
        <v>4044</v>
      </c>
      <c r="O1450">
        <v>61</v>
      </c>
      <c r="P1450">
        <v>-117604.34</v>
      </c>
      <c r="Q1450" t="b">
        <v>0</v>
      </c>
      <c r="R1450" t="b">
        <v>0</v>
      </c>
      <c r="S1450" t="b">
        <v>0</v>
      </c>
      <c r="T1450" t="b">
        <v>0</v>
      </c>
      <c r="U1450">
        <v>0</v>
      </c>
      <c r="V1450" t="s">
        <v>4073</v>
      </c>
    </row>
    <row r="1451" spans="1:22" hidden="1" x14ac:dyDescent="0.45">
      <c r="A1451" s="2" t="s">
        <v>1571</v>
      </c>
      <c r="B1451" s="11">
        <v>45049</v>
      </c>
      <c r="C1451" s="2" t="s">
        <v>2011</v>
      </c>
      <c r="D1451" s="2" t="s">
        <v>2016</v>
      </c>
      <c r="E1451">
        <v>1930.33</v>
      </c>
      <c r="F1451">
        <v>117750.12999999999</v>
      </c>
      <c r="G1451">
        <v>0</v>
      </c>
      <c r="H1451">
        <v>0</v>
      </c>
      <c r="I1451" s="2" t="s">
        <v>2022</v>
      </c>
      <c r="J1451" s="2" t="s">
        <v>2030</v>
      </c>
      <c r="K1451" s="2" t="s">
        <v>3592</v>
      </c>
      <c r="L1451" s="2" t="s">
        <v>4035</v>
      </c>
      <c r="M1451">
        <v>-1930.33</v>
      </c>
      <c r="N1451" s="2" t="s">
        <v>2016</v>
      </c>
      <c r="O1451">
        <v>61</v>
      </c>
      <c r="P1451">
        <v>-117750.12999999999</v>
      </c>
      <c r="Q1451" t="b">
        <v>0</v>
      </c>
      <c r="R1451" t="b">
        <v>0</v>
      </c>
      <c r="S1451" t="b">
        <v>0</v>
      </c>
      <c r="T1451" t="b">
        <v>0</v>
      </c>
      <c r="U1451">
        <v>0</v>
      </c>
      <c r="V1451" t="s">
        <v>4073</v>
      </c>
    </row>
    <row r="1452" spans="1:22" hidden="1" x14ac:dyDescent="0.45">
      <c r="A1452" s="2" t="s">
        <v>1702</v>
      </c>
      <c r="B1452" s="11">
        <v>45083</v>
      </c>
      <c r="C1452" s="2" t="s">
        <v>2010</v>
      </c>
      <c r="D1452" s="2" t="s">
        <v>2015</v>
      </c>
      <c r="E1452">
        <v>0</v>
      </c>
      <c r="F1452">
        <v>0</v>
      </c>
      <c r="G1452">
        <v>1931.62</v>
      </c>
      <c r="H1452">
        <v>117828.81999999999</v>
      </c>
      <c r="I1452" s="2" t="s">
        <v>2024</v>
      </c>
      <c r="J1452" s="2" t="s">
        <v>2028</v>
      </c>
      <c r="K1452" s="2" t="s">
        <v>3723</v>
      </c>
      <c r="L1452" s="2" t="s">
        <v>4035</v>
      </c>
      <c r="M1452">
        <v>1931.62</v>
      </c>
      <c r="N1452" s="2" t="s">
        <v>4042</v>
      </c>
      <c r="O1452">
        <v>61</v>
      </c>
      <c r="P1452">
        <v>117828.81999999999</v>
      </c>
      <c r="Q1452" t="b">
        <v>0</v>
      </c>
      <c r="R1452" t="b">
        <v>0</v>
      </c>
      <c r="S1452" t="b">
        <v>0</v>
      </c>
      <c r="T1452" t="b">
        <v>0</v>
      </c>
      <c r="U1452">
        <v>0</v>
      </c>
      <c r="V1452" t="s">
        <v>4073</v>
      </c>
    </row>
    <row r="1453" spans="1:22" hidden="1" x14ac:dyDescent="0.45">
      <c r="A1453" s="2" t="s">
        <v>1593</v>
      </c>
      <c r="B1453" s="11">
        <v>45252</v>
      </c>
      <c r="C1453" s="2" t="s">
        <v>2010</v>
      </c>
      <c r="D1453" s="2" t="s">
        <v>2015</v>
      </c>
      <c r="E1453">
        <v>0</v>
      </c>
      <c r="F1453">
        <v>0</v>
      </c>
      <c r="G1453">
        <v>1933.41</v>
      </c>
      <c r="H1453">
        <v>117938.01000000001</v>
      </c>
      <c r="I1453" s="2" t="s">
        <v>2025</v>
      </c>
      <c r="J1453" s="2" t="s">
        <v>2027</v>
      </c>
      <c r="K1453" s="2" t="s">
        <v>3614</v>
      </c>
      <c r="L1453" s="2" t="s">
        <v>4035</v>
      </c>
      <c r="M1453">
        <v>1933.41</v>
      </c>
      <c r="N1453" s="2" t="s">
        <v>4042</v>
      </c>
      <c r="O1453">
        <v>61</v>
      </c>
      <c r="P1453">
        <v>117938.01000000001</v>
      </c>
      <c r="Q1453" t="b">
        <v>0</v>
      </c>
      <c r="R1453" t="b">
        <v>0</v>
      </c>
      <c r="S1453" t="b">
        <v>0</v>
      </c>
      <c r="T1453" t="b">
        <v>0</v>
      </c>
      <c r="U1453">
        <v>0</v>
      </c>
      <c r="V1453" t="s">
        <v>4073</v>
      </c>
    </row>
    <row r="1454" spans="1:22" hidden="1" x14ac:dyDescent="0.45">
      <c r="A1454" s="2" t="s">
        <v>1397</v>
      </c>
      <c r="B1454" s="11">
        <v>45548</v>
      </c>
      <c r="C1454" s="2" t="s">
        <v>2012</v>
      </c>
      <c r="D1454" s="2" t="s">
        <v>2017</v>
      </c>
      <c r="E1454">
        <v>1443.86</v>
      </c>
      <c r="F1454">
        <v>118396.51999999999</v>
      </c>
      <c r="G1454">
        <v>0</v>
      </c>
      <c r="H1454">
        <v>0</v>
      </c>
      <c r="I1454" s="2" t="s">
        <v>2023</v>
      </c>
      <c r="J1454" s="2" t="s">
        <v>2030</v>
      </c>
      <c r="K1454" s="2" t="s">
        <v>3418</v>
      </c>
      <c r="L1454" s="2" t="s">
        <v>4034</v>
      </c>
      <c r="M1454">
        <v>-1443.86</v>
      </c>
      <c r="N1454" s="2" t="s">
        <v>4044</v>
      </c>
      <c r="O1454">
        <v>82</v>
      </c>
      <c r="P1454">
        <v>-118396.51999999999</v>
      </c>
      <c r="Q1454" t="b">
        <v>0</v>
      </c>
      <c r="R1454" t="b">
        <v>0</v>
      </c>
      <c r="S1454" t="b">
        <v>0</v>
      </c>
      <c r="T1454" t="b">
        <v>0</v>
      </c>
      <c r="U1454">
        <v>0</v>
      </c>
      <c r="V1454" t="s">
        <v>4073</v>
      </c>
    </row>
    <row r="1455" spans="1:22" hidden="1" x14ac:dyDescent="0.45">
      <c r="A1455" s="2" t="s">
        <v>1153</v>
      </c>
      <c r="B1455" s="11">
        <v>45512</v>
      </c>
      <c r="C1455" s="2" t="s">
        <v>2012</v>
      </c>
      <c r="D1455" s="2" t="s">
        <v>2017</v>
      </c>
      <c r="E1455">
        <v>1153.45</v>
      </c>
      <c r="F1455">
        <v>118805.35</v>
      </c>
      <c r="G1455">
        <v>0</v>
      </c>
      <c r="H1455">
        <v>0</v>
      </c>
      <c r="I1455" s="2" t="s">
        <v>2025</v>
      </c>
      <c r="J1455" s="2" t="s">
        <v>2028</v>
      </c>
      <c r="K1455" s="2" t="s">
        <v>3174</v>
      </c>
      <c r="L1455" s="2" t="s">
        <v>4031</v>
      </c>
      <c r="M1455">
        <v>-1153.45</v>
      </c>
      <c r="N1455" s="2" t="s">
        <v>4044</v>
      </c>
      <c r="O1455">
        <v>103</v>
      </c>
      <c r="P1455">
        <v>-118805.35</v>
      </c>
      <c r="Q1455" t="b">
        <v>0</v>
      </c>
      <c r="R1455" t="b">
        <v>0</v>
      </c>
      <c r="S1455" t="b">
        <v>0</v>
      </c>
      <c r="T1455" t="b">
        <v>0</v>
      </c>
      <c r="U1455">
        <v>0</v>
      </c>
      <c r="V1455" t="s">
        <v>4073</v>
      </c>
    </row>
    <row r="1456" spans="1:22" hidden="1" x14ac:dyDescent="0.45">
      <c r="A1456" s="2" t="s">
        <v>1809</v>
      </c>
      <c r="B1456" s="11">
        <v>45280</v>
      </c>
      <c r="C1456" s="2" t="s">
        <v>2011</v>
      </c>
      <c r="D1456" s="2" t="s">
        <v>2016</v>
      </c>
      <c r="E1456">
        <v>1448.96</v>
      </c>
      <c r="F1456">
        <v>118814.72</v>
      </c>
      <c r="G1456">
        <v>0</v>
      </c>
      <c r="H1456">
        <v>0</v>
      </c>
      <c r="I1456" s="2" t="s">
        <v>2020</v>
      </c>
      <c r="J1456" s="2" t="s">
        <v>2030</v>
      </c>
      <c r="K1456" s="2" t="s">
        <v>3830</v>
      </c>
      <c r="L1456" s="2" t="s">
        <v>4034</v>
      </c>
      <c r="M1456">
        <v>-1448.96</v>
      </c>
      <c r="N1456" s="2" t="s">
        <v>2016</v>
      </c>
      <c r="O1456">
        <v>82</v>
      </c>
      <c r="P1456">
        <v>-118814.72</v>
      </c>
      <c r="Q1456" t="b">
        <v>0</v>
      </c>
      <c r="R1456" t="b">
        <v>0</v>
      </c>
      <c r="S1456" t="b">
        <v>0</v>
      </c>
      <c r="T1456" t="b">
        <v>0</v>
      </c>
      <c r="U1456">
        <v>0</v>
      </c>
      <c r="V1456" t="s">
        <v>4073</v>
      </c>
    </row>
    <row r="1457" spans="1:22" hidden="1" x14ac:dyDescent="0.45">
      <c r="A1457" s="2" t="s">
        <v>1813</v>
      </c>
      <c r="B1457" s="11">
        <v>44986</v>
      </c>
      <c r="C1457" s="2" t="s">
        <v>2011</v>
      </c>
      <c r="D1457" s="2" t="s">
        <v>2016</v>
      </c>
      <c r="E1457">
        <v>1451.54</v>
      </c>
      <c r="F1457">
        <v>119026.28</v>
      </c>
      <c r="G1457">
        <v>0</v>
      </c>
      <c r="H1457">
        <v>0</v>
      </c>
      <c r="I1457" s="2" t="s">
        <v>2022</v>
      </c>
      <c r="J1457" s="2" t="s">
        <v>2029</v>
      </c>
      <c r="K1457" s="2" t="s">
        <v>3834</v>
      </c>
      <c r="L1457" s="2" t="s">
        <v>4034</v>
      </c>
      <c r="M1457">
        <v>-1451.54</v>
      </c>
      <c r="N1457" s="2" t="s">
        <v>2016</v>
      </c>
      <c r="O1457">
        <v>82</v>
      </c>
      <c r="P1457">
        <v>-119026.28</v>
      </c>
      <c r="Q1457" t="b">
        <v>0</v>
      </c>
      <c r="R1457" t="b">
        <v>0</v>
      </c>
      <c r="S1457" t="b">
        <v>0</v>
      </c>
      <c r="T1457" t="b">
        <v>0</v>
      </c>
      <c r="U1457">
        <v>0</v>
      </c>
      <c r="V1457" t="s">
        <v>4073</v>
      </c>
    </row>
    <row r="1458" spans="1:22" hidden="1" x14ac:dyDescent="0.45">
      <c r="A1458" s="2" t="s">
        <v>691</v>
      </c>
      <c r="B1458" s="11">
        <v>45397</v>
      </c>
      <c r="C1458" s="2" t="s">
        <v>2014</v>
      </c>
      <c r="D1458" s="2" t="s">
        <v>2019</v>
      </c>
      <c r="E1458">
        <v>0</v>
      </c>
      <c r="F1458">
        <v>0</v>
      </c>
      <c r="G1458">
        <v>2866.16</v>
      </c>
      <c r="H1458">
        <v>160504.95999999999</v>
      </c>
      <c r="I1458" s="2" t="s">
        <v>2024</v>
      </c>
      <c r="J1458" s="2" t="s">
        <v>2029</v>
      </c>
      <c r="K1458" s="2" t="s">
        <v>2712</v>
      </c>
      <c r="L1458" s="2" t="s">
        <v>4033</v>
      </c>
      <c r="M1458">
        <v>2866.16</v>
      </c>
      <c r="N1458" s="2" t="s">
        <v>4042</v>
      </c>
      <c r="O1458">
        <v>56</v>
      </c>
      <c r="P1458">
        <v>160504.95999999999</v>
      </c>
      <c r="Q1458" t="b">
        <v>0</v>
      </c>
      <c r="R1458" t="b">
        <v>0</v>
      </c>
      <c r="S1458" t="b">
        <v>0</v>
      </c>
      <c r="T1458" t="b">
        <v>0</v>
      </c>
      <c r="U1458">
        <v>0</v>
      </c>
      <c r="V1458" t="s">
        <v>4073</v>
      </c>
    </row>
    <row r="1459" spans="1:22" hidden="1" x14ac:dyDescent="0.45">
      <c r="A1459" s="2" t="s">
        <v>1984</v>
      </c>
      <c r="B1459" s="11">
        <v>45026</v>
      </c>
      <c r="C1459" s="2" t="s">
        <v>2012</v>
      </c>
      <c r="D1459" s="2" t="s">
        <v>2017</v>
      </c>
      <c r="E1459">
        <v>1505.25</v>
      </c>
      <c r="F1459">
        <v>123430.5</v>
      </c>
      <c r="G1459">
        <v>0</v>
      </c>
      <c r="H1459">
        <v>0</v>
      </c>
      <c r="I1459" s="2" t="s">
        <v>2025</v>
      </c>
      <c r="J1459" s="2" t="s">
        <v>2029</v>
      </c>
      <c r="K1459" s="2" t="s">
        <v>4005</v>
      </c>
      <c r="L1459" s="2" t="s">
        <v>4034</v>
      </c>
      <c r="M1459">
        <v>-1505.25</v>
      </c>
      <c r="N1459" s="2" t="s">
        <v>4044</v>
      </c>
      <c r="O1459">
        <v>82</v>
      </c>
      <c r="P1459">
        <v>-123430.5</v>
      </c>
      <c r="Q1459" t="b">
        <v>0</v>
      </c>
      <c r="R1459" t="b">
        <v>0</v>
      </c>
      <c r="S1459" t="b">
        <v>0</v>
      </c>
      <c r="T1459" t="b">
        <v>0</v>
      </c>
      <c r="U1459">
        <v>0</v>
      </c>
      <c r="V1459" t="s">
        <v>4073</v>
      </c>
    </row>
    <row r="1460" spans="1:22" hidden="1" x14ac:dyDescent="0.45">
      <c r="A1460" s="2" t="s">
        <v>131</v>
      </c>
      <c r="B1460" s="11">
        <v>45681</v>
      </c>
      <c r="C1460" s="2" t="s">
        <v>2014</v>
      </c>
      <c r="D1460" s="2" t="s">
        <v>2019</v>
      </c>
      <c r="E1460">
        <v>0</v>
      </c>
      <c r="F1460">
        <v>0</v>
      </c>
      <c r="G1460">
        <v>2032.52</v>
      </c>
      <c r="H1460">
        <v>123983.72</v>
      </c>
      <c r="I1460" s="2" t="s">
        <v>2025</v>
      </c>
      <c r="J1460" s="2" t="s">
        <v>2028</v>
      </c>
      <c r="K1460" s="2" t="s">
        <v>2152</v>
      </c>
      <c r="L1460" s="2" t="s">
        <v>4035</v>
      </c>
      <c r="M1460">
        <v>2032.52</v>
      </c>
      <c r="N1460" s="2" t="s">
        <v>4042</v>
      </c>
      <c r="O1460">
        <v>61</v>
      </c>
      <c r="P1460">
        <v>123983.72</v>
      </c>
      <c r="Q1460" t="b">
        <v>0</v>
      </c>
      <c r="R1460" t="b">
        <v>0</v>
      </c>
      <c r="S1460" t="b">
        <v>0</v>
      </c>
      <c r="T1460" t="b">
        <v>0</v>
      </c>
      <c r="U1460">
        <v>0</v>
      </c>
      <c r="V1460" t="s">
        <v>4073</v>
      </c>
    </row>
    <row r="1461" spans="1:22" hidden="1" x14ac:dyDescent="0.45">
      <c r="A1461" s="2" t="s">
        <v>1172</v>
      </c>
      <c r="B1461" s="11">
        <v>45093</v>
      </c>
      <c r="C1461" s="2" t="s">
        <v>2014</v>
      </c>
      <c r="D1461" s="2" t="s">
        <v>2019</v>
      </c>
      <c r="E1461">
        <v>0</v>
      </c>
      <c r="F1461">
        <v>0</v>
      </c>
      <c r="G1461">
        <v>2103.91</v>
      </c>
      <c r="H1461">
        <v>128338.51</v>
      </c>
      <c r="I1461" s="2" t="s">
        <v>2020</v>
      </c>
      <c r="J1461" s="2" t="s">
        <v>2028</v>
      </c>
      <c r="K1461" s="2" t="s">
        <v>3193</v>
      </c>
      <c r="L1461" s="2" t="s">
        <v>4035</v>
      </c>
      <c r="M1461">
        <v>2103.91</v>
      </c>
      <c r="N1461" s="2" t="s">
        <v>4042</v>
      </c>
      <c r="O1461">
        <v>61</v>
      </c>
      <c r="P1461">
        <v>128338.51</v>
      </c>
      <c r="Q1461" t="b">
        <v>0</v>
      </c>
      <c r="R1461" t="b">
        <v>0</v>
      </c>
      <c r="S1461" t="b">
        <v>0</v>
      </c>
      <c r="T1461" t="b">
        <v>0</v>
      </c>
      <c r="U1461">
        <v>0</v>
      </c>
      <c r="V1461" t="s">
        <v>4073</v>
      </c>
    </row>
    <row r="1462" spans="1:22" hidden="1" x14ac:dyDescent="0.45">
      <c r="A1462" s="2" t="s">
        <v>589</v>
      </c>
      <c r="B1462" s="11">
        <v>45070</v>
      </c>
      <c r="C1462" s="2" t="s">
        <v>2014</v>
      </c>
      <c r="D1462" s="2" t="s">
        <v>2019</v>
      </c>
      <c r="E1462">
        <v>0</v>
      </c>
      <c r="F1462">
        <v>0</v>
      </c>
      <c r="G1462">
        <v>1565.18</v>
      </c>
      <c r="H1462">
        <v>128344.76000000001</v>
      </c>
      <c r="I1462" s="2" t="s">
        <v>2021</v>
      </c>
      <c r="J1462" s="2" t="s">
        <v>2028</v>
      </c>
      <c r="K1462" s="2" t="s">
        <v>2610</v>
      </c>
      <c r="L1462" s="2" t="s">
        <v>4034</v>
      </c>
      <c r="M1462">
        <v>1565.18</v>
      </c>
      <c r="N1462" s="2" t="s">
        <v>4042</v>
      </c>
      <c r="O1462">
        <v>82</v>
      </c>
      <c r="P1462">
        <v>128344.76000000001</v>
      </c>
      <c r="Q1462" t="b">
        <v>0</v>
      </c>
      <c r="R1462" t="b">
        <v>0</v>
      </c>
      <c r="S1462" t="b">
        <v>0</v>
      </c>
      <c r="T1462" t="b">
        <v>0</v>
      </c>
      <c r="U1462">
        <v>0</v>
      </c>
      <c r="V1462" t="s">
        <v>4073</v>
      </c>
    </row>
    <row r="1463" spans="1:22" hidden="1" x14ac:dyDescent="0.45">
      <c r="A1463" s="2" t="s">
        <v>1868</v>
      </c>
      <c r="B1463" s="11">
        <v>45663</v>
      </c>
      <c r="C1463" s="2" t="s">
        <v>2013</v>
      </c>
      <c r="D1463" s="2" t="s">
        <v>2018</v>
      </c>
      <c r="E1463">
        <v>1569.69</v>
      </c>
      <c r="F1463">
        <v>128714.58</v>
      </c>
      <c r="G1463">
        <v>0</v>
      </c>
      <c r="H1463">
        <v>0</v>
      </c>
      <c r="I1463" s="2" t="s">
        <v>2021</v>
      </c>
      <c r="J1463" s="2" t="s">
        <v>2028</v>
      </c>
      <c r="K1463" s="2" t="s">
        <v>3889</v>
      </c>
      <c r="L1463" s="2" t="s">
        <v>4034</v>
      </c>
      <c r="M1463">
        <v>-1569.69</v>
      </c>
      <c r="N1463" s="2" t="s">
        <v>4044</v>
      </c>
      <c r="O1463">
        <v>82</v>
      </c>
      <c r="P1463">
        <v>-128714.58</v>
      </c>
      <c r="Q1463" t="b">
        <v>0</v>
      </c>
      <c r="R1463" t="b">
        <v>0</v>
      </c>
      <c r="S1463" t="b">
        <v>0</v>
      </c>
      <c r="T1463" t="b">
        <v>0</v>
      </c>
      <c r="U1463">
        <v>0</v>
      </c>
      <c r="V1463" t="s">
        <v>4073</v>
      </c>
    </row>
    <row r="1464" spans="1:22" hidden="1" x14ac:dyDescent="0.45">
      <c r="A1464" s="2" t="s">
        <v>489</v>
      </c>
      <c r="B1464" s="11">
        <v>45586</v>
      </c>
      <c r="C1464" s="2" t="s">
        <v>2013</v>
      </c>
      <c r="D1464" s="2" t="s">
        <v>2018</v>
      </c>
      <c r="E1464">
        <v>1570.96</v>
      </c>
      <c r="F1464">
        <v>128818.72</v>
      </c>
      <c r="G1464">
        <v>0</v>
      </c>
      <c r="H1464">
        <v>0</v>
      </c>
      <c r="I1464" s="2" t="s">
        <v>2020</v>
      </c>
      <c r="J1464" s="2" t="s">
        <v>2026</v>
      </c>
      <c r="K1464" s="2" t="s">
        <v>2510</v>
      </c>
      <c r="L1464" s="2" t="s">
        <v>4034</v>
      </c>
      <c r="M1464">
        <v>-1570.96</v>
      </c>
      <c r="N1464" s="2" t="s">
        <v>4044</v>
      </c>
      <c r="O1464">
        <v>82</v>
      </c>
      <c r="P1464">
        <v>-128818.72</v>
      </c>
      <c r="Q1464" t="b">
        <v>0</v>
      </c>
      <c r="R1464" t="b">
        <v>0</v>
      </c>
      <c r="S1464" t="b">
        <v>0</v>
      </c>
      <c r="T1464" t="b">
        <v>0</v>
      </c>
      <c r="U1464">
        <v>0</v>
      </c>
      <c r="V1464" t="s">
        <v>4073</v>
      </c>
    </row>
    <row r="1465" spans="1:22" hidden="1" x14ac:dyDescent="0.45">
      <c r="A1465" s="2" t="s">
        <v>1044</v>
      </c>
      <c r="B1465" s="11">
        <v>45050</v>
      </c>
      <c r="C1465" s="2" t="s">
        <v>2010</v>
      </c>
      <c r="D1465" s="2" t="s">
        <v>2015</v>
      </c>
      <c r="E1465">
        <v>0</v>
      </c>
      <c r="F1465">
        <v>0</v>
      </c>
      <c r="G1465">
        <v>1578.7</v>
      </c>
      <c r="H1465">
        <v>129453.40000000001</v>
      </c>
      <c r="I1465" s="2" t="s">
        <v>2023</v>
      </c>
      <c r="J1465" s="2" t="s">
        <v>2030</v>
      </c>
      <c r="K1465" s="2" t="s">
        <v>3065</v>
      </c>
      <c r="L1465" s="2" t="s">
        <v>4034</v>
      </c>
      <c r="M1465">
        <v>1578.7</v>
      </c>
      <c r="N1465" s="2" t="s">
        <v>4042</v>
      </c>
      <c r="O1465">
        <v>82</v>
      </c>
      <c r="P1465">
        <v>129453.40000000001</v>
      </c>
      <c r="Q1465" t="b">
        <v>0</v>
      </c>
      <c r="R1465" t="b">
        <v>0</v>
      </c>
      <c r="S1465" t="b">
        <v>0</v>
      </c>
      <c r="T1465" t="b">
        <v>0</v>
      </c>
      <c r="U1465">
        <v>0</v>
      </c>
      <c r="V1465" t="s">
        <v>4073</v>
      </c>
    </row>
    <row r="1466" spans="1:22" hidden="1" x14ac:dyDescent="0.45">
      <c r="A1466" s="2" t="s">
        <v>1606</v>
      </c>
      <c r="B1466" s="11">
        <v>45009</v>
      </c>
      <c r="C1466" s="2" t="s">
        <v>2011</v>
      </c>
      <c r="D1466" s="2" t="s">
        <v>2016</v>
      </c>
      <c r="E1466">
        <v>1588.81</v>
      </c>
      <c r="F1466">
        <v>130282.42</v>
      </c>
      <c r="G1466">
        <v>0</v>
      </c>
      <c r="H1466">
        <v>0</v>
      </c>
      <c r="I1466" s="2" t="s">
        <v>2022</v>
      </c>
      <c r="J1466" s="2" t="s">
        <v>2026</v>
      </c>
      <c r="K1466" s="2" t="s">
        <v>3627</v>
      </c>
      <c r="L1466" s="2" t="s">
        <v>4034</v>
      </c>
      <c r="M1466">
        <v>-1588.81</v>
      </c>
      <c r="N1466" s="2" t="s">
        <v>2016</v>
      </c>
      <c r="O1466">
        <v>82</v>
      </c>
      <c r="P1466">
        <v>-130282.42</v>
      </c>
      <c r="Q1466" t="b">
        <v>0</v>
      </c>
      <c r="R1466" t="b">
        <v>0</v>
      </c>
      <c r="S1466" t="b">
        <v>0</v>
      </c>
      <c r="T1466" t="b">
        <v>0</v>
      </c>
      <c r="U1466">
        <v>0</v>
      </c>
      <c r="V1466" t="s">
        <v>4073</v>
      </c>
    </row>
    <row r="1467" spans="1:22" hidden="1" x14ac:dyDescent="0.45">
      <c r="A1467" s="2" t="s">
        <v>1433</v>
      </c>
      <c r="B1467" s="11">
        <v>45217</v>
      </c>
      <c r="C1467" s="2" t="s">
        <v>2011</v>
      </c>
      <c r="D1467" s="2" t="s">
        <v>2016</v>
      </c>
      <c r="E1467">
        <v>1483.66</v>
      </c>
      <c r="F1467">
        <v>130562.08</v>
      </c>
      <c r="G1467">
        <v>0</v>
      </c>
      <c r="H1467">
        <v>0</v>
      </c>
      <c r="I1467" s="2" t="s">
        <v>2023</v>
      </c>
      <c r="J1467" s="2" t="s">
        <v>2027</v>
      </c>
      <c r="K1467" s="2" t="s">
        <v>3454</v>
      </c>
      <c r="L1467" s="2" t="s">
        <v>4032</v>
      </c>
      <c r="M1467">
        <v>-1483.66</v>
      </c>
      <c r="N1467" s="2" t="s">
        <v>2016</v>
      </c>
      <c r="O1467">
        <v>88</v>
      </c>
      <c r="P1467">
        <v>-130562.08</v>
      </c>
      <c r="Q1467" t="b">
        <v>0</v>
      </c>
      <c r="R1467" t="b">
        <v>0</v>
      </c>
      <c r="S1467" t="b">
        <v>0</v>
      </c>
      <c r="T1467" t="b">
        <v>0</v>
      </c>
      <c r="U1467">
        <v>0</v>
      </c>
      <c r="V1467" t="s">
        <v>4073</v>
      </c>
    </row>
    <row r="1468" spans="1:22" hidden="1" x14ac:dyDescent="0.45">
      <c r="A1468" s="2" t="s">
        <v>1715</v>
      </c>
      <c r="B1468" s="11">
        <v>45365</v>
      </c>
      <c r="C1468" s="2" t="s">
        <v>2010</v>
      </c>
      <c r="D1468" s="2" t="s">
        <v>2015</v>
      </c>
      <c r="E1468">
        <v>0</v>
      </c>
      <c r="F1468">
        <v>0</v>
      </c>
      <c r="G1468">
        <v>1269.95</v>
      </c>
      <c r="H1468">
        <v>130804.85</v>
      </c>
      <c r="I1468" s="2" t="s">
        <v>2021</v>
      </c>
      <c r="J1468" s="2" t="s">
        <v>2029</v>
      </c>
      <c r="K1468" s="2" t="s">
        <v>3736</v>
      </c>
      <c r="L1468" s="2" t="s">
        <v>4031</v>
      </c>
      <c r="M1468">
        <v>1269.95</v>
      </c>
      <c r="N1468" s="2" t="s">
        <v>4042</v>
      </c>
      <c r="O1468">
        <v>103</v>
      </c>
      <c r="P1468">
        <v>130804.85</v>
      </c>
      <c r="Q1468" t="b">
        <v>0</v>
      </c>
      <c r="R1468" t="b">
        <v>0</v>
      </c>
      <c r="S1468" t="b">
        <v>0</v>
      </c>
      <c r="T1468" t="b">
        <v>0</v>
      </c>
      <c r="U1468">
        <v>0</v>
      </c>
      <c r="V1468" t="s">
        <v>4073</v>
      </c>
    </row>
    <row r="1469" spans="1:22" hidden="1" x14ac:dyDescent="0.45">
      <c r="A1469" s="2" t="s">
        <v>1507</v>
      </c>
      <c r="B1469" s="11">
        <v>45152</v>
      </c>
      <c r="C1469" s="2" t="s">
        <v>2013</v>
      </c>
      <c r="D1469" s="2" t="s">
        <v>2018</v>
      </c>
      <c r="E1469">
        <v>1270.1400000000001</v>
      </c>
      <c r="F1469">
        <v>130824.42000000001</v>
      </c>
      <c r="G1469">
        <v>0</v>
      </c>
      <c r="H1469">
        <v>0</v>
      </c>
      <c r="I1469" s="2" t="s">
        <v>2021</v>
      </c>
      <c r="J1469" s="2" t="s">
        <v>2029</v>
      </c>
      <c r="K1469" s="2" t="s">
        <v>3528</v>
      </c>
      <c r="L1469" s="2" t="s">
        <v>4031</v>
      </c>
      <c r="M1469">
        <v>-1270.1400000000001</v>
      </c>
      <c r="N1469" s="2" t="s">
        <v>4044</v>
      </c>
      <c r="O1469">
        <v>103</v>
      </c>
      <c r="P1469">
        <v>-130824.42000000001</v>
      </c>
      <c r="Q1469" t="b">
        <v>0</v>
      </c>
      <c r="R1469" t="b">
        <v>0</v>
      </c>
      <c r="S1469" t="b">
        <v>0</v>
      </c>
      <c r="T1469" t="b">
        <v>0</v>
      </c>
      <c r="U1469">
        <v>0</v>
      </c>
      <c r="V1469" t="s">
        <v>4073</v>
      </c>
    </row>
    <row r="1470" spans="1:22" hidden="1" x14ac:dyDescent="0.45">
      <c r="A1470" s="2" t="s">
        <v>162</v>
      </c>
      <c r="B1470" s="11">
        <v>45811</v>
      </c>
      <c r="C1470" s="2" t="s">
        <v>2012</v>
      </c>
      <c r="D1470" s="2" t="s">
        <v>2017</v>
      </c>
      <c r="E1470">
        <v>1490.29</v>
      </c>
      <c r="F1470">
        <v>131145.51999999999</v>
      </c>
      <c r="G1470">
        <v>0</v>
      </c>
      <c r="H1470">
        <v>0</v>
      </c>
      <c r="I1470" s="2" t="s">
        <v>2020</v>
      </c>
      <c r="J1470" s="2" t="s">
        <v>2027</v>
      </c>
      <c r="K1470" s="2" t="s">
        <v>2183</v>
      </c>
      <c r="L1470" s="2" t="s">
        <v>4032</v>
      </c>
      <c r="M1470">
        <v>-1490.29</v>
      </c>
      <c r="N1470" s="2" t="s">
        <v>4044</v>
      </c>
      <c r="O1470">
        <v>88</v>
      </c>
      <c r="P1470">
        <v>-131145.51999999999</v>
      </c>
      <c r="Q1470" t="b">
        <v>0</v>
      </c>
      <c r="R1470" t="b">
        <v>0</v>
      </c>
      <c r="S1470" t="b">
        <v>0</v>
      </c>
      <c r="T1470" t="b">
        <v>0</v>
      </c>
      <c r="U1470">
        <v>0</v>
      </c>
      <c r="V1470" t="s">
        <v>4073</v>
      </c>
    </row>
    <row r="1471" spans="1:22" hidden="1" x14ac:dyDescent="0.45">
      <c r="A1471" s="2" t="s">
        <v>855</v>
      </c>
      <c r="B1471" s="11">
        <v>45552</v>
      </c>
      <c r="C1471" s="2" t="s">
        <v>2011</v>
      </c>
      <c r="D1471" s="2" t="s">
        <v>2016</v>
      </c>
      <c r="E1471">
        <v>1600.28</v>
      </c>
      <c r="F1471">
        <v>131222.96</v>
      </c>
      <c r="G1471">
        <v>0</v>
      </c>
      <c r="H1471">
        <v>0</v>
      </c>
      <c r="I1471" s="2" t="s">
        <v>2021</v>
      </c>
      <c r="J1471" s="2" t="s">
        <v>2028</v>
      </c>
      <c r="K1471" s="2" t="s">
        <v>2876</v>
      </c>
      <c r="L1471" s="2" t="s">
        <v>4034</v>
      </c>
      <c r="M1471">
        <v>-1600.28</v>
      </c>
      <c r="N1471" s="2" t="s">
        <v>2016</v>
      </c>
      <c r="O1471">
        <v>82</v>
      </c>
      <c r="P1471">
        <v>-131222.96</v>
      </c>
      <c r="Q1471" t="b">
        <v>0</v>
      </c>
      <c r="R1471" t="b">
        <v>0</v>
      </c>
      <c r="S1471" t="b">
        <v>0</v>
      </c>
      <c r="T1471" t="b">
        <v>0</v>
      </c>
      <c r="U1471">
        <v>0</v>
      </c>
      <c r="V1471" t="s">
        <v>4073</v>
      </c>
    </row>
    <row r="1472" spans="1:22" hidden="1" x14ac:dyDescent="0.45">
      <c r="A1472" s="2" t="s">
        <v>487</v>
      </c>
      <c r="B1472" s="11">
        <v>45583</v>
      </c>
      <c r="C1472" s="2" t="s">
        <v>2014</v>
      </c>
      <c r="D1472" s="2" t="s">
        <v>2019</v>
      </c>
      <c r="E1472">
        <v>0</v>
      </c>
      <c r="F1472">
        <v>0</v>
      </c>
      <c r="G1472">
        <v>2350.1999999999998</v>
      </c>
      <c r="H1472">
        <v>131611.19999999998</v>
      </c>
      <c r="I1472" s="2" t="s">
        <v>2021</v>
      </c>
      <c r="J1472" s="2" t="s">
        <v>2026</v>
      </c>
      <c r="K1472" s="2" t="s">
        <v>2508</v>
      </c>
      <c r="L1472" s="2" t="s">
        <v>4033</v>
      </c>
      <c r="M1472">
        <v>2350.1999999999998</v>
      </c>
      <c r="N1472" s="2" t="s">
        <v>4042</v>
      </c>
      <c r="O1472">
        <v>56</v>
      </c>
      <c r="P1472">
        <v>131611.19999999998</v>
      </c>
      <c r="Q1472" t="b">
        <v>0</v>
      </c>
      <c r="R1472" t="b">
        <v>0</v>
      </c>
      <c r="S1472" t="b">
        <v>0</v>
      </c>
      <c r="T1472" t="b">
        <v>0</v>
      </c>
      <c r="U1472">
        <v>0</v>
      </c>
      <c r="V1472" t="s">
        <v>4073</v>
      </c>
    </row>
    <row r="1473" spans="1:22" hidden="1" x14ac:dyDescent="0.45">
      <c r="A1473" s="2" t="s">
        <v>763</v>
      </c>
      <c r="B1473" s="11">
        <v>45702</v>
      </c>
      <c r="C1473" s="2" t="s">
        <v>2013</v>
      </c>
      <c r="D1473" s="2" t="s">
        <v>2018</v>
      </c>
      <c r="E1473">
        <v>1496.23</v>
      </c>
      <c r="F1473">
        <v>131668.24</v>
      </c>
      <c r="G1473">
        <v>0</v>
      </c>
      <c r="H1473">
        <v>0</v>
      </c>
      <c r="I1473" s="2" t="s">
        <v>2022</v>
      </c>
      <c r="J1473" s="2" t="s">
        <v>2030</v>
      </c>
      <c r="K1473" s="2" t="s">
        <v>2784</v>
      </c>
      <c r="L1473" s="2" t="s">
        <v>4032</v>
      </c>
      <c r="M1473">
        <v>-1496.23</v>
      </c>
      <c r="N1473" s="2" t="s">
        <v>4044</v>
      </c>
      <c r="O1473">
        <v>88</v>
      </c>
      <c r="P1473">
        <v>-131668.24</v>
      </c>
      <c r="Q1473" t="b">
        <v>0</v>
      </c>
      <c r="R1473" t="b">
        <v>0</v>
      </c>
      <c r="S1473" t="b">
        <v>0</v>
      </c>
      <c r="T1473" t="b">
        <v>0</v>
      </c>
      <c r="U1473">
        <v>0</v>
      </c>
      <c r="V1473" t="s">
        <v>4073</v>
      </c>
    </row>
    <row r="1474" spans="1:22" hidden="1" x14ac:dyDescent="0.45">
      <c r="A1474" s="2" t="s">
        <v>277</v>
      </c>
      <c r="B1474" s="11">
        <v>45191</v>
      </c>
      <c r="C1474" s="2" t="s">
        <v>2013</v>
      </c>
      <c r="D1474" s="2" t="s">
        <v>2018</v>
      </c>
      <c r="E1474">
        <v>1498.82</v>
      </c>
      <c r="F1474">
        <v>131896.16</v>
      </c>
      <c r="G1474">
        <v>0</v>
      </c>
      <c r="H1474">
        <v>0</v>
      </c>
      <c r="I1474" s="2" t="s">
        <v>2021</v>
      </c>
      <c r="J1474" s="2" t="s">
        <v>2030</v>
      </c>
      <c r="K1474" s="2" t="s">
        <v>2298</v>
      </c>
      <c r="L1474" s="2" t="s">
        <v>4032</v>
      </c>
      <c r="M1474">
        <v>-1498.82</v>
      </c>
      <c r="N1474" s="2" t="s">
        <v>4044</v>
      </c>
      <c r="O1474">
        <v>88</v>
      </c>
      <c r="P1474">
        <v>-131896.16</v>
      </c>
      <c r="Q1474" t="b">
        <v>0</v>
      </c>
      <c r="R1474" t="b">
        <v>0</v>
      </c>
      <c r="S1474" t="b">
        <v>0</v>
      </c>
      <c r="T1474" t="b">
        <v>0</v>
      </c>
      <c r="U1474">
        <v>0</v>
      </c>
      <c r="V1474" t="s">
        <v>4073</v>
      </c>
    </row>
    <row r="1475" spans="1:22" hidden="1" x14ac:dyDescent="0.45">
      <c r="A1475" s="2" t="s">
        <v>1198</v>
      </c>
      <c r="B1475" s="11">
        <v>45294</v>
      </c>
      <c r="C1475" s="2" t="s">
        <v>2012</v>
      </c>
      <c r="D1475" s="2" t="s">
        <v>2017</v>
      </c>
      <c r="E1475">
        <v>1283.6099999999999</v>
      </c>
      <c r="F1475">
        <v>132211.82999999999</v>
      </c>
      <c r="G1475">
        <v>0</v>
      </c>
      <c r="H1475">
        <v>0</v>
      </c>
      <c r="I1475" s="2" t="s">
        <v>2021</v>
      </c>
      <c r="J1475" s="2" t="s">
        <v>2028</v>
      </c>
      <c r="K1475" s="2" t="s">
        <v>3219</v>
      </c>
      <c r="L1475" s="2" t="s">
        <v>4031</v>
      </c>
      <c r="M1475">
        <v>-1283.6099999999999</v>
      </c>
      <c r="N1475" s="2" t="s">
        <v>4044</v>
      </c>
      <c r="O1475">
        <v>103</v>
      </c>
      <c r="P1475">
        <v>-132211.82999999999</v>
      </c>
      <c r="Q1475" t="b">
        <v>0</v>
      </c>
      <c r="R1475" t="b">
        <v>0</v>
      </c>
      <c r="S1475" t="b">
        <v>0</v>
      </c>
      <c r="T1475" t="b">
        <v>0</v>
      </c>
      <c r="U1475">
        <v>0</v>
      </c>
      <c r="V1475" t="s">
        <v>4073</v>
      </c>
    </row>
    <row r="1476" spans="1:22" hidden="1" x14ac:dyDescent="0.45">
      <c r="A1476" s="2" t="s">
        <v>531</v>
      </c>
      <c r="B1476" s="11">
        <v>45790</v>
      </c>
      <c r="C1476" s="2" t="s">
        <v>2010</v>
      </c>
      <c r="D1476" s="2" t="s">
        <v>2015</v>
      </c>
      <c r="E1476">
        <v>0</v>
      </c>
      <c r="F1476">
        <v>0</v>
      </c>
      <c r="G1476">
        <v>2370.2800000000002</v>
      </c>
      <c r="H1476">
        <v>132735.68000000002</v>
      </c>
      <c r="I1476" s="2" t="s">
        <v>2021</v>
      </c>
      <c r="J1476" s="2" t="s">
        <v>2029</v>
      </c>
      <c r="K1476" s="2" t="s">
        <v>2552</v>
      </c>
      <c r="L1476" s="2" t="s">
        <v>4033</v>
      </c>
      <c r="M1476">
        <v>2370.2800000000002</v>
      </c>
      <c r="N1476" s="2" t="s">
        <v>4042</v>
      </c>
      <c r="O1476">
        <v>56</v>
      </c>
      <c r="P1476">
        <v>132735.68000000002</v>
      </c>
      <c r="Q1476" t="b">
        <v>0</v>
      </c>
      <c r="R1476" t="b">
        <v>0</v>
      </c>
      <c r="S1476" t="b">
        <v>0</v>
      </c>
      <c r="T1476" t="b">
        <v>0</v>
      </c>
      <c r="U1476">
        <v>0</v>
      </c>
      <c r="V1476" t="s">
        <v>4073</v>
      </c>
    </row>
    <row r="1477" spans="1:22" hidden="1" x14ac:dyDescent="0.45">
      <c r="A1477" s="2" t="s">
        <v>415</v>
      </c>
      <c r="B1477" s="11">
        <v>45432</v>
      </c>
      <c r="C1477" s="2" t="s">
        <v>2011</v>
      </c>
      <c r="D1477" s="2" t="s">
        <v>2016</v>
      </c>
      <c r="E1477">
        <v>1288.94</v>
      </c>
      <c r="F1477">
        <v>132760.82</v>
      </c>
      <c r="G1477">
        <v>0</v>
      </c>
      <c r="H1477">
        <v>0</v>
      </c>
      <c r="I1477" s="2" t="s">
        <v>2020</v>
      </c>
      <c r="J1477" s="2" t="s">
        <v>2026</v>
      </c>
      <c r="K1477" s="2" t="s">
        <v>2436</v>
      </c>
      <c r="L1477" s="2" t="s">
        <v>4031</v>
      </c>
      <c r="M1477">
        <v>-1288.94</v>
      </c>
      <c r="N1477" s="2" t="s">
        <v>2016</v>
      </c>
      <c r="O1477">
        <v>103</v>
      </c>
      <c r="P1477">
        <v>-132760.82</v>
      </c>
      <c r="Q1477" t="b">
        <v>0</v>
      </c>
      <c r="R1477" t="b">
        <v>0</v>
      </c>
      <c r="S1477" t="b">
        <v>0</v>
      </c>
      <c r="T1477" t="b">
        <v>0</v>
      </c>
      <c r="U1477">
        <v>0</v>
      </c>
      <c r="V1477" t="s">
        <v>4073</v>
      </c>
    </row>
    <row r="1478" spans="1:22" hidden="1" x14ac:dyDescent="0.45">
      <c r="A1478" s="2" t="s">
        <v>1644</v>
      </c>
      <c r="B1478" s="11">
        <v>45582</v>
      </c>
      <c r="C1478" s="2" t="s">
        <v>2012</v>
      </c>
      <c r="D1478" s="2" t="s">
        <v>2017</v>
      </c>
      <c r="E1478">
        <v>1244.05</v>
      </c>
      <c r="F1478">
        <v>128137.15</v>
      </c>
      <c r="G1478">
        <v>0</v>
      </c>
      <c r="H1478">
        <v>0</v>
      </c>
      <c r="I1478" s="2" t="s">
        <v>2024</v>
      </c>
      <c r="J1478" s="2" t="s">
        <v>2026</v>
      </c>
      <c r="K1478" s="2" t="s">
        <v>3665</v>
      </c>
      <c r="L1478" s="2" t="s">
        <v>4031</v>
      </c>
      <c r="M1478">
        <v>-1244.05</v>
      </c>
      <c r="N1478" s="2" t="s">
        <v>4044</v>
      </c>
      <c r="O1478">
        <v>103</v>
      </c>
      <c r="P1478">
        <v>-128137.15</v>
      </c>
      <c r="Q1478" t="b">
        <v>0</v>
      </c>
      <c r="R1478" t="b">
        <v>0</v>
      </c>
      <c r="S1478" t="b">
        <v>0</v>
      </c>
      <c r="T1478" t="b">
        <v>0</v>
      </c>
      <c r="U1478">
        <v>0</v>
      </c>
      <c r="V1478" t="s">
        <v>4073</v>
      </c>
    </row>
    <row r="1479" spans="1:22" hidden="1" x14ac:dyDescent="0.45">
      <c r="A1479" s="2" t="s">
        <v>1073</v>
      </c>
      <c r="B1479" s="11">
        <v>45567</v>
      </c>
      <c r="C1479" s="2" t="s">
        <v>2013</v>
      </c>
      <c r="D1479" s="2" t="s">
        <v>2018</v>
      </c>
      <c r="E1479">
        <v>1198.8900000000001</v>
      </c>
      <c r="F1479">
        <v>123485.67000000001</v>
      </c>
      <c r="G1479">
        <v>0</v>
      </c>
      <c r="H1479">
        <v>0</v>
      </c>
      <c r="I1479" s="2" t="s">
        <v>2025</v>
      </c>
      <c r="J1479" s="2" t="s">
        <v>2027</v>
      </c>
      <c r="K1479" s="2" t="s">
        <v>3094</v>
      </c>
      <c r="L1479" s="2" t="s">
        <v>4031</v>
      </c>
      <c r="M1479">
        <v>-1198.8900000000001</v>
      </c>
      <c r="N1479" s="2" t="s">
        <v>4044</v>
      </c>
      <c r="O1479">
        <v>103</v>
      </c>
      <c r="P1479">
        <v>-123485.67000000001</v>
      </c>
      <c r="Q1479" t="b">
        <v>0</v>
      </c>
      <c r="R1479" t="b">
        <v>0</v>
      </c>
      <c r="S1479" t="b">
        <v>0</v>
      </c>
      <c r="T1479" t="b">
        <v>0</v>
      </c>
      <c r="U1479">
        <v>0</v>
      </c>
      <c r="V1479" t="s">
        <v>4073</v>
      </c>
    </row>
    <row r="1480" spans="1:22" hidden="1" x14ac:dyDescent="0.45">
      <c r="A1480" s="2" t="s">
        <v>714</v>
      </c>
      <c r="B1480" s="11">
        <v>45672</v>
      </c>
      <c r="C1480" s="2" t="s">
        <v>2011</v>
      </c>
      <c r="D1480" s="2" t="s">
        <v>2016</v>
      </c>
      <c r="E1480">
        <v>1455.61</v>
      </c>
      <c r="F1480">
        <v>128093.68</v>
      </c>
      <c r="G1480">
        <v>0</v>
      </c>
      <c r="H1480">
        <v>0</v>
      </c>
      <c r="I1480" s="2" t="s">
        <v>2022</v>
      </c>
      <c r="J1480" s="2" t="s">
        <v>2026</v>
      </c>
      <c r="K1480" s="2" t="s">
        <v>2735</v>
      </c>
      <c r="L1480" s="2" t="s">
        <v>4032</v>
      </c>
      <c r="M1480">
        <v>-1455.61</v>
      </c>
      <c r="N1480" s="2" t="s">
        <v>2016</v>
      </c>
      <c r="O1480">
        <v>88</v>
      </c>
      <c r="P1480">
        <v>-128093.68</v>
      </c>
      <c r="Q1480" t="b">
        <v>0</v>
      </c>
      <c r="R1480" t="b">
        <v>0</v>
      </c>
      <c r="S1480" t="b">
        <v>0</v>
      </c>
      <c r="T1480" t="b">
        <v>0</v>
      </c>
      <c r="U1480">
        <v>0</v>
      </c>
      <c r="V1480" t="s">
        <v>4073</v>
      </c>
    </row>
    <row r="1481" spans="1:22" hidden="1" x14ac:dyDescent="0.45">
      <c r="A1481" s="2" t="s">
        <v>231</v>
      </c>
      <c r="B1481" s="11">
        <v>45429</v>
      </c>
      <c r="C1481" s="2" t="s">
        <v>2014</v>
      </c>
      <c r="D1481" s="2" t="s">
        <v>2019</v>
      </c>
      <c r="E1481">
        <v>0</v>
      </c>
      <c r="F1481">
        <v>0</v>
      </c>
      <c r="G1481">
        <v>1449.49</v>
      </c>
      <c r="H1481">
        <v>127555.12</v>
      </c>
      <c r="I1481" s="2" t="s">
        <v>2020</v>
      </c>
      <c r="J1481" s="2" t="s">
        <v>2029</v>
      </c>
      <c r="K1481" s="2" t="s">
        <v>2252</v>
      </c>
      <c r="L1481" s="2" t="s">
        <v>4032</v>
      </c>
      <c r="M1481">
        <v>1449.49</v>
      </c>
      <c r="N1481" s="2" t="s">
        <v>4042</v>
      </c>
      <c r="O1481">
        <v>88</v>
      </c>
      <c r="P1481">
        <v>127555.12</v>
      </c>
      <c r="Q1481" t="b">
        <v>0</v>
      </c>
      <c r="R1481" t="b">
        <v>0</v>
      </c>
      <c r="S1481" t="b">
        <v>0</v>
      </c>
      <c r="T1481" t="b">
        <v>0</v>
      </c>
      <c r="U1481">
        <v>0</v>
      </c>
      <c r="V1481" t="s">
        <v>4073</v>
      </c>
    </row>
    <row r="1482" spans="1:22" hidden="1" x14ac:dyDescent="0.45">
      <c r="A1482" s="2" t="s">
        <v>77</v>
      </c>
      <c r="B1482" s="11">
        <v>45778</v>
      </c>
      <c r="C1482" s="2" t="s">
        <v>2010</v>
      </c>
      <c r="D1482" s="2" t="s">
        <v>2015</v>
      </c>
      <c r="E1482">
        <v>0</v>
      </c>
      <c r="F1482">
        <v>0</v>
      </c>
      <c r="G1482">
        <v>1204.96</v>
      </c>
      <c r="H1482">
        <v>124110.88</v>
      </c>
      <c r="I1482" s="2" t="s">
        <v>2025</v>
      </c>
      <c r="J1482" s="2" t="s">
        <v>2027</v>
      </c>
      <c r="K1482" s="2" t="s">
        <v>2098</v>
      </c>
      <c r="L1482" s="2" t="s">
        <v>4031</v>
      </c>
      <c r="M1482">
        <v>1204.96</v>
      </c>
      <c r="N1482" s="2" t="s">
        <v>4042</v>
      </c>
      <c r="O1482">
        <v>103</v>
      </c>
      <c r="P1482">
        <v>124110.88</v>
      </c>
      <c r="Q1482" t="b">
        <v>0</v>
      </c>
      <c r="R1482" t="b">
        <v>0</v>
      </c>
      <c r="S1482" t="b">
        <v>0</v>
      </c>
      <c r="T1482" t="b">
        <v>0</v>
      </c>
      <c r="U1482">
        <v>0</v>
      </c>
      <c r="V1482" t="s">
        <v>4073</v>
      </c>
    </row>
    <row r="1483" spans="1:22" hidden="1" x14ac:dyDescent="0.45">
      <c r="A1483" s="2" t="s">
        <v>163</v>
      </c>
      <c r="B1483" s="11">
        <v>45576</v>
      </c>
      <c r="C1483" s="2" t="s">
        <v>2013</v>
      </c>
      <c r="D1483" s="2" t="s">
        <v>2018</v>
      </c>
      <c r="E1483">
        <v>1515.7</v>
      </c>
      <c r="F1483">
        <v>124287.40000000001</v>
      </c>
      <c r="G1483">
        <v>0</v>
      </c>
      <c r="H1483">
        <v>0</v>
      </c>
      <c r="I1483" s="2" t="s">
        <v>2025</v>
      </c>
      <c r="J1483" s="2" t="s">
        <v>2028</v>
      </c>
      <c r="K1483" s="2" t="s">
        <v>2184</v>
      </c>
      <c r="L1483" s="2" t="s">
        <v>4034</v>
      </c>
      <c r="M1483">
        <v>-1515.7</v>
      </c>
      <c r="N1483" s="2" t="s">
        <v>4044</v>
      </c>
      <c r="O1483">
        <v>82</v>
      </c>
      <c r="P1483">
        <v>-124287.40000000001</v>
      </c>
      <c r="Q1483" t="b">
        <v>0</v>
      </c>
      <c r="R1483" t="b">
        <v>0</v>
      </c>
      <c r="S1483" t="b">
        <v>0</v>
      </c>
      <c r="T1483" t="b">
        <v>0</v>
      </c>
      <c r="U1483">
        <v>0</v>
      </c>
      <c r="V1483" t="s">
        <v>4073</v>
      </c>
    </row>
    <row r="1484" spans="1:22" hidden="1" x14ac:dyDescent="0.45">
      <c r="A1484" s="2" t="s">
        <v>1012</v>
      </c>
      <c r="B1484" s="11">
        <v>45420</v>
      </c>
      <c r="C1484" s="2" t="s">
        <v>2010</v>
      </c>
      <c r="D1484" s="2" t="s">
        <v>2015</v>
      </c>
      <c r="E1484">
        <v>0</v>
      </c>
      <c r="F1484">
        <v>0</v>
      </c>
      <c r="G1484">
        <v>1518.16</v>
      </c>
      <c r="H1484">
        <v>124489.12000000001</v>
      </c>
      <c r="I1484" s="2" t="s">
        <v>2022</v>
      </c>
      <c r="J1484" s="2" t="s">
        <v>2026</v>
      </c>
      <c r="K1484" s="2" t="s">
        <v>3033</v>
      </c>
      <c r="L1484" s="2" t="s">
        <v>4034</v>
      </c>
      <c r="M1484">
        <v>1518.16</v>
      </c>
      <c r="N1484" s="2" t="s">
        <v>4042</v>
      </c>
      <c r="O1484">
        <v>82</v>
      </c>
      <c r="P1484">
        <v>124489.12000000001</v>
      </c>
      <c r="Q1484" t="b">
        <v>0</v>
      </c>
      <c r="R1484" t="b">
        <v>0</v>
      </c>
      <c r="S1484" t="b">
        <v>0</v>
      </c>
      <c r="T1484" t="b">
        <v>0</v>
      </c>
      <c r="U1484">
        <v>0</v>
      </c>
      <c r="V1484" t="s">
        <v>4073</v>
      </c>
    </row>
    <row r="1485" spans="1:22" hidden="1" x14ac:dyDescent="0.45">
      <c r="A1485" s="2" t="s">
        <v>1131</v>
      </c>
      <c r="B1485" s="11">
        <v>45712</v>
      </c>
      <c r="C1485" s="2" t="s">
        <v>2014</v>
      </c>
      <c r="D1485" s="2" t="s">
        <v>2019</v>
      </c>
      <c r="E1485">
        <v>0</v>
      </c>
      <c r="F1485">
        <v>0</v>
      </c>
      <c r="G1485">
        <v>2049.4499999999998</v>
      </c>
      <c r="H1485">
        <v>125016.44999999998</v>
      </c>
      <c r="I1485" s="2" t="s">
        <v>2024</v>
      </c>
      <c r="J1485" s="2" t="s">
        <v>2027</v>
      </c>
      <c r="K1485" s="2" t="s">
        <v>3152</v>
      </c>
      <c r="L1485" s="2" t="s">
        <v>4035</v>
      </c>
      <c r="M1485">
        <v>2049.4499999999998</v>
      </c>
      <c r="N1485" s="2" t="s">
        <v>4042</v>
      </c>
      <c r="O1485">
        <v>61</v>
      </c>
      <c r="P1485">
        <v>125016.44999999998</v>
      </c>
      <c r="Q1485" t="b">
        <v>0</v>
      </c>
      <c r="R1485" t="b">
        <v>0</v>
      </c>
      <c r="S1485" t="b">
        <v>0</v>
      </c>
      <c r="T1485" t="b">
        <v>0</v>
      </c>
      <c r="U1485">
        <v>0</v>
      </c>
      <c r="V1485" t="s">
        <v>4073</v>
      </c>
    </row>
    <row r="1486" spans="1:22" hidden="1" x14ac:dyDescent="0.45">
      <c r="A1486" s="2" t="s">
        <v>1121</v>
      </c>
      <c r="B1486" s="11">
        <v>45173</v>
      </c>
      <c r="C1486" s="2" t="s">
        <v>2010</v>
      </c>
      <c r="D1486" s="2" t="s">
        <v>2015</v>
      </c>
      <c r="E1486">
        <v>0</v>
      </c>
      <c r="F1486">
        <v>0</v>
      </c>
      <c r="G1486">
        <v>2233.0500000000002</v>
      </c>
      <c r="H1486">
        <v>125050.80000000002</v>
      </c>
      <c r="I1486" s="2" t="s">
        <v>2024</v>
      </c>
      <c r="J1486" s="2" t="s">
        <v>2027</v>
      </c>
      <c r="K1486" s="2" t="s">
        <v>3142</v>
      </c>
      <c r="L1486" s="2" t="s">
        <v>4033</v>
      </c>
      <c r="M1486">
        <v>2233.0500000000002</v>
      </c>
      <c r="N1486" s="2" t="s">
        <v>4042</v>
      </c>
      <c r="O1486">
        <v>56</v>
      </c>
      <c r="P1486">
        <v>125050.80000000002</v>
      </c>
      <c r="Q1486" t="b">
        <v>0</v>
      </c>
      <c r="R1486" t="b">
        <v>0</v>
      </c>
      <c r="S1486" t="b">
        <v>0</v>
      </c>
      <c r="T1486" t="b">
        <v>0</v>
      </c>
      <c r="U1486">
        <v>0</v>
      </c>
      <c r="V1486" t="s">
        <v>4073</v>
      </c>
    </row>
    <row r="1487" spans="1:22" hidden="1" x14ac:dyDescent="0.45">
      <c r="A1487" s="2" t="s">
        <v>486</v>
      </c>
      <c r="B1487" s="11">
        <v>45266</v>
      </c>
      <c r="C1487" s="2" t="s">
        <v>2014</v>
      </c>
      <c r="D1487" s="2" t="s">
        <v>2019</v>
      </c>
      <c r="E1487">
        <v>0</v>
      </c>
      <c r="F1487">
        <v>0</v>
      </c>
      <c r="G1487">
        <v>1422.45</v>
      </c>
      <c r="H1487">
        <v>125175.6</v>
      </c>
      <c r="I1487" s="2" t="s">
        <v>2021</v>
      </c>
      <c r="J1487" s="2" t="s">
        <v>2026</v>
      </c>
      <c r="K1487" s="2" t="s">
        <v>2507</v>
      </c>
      <c r="L1487" s="2" t="s">
        <v>4032</v>
      </c>
      <c r="M1487">
        <v>1422.45</v>
      </c>
      <c r="N1487" s="2" t="s">
        <v>4042</v>
      </c>
      <c r="O1487">
        <v>88</v>
      </c>
      <c r="P1487">
        <v>125175.6</v>
      </c>
      <c r="Q1487" t="b">
        <v>0</v>
      </c>
      <c r="R1487" t="b">
        <v>0</v>
      </c>
      <c r="S1487" t="b">
        <v>0</v>
      </c>
      <c r="T1487" t="b">
        <v>0</v>
      </c>
      <c r="U1487">
        <v>0</v>
      </c>
      <c r="V1487" t="s">
        <v>4073</v>
      </c>
    </row>
    <row r="1488" spans="1:22" hidden="1" x14ac:dyDescent="0.45">
      <c r="A1488" s="2" t="s">
        <v>1639</v>
      </c>
      <c r="B1488" s="11">
        <v>45048</v>
      </c>
      <c r="C1488" s="2" t="s">
        <v>2012</v>
      </c>
      <c r="D1488" s="2" t="s">
        <v>2017</v>
      </c>
      <c r="E1488">
        <v>1528.6</v>
      </c>
      <c r="F1488">
        <v>125345.2</v>
      </c>
      <c r="G1488">
        <v>0</v>
      </c>
      <c r="H1488">
        <v>0</v>
      </c>
      <c r="I1488" s="2" t="s">
        <v>2020</v>
      </c>
      <c r="J1488" s="2" t="s">
        <v>2030</v>
      </c>
      <c r="K1488" s="2" t="s">
        <v>3660</v>
      </c>
      <c r="L1488" s="2" t="s">
        <v>4034</v>
      </c>
      <c r="M1488">
        <v>-1528.6</v>
      </c>
      <c r="N1488" s="2" t="s">
        <v>4044</v>
      </c>
      <c r="O1488">
        <v>82</v>
      </c>
      <c r="P1488">
        <v>-125345.2</v>
      </c>
      <c r="Q1488" t="b">
        <v>0</v>
      </c>
      <c r="R1488" t="b">
        <v>0</v>
      </c>
      <c r="S1488" t="b">
        <v>0</v>
      </c>
      <c r="T1488" t="b">
        <v>0</v>
      </c>
      <c r="U1488">
        <v>0</v>
      </c>
      <c r="V1488" t="s">
        <v>4073</v>
      </c>
    </row>
    <row r="1489" spans="1:22" hidden="1" x14ac:dyDescent="0.45">
      <c r="A1489" s="2" t="s">
        <v>90</v>
      </c>
      <c r="B1489" s="11">
        <v>45799</v>
      </c>
      <c r="C1489" s="2" t="s">
        <v>2013</v>
      </c>
      <c r="D1489" s="2" t="s">
        <v>2018</v>
      </c>
      <c r="E1489">
        <v>1528.9</v>
      </c>
      <c r="F1489">
        <v>125369.8</v>
      </c>
      <c r="G1489">
        <v>0</v>
      </c>
      <c r="H1489">
        <v>0</v>
      </c>
      <c r="I1489" s="2" t="s">
        <v>2020</v>
      </c>
      <c r="J1489" s="2" t="s">
        <v>2029</v>
      </c>
      <c r="K1489" s="2" t="s">
        <v>2111</v>
      </c>
      <c r="L1489" s="2" t="s">
        <v>4034</v>
      </c>
      <c r="M1489">
        <v>-1528.9</v>
      </c>
      <c r="N1489" s="2" t="s">
        <v>4044</v>
      </c>
      <c r="O1489">
        <v>82</v>
      </c>
      <c r="P1489">
        <v>-125369.8</v>
      </c>
      <c r="Q1489" t="b">
        <v>0</v>
      </c>
      <c r="R1489" t="b">
        <v>0</v>
      </c>
      <c r="S1489" t="b">
        <v>0</v>
      </c>
      <c r="T1489" t="b">
        <v>0</v>
      </c>
      <c r="U1489">
        <v>0</v>
      </c>
      <c r="V1489" t="s">
        <v>4073</v>
      </c>
    </row>
    <row r="1490" spans="1:22" hidden="1" x14ac:dyDescent="0.45">
      <c r="A1490" s="2" t="s">
        <v>1164</v>
      </c>
      <c r="B1490" s="11">
        <v>45274</v>
      </c>
      <c r="C1490" s="2" t="s">
        <v>2012</v>
      </c>
      <c r="D1490" s="2" t="s">
        <v>2017</v>
      </c>
      <c r="E1490">
        <v>1218.47</v>
      </c>
      <c r="F1490">
        <v>125502.41</v>
      </c>
      <c r="G1490">
        <v>0</v>
      </c>
      <c r="H1490">
        <v>0</v>
      </c>
      <c r="I1490" s="2" t="s">
        <v>2021</v>
      </c>
      <c r="J1490" s="2" t="s">
        <v>2029</v>
      </c>
      <c r="K1490" s="2" t="s">
        <v>3185</v>
      </c>
      <c r="L1490" s="2" t="s">
        <v>4031</v>
      </c>
      <c r="M1490">
        <v>-1218.47</v>
      </c>
      <c r="N1490" s="2" t="s">
        <v>4044</v>
      </c>
      <c r="O1490">
        <v>103</v>
      </c>
      <c r="P1490">
        <v>-125502.41</v>
      </c>
      <c r="Q1490" t="b">
        <v>0</v>
      </c>
      <c r="R1490" t="b">
        <v>0</v>
      </c>
      <c r="S1490" t="b">
        <v>0</v>
      </c>
      <c r="T1490" t="b">
        <v>0</v>
      </c>
      <c r="U1490">
        <v>0</v>
      </c>
      <c r="V1490" t="s">
        <v>4073</v>
      </c>
    </row>
    <row r="1491" spans="1:22" hidden="1" x14ac:dyDescent="0.45">
      <c r="A1491" s="2" t="s">
        <v>1119</v>
      </c>
      <c r="B1491" s="11">
        <v>45023</v>
      </c>
      <c r="C1491" s="2" t="s">
        <v>2010</v>
      </c>
      <c r="D1491" s="2" t="s">
        <v>2015</v>
      </c>
      <c r="E1491">
        <v>0</v>
      </c>
      <c r="F1491">
        <v>0</v>
      </c>
      <c r="G1491">
        <v>2058.58</v>
      </c>
      <c r="H1491">
        <v>125573.37999999999</v>
      </c>
      <c r="I1491" s="2" t="s">
        <v>2024</v>
      </c>
      <c r="J1491" s="2" t="s">
        <v>2027</v>
      </c>
      <c r="K1491" s="2" t="s">
        <v>3140</v>
      </c>
      <c r="L1491" s="2" t="s">
        <v>4035</v>
      </c>
      <c r="M1491">
        <v>2058.58</v>
      </c>
      <c r="N1491" s="2" t="s">
        <v>4042</v>
      </c>
      <c r="O1491">
        <v>61</v>
      </c>
      <c r="P1491">
        <v>125573.37999999999</v>
      </c>
      <c r="Q1491" t="b">
        <v>0</v>
      </c>
      <c r="R1491" t="b">
        <v>0</v>
      </c>
      <c r="S1491" t="b">
        <v>0</v>
      </c>
      <c r="T1491" t="b">
        <v>0</v>
      </c>
      <c r="U1491">
        <v>0</v>
      </c>
      <c r="V1491" t="s">
        <v>4073</v>
      </c>
    </row>
    <row r="1492" spans="1:22" hidden="1" x14ac:dyDescent="0.45">
      <c r="A1492" s="2" t="s">
        <v>1481</v>
      </c>
      <c r="B1492" s="11">
        <v>45246</v>
      </c>
      <c r="C1492" s="2" t="s">
        <v>2011</v>
      </c>
      <c r="D1492" s="2" t="s">
        <v>2016</v>
      </c>
      <c r="E1492">
        <v>1427.31</v>
      </c>
      <c r="F1492">
        <v>125603.28</v>
      </c>
      <c r="G1492">
        <v>0</v>
      </c>
      <c r="H1492">
        <v>0</v>
      </c>
      <c r="I1492" s="2" t="s">
        <v>2021</v>
      </c>
      <c r="J1492" s="2" t="s">
        <v>2029</v>
      </c>
      <c r="K1492" s="2" t="s">
        <v>3502</v>
      </c>
      <c r="L1492" s="2" t="s">
        <v>4032</v>
      </c>
      <c r="M1492">
        <v>-1427.31</v>
      </c>
      <c r="N1492" s="2" t="s">
        <v>2016</v>
      </c>
      <c r="O1492">
        <v>88</v>
      </c>
      <c r="P1492">
        <v>-125603.28</v>
      </c>
      <c r="Q1492" t="b">
        <v>0</v>
      </c>
      <c r="R1492" t="b">
        <v>0</v>
      </c>
      <c r="S1492" t="b">
        <v>0</v>
      </c>
      <c r="T1492" t="b">
        <v>0</v>
      </c>
      <c r="U1492">
        <v>0</v>
      </c>
      <c r="V1492" t="s">
        <v>4073</v>
      </c>
    </row>
    <row r="1493" spans="1:22" hidden="1" x14ac:dyDescent="0.45">
      <c r="A1493" s="2" t="s">
        <v>1447</v>
      </c>
      <c r="B1493" s="11">
        <v>45089</v>
      </c>
      <c r="C1493" s="2" t="s">
        <v>2012</v>
      </c>
      <c r="D1493" s="2" t="s">
        <v>2017</v>
      </c>
      <c r="E1493">
        <v>1429.61</v>
      </c>
      <c r="F1493">
        <v>125805.68</v>
      </c>
      <c r="G1493">
        <v>0</v>
      </c>
      <c r="H1493">
        <v>0</v>
      </c>
      <c r="I1493" s="2" t="s">
        <v>2021</v>
      </c>
      <c r="J1493" s="2" t="s">
        <v>2027</v>
      </c>
      <c r="K1493" s="2" t="s">
        <v>3468</v>
      </c>
      <c r="L1493" s="2" t="s">
        <v>4032</v>
      </c>
      <c r="M1493">
        <v>-1429.61</v>
      </c>
      <c r="N1493" s="2" t="s">
        <v>4044</v>
      </c>
      <c r="O1493">
        <v>88</v>
      </c>
      <c r="P1493">
        <v>-125805.68</v>
      </c>
      <c r="Q1493" t="b">
        <v>0</v>
      </c>
      <c r="R1493" t="b">
        <v>0</v>
      </c>
      <c r="S1493" t="b">
        <v>0</v>
      </c>
      <c r="T1493" t="b">
        <v>0</v>
      </c>
      <c r="U1493">
        <v>0</v>
      </c>
      <c r="V1493" t="s">
        <v>4073</v>
      </c>
    </row>
    <row r="1494" spans="1:22" hidden="1" x14ac:dyDescent="0.45">
      <c r="A1494" s="2" t="s">
        <v>907</v>
      </c>
      <c r="B1494" s="11">
        <v>45490</v>
      </c>
      <c r="C1494" s="2" t="s">
        <v>2013</v>
      </c>
      <c r="D1494" s="2" t="s">
        <v>2018</v>
      </c>
      <c r="E1494">
        <v>1433.77</v>
      </c>
      <c r="F1494">
        <v>126171.76</v>
      </c>
      <c r="G1494">
        <v>0</v>
      </c>
      <c r="H1494">
        <v>0</v>
      </c>
      <c r="I1494" s="2" t="s">
        <v>2020</v>
      </c>
      <c r="J1494" s="2" t="s">
        <v>2026</v>
      </c>
      <c r="K1494" s="2" t="s">
        <v>2928</v>
      </c>
      <c r="L1494" s="2" t="s">
        <v>4032</v>
      </c>
      <c r="M1494">
        <v>-1433.77</v>
      </c>
      <c r="N1494" s="2" t="s">
        <v>4044</v>
      </c>
      <c r="O1494">
        <v>88</v>
      </c>
      <c r="P1494">
        <v>-126171.76</v>
      </c>
      <c r="Q1494" t="b">
        <v>0</v>
      </c>
      <c r="R1494" t="b">
        <v>0</v>
      </c>
      <c r="S1494" t="b">
        <v>0</v>
      </c>
      <c r="T1494" t="b">
        <v>0</v>
      </c>
      <c r="U1494">
        <v>0</v>
      </c>
      <c r="V1494" t="s">
        <v>4073</v>
      </c>
    </row>
    <row r="1495" spans="1:22" hidden="1" x14ac:dyDescent="0.45">
      <c r="A1495" s="2" t="s">
        <v>996</v>
      </c>
      <c r="B1495" s="11">
        <v>45769</v>
      </c>
      <c r="C1495" s="2" t="s">
        <v>2014</v>
      </c>
      <c r="D1495" s="2" t="s">
        <v>2019</v>
      </c>
      <c r="E1495">
        <v>0</v>
      </c>
      <c r="F1495">
        <v>0</v>
      </c>
      <c r="G1495">
        <v>2267.1999999999998</v>
      </c>
      <c r="H1495">
        <v>126963.19999999998</v>
      </c>
      <c r="I1495" s="2" t="s">
        <v>2024</v>
      </c>
      <c r="J1495" s="2" t="s">
        <v>2027</v>
      </c>
      <c r="K1495" s="2" t="s">
        <v>3017</v>
      </c>
      <c r="L1495" s="2" t="s">
        <v>4033</v>
      </c>
      <c r="M1495">
        <v>2267.1999999999998</v>
      </c>
      <c r="N1495" s="2" t="s">
        <v>4042</v>
      </c>
      <c r="O1495">
        <v>56</v>
      </c>
      <c r="P1495">
        <v>126963.19999999998</v>
      </c>
      <c r="Q1495" t="b">
        <v>0</v>
      </c>
      <c r="R1495" t="b">
        <v>0</v>
      </c>
      <c r="S1495" t="b">
        <v>0</v>
      </c>
      <c r="T1495" t="b">
        <v>0</v>
      </c>
      <c r="U1495">
        <v>0</v>
      </c>
      <c r="V1495" t="s">
        <v>4073</v>
      </c>
    </row>
    <row r="1496" spans="1:22" hidden="1" x14ac:dyDescent="0.45">
      <c r="A1496" s="2" t="s">
        <v>2003</v>
      </c>
      <c r="B1496" s="11">
        <v>45615</v>
      </c>
      <c r="C1496" s="2" t="s">
        <v>2010</v>
      </c>
      <c r="D1496" s="2" t="s">
        <v>2015</v>
      </c>
      <c r="E1496">
        <v>0</v>
      </c>
      <c r="F1496">
        <v>0</v>
      </c>
      <c r="G1496">
        <v>1233.1300000000001</v>
      </c>
      <c r="H1496">
        <v>127012.39000000001</v>
      </c>
      <c r="I1496" s="2" t="s">
        <v>2020</v>
      </c>
      <c r="J1496" s="2" t="s">
        <v>2029</v>
      </c>
      <c r="K1496" s="2" t="s">
        <v>4024</v>
      </c>
      <c r="L1496" s="2" t="s">
        <v>4031</v>
      </c>
      <c r="M1496">
        <v>1233.1300000000001</v>
      </c>
      <c r="N1496" s="2" t="s">
        <v>4042</v>
      </c>
      <c r="O1496">
        <v>103</v>
      </c>
      <c r="P1496">
        <v>127012.39000000001</v>
      </c>
      <c r="Q1496" t="b">
        <v>0</v>
      </c>
      <c r="R1496" t="b">
        <v>0</v>
      </c>
      <c r="S1496" t="b">
        <v>0</v>
      </c>
      <c r="T1496" t="b">
        <v>0</v>
      </c>
      <c r="U1496">
        <v>0</v>
      </c>
      <c r="V1496" t="s">
        <v>4073</v>
      </c>
    </row>
    <row r="1497" spans="1:22" hidden="1" x14ac:dyDescent="0.45">
      <c r="A1497" s="2" t="s">
        <v>1849</v>
      </c>
      <c r="B1497" s="11">
        <v>45831</v>
      </c>
      <c r="C1497" s="2" t="s">
        <v>2014</v>
      </c>
      <c r="D1497" s="2" t="s">
        <v>2019</v>
      </c>
      <c r="E1497">
        <v>0</v>
      </c>
      <c r="F1497">
        <v>0</v>
      </c>
      <c r="G1497">
        <v>1446.64</v>
      </c>
      <c r="H1497">
        <v>127304.32000000001</v>
      </c>
      <c r="I1497" s="2" t="s">
        <v>2021</v>
      </c>
      <c r="J1497" s="2" t="s">
        <v>2028</v>
      </c>
      <c r="K1497" s="2" t="s">
        <v>3870</v>
      </c>
      <c r="L1497" s="2" t="s">
        <v>4032</v>
      </c>
      <c r="M1497">
        <v>1446.64</v>
      </c>
      <c r="N1497" s="2" t="s">
        <v>4042</v>
      </c>
      <c r="O1497">
        <v>88</v>
      </c>
      <c r="P1497">
        <v>127304.32000000001</v>
      </c>
      <c r="Q1497" t="b">
        <v>0</v>
      </c>
      <c r="R1497" t="b">
        <v>0</v>
      </c>
      <c r="S1497" t="b">
        <v>0</v>
      </c>
      <c r="T1497" t="b">
        <v>0</v>
      </c>
      <c r="U1497">
        <v>0</v>
      </c>
      <c r="V1497" t="s">
        <v>4073</v>
      </c>
    </row>
    <row r="1498" spans="1:22" hidden="1" x14ac:dyDescent="0.45">
      <c r="A1498" s="2" t="s">
        <v>1805</v>
      </c>
      <c r="B1498" s="11">
        <v>45756</v>
      </c>
      <c r="C1498" s="2" t="s">
        <v>2013</v>
      </c>
      <c r="D1498" s="2" t="s">
        <v>2018</v>
      </c>
      <c r="E1498">
        <v>1553.28</v>
      </c>
      <c r="F1498">
        <v>127368.95999999999</v>
      </c>
      <c r="G1498">
        <v>0</v>
      </c>
      <c r="H1498">
        <v>0</v>
      </c>
      <c r="I1498" s="2" t="s">
        <v>2023</v>
      </c>
      <c r="J1498" s="2" t="s">
        <v>2027</v>
      </c>
      <c r="K1498" s="2" t="s">
        <v>3826</v>
      </c>
      <c r="L1498" s="2" t="s">
        <v>4034</v>
      </c>
      <c r="M1498">
        <v>-1553.28</v>
      </c>
      <c r="N1498" s="2" t="s">
        <v>4044</v>
      </c>
      <c r="O1498">
        <v>82</v>
      </c>
      <c r="P1498">
        <v>-127368.95999999999</v>
      </c>
      <c r="Q1498" t="b">
        <v>0</v>
      </c>
      <c r="R1498" t="b">
        <v>0</v>
      </c>
      <c r="S1498" t="b">
        <v>0</v>
      </c>
      <c r="T1498" t="b">
        <v>0</v>
      </c>
      <c r="U1498">
        <v>0</v>
      </c>
      <c r="V1498" t="s">
        <v>4073</v>
      </c>
    </row>
    <row r="1499" spans="1:22" hidden="1" x14ac:dyDescent="0.45">
      <c r="A1499" s="2" t="s">
        <v>1899</v>
      </c>
      <c r="B1499" s="11">
        <v>44945</v>
      </c>
      <c r="C1499" s="2" t="s">
        <v>2013</v>
      </c>
      <c r="D1499" s="2" t="s">
        <v>2018</v>
      </c>
      <c r="E1499">
        <v>1561.21</v>
      </c>
      <c r="F1499">
        <v>128019.22</v>
      </c>
      <c r="G1499">
        <v>0</v>
      </c>
      <c r="H1499">
        <v>0</v>
      </c>
      <c r="I1499" s="2" t="s">
        <v>2021</v>
      </c>
      <c r="J1499" s="2" t="s">
        <v>2029</v>
      </c>
      <c r="K1499" s="2" t="s">
        <v>3920</v>
      </c>
      <c r="L1499" s="2" t="s">
        <v>4034</v>
      </c>
      <c r="M1499">
        <v>-1561.21</v>
      </c>
      <c r="N1499" s="2" t="s">
        <v>4044</v>
      </c>
      <c r="O1499">
        <v>82</v>
      </c>
      <c r="P1499">
        <v>-128019.22</v>
      </c>
      <c r="Q1499" t="b">
        <v>0</v>
      </c>
      <c r="R1499" t="b">
        <v>0</v>
      </c>
      <c r="S1499" t="b">
        <v>0</v>
      </c>
      <c r="T1499" t="b">
        <v>0</v>
      </c>
      <c r="U1499">
        <v>0</v>
      </c>
      <c r="V1499" t="s">
        <v>4073</v>
      </c>
    </row>
    <row r="1500" spans="1:22" hidden="1" x14ac:dyDescent="0.45">
      <c r="A1500" s="2" t="s">
        <v>552</v>
      </c>
      <c r="B1500" s="11">
        <v>45670</v>
      </c>
      <c r="C1500" s="2" t="s">
        <v>2014</v>
      </c>
      <c r="D1500" s="2" t="s">
        <v>2019</v>
      </c>
      <c r="E1500">
        <v>0</v>
      </c>
      <c r="F1500">
        <v>0</v>
      </c>
      <c r="G1500">
        <v>1414.25</v>
      </c>
      <c r="H1500">
        <v>115968.5</v>
      </c>
      <c r="I1500" s="2" t="s">
        <v>2020</v>
      </c>
      <c r="J1500" s="2" t="s">
        <v>2029</v>
      </c>
      <c r="K1500" s="2" t="s">
        <v>2573</v>
      </c>
      <c r="L1500" s="2" t="s">
        <v>4034</v>
      </c>
      <c r="M1500">
        <v>1414.25</v>
      </c>
      <c r="N1500" s="2" t="s">
        <v>4042</v>
      </c>
      <c r="O1500">
        <v>82</v>
      </c>
      <c r="P1500">
        <v>115968.5</v>
      </c>
      <c r="Q1500" t="b">
        <v>0</v>
      </c>
      <c r="R1500" t="b">
        <v>0</v>
      </c>
      <c r="S1500" t="b">
        <v>0</v>
      </c>
      <c r="T1500" t="b">
        <v>0</v>
      </c>
      <c r="U1500">
        <v>0</v>
      </c>
      <c r="V1500" t="s">
        <v>4073</v>
      </c>
    </row>
    <row r="1501" spans="1:22" hidden="1" x14ac:dyDescent="0.45">
      <c r="A1501" s="2" t="s">
        <v>1540</v>
      </c>
      <c r="B1501" s="11">
        <v>45798</v>
      </c>
      <c r="C1501" s="2" t="s">
        <v>2010</v>
      </c>
      <c r="D1501" s="2" t="s">
        <v>2015</v>
      </c>
      <c r="E1501">
        <v>0</v>
      </c>
      <c r="F1501">
        <v>0</v>
      </c>
      <c r="G1501">
        <v>1824.31</v>
      </c>
      <c r="H1501">
        <v>160539.28</v>
      </c>
      <c r="I1501" s="2" t="s">
        <v>2021</v>
      </c>
      <c r="J1501" s="2" t="s">
        <v>2029</v>
      </c>
      <c r="K1501" s="2" t="s">
        <v>3561</v>
      </c>
      <c r="L1501" s="2" t="s">
        <v>4032</v>
      </c>
      <c r="M1501">
        <v>1824.31</v>
      </c>
      <c r="N1501" s="2" t="s">
        <v>4042</v>
      </c>
      <c r="O1501">
        <v>88</v>
      </c>
      <c r="P1501">
        <v>160539.28</v>
      </c>
      <c r="Q1501" t="b">
        <v>0</v>
      </c>
      <c r="R1501" t="b">
        <v>0</v>
      </c>
      <c r="S1501" t="b">
        <v>0</v>
      </c>
      <c r="T1501" t="b">
        <v>0</v>
      </c>
      <c r="U1501">
        <v>0</v>
      </c>
      <c r="V1501" t="s">
        <v>4073</v>
      </c>
    </row>
    <row r="1502" spans="1:22" hidden="1" x14ac:dyDescent="0.45">
      <c r="A1502" s="2" t="s">
        <v>1378</v>
      </c>
      <c r="B1502" s="11">
        <v>44943</v>
      </c>
      <c r="C1502" s="2" t="s">
        <v>2013</v>
      </c>
      <c r="D1502" s="2" t="s">
        <v>2018</v>
      </c>
      <c r="E1502">
        <v>1962.1</v>
      </c>
      <c r="F1502">
        <v>160892.19999999998</v>
      </c>
      <c r="G1502">
        <v>0</v>
      </c>
      <c r="H1502">
        <v>0</v>
      </c>
      <c r="I1502" s="2" t="s">
        <v>2020</v>
      </c>
      <c r="J1502" s="2" t="s">
        <v>2030</v>
      </c>
      <c r="K1502" s="2" t="s">
        <v>3399</v>
      </c>
      <c r="L1502" s="2" t="s">
        <v>4034</v>
      </c>
      <c r="M1502">
        <v>-1962.1</v>
      </c>
      <c r="N1502" s="2" t="s">
        <v>4044</v>
      </c>
      <c r="O1502">
        <v>82</v>
      </c>
      <c r="P1502">
        <v>-160892.19999999998</v>
      </c>
      <c r="Q1502" t="b">
        <v>0</v>
      </c>
      <c r="R1502" t="b">
        <v>0</v>
      </c>
      <c r="S1502" t="b">
        <v>0</v>
      </c>
      <c r="T1502" t="b">
        <v>0</v>
      </c>
      <c r="U1502">
        <v>0</v>
      </c>
      <c r="V1502" t="s">
        <v>4073</v>
      </c>
    </row>
    <row r="1503" spans="1:22" hidden="1" x14ac:dyDescent="0.45">
      <c r="A1503" s="2" t="s">
        <v>1712</v>
      </c>
      <c r="B1503" s="11">
        <v>44939</v>
      </c>
      <c r="C1503" s="2" t="s">
        <v>2010</v>
      </c>
      <c r="D1503" s="2" t="s">
        <v>2015</v>
      </c>
      <c r="E1503">
        <v>0</v>
      </c>
      <c r="F1503">
        <v>0</v>
      </c>
      <c r="G1503">
        <v>3892.69</v>
      </c>
      <c r="H1503">
        <v>217990.64</v>
      </c>
      <c r="I1503" s="2" t="s">
        <v>2020</v>
      </c>
      <c r="J1503" s="2" t="s">
        <v>2030</v>
      </c>
      <c r="K1503" s="2" t="s">
        <v>3733</v>
      </c>
      <c r="L1503" s="2" t="s">
        <v>4033</v>
      </c>
      <c r="M1503">
        <v>3892.69</v>
      </c>
      <c r="N1503" s="2" t="s">
        <v>4042</v>
      </c>
      <c r="O1503">
        <v>56</v>
      </c>
      <c r="P1503">
        <v>217990.64</v>
      </c>
      <c r="Q1503" t="b">
        <v>0</v>
      </c>
      <c r="R1503" t="b">
        <v>0</v>
      </c>
      <c r="S1503" t="b">
        <v>0</v>
      </c>
      <c r="T1503" t="b">
        <v>0</v>
      </c>
      <c r="U1503">
        <v>0</v>
      </c>
      <c r="V1503" t="s">
        <v>4073</v>
      </c>
    </row>
    <row r="1504" spans="1:22" hidden="1" x14ac:dyDescent="0.45">
      <c r="A1504" s="2" t="s">
        <v>436</v>
      </c>
      <c r="B1504" s="11">
        <v>45341</v>
      </c>
      <c r="C1504" s="2" t="s">
        <v>2010</v>
      </c>
      <c r="D1504" s="2" t="s">
        <v>2015</v>
      </c>
      <c r="E1504">
        <v>0</v>
      </c>
      <c r="F1504">
        <v>0</v>
      </c>
      <c r="G1504">
        <v>3923.81</v>
      </c>
      <c r="H1504">
        <v>219733.36</v>
      </c>
      <c r="I1504" s="2" t="s">
        <v>2025</v>
      </c>
      <c r="J1504" s="2" t="s">
        <v>2028</v>
      </c>
      <c r="K1504" s="2" t="s">
        <v>2457</v>
      </c>
      <c r="L1504" s="2" t="s">
        <v>4033</v>
      </c>
      <c r="M1504">
        <v>3923.81</v>
      </c>
      <c r="N1504" s="2" t="s">
        <v>4042</v>
      </c>
      <c r="O1504">
        <v>56</v>
      </c>
      <c r="P1504">
        <v>219733.36</v>
      </c>
      <c r="Q1504" t="b">
        <v>0</v>
      </c>
      <c r="R1504" t="b">
        <v>0</v>
      </c>
      <c r="S1504" t="b">
        <v>0</v>
      </c>
      <c r="T1504" t="b">
        <v>0</v>
      </c>
      <c r="U1504">
        <v>0</v>
      </c>
      <c r="V1504" t="s">
        <v>4073</v>
      </c>
    </row>
    <row r="1505" spans="1:22" hidden="1" x14ac:dyDescent="0.45">
      <c r="A1505" s="2" t="s">
        <v>338</v>
      </c>
      <c r="B1505" s="11">
        <v>45427</v>
      </c>
      <c r="C1505" s="2" t="s">
        <v>2010</v>
      </c>
      <c r="D1505" s="2" t="s">
        <v>2015</v>
      </c>
      <c r="E1505">
        <v>0</v>
      </c>
      <c r="F1505">
        <v>0</v>
      </c>
      <c r="G1505">
        <v>3924.16</v>
      </c>
      <c r="H1505">
        <v>219752.95999999999</v>
      </c>
      <c r="I1505" s="2" t="s">
        <v>2024</v>
      </c>
      <c r="J1505" s="2" t="s">
        <v>2026</v>
      </c>
      <c r="K1505" s="2" t="s">
        <v>2359</v>
      </c>
      <c r="L1505" s="2" t="s">
        <v>4033</v>
      </c>
      <c r="M1505">
        <v>3924.16</v>
      </c>
      <c r="N1505" s="2" t="s">
        <v>4042</v>
      </c>
      <c r="O1505">
        <v>56</v>
      </c>
      <c r="P1505">
        <v>219752.95999999999</v>
      </c>
      <c r="Q1505" t="b">
        <v>0</v>
      </c>
      <c r="R1505" t="b">
        <v>0</v>
      </c>
      <c r="S1505" t="b">
        <v>0</v>
      </c>
      <c r="T1505" t="b">
        <v>0</v>
      </c>
      <c r="U1505">
        <v>0</v>
      </c>
      <c r="V1505" t="s">
        <v>4073</v>
      </c>
    </row>
    <row r="1506" spans="1:22" hidden="1" x14ac:dyDescent="0.45">
      <c r="A1506" s="2" t="s">
        <v>511</v>
      </c>
      <c r="B1506" s="11">
        <v>45576</v>
      </c>
      <c r="C1506" s="2" t="s">
        <v>2010</v>
      </c>
      <c r="D1506" s="2" t="s">
        <v>2015</v>
      </c>
      <c r="E1506">
        <v>0</v>
      </c>
      <c r="F1506">
        <v>0</v>
      </c>
      <c r="G1506">
        <v>3951.26</v>
      </c>
      <c r="H1506">
        <v>221270.56</v>
      </c>
      <c r="I1506" s="2" t="s">
        <v>2024</v>
      </c>
      <c r="J1506" s="2" t="s">
        <v>2026</v>
      </c>
      <c r="K1506" s="2" t="s">
        <v>2532</v>
      </c>
      <c r="L1506" s="2" t="s">
        <v>4033</v>
      </c>
      <c r="M1506">
        <v>3951.26</v>
      </c>
      <c r="N1506" s="2" t="s">
        <v>4042</v>
      </c>
      <c r="O1506">
        <v>56</v>
      </c>
      <c r="P1506">
        <v>221270.56</v>
      </c>
      <c r="Q1506" t="b">
        <v>0</v>
      </c>
      <c r="R1506" t="b">
        <v>0</v>
      </c>
      <c r="S1506" t="b">
        <v>0</v>
      </c>
      <c r="T1506" t="b">
        <v>0</v>
      </c>
      <c r="U1506">
        <v>0</v>
      </c>
      <c r="V1506" t="s">
        <v>4073</v>
      </c>
    </row>
    <row r="1507" spans="1:22" hidden="1" x14ac:dyDescent="0.45">
      <c r="A1507" s="2" t="s">
        <v>1027</v>
      </c>
      <c r="B1507" s="11">
        <v>45642</v>
      </c>
      <c r="C1507" s="2" t="s">
        <v>2010</v>
      </c>
      <c r="D1507" s="2" t="s">
        <v>2015</v>
      </c>
      <c r="E1507">
        <v>0</v>
      </c>
      <c r="F1507">
        <v>0</v>
      </c>
      <c r="G1507">
        <v>3981.75</v>
      </c>
      <c r="H1507">
        <v>222978</v>
      </c>
      <c r="I1507" s="2" t="s">
        <v>2024</v>
      </c>
      <c r="J1507" s="2" t="s">
        <v>2028</v>
      </c>
      <c r="K1507" s="2" t="s">
        <v>3048</v>
      </c>
      <c r="L1507" s="2" t="s">
        <v>4033</v>
      </c>
      <c r="M1507">
        <v>3981.75</v>
      </c>
      <c r="N1507" s="2" t="s">
        <v>4042</v>
      </c>
      <c r="O1507">
        <v>56</v>
      </c>
      <c r="P1507">
        <v>222978</v>
      </c>
      <c r="Q1507" t="b">
        <v>0</v>
      </c>
      <c r="R1507" t="b">
        <v>0</v>
      </c>
      <c r="S1507" t="b">
        <v>0</v>
      </c>
      <c r="T1507" t="b">
        <v>0</v>
      </c>
      <c r="U1507">
        <v>0</v>
      </c>
      <c r="V1507" t="s">
        <v>4073</v>
      </c>
    </row>
    <row r="1508" spans="1:22" hidden="1" x14ac:dyDescent="0.45">
      <c r="A1508" s="2" t="s">
        <v>147</v>
      </c>
      <c r="B1508" s="11">
        <v>45582</v>
      </c>
      <c r="C1508" s="2" t="s">
        <v>2014</v>
      </c>
      <c r="D1508" s="2" t="s">
        <v>2019</v>
      </c>
      <c r="E1508">
        <v>0</v>
      </c>
      <c r="F1508">
        <v>0</v>
      </c>
      <c r="G1508">
        <v>2719.49</v>
      </c>
      <c r="H1508">
        <v>222998.18</v>
      </c>
      <c r="I1508" s="2" t="s">
        <v>2023</v>
      </c>
      <c r="J1508" s="2" t="s">
        <v>2027</v>
      </c>
      <c r="K1508" s="2" t="s">
        <v>2168</v>
      </c>
      <c r="L1508" s="2" t="s">
        <v>4034</v>
      </c>
      <c r="M1508">
        <v>2719.49</v>
      </c>
      <c r="N1508" s="2" t="s">
        <v>4042</v>
      </c>
      <c r="O1508">
        <v>82</v>
      </c>
      <c r="P1508">
        <v>222998.18</v>
      </c>
      <c r="Q1508" t="b">
        <v>0</v>
      </c>
      <c r="R1508" t="b">
        <v>0</v>
      </c>
      <c r="S1508" t="b">
        <v>0</v>
      </c>
      <c r="T1508" t="b">
        <v>0</v>
      </c>
      <c r="U1508">
        <v>0</v>
      </c>
      <c r="V1508" t="s">
        <v>4073</v>
      </c>
    </row>
    <row r="1509" spans="1:22" hidden="1" x14ac:dyDescent="0.45">
      <c r="A1509" s="2" t="s">
        <v>142</v>
      </c>
      <c r="B1509" s="11">
        <v>45355</v>
      </c>
      <c r="C1509" s="2" t="s">
        <v>2014</v>
      </c>
      <c r="D1509" s="2" t="s">
        <v>2019</v>
      </c>
      <c r="E1509">
        <v>0</v>
      </c>
      <c r="F1509">
        <v>0</v>
      </c>
      <c r="G1509">
        <v>3993.88</v>
      </c>
      <c r="H1509">
        <v>223657.28</v>
      </c>
      <c r="I1509" s="2" t="s">
        <v>2022</v>
      </c>
      <c r="J1509" s="2" t="s">
        <v>2030</v>
      </c>
      <c r="K1509" s="2" t="s">
        <v>2163</v>
      </c>
      <c r="L1509" s="2" t="s">
        <v>4033</v>
      </c>
      <c r="M1509">
        <v>3993.88</v>
      </c>
      <c r="N1509" s="2" t="s">
        <v>4042</v>
      </c>
      <c r="O1509">
        <v>56</v>
      </c>
      <c r="P1509">
        <v>223657.28</v>
      </c>
      <c r="Q1509" t="b">
        <v>0</v>
      </c>
      <c r="R1509" t="b">
        <v>0</v>
      </c>
      <c r="S1509" t="b">
        <v>0</v>
      </c>
      <c r="T1509" t="b">
        <v>0</v>
      </c>
      <c r="U1509">
        <v>0</v>
      </c>
      <c r="V1509" t="s">
        <v>4073</v>
      </c>
    </row>
    <row r="1510" spans="1:22" hidden="1" x14ac:dyDescent="0.45">
      <c r="A1510" s="2" t="s">
        <v>1035</v>
      </c>
      <c r="B1510" s="11">
        <v>44943</v>
      </c>
      <c r="C1510" s="2" t="s">
        <v>2014</v>
      </c>
      <c r="D1510" s="2" t="s">
        <v>2019</v>
      </c>
      <c r="E1510">
        <v>0</v>
      </c>
      <c r="F1510">
        <v>0</v>
      </c>
      <c r="G1510">
        <v>3890.34</v>
      </c>
      <c r="H1510">
        <v>217859.04</v>
      </c>
      <c r="I1510" s="2" t="s">
        <v>2025</v>
      </c>
      <c r="J1510" s="2" t="s">
        <v>2027</v>
      </c>
      <c r="K1510" s="2" t="s">
        <v>3056</v>
      </c>
      <c r="L1510" s="2" t="s">
        <v>4033</v>
      </c>
      <c r="M1510">
        <v>3890.34</v>
      </c>
      <c r="N1510" s="2" t="s">
        <v>4042</v>
      </c>
      <c r="O1510">
        <v>56</v>
      </c>
      <c r="P1510">
        <v>217859.04</v>
      </c>
      <c r="Q1510" t="b">
        <v>0</v>
      </c>
      <c r="R1510" t="b">
        <v>0</v>
      </c>
      <c r="S1510" t="b">
        <v>0</v>
      </c>
      <c r="T1510" t="b">
        <v>0</v>
      </c>
      <c r="U1510">
        <v>0</v>
      </c>
      <c r="V1510" t="s">
        <v>4073</v>
      </c>
    </row>
    <row r="1511" spans="1:22" hidden="1" x14ac:dyDescent="0.45">
      <c r="A1511" s="2" t="s">
        <v>1123</v>
      </c>
      <c r="B1511" s="11">
        <v>44928</v>
      </c>
      <c r="C1511" s="2" t="s">
        <v>2010</v>
      </c>
      <c r="D1511" s="2" t="s">
        <v>2015</v>
      </c>
      <c r="E1511">
        <v>0</v>
      </c>
      <c r="F1511">
        <v>0</v>
      </c>
      <c r="G1511">
        <v>2173.0100000000002</v>
      </c>
      <c r="H1511">
        <v>223820.03000000003</v>
      </c>
      <c r="I1511" s="2" t="s">
        <v>2023</v>
      </c>
      <c r="J1511" s="2" t="s">
        <v>2029</v>
      </c>
      <c r="K1511" s="2" t="s">
        <v>3144</v>
      </c>
      <c r="L1511" s="2" t="s">
        <v>4031</v>
      </c>
      <c r="M1511">
        <v>2173.0100000000002</v>
      </c>
      <c r="N1511" s="2" t="s">
        <v>4042</v>
      </c>
      <c r="O1511">
        <v>103</v>
      </c>
      <c r="P1511">
        <v>223820.03000000003</v>
      </c>
      <c r="Q1511" t="b">
        <v>0</v>
      </c>
      <c r="R1511" t="b">
        <v>0</v>
      </c>
      <c r="S1511" t="b">
        <v>0</v>
      </c>
      <c r="T1511" t="b">
        <v>0</v>
      </c>
      <c r="U1511">
        <v>0</v>
      </c>
      <c r="V1511" t="s">
        <v>4073</v>
      </c>
    </row>
    <row r="1512" spans="1:22" hidden="1" x14ac:dyDescent="0.45">
      <c r="A1512" s="2" t="s">
        <v>530</v>
      </c>
      <c r="B1512" s="11">
        <v>45632</v>
      </c>
      <c r="C1512" s="2" t="s">
        <v>2010</v>
      </c>
      <c r="D1512" s="2" t="s">
        <v>2015</v>
      </c>
      <c r="E1512">
        <v>0</v>
      </c>
      <c r="F1512">
        <v>0</v>
      </c>
      <c r="G1512">
        <v>2754.43</v>
      </c>
      <c r="H1512">
        <v>225863.25999999998</v>
      </c>
      <c r="I1512" s="2" t="s">
        <v>2020</v>
      </c>
      <c r="J1512" s="2" t="s">
        <v>2030</v>
      </c>
      <c r="K1512" s="2" t="s">
        <v>2551</v>
      </c>
      <c r="L1512" s="2" t="s">
        <v>4034</v>
      </c>
      <c r="M1512">
        <v>2754.43</v>
      </c>
      <c r="N1512" s="2" t="s">
        <v>4042</v>
      </c>
      <c r="O1512">
        <v>82</v>
      </c>
      <c r="P1512">
        <v>225863.25999999998</v>
      </c>
      <c r="Q1512" t="b">
        <v>0</v>
      </c>
      <c r="R1512" t="b">
        <v>0</v>
      </c>
      <c r="S1512" t="b">
        <v>0</v>
      </c>
      <c r="T1512" t="b">
        <v>0</v>
      </c>
      <c r="U1512">
        <v>0</v>
      </c>
      <c r="V1512" t="s">
        <v>4073</v>
      </c>
    </row>
    <row r="1513" spans="1:22" hidden="1" x14ac:dyDescent="0.45">
      <c r="A1513" s="2" t="s">
        <v>581</v>
      </c>
      <c r="B1513" s="11">
        <v>45355</v>
      </c>
      <c r="C1513" s="2" t="s">
        <v>2010</v>
      </c>
      <c r="D1513" s="2" t="s">
        <v>2015</v>
      </c>
      <c r="E1513">
        <v>0</v>
      </c>
      <c r="F1513">
        <v>0</v>
      </c>
      <c r="G1513">
        <v>3706.89</v>
      </c>
      <c r="H1513">
        <v>226120.28999999998</v>
      </c>
      <c r="I1513" s="2" t="s">
        <v>2022</v>
      </c>
      <c r="J1513" s="2" t="s">
        <v>2028</v>
      </c>
      <c r="K1513" s="2" t="s">
        <v>2602</v>
      </c>
      <c r="L1513" s="2" t="s">
        <v>4035</v>
      </c>
      <c r="M1513">
        <v>3706.89</v>
      </c>
      <c r="N1513" s="2" t="s">
        <v>4042</v>
      </c>
      <c r="O1513">
        <v>61</v>
      </c>
      <c r="P1513">
        <v>226120.28999999998</v>
      </c>
      <c r="Q1513" t="b">
        <v>0</v>
      </c>
      <c r="R1513" t="b">
        <v>0</v>
      </c>
      <c r="S1513" t="b">
        <v>0</v>
      </c>
      <c r="T1513" t="b">
        <v>0</v>
      </c>
      <c r="U1513">
        <v>0</v>
      </c>
      <c r="V1513" t="s">
        <v>4073</v>
      </c>
    </row>
    <row r="1514" spans="1:22" hidden="1" x14ac:dyDescent="0.45">
      <c r="A1514" s="2" t="s">
        <v>1243</v>
      </c>
      <c r="B1514" s="11">
        <v>45394</v>
      </c>
      <c r="C1514" s="2" t="s">
        <v>2010</v>
      </c>
      <c r="D1514" s="2" t="s">
        <v>2015</v>
      </c>
      <c r="E1514">
        <v>0</v>
      </c>
      <c r="F1514">
        <v>0</v>
      </c>
      <c r="G1514">
        <v>2570.4299999999998</v>
      </c>
      <c r="H1514">
        <v>226197.84</v>
      </c>
      <c r="I1514" s="2" t="s">
        <v>2022</v>
      </c>
      <c r="J1514" s="2" t="s">
        <v>2030</v>
      </c>
      <c r="K1514" s="2" t="s">
        <v>3264</v>
      </c>
      <c r="L1514" s="2" t="s">
        <v>4032</v>
      </c>
      <c r="M1514">
        <v>2570.4299999999998</v>
      </c>
      <c r="N1514" s="2" t="s">
        <v>4042</v>
      </c>
      <c r="O1514">
        <v>88</v>
      </c>
      <c r="P1514">
        <v>226197.84</v>
      </c>
      <c r="Q1514" t="b">
        <v>0</v>
      </c>
      <c r="R1514" t="b">
        <v>0</v>
      </c>
      <c r="S1514" t="b">
        <v>0</v>
      </c>
      <c r="T1514" t="b">
        <v>0</v>
      </c>
      <c r="U1514">
        <v>0</v>
      </c>
      <c r="V1514" t="s">
        <v>4073</v>
      </c>
    </row>
    <row r="1515" spans="1:22" hidden="1" x14ac:dyDescent="0.45">
      <c r="A1515" s="2" t="s">
        <v>153</v>
      </c>
      <c r="B1515" s="11">
        <v>45461</v>
      </c>
      <c r="C1515" s="2" t="s">
        <v>2010</v>
      </c>
      <c r="D1515" s="2" t="s">
        <v>2015</v>
      </c>
      <c r="E1515">
        <v>0</v>
      </c>
      <c r="F1515">
        <v>0</v>
      </c>
      <c r="G1515">
        <v>3711.83</v>
      </c>
      <c r="H1515">
        <v>226421.63</v>
      </c>
      <c r="I1515" s="2" t="s">
        <v>2020</v>
      </c>
      <c r="J1515" s="2" t="s">
        <v>2028</v>
      </c>
      <c r="K1515" s="2" t="s">
        <v>2174</v>
      </c>
      <c r="L1515" s="2" t="s">
        <v>4035</v>
      </c>
      <c r="M1515">
        <v>3711.83</v>
      </c>
      <c r="N1515" s="2" t="s">
        <v>4042</v>
      </c>
      <c r="O1515">
        <v>61</v>
      </c>
      <c r="P1515">
        <v>226421.63</v>
      </c>
      <c r="Q1515" t="b">
        <v>0</v>
      </c>
      <c r="R1515" t="b">
        <v>0</v>
      </c>
      <c r="S1515" t="b">
        <v>0</v>
      </c>
      <c r="T1515" t="b">
        <v>0</v>
      </c>
      <c r="U1515">
        <v>0</v>
      </c>
      <c r="V1515" t="s">
        <v>4073</v>
      </c>
    </row>
    <row r="1516" spans="1:22" hidden="1" x14ac:dyDescent="0.45">
      <c r="A1516" s="2" t="s">
        <v>340</v>
      </c>
      <c r="B1516" s="11">
        <v>45238</v>
      </c>
      <c r="C1516" s="2" t="s">
        <v>2010</v>
      </c>
      <c r="D1516" s="2" t="s">
        <v>2015</v>
      </c>
      <c r="E1516">
        <v>0</v>
      </c>
      <c r="F1516">
        <v>0</v>
      </c>
      <c r="G1516">
        <v>2579.5</v>
      </c>
      <c r="H1516">
        <v>226996</v>
      </c>
      <c r="I1516" s="2" t="s">
        <v>2020</v>
      </c>
      <c r="J1516" s="2" t="s">
        <v>2027</v>
      </c>
      <c r="K1516" s="2" t="s">
        <v>2361</v>
      </c>
      <c r="L1516" s="2" t="s">
        <v>4032</v>
      </c>
      <c r="M1516">
        <v>2579.5</v>
      </c>
      <c r="N1516" s="2" t="s">
        <v>4042</v>
      </c>
      <c r="O1516">
        <v>88</v>
      </c>
      <c r="P1516">
        <v>226996</v>
      </c>
      <c r="Q1516" t="b">
        <v>0</v>
      </c>
      <c r="R1516" t="b">
        <v>0</v>
      </c>
      <c r="S1516" t="b">
        <v>0</v>
      </c>
      <c r="T1516" t="b">
        <v>0</v>
      </c>
      <c r="U1516">
        <v>0</v>
      </c>
      <c r="V1516" t="s">
        <v>4073</v>
      </c>
    </row>
    <row r="1517" spans="1:22" hidden="1" x14ac:dyDescent="0.45">
      <c r="A1517" s="2" t="s">
        <v>1686</v>
      </c>
      <c r="B1517" s="11">
        <v>45363</v>
      </c>
      <c r="C1517" s="2" t="s">
        <v>2014</v>
      </c>
      <c r="D1517" s="2" t="s">
        <v>2019</v>
      </c>
      <c r="E1517">
        <v>0</v>
      </c>
      <c r="F1517">
        <v>0</v>
      </c>
      <c r="G1517">
        <v>2207.1799999999998</v>
      </c>
      <c r="H1517">
        <v>227339.53999999998</v>
      </c>
      <c r="I1517" s="2" t="s">
        <v>2024</v>
      </c>
      <c r="J1517" s="2" t="s">
        <v>2029</v>
      </c>
      <c r="K1517" s="2" t="s">
        <v>3707</v>
      </c>
      <c r="L1517" s="2" t="s">
        <v>4031</v>
      </c>
      <c r="M1517">
        <v>2207.1799999999998</v>
      </c>
      <c r="N1517" s="2" t="s">
        <v>4042</v>
      </c>
      <c r="O1517">
        <v>103</v>
      </c>
      <c r="P1517">
        <v>227339.53999999998</v>
      </c>
      <c r="Q1517" t="b">
        <v>0</v>
      </c>
      <c r="R1517" t="b">
        <v>0</v>
      </c>
      <c r="S1517" t="b">
        <v>0</v>
      </c>
      <c r="T1517" t="b">
        <v>0</v>
      </c>
      <c r="U1517">
        <v>0</v>
      </c>
      <c r="V1517" t="s">
        <v>4073</v>
      </c>
    </row>
    <row r="1518" spans="1:22" hidden="1" x14ac:dyDescent="0.45">
      <c r="A1518" s="2" t="s">
        <v>586</v>
      </c>
      <c r="B1518" s="11">
        <v>45814</v>
      </c>
      <c r="C1518" s="2" t="s">
        <v>2014</v>
      </c>
      <c r="D1518" s="2" t="s">
        <v>2019</v>
      </c>
      <c r="E1518">
        <v>0</v>
      </c>
      <c r="F1518">
        <v>0</v>
      </c>
      <c r="G1518">
        <v>2584</v>
      </c>
      <c r="H1518">
        <v>227392</v>
      </c>
      <c r="I1518" s="2" t="s">
        <v>2021</v>
      </c>
      <c r="J1518" s="2" t="s">
        <v>2029</v>
      </c>
      <c r="K1518" s="2" t="s">
        <v>2607</v>
      </c>
      <c r="L1518" s="2" t="s">
        <v>4032</v>
      </c>
      <c r="M1518">
        <v>2584</v>
      </c>
      <c r="N1518" s="2" t="s">
        <v>4042</v>
      </c>
      <c r="O1518">
        <v>88</v>
      </c>
      <c r="P1518">
        <v>227392</v>
      </c>
      <c r="Q1518" t="b">
        <v>0</v>
      </c>
      <c r="R1518" t="b">
        <v>0</v>
      </c>
      <c r="S1518" t="b">
        <v>0</v>
      </c>
      <c r="T1518" t="b">
        <v>0</v>
      </c>
      <c r="U1518">
        <v>0</v>
      </c>
      <c r="V1518" t="s">
        <v>4073</v>
      </c>
    </row>
    <row r="1519" spans="1:22" hidden="1" x14ac:dyDescent="0.45">
      <c r="A1519" s="2" t="s">
        <v>126</v>
      </c>
      <c r="B1519" s="11">
        <v>45029</v>
      </c>
      <c r="C1519" s="2" t="s">
        <v>2010</v>
      </c>
      <c r="D1519" s="2" t="s">
        <v>2015</v>
      </c>
      <c r="E1519">
        <v>0</v>
      </c>
      <c r="F1519">
        <v>0</v>
      </c>
      <c r="G1519">
        <v>3674.13</v>
      </c>
      <c r="H1519">
        <v>224121.93</v>
      </c>
      <c r="I1519" s="2" t="s">
        <v>2021</v>
      </c>
      <c r="J1519" s="2" t="s">
        <v>2030</v>
      </c>
      <c r="K1519" s="2" t="s">
        <v>2147</v>
      </c>
      <c r="L1519" s="2" t="s">
        <v>4035</v>
      </c>
      <c r="M1519">
        <v>3674.13</v>
      </c>
      <c r="N1519" s="2" t="s">
        <v>4042</v>
      </c>
      <c r="O1519">
        <v>61</v>
      </c>
      <c r="P1519">
        <v>224121.93</v>
      </c>
      <c r="Q1519" t="b">
        <v>0</v>
      </c>
      <c r="R1519" t="b">
        <v>0</v>
      </c>
      <c r="S1519" t="b">
        <v>0</v>
      </c>
      <c r="T1519" t="b">
        <v>0</v>
      </c>
      <c r="U1519">
        <v>0</v>
      </c>
      <c r="V1519" t="s">
        <v>4073</v>
      </c>
    </row>
    <row r="1520" spans="1:22" hidden="1" x14ac:dyDescent="0.45">
      <c r="A1520" s="2" t="s">
        <v>260</v>
      </c>
      <c r="B1520" s="11">
        <v>45475</v>
      </c>
      <c r="C1520" s="2" t="s">
        <v>2010</v>
      </c>
      <c r="D1520" s="2" t="s">
        <v>2015</v>
      </c>
      <c r="E1520">
        <v>0</v>
      </c>
      <c r="F1520">
        <v>0</v>
      </c>
      <c r="G1520">
        <v>2655.25</v>
      </c>
      <c r="H1520">
        <v>217730.5</v>
      </c>
      <c r="I1520" s="2" t="s">
        <v>2021</v>
      </c>
      <c r="J1520" s="2" t="s">
        <v>2026</v>
      </c>
      <c r="K1520" s="2" t="s">
        <v>2281</v>
      </c>
      <c r="L1520" s="2" t="s">
        <v>4034</v>
      </c>
      <c r="M1520">
        <v>2655.25</v>
      </c>
      <c r="N1520" s="2" t="s">
        <v>4042</v>
      </c>
      <c r="O1520">
        <v>82</v>
      </c>
      <c r="P1520">
        <v>217730.5</v>
      </c>
      <c r="Q1520" t="b">
        <v>0</v>
      </c>
      <c r="R1520" t="b">
        <v>0</v>
      </c>
      <c r="S1520" t="b">
        <v>0</v>
      </c>
      <c r="T1520" t="b">
        <v>0</v>
      </c>
      <c r="U1520">
        <v>0</v>
      </c>
      <c r="V1520" t="s">
        <v>4073</v>
      </c>
    </row>
    <row r="1521" spans="1:22" hidden="1" x14ac:dyDescent="0.45">
      <c r="A1521" s="2" t="s">
        <v>1355</v>
      </c>
      <c r="B1521" s="11">
        <v>45061</v>
      </c>
      <c r="C1521" s="2" t="s">
        <v>2010</v>
      </c>
      <c r="D1521" s="2" t="s">
        <v>2015</v>
      </c>
      <c r="E1521">
        <v>0</v>
      </c>
      <c r="F1521">
        <v>0</v>
      </c>
      <c r="G1521">
        <v>3873.21</v>
      </c>
      <c r="H1521">
        <v>216899.76</v>
      </c>
      <c r="I1521" s="2" t="s">
        <v>2022</v>
      </c>
      <c r="J1521" s="2" t="s">
        <v>2028</v>
      </c>
      <c r="K1521" s="2" t="s">
        <v>3376</v>
      </c>
      <c r="L1521" s="2" t="s">
        <v>4033</v>
      </c>
      <c r="M1521">
        <v>3873.21</v>
      </c>
      <c r="N1521" s="2" t="s">
        <v>4042</v>
      </c>
      <c r="O1521">
        <v>56</v>
      </c>
      <c r="P1521">
        <v>216899.76</v>
      </c>
      <c r="Q1521" t="b">
        <v>0</v>
      </c>
      <c r="R1521" t="b">
        <v>0</v>
      </c>
      <c r="S1521" t="b">
        <v>0</v>
      </c>
      <c r="T1521" t="b">
        <v>0</v>
      </c>
      <c r="U1521">
        <v>0</v>
      </c>
      <c r="V1521" t="s">
        <v>4073</v>
      </c>
    </row>
    <row r="1522" spans="1:22" hidden="1" x14ac:dyDescent="0.45">
      <c r="A1522" s="2" t="s">
        <v>1400</v>
      </c>
      <c r="B1522" s="11">
        <v>45344</v>
      </c>
      <c r="C1522" s="2" t="s">
        <v>2014</v>
      </c>
      <c r="D1522" s="2" t="s">
        <v>2019</v>
      </c>
      <c r="E1522">
        <v>0</v>
      </c>
      <c r="F1522">
        <v>0</v>
      </c>
      <c r="G1522">
        <v>3868.62</v>
      </c>
      <c r="H1522">
        <v>216642.72</v>
      </c>
      <c r="I1522" s="2" t="s">
        <v>2025</v>
      </c>
      <c r="J1522" s="2" t="s">
        <v>2030</v>
      </c>
      <c r="K1522" s="2" t="s">
        <v>3421</v>
      </c>
      <c r="L1522" s="2" t="s">
        <v>4033</v>
      </c>
      <c r="M1522">
        <v>3868.62</v>
      </c>
      <c r="N1522" s="2" t="s">
        <v>4042</v>
      </c>
      <c r="O1522">
        <v>56</v>
      </c>
      <c r="P1522">
        <v>216642.72</v>
      </c>
      <c r="Q1522" t="b">
        <v>0</v>
      </c>
      <c r="R1522" t="b">
        <v>0</v>
      </c>
      <c r="S1522" t="b">
        <v>0</v>
      </c>
      <c r="T1522" t="b">
        <v>0</v>
      </c>
      <c r="U1522">
        <v>0</v>
      </c>
      <c r="V1522" t="s">
        <v>4073</v>
      </c>
    </row>
    <row r="1523" spans="1:22" hidden="1" x14ac:dyDescent="0.45">
      <c r="A1523" s="2" t="s">
        <v>1124</v>
      </c>
      <c r="B1523" s="11">
        <v>45334</v>
      </c>
      <c r="C1523" s="2" t="s">
        <v>2010</v>
      </c>
      <c r="D1523" s="2" t="s">
        <v>2015</v>
      </c>
      <c r="E1523">
        <v>0</v>
      </c>
      <c r="F1523">
        <v>0</v>
      </c>
      <c r="G1523">
        <v>3592.24</v>
      </c>
      <c r="H1523">
        <v>201165.44</v>
      </c>
      <c r="I1523" s="2" t="s">
        <v>2024</v>
      </c>
      <c r="J1523" s="2" t="s">
        <v>2028</v>
      </c>
      <c r="K1523" s="2" t="s">
        <v>3145</v>
      </c>
      <c r="L1523" s="2" t="s">
        <v>4033</v>
      </c>
      <c r="M1523">
        <v>3592.24</v>
      </c>
      <c r="N1523" s="2" t="s">
        <v>4042</v>
      </c>
      <c r="O1523">
        <v>56</v>
      </c>
      <c r="P1523">
        <v>201165.44</v>
      </c>
      <c r="Q1523" t="b">
        <v>0</v>
      </c>
      <c r="R1523" t="b">
        <v>0</v>
      </c>
      <c r="S1523" t="b">
        <v>0</v>
      </c>
      <c r="T1523" t="b">
        <v>0</v>
      </c>
      <c r="U1523">
        <v>0</v>
      </c>
      <c r="V1523" t="s">
        <v>4073</v>
      </c>
    </row>
    <row r="1524" spans="1:22" hidden="1" x14ac:dyDescent="0.45">
      <c r="A1524" s="2" t="s">
        <v>1111</v>
      </c>
      <c r="B1524" s="11">
        <v>45793</v>
      </c>
      <c r="C1524" s="2" t="s">
        <v>2010</v>
      </c>
      <c r="D1524" s="2" t="s">
        <v>2015</v>
      </c>
      <c r="E1524">
        <v>0</v>
      </c>
      <c r="F1524">
        <v>0</v>
      </c>
      <c r="G1524">
        <v>1953.74</v>
      </c>
      <c r="H1524">
        <v>201235.22</v>
      </c>
      <c r="I1524" s="2" t="s">
        <v>2025</v>
      </c>
      <c r="J1524" s="2" t="s">
        <v>2027</v>
      </c>
      <c r="K1524" s="2" t="s">
        <v>3132</v>
      </c>
      <c r="L1524" s="2" t="s">
        <v>4031</v>
      </c>
      <c r="M1524">
        <v>1953.74</v>
      </c>
      <c r="N1524" s="2" t="s">
        <v>4042</v>
      </c>
      <c r="O1524">
        <v>103</v>
      </c>
      <c r="P1524">
        <v>201235.22</v>
      </c>
      <c r="Q1524" t="b">
        <v>0</v>
      </c>
      <c r="R1524" t="b">
        <v>0</v>
      </c>
      <c r="S1524" t="b">
        <v>0</v>
      </c>
      <c r="T1524" t="b">
        <v>0</v>
      </c>
      <c r="U1524">
        <v>0</v>
      </c>
      <c r="V1524" t="s">
        <v>4073</v>
      </c>
    </row>
    <row r="1525" spans="1:22" hidden="1" x14ac:dyDescent="0.45">
      <c r="A1525" s="2" t="s">
        <v>1295</v>
      </c>
      <c r="B1525" s="11">
        <v>45021</v>
      </c>
      <c r="C1525" s="2" t="s">
        <v>2014</v>
      </c>
      <c r="D1525" s="2" t="s">
        <v>2019</v>
      </c>
      <c r="E1525">
        <v>0</v>
      </c>
      <c r="F1525">
        <v>0</v>
      </c>
      <c r="G1525">
        <v>2327.23</v>
      </c>
      <c r="H1525">
        <v>204796.24</v>
      </c>
      <c r="I1525" s="2" t="s">
        <v>2020</v>
      </c>
      <c r="J1525" s="2" t="s">
        <v>2028</v>
      </c>
      <c r="K1525" s="2" t="s">
        <v>3316</v>
      </c>
      <c r="L1525" s="2" t="s">
        <v>4032</v>
      </c>
      <c r="M1525">
        <v>2327.23</v>
      </c>
      <c r="N1525" s="2" t="s">
        <v>4042</v>
      </c>
      <c r="O1525">
        <v>88</v>
      </c>
      <c r="P1525">
        <v>204796.24</v>
      </c>
      <c r="Q1525" t="b">
        <v>0</v>
      </c>
      <c r="R1525" t="b">
        <v>0</v>
      </c>
      <c r="S1525" t="b">
        <v>0</v>
      </c>
      <c r="T1525" t="b">
        <v>0</v>
      </c>
      <c r="U1525">
        <v>0</v>
      </c>
      <c r="V1525" t="s">
        <v>4073</v>
      </c>
    </row>
    <row r="1526" spans="1:22" hidden="1" x14ac:dyDescent="0.45">
      <c r="A1526" s="2" t="s">
        <v>358</v>
      </c>
      <c r="B1526" s="11">
        <v>45183</v>
      </c>
      <c r="C1526" s="2" t="s">
        <v>2010</v>
      </c>
      <c r="D1526" s="2" t="s">
        <v>2015</v>
      </c>
      <c r="E1526">
        <v>0</v>
      </c>
      <c r="F1526">
        <v>0</v>
      </c>
      <c r="G1526">
        <v>3658.34</v>
      </c>
      <c r="H1526">
        <v>204867.04</v>
      </c>
      <c r="I1526" s="2" t="s">
        <v>2022</v>
      </c>
      <c r="J1526" s="2" t="s">
        <v>2027</v>
      </c>
      <c r="K1526" s="2" t="s">
        <v>2379</v>
      </c>
      <c r="L1526" s="2" t="s">
        <v>4033</v>
      </c>
      <c r="M1526">
        <v>3658.34</v>
      </c>
      <c r="N1526" s="2" t="s">
        <v>4042</v>
      </c>
      <c r="O1526">
        <v>56</v>
      </c>
      <c r="P1526">
        <v>204867.04</v>
      </c>
      <c r="Q1526" t="b">
        <v>0</v>
      </c>
      <c r="R1526" t="b">
        <v>0</v>
      </c>
      <c r="S1526" t="b">
        <v>0</v>
      </c>
      <c r="T1526" t="b">
        <v>0</v>
      </c>
      <c r="U1526">
        <v>0</v>
      </c>
      <c r="V1526" t="s">
        <v>4073</v>
      </c>
    </row>
    <row r="1527" spans="1:22" hidden="1" x14ac:dyDescent="0.45">
      <c r="A1527" s="2" t="s">
        <v>1634</v>
      </c>
      <c r="B1527" s="11">
        <v>45386</v>
      </c>
      <c r="C1527" s="2" t="s">
        <v>2013</v>
      </c>
      <c r="D1527" s="2" t="s">
        <v>2018</v>
      </c>
      <c r="E1527">
        <v>1992.58</v>
      </c>
      <c r="F1527">
        <v>205235.74</v>
      </c>
      <c r="G1527">
        <v>0</v>
      </c>
      <c r="H1527">
        <v>0</v>
      </c>
      <c r="I1527" s="2" t="s">
        <v>2022</v>
      </c>
      <c r="J1527" s="2" t="s">
        <v>2026</v>
      </c>
      <c r="K1527" s="2" t="s">
        <v>3655</v>
      </c>
      <c r="L1527" s="2" t="s">
        <v>4031</v>
      </c>
      <c r="M1527">
        <v>-1992.58</v>
      </c>
      <c r="N1527" s="2" t="s">
        <v>4044</v>
      </c>
      <c r="O1527">
        <v>103</v>
      </c>
      <c r="P1527">
        <v>-205235.74</v>
      </c>
      <c r="Q1527" t="b">
        <v>0</v>
      </c>
      <c r="R1527" t="b">
        <v>0</v>
      </c>
      <c r="S1527" t="b">
        <v>0</v>
      </c>
      <c r="T1527" t="b">
        <v>0</v>
      </c>
      <c r="U1527">
        <v>0</v>
      </c>
      <c r="V1527" t="s">
        <v>4073</v>
      </c>
    </row>
    <row r="1528" spans="1:22" hidden="1" x14ac:dyDescent="0.45">
      <c r="A1528" s="2" t="s">
        <v>1305</v>
      </c>
      <c r="B1528" s="11">
        <v>45782</v>
      </c>
      <c r="C1528" s="2" t="s">
        <v>2012</v>
      </c>
      <c r="D1528" s="2" t="s">
        <v>2017</v>
      </c>
      <c r="E1528">
        <v>1993.37</v>
      </c>
      <c r="F1528">
        <v>205317.11</v>
      </c>
      <c r="G1528">
        <v>0</v>
      </c>
      <c r="H1528">
        <v>0</v>
      </c>
      <c r="I1528" s="2" t="s">
        <v>2023</v>
      </c>
      <c r="J1528" s="2" t="s">
        <v>2027</v>
      </c>
      <c r="K1528" s="2" t="s">
        <v>3326</v>
      </c>
      <c r="L1528" s="2" t="s">
        <v>4031</v>
      </c>
      <c r="M1528">
        <v>-1993.37</v>
      </c>
      <c r="N1528" s="2" t="s">
        <v>4044</v>
      </c>
      <c r="O1528">
        <v>103</v>
      </c>
      <c r="P1528">
        <v>-205317.11</v>
      </c>
      <c r="Q1528" t="b">
        <v>0</v>
      </c>
      <c r="R1528" t="b">
        <v>0</v>
      </c>
      <c r="S1528" t="b">
        <v>0</v>
      </c>
      <c r="T1528" t="b">
        <v>0</v>
      </c>
      <c r="U1528">
        <v>0</v>
      </c>
      <c r="V1528" t="s">
        <v>4073</v>
      </c>
    </row>
    <row r="1529" spans="1:22" hidden="1" x14ac:dyDescent="0.45">
      <c r="A1529" s="2" t="s">
        <v>23</v>
      </c>
      <c r="B1529" s="11">
        <v>45344</v>
      </c>
      <c r="C1529" s="2" t="s">
        <v>2010</v>
      </c>
      <c r="D1529" s="2" t="s">
        <v>2015</v>
      </c>
      <c r="E1529">
        <v>0</v>
      </c>
      <c r="F1529">
        <v>0</v>
      </c>
      <c r="G1529">
        <v>3379.63</v>
      </c>
      <c r="H1529">
        <v>206157.43</v>
      </c>
      <c r="I1529" s="2" t="s">
        <v>2020</v>
      </c>
      <c r="J1529" s="2" t="s">
        <v>2030</v>
      </c>
      <c r="K1529" s="2" t="s">
        <v>2044</v>
      </c>
      <c r="L1529" s="2" t="s">
        <v>4035</v>
      </c>
      <c r="M1529">
        <v>3379.63</v>
      </c>
      <c r="N1529" s="2" t="s">
        <v>4042</v>
      </c>
      <c r="O1529">
        <v>61</v>
      </c>
      <c r="P1529">
        <v>206157.43</v>
      </c>
      <c r="Q1529" t="b">
        <v>0</v>
      </c>
      <c r="R1529" t="b">
        <v>0</v>
      </c>
      <c r="S1529" t="b">
        <v>0</v>
      </c>
      <c r="T1529" t="b">
        <v>0</v>
      </c>
      <c r="U1529">
        <v>0</v>
      </c>
      <c r="V1529" t="s">
        <v>4073</v>
      </c>
    </row>
    <row r="1530" spans="1:22" hidden="1" x14ac:dyDescent="0.45">
      <c r="A1530" s="2" t="s">
        <v>1902</v>
      </c>
      <c r="B1530" s="11">
        <v>45212</v>
      </c>
      <c r="C1530" s="2" t="s">
        <v>2014</v>
      </c>
      <c r="D1530" s="2" t="s">
        <v>2019</v>
      </c>
      <c r="E1530">
        <v>0</v>
      </c>
      <c r="F1530">
        <v>0</v>
      </c>
      <c r="G1530">
        <v>2344.2199999999998</v>
      </c>
      <c r="H1530">
        <v>206291.36</v>
      </c>
      <c r="I1530" s="2" t="s">
        <v>2021</v>
      </c>
      <c r="J1530" s="2" t="s">
        <v>2027</v>
      </c>
      <c r="K1530" s="2" t="s">
        <v>3923</v>
      </c>
      <c r="L1530" s="2" t="s">
        <v>4032</v>
      </c>
      <c r="M1530">
        <v>2344.2199999999998</v>
      </c>
      <c r="N1530" s="2" t="s">
        <v>4042</v>
      </c>
      <c r="O1530">
        <v>88</v>
      </c>
      <c r="P1530">
        <v>206291.36</v>
      </c>
      <c r="Q1530" t="b">
        <v>0</v>
      </c>
      <c r="R1530" t="b">
        <v>0</v>
      </c>
      <c r="S1530" t="b">
        <v>0</v>
      </c>
      <c r="T1530" t="b">
        <v>0</v>
      </c>
      <c r="U1530">
        <v>0</v>
      </c>
      <c r="V1530" t="s">
        <v>4073</v>
      </c>
    </row>
    <row r="1531" spans="1:22" hidden="1" x14ac:dyDescent="0.45">
      <c r="A1531" s="2" t="s">
        <v>450</v>
      </c>
      <c r="B1531" s="11">
        <v>45120</v>
      </c>
      <c r="C1531" s="2" t="s">
        <v>2010</v>
      </c>
      <c r="D1531" s="2" t="s">
        <v>2015</v>
      </c>
      <c r="E1531">
        <v>0</v>
      </c>
      <c r="F1531">
        <v>0</v>
      </c>
      <c r="G1531">
        <v>3691.59</v>
      </c>
      <c r="H1531">
        <v>206729.04</v>
      </c>
      <c r="I1531" s="2" t="s">
        <v>2023</v>
      </c>
      <c r="J1531" s="2" t="s">
        <v>2026</v>
      </c>
      <c r="K1531" s="2" t="s">
        <v>2471</v>
      </c>
      <c r="L1531" s="2" t="s">
        <v>4033</v>
      </c>
      <c r="M1531">
        <v>3691.59</v>
      </c>
      <c r="N1531" s="2" t="s">
        <v>4042</v>
      </c>
      <c r="O1531">
        <v>56</v>
      </c>
      <c r="P1531">
        <v>206729.04</v>
      </c>
      <c r="Q1531" t="b">
        <v>0</v>
      </c>
      <c r="R1531" t="b">
        <v>0</v>
      </c>
      <c r="S1531" t="b">
        <v>0</v>
      </c>
      <c r="T1531" t="b">
        <v>0</v>
      </c>
      <c r="U1531">
        <v>0</v>
      </c>
      <c r="V1531" t="s">
        <v>4073</v>
      </c>
    </row>
    <row r="1532" spans="1:22" hidden="1" x14ac:dyDescent="0.45">
      <c r="A1532" s="2" t="s">
        <v>1959</v>
      </c>
      <c r="B1532" s="11">
        <v>45663</v>
      </c>
      <c r="C1532" s="2" t="s">
        <v>2010</v>
      </c>
      <c r="D1532" s="2" t="s">
        <v>2015</v>
      </c>
      <c r="E1532">
        <v>0</v>
      </c>
      <c r="F1532">
        <v>0</v>
      </c>
      <c r="G1532">
        <v>3701</v>
      </c>
      <c r="H1532">
        <v>207256</v>
      </c>
      <c r="I1532" s="2" t="s">
        <v>2021</v>
      </c>
      <c r="J1532" s="2" t="s">
        <v>2030</v>
      </c>
      <c r="K1532" s="2" t="s">
        <v>3980</v>
      </c>
      <c r="L1532" s="2" t="s">
        <v>4033</v>
      </c>
      <c r="M1532">
        <v>3701</v>
      </c>
      <c r="N1532" s="2" t="s">
        <v>4042</v>
      </c>
      <c r="O1532">
        <v>56</v>
      </c>
      <c r="P1532">
        <v>207256</v>
      </c>
      <c r="Q1532" t="b">
        <v>0</v>
      </c>
      <c r="R1532" t="b">
        <v>0</v>
      </c>
      <c r="S1532" t="b">
        <v>0</v>
      </c>
      <c r="T1532" t="b">
        <v>0</v>
      </c>
      <c r="U1532">
        <v>0</v>
      </c>
      <c r="V1532" t="s">
        <v>4073</v>
      </c>
    </row>
    <row r="1533" spans="1:22" hidden="1" x14ac:dyDescent="0.45">
      <c r="A1533" s="2" t="s">
        <v>1665</v>
      </c>
      <c r="B1533" s="11">
        <v>45218</v>
      </c>
      <c r="C1533" s="2" t="s">
        <v>2010</v>
      </c>
      <c r="D1533" s="2" t="s">
        <v>2015</v>
      </c>
      <c r="E1533">
        <v>0</v>
      </c>
      <c r="F1533">
        <v>0</v>
      </c>
      <c r="G1533">
        <v>3407.83</v>
      </c>
      <c r="H1533">
        <v>207877.63</v>
      </c>
      <c r="I1533" s="2" t="s">
        <v>2020</v>
      </c>
      <c r="J1533" s="2" t="s">
        <v>2029</v>
      </c>
      <c r="K1533" s="2" t="s">
        <v>3686</v>
      </c>
      <c r="L1533" s="2" t="s">
        <v>4035</v>
      </c>
      <c r="M1533">
        <v>3407.83</v>
      </c>
      <c r="N1533" s="2" t="s">
        <v>4042</v>
      </c>
      <c r="O1533">
        <v>61</v>
      </c>
      <c r="P1533">
        <v>207877.63</v>
      </c>
      <c r="Q1533" t="b">
        <v>0</v>
      </c>
      <c r="R1533" t="b">
        <v>0</v>
      </c>
      <c r="S1533" t="b">
        <v>0</v>
      </c>
      <c r="T1533" t="b">
        <v>0</v>
      </c>
      <c r="U1533">
        <v>0</v>
      </c>
      <c r="V1533" t="s">
        <v>4073</v>
      </c>
    </row>
    <row r="1534" spans="1:22" hidden="1" x14ac:dyDescent="0.45">
      <c r="A1534" s="2" t="s">
        <v>884</v>
      </c>
      <c r="B1534" s="11">
        <v>45678</v>
      </c>
      <c r="C1534" s="2" t="s">
        <v>2010</v>
      </c>
      <c r="D1534" s="2" t="s">
        <v>2015</v>
      </c>
      <c r="E1534">
        <v>0</v>
      </c>
      <c r="F1534">
        <v>0</v>
      </c>
      <c r="G1534">
        <v>2067.5700000000002</v>
      </c>
      <c r="H1534">
        <v>212959.71000000002</v>
      </c>
      <c r="I1534" s="2" t="s">
        <v>2024</v>
      </c>
      <c r="J1534" s="2" t="s">
        <v>2030</v>
      </c>
      <c r="K1534" s="2" t="s">
        <v>2905</v>
      </c>
      <c r="L1534" s="2" t="s">
        <v>4031</v>
      </c>
      <c r="M1534">
        <v>2067.5700000000002</v>
      </c>
      <c r="N1534" s="2" t="s">
        <v>4042</v>
      </c>
      <c r="O1534">
        <v>103</v>
      </c>
      <c r="P1534">
        <v>212959.71000000002</v>
      </c>
      <c r="Q1534" t="b">
        <v>0</v>
      </c>
      <c r="R1534" t="b">
        <v>0</v>
      </c>
      <c r="S1534" t="b">
        <v>0</v>
      </c>
      <c r="T1534" t="b">
        <v>0</v>
      </c>
      <c r="U1534">
        <v>0</v>
      </c>
      <c r="V1534" t="s">
        <v>4073</v>
      </c>
    </row>
    <row r="1535" spans="1:22" hidden="1" x14ac:dyDescent="0.45">
      <c r="A1535" s="2" t="s">
        <v>1240</v>
      </c>
      <c r="B1535" s="11">
        <v>45566</v>
      </c>
      <c r="C1535" s="2" t="s">
        <v>2010</v>
      </c>
      <c r="D1535" s="2" t="s">
        <v>2015</v>
      </c>
      <c r="E1535">
        <v>0</v>
      </c>
      <c r="F1535">
        <v>0</v>
      </c>
      <c r="G1535">
        <v>3506.68</v>
      </c>
      <c r="H1535">
        <v>213907.47999999998</v>
      </c>
      <c r="I1535" s="2" t="s">
        <v>2025</v>
      </c>
      <c r="J1535" s="2" t="s">
        <v>2029</v>
      </c>
      <c r="K1535" s="2" t="s">
        <v>3261</v>
      </c>
      <c r="L1535" s="2" t="s">
        <v>4035</v>
      </c>
      <c r="M1535">
        <v>3506.68</v>
      </c>
      <c r="N1535" s="2" t="s">
        <v>4042</v>
      </c>
      <c r="O1535">
        <v>61</v>
      </c>
      <c r="P1535">
        <v>213907.47999999998</v>
      </c>
      <c r="Q1535" t="b">
        <v>0</v>
      </c>
      <c r="R1535" t="b">
        <v>0</v>
      </c>
      <c r="S1535" t="b">
        <v>0</v>
      </c>
      <c r="T1535" t="b">
        <v>0</v>
      </c>
      <c r="U1535">
        <v>0</v>
      </c>
      <c r="V1535" t="s">
        <v>4073</v>
      </c>
    </row>
    <row r="1536" spans="1:22" hidden="1" x14ac:dyDescent="0.45">
      <c r="A1536" s="2" t="s">
        <v>799</v>
      </c>
      <c r="B1536" s="11">
        <v>45008</v>
      </c>
      <c r="C1536" s="2" t="s">
        <v>2014</v>
      </c>
      <c r="D1536" s="2" t="s">
        <v>2019</v>
      </c>
      <c r="E1536">
        <v>0</v>
      </c>
      <c r="F1536">
        <v>0</v>
      </c>
      <c r="G1536">
        <v>3848.25</v>
      </c>
      <c r="H1536">
        <v>215502</v>
      </c>
      <c r="I1536" s="2" t="s">
        <v>2020</v>
      </c>
      <c r="J1536" s="2" t="s">
        <v>2027</v>
      </c>
      <c r="K1536" s="2" t="s">
        <v>2820</v>
      </c>
      <c r="L1536" s="2" t="s">
        <v>4033</v>
      </c>
      <c r="M1536">
        <v>3848.25</v>
      </c>
      <c r="N1536" s="2" t="s">
        <v>4042</v>
      </c>
      <c r="O1536">
        <v>56</v>
      </c>
      <c r="P1536">
        <v>215502</v>
      </c>
      <c r="Q1536" t="b">
        <v>0</v>
      </c>
      <c r="R1536" t="b">
        <v>0</v>
      </c>
      <c r="S1536" t="b">
        <v>0</v>
      </c>
      <c r="T1536" t="b">
        <v>0</v>
      </c>
      <c r="U1536">
        <v>0</v>
      </c>
      <c r="V1536" t="s">
        <v>4073</v>
      </c>
    </row>
    <row r="1537" spans="1:22" hidden="1" x14ac:dyDescent="0.45">
      <c r="A1537" s="2" t="s">
        <v>21</v>
      </c>
      <c r="B1537" s="11">
        <v>45608</v>
      </c>
      <c r="C1537" s="2" t="s">
        <v>2010</v>
      </c>
      <c r="D1537" s="2" t="s">
        <v>2015</v>
      </c>
      <c r="E1537">
        <v>0</v>
      </c>
      <c r="F1537">
        <v>0</v>
      </c>
      <c r="G1537">
        <v>2452.1999999999998</v>
      </c>
      <c r="H1537">
        <v>215793.59999999998</v>
      </c>
      <c r="I1537" s="2" t="s">
        <v>2023</v>
      </c>
      <c r="J1537" s="2" t="s">
        <v>2029</v>
      </c>
      <c r="K1537" s="2" t="s">
        <v>2042</v>
      </c>
      <c r="L1537" s="2" t="s">
        <v>4032</v>
      </c>
      <c r="M1537">
        <v>2452.1999999999998</v>
      </c>
      <c r="N1537" s="2" t="s">
        <v>4042</v>
      </c>
      <c r="O1537">
        <v>88</v>
      </c>
      <c r="P1537">
        <v>215793.59999999998</v>
      </c>
      <c r="Q1537" t="b">
        <v>0</v>
      </c>
      <c r="R1537" t="b">
        <v>0</v>
      </c>
      <c r="S1537" t="b">
        <v>0</v>
      </c>
      <c r="T1537" t="b">
        <v>0</v>
      </c>
      <c r="U1537">
        <v>0</v>
      </c>
      <c r="V1537" t="s">
        <v>4073</v>
      </c>
    </row>
    <row r="1538" spans="1:22" hidden="1" x14ac:dyDescent="0.45">
      <c r="A1538" s="2" t="s">
        <v>877</v>
      </c>
      <c r="B1538" s="11">
        <v>45756</v>
      </c>
      <c r="C1538" s="2" t="s">
        <v>2010</v>
      </c>
      <c r="D1538" s="2" t="s">
        <v>2015</v>
      </c>
      <c r="E1538">
        <v>0</v>
      </c>
      <c r="F1538">
        <v>0</v>
      </c>
      <c r="G1538">
        <v>2100.39</v>
      </c>
      <c r="H1538">
        <v>216340.16999999998</v>
      </c>
      <c r="I1538" s="2" t="s">
        <v>2022</v>
      </c>
      <c r="J1538" s="2" t="s">
        <v>2028</v>
      </c>
      <c r="K1538" s="2" t="s">
        <v>2898</v>
      </c>
      <c r="L1538" s="2" t="s">
        <v>4031</v>
      </c>
      <c r="M1538">
        <v>2100.39</v>
      </c>
      <c r="N1538" s="2" t="s">
        <v>4042</v>
      </c>
      <c r="O1538">
        <v>103</v>
      </c>
      <c r="P1538">
        <v>216340.16999999998</v>
      </c>
      <c r="Q1538" t="b">
        <v>0</v>
      </c>
      <c r="R1538" t="b">
        <v>0</v>
      </c>
      <c r="S1538" t="b">
        <v>0</v>
      </c>
      <c r="T1538" t="b">
        <v>0</v>
      </c>
      <c r="U1538">
        <v>0</v>
      </c>
      <c r="V1538" t="s">
        <v>4073</v>
      </c>
    </row>
    <row r="1539" spans="1:22" hidden="1" x14ac:dyDescent="0.45">
      <c r="A1539" s="2" t="s">
        <v>1931</v>
      </c>
      <c r="B1539" s="11">
        <v>45384</v>
      </c>
      <c r="C1539" s="2" t="s">
        <v>2014</v>
      </c>
      <c r="D1539" s="2" t="s">
        <v>2019</v>
      </c>
      <c r="E1539">
        <v>0</v>
      </c>
      <c r="F1539">
        <v>0</v>
      </c>
      <c r="G1539">
        <v>2638.4</v>
      </c>
      <c r="H1539">
        <v>216348.80000000002</v>
      </c>
      <c r="I1539" s="2" t="s">
        <v>2025</v>
      </c>
      <c r="J1539" s="2" t="s">
        <v>2030</v>
      </c>
      <c r="K1539" s="2" t="s">
        <v>3952</v>
      </c>
      <c r="L1539" s="2" t="s">
        <v>4034</v>
      </c>
      <c r="M1539">
        <v>2638.4</v>
      </c>
      <c r="N1539" s="2" t="s">
        <v>4042</v>
      </c>
      <c r="O1539">
        <v>82</v>
      </c>
      <c r="P1539">
        <v>216348.80000000002</v>
      </c>
      <c r="Q1539" t="b">
        <v>0</v>
      </c>
      <c r="R1539" t="b">
        <v>0</v>
      </c>
      <c r="S1539" t="b">
        <v>0</v>
      </c>
      <c r="T1539" t="b">
        <v>0</v>
      </c>
      <c r="U1539">
        <v>0</v>
      </c>
      <c r="V1539" t="s">
        <v>4073</v>
      </c>
    </row>
    <row r="1540" spans="1:22" hidden="1" x14ac:dyDescent="0.45">
      <c r="A1540" s="2" t="s">
        <v>220</v>
      </c>
      <c r="B1540" s="11">
        <v>45159</v>
      </c>
      <c r="C1540" s="2" t="s">
        <v>2014</v>
      </c>
      <c r="D1540" s="2" t="s">
        <v>2019</v>
      </c>
      <c r="E1540">
        <v>0</v>
      </c>
      <c r="F1540">
        <v>0</v>
      </c>
      <c r="G1540">
        <v>3750.39</v>
      </c>
      <c r="H1540">
        <v>228773.78999999998</v>
      </c>
      <c r="I1540" s="2" t="s">
        <v>2024</v>
      </c>
      <c r="J1540" s="2" t="s">
        <v>2027</v>
      </c>
      <c r="K1540" s="2" t="s">
        <v>2241</v>
      </c>
      <c r="L1540" s="2" t="s">
        <v>4035</v>
      </c>
      <c r="M1540">
        <v>3750.39</v>
      </c>
      <c r="N1540" s="2" t="s">
        <v>4042</v>
      </c>
      <c r="O1540">
        <v>61</v>
      </c>
      <c r="P1540">
        <v>228773.78999999998</v>
      </c>
      <c r="Q1540" t="b">
        <v>0</v>
      </c>
      <c r="R1540" t="b">
        <v>0</v>
      </c>
      <c r="S1540" t="b">
        <v>0</v>
      </c>
      <c r="T1540" t="b">
        <v>0</v>
      </c>
      <c r="U1540">
        <v>0</v>
      </c>
      <c r="V1540" t="s">
        <v>4073</v>
      </c>
    </row>
    <row r="1541" spans="1:22" hidden="1" x14ac:dyDescent="0.45">
      <c r="A1541" s="2" t="s">
        <v>1938</v>
      </c>
      <c r="B1541" s="11">
        <v>45247</v>
      </c>
      <c r="C1541" s="2" t="s">
        <v>2010</v>
      </c>
      <c r="D1541" s="2" t="s">
        <v>2015</v>
      </c>
      <c r="E1541">
        <v>0</v>
      </c>
      <c r="F1541">
        <v>0</v>
      </c>
      <c r="G1541">
        <v>2221.86</v>
      </c>
      <c r="H1541">
        <v>228851.58000000002</v>
      </c>
      <c r="I1541" s="2" t="s">
        <v>2025</v>
      </c>
      <c r="J1541" s="2" t="s">
        <v>2027</v>
      </c>
      <c r="K1541" s="2" t="s">
        <v>3959</v>
      </c>
      <c r="L1541" s="2" t="s">
        <v>4031</v>
      </c>
      <c r="M1541">
        <v>2221.86</v>
      </c>
      <c r="N1541" s="2" t="s">
        <v>4042</v>
      </c>
      <c r="O1541">
        <v>103</v>
      </c>
      <c r="P1541">
        <v>228851.58000000002</v>
      </c>
      <c r="Q1541" t="b">
        <v>0</v>
      </c>
      <c r="R1541" t="b">
        <v>0</v>
      </c>
      <c r="S1541" t="b">
        <v>0</v>
      </c>
      <c r="T1541" t="b">
        <v>0</v>
      </c>
      <c r="U1541">
        <v>0</v>
      </c>
      <c r="V1541" t="s">
        <v>4073</v>
      </c>
    </row>
    <row r="1542" spans="1:22" hidden="1" x14ac:dyDescent="0.45">
      <c r="A1542" s="2" t="s">
        <v>1770</v>
      </c>
      <c r="B1542" s="11">
        <v>44998</v>
      </c>
      <c r="C1542" s="2" t="s">
        <v>2014</v>
      </c>
      <c r="D1542" s="2" t="s">
        <v>2019</v>
      </c>
      <c r="E1542">
        <v>0</v>
      </c>
      <c r="F1542">
        <v>0</v>
      </c>
      <c r="G1542">
        <v>4091.1</v>
      </c>
      <c r="H1542">
        <v>229101.6</v>
      </c>
      <c r="I1542" s="2" t="s">
        <v>2025</v>
      </c>
      <c r="J1542" s="2" t="s">
        <v>2026</v>
      </c>
      <c r="K1542" s="2" t="s">
        <v>3791</v>
      </c>
      <c r="L1542" s="2" t="s">
        <v>4033</v>
      </c>
      <c r="M1542">
        <v>4091.1</v>
      </c>
      <c r="N1542" s="2" t="s">
        <v>4042</v>
      </c>
      <c r="O1542">
        <v>56</v>
      </c>
      <c r="P1542">
        <v>229101.6</v>
      </c>
      <c r="Q1542" t="b">
        <v>0</v>
      </c>
      <c r="R1542" t="b">
        <v>0</v>
      </c>
      <c r="S1542" t="b">
        <v>0</v>
      </c>
      <c r="T1542" t="b">
        <v>0</v>
      </c>
      <c r="U1542">
        <v>0</v>
      </c>
      <c r="V1542" t="s">
        <v>4073</v>
      </c>
    </row>
    <row r="1543" spans="1:22" hidden="1" x14ac:dyDescent="0.45">
      <c r="A1543" s="2" t="s">
        <v>1582</v>
      </c>
      <c r="B1543" s="11">
        <v>45705</v>
      </c>
      <c r="C1543" s="2" t="s">
        <v>2014</v>
      </c>
      <c r="D1543" s="2" t="s">
        <v>2019</v>
      </c>
      <c r="E1543">
        <v>0</v>
      </c>
      <c r="F1543">
        <v>0</v>
      </c>
      <c r="G1543">
        <v>4109.07</v>
      </c>
      <c r="H1543">
        <v>230107.91999999998</v>
      </c>
      <c r="I1543" s="2" t="s">
        <v>2020</v>
      </c>
      <c r="J1543" s="2" t="s">
        <v>2030</v>
      </c>
      <c r="K1543" s="2" t="s">
        <v>3603</v>
      </c>
      <c r="L1543" s="2" t="s">
        <v>4033</v>
      </c>
      <c r="M1543">
        <v>4109.07</v>
      </c>
      <c r="N1543" s="2" t="s">
        <v>4042</v>
      </c>
      <c r="O1543">
        <v>56</v>
      </c>
      <c r="P1543">
        <v>230107.91999999998</v>
      </c>
      <c r="Q1543" t="b">
        <v>0</v>
      </c>
      <c r="R1543" t="b">
        <v>0</v>
      </c>
      <c r="S1543" t="b">
        <v>0</v>
      </c>
      <c r="T1543" t="b">
        <v>0</v>
      </c>
      <c r="U1543">
        <v>0</v>
      </c>
      <c r="V1543" t="s">
        <v>4073</v>
      </c>
    </row>
    <row r="1544" spans="1:22" hidden="1" x14ac:dyDescent="0.45">
      <c r="A1544" s="2" t="s">
        <v>1127</v>
      </c>
      <c r="B1544" s="11">
        <v>45219</v>
      </c>
      <c r="C1544" s="2" t="s">
        <v>2014</v>
      </c>
      <c r="D1544" s="2" t="s">
        <v>2019</v>
      </c>
      <c r="E1544">
        <v>0</v>
      </c>
      <c r="F1544">
        <v>0</v>
      </c>
      <c r="G1544">
        <v>2538.6999999999998</v>
      </c>
      <c r="H1544">
        <v>261486.09999999998</v>
      </c>
      <c r="I1544" s="2" t="s">
        <v>2020</v>
      </c>
      <c r="J1544" s="2" t="s">
        <v>2030</v>
      </c>
      <c r="K1544" s="2" t="s">
        <v>3148</v>
      </c>
      <c r="L1544" s="2" t="s">
        <v>4031</v>
      </c>
      <c r="M1544">
        <v>2538.6999999999998</v>
      </c>
      <c r="N1544" s="2" t="s">
        <v>4042</v>
      </c>
      <c r="O1544">
        <v>103</v>
      </c>
      <c r="P1544">
        <v>261486.09999999998</v>
      </c>
      <c r="Q1544" t="b">
        <v>0</v>
      </c>
      <c r="R1544" t="b">
        <v>0</v>
      </c>
      <c r="S1544" t="b">
        <v>0</v>
      </c>
      <c r="T1544" t="b">
        <v>0</v>
      </c>
      <c r="U1544">
        <v>0</v>
      </c>
      <c r="V1544" t="s">
        <v>4073</v>
      </c>
    </row>
    <row r="1545" spans="1:22" hidden="1" x14ac:dyDescent="0.45">
      <c r="A1545" s="2" t="s">
        <v>1486</v>
      </c>
      <c r="B1545" s="11">
        <v>45336</v>
      </c>
      <c r="C1545" s="2" t="s">
        <v>2010</v>
      </c>
      <c r="D1545" s="2" t="s">
        <v>2015</v>
      </c>
      <c r="E1545">
        <v>0</v>
      </c>
      <c r="F1545">
        <v>0</v>
      </c>
      <c r="G1545">
        <v>4294.84</v>
      </c>
      <c r="H1545">
        <v>261985.24000000002</v>
      </c>
      <c r="I1545" s="2" t="s">
        <v>2023</v>
      </c>
      <c r="J1545" s="2" t="s">
        <v>2026</v>
      </c>
      <c r="K1545" s="2" t="s">
        <v>3507</v>
      </c>
      <c r="L1545" s="2" t="s">
        <v>4035</v>
      </c>
      <c r="M1545">
        <v>4294.84</v>
      </c>
      <c r="N1545" s="2" t="s">
        <v>4042</v>
      </c>
      <c r="O1545">
        <v>61</v>
      </c>
      <c r="P1545">
        <v>261985.24000000002</v>
      </c>
      <c r="Q1545" t="b">
        <v>0</v>
      </c>
      <c r="R1545" t="b">
        <v>0</v>
      </c>
      <c r="S1545" t="b">
        <v>0</v>
      </c>
      <c r="T1545" t="b">
        <v>0</v>
      </c>
      <c r="U1545">
        <v>0</v>
      </c>
      <c r="V1545" t="s">
        <v>4073</v>
      </c>
    </row>
    <row r="1546" spans="1:22" hidden="1" x14ac:dyDescent="0.45">
      <c r="A1546" s="2" t="s">
        <v>258</v>
      </c>
      <c r="B1546" s="11">
        <v>45455</v>
      </c>
      <c r="C1546" s="2" t="s">
        <v>2014</v>
      </c>
      <c r="D1546" s="2" t="s">
        <v>2019</v>
      </c>
      <c r="E1546">
        <v>0</v>
      </c>
      <c r="F1546">
        <v>0</v>
      </c>
      <c r="G1546">
        <v>4679.5</v>
      </c>
      <c r="H1546">
        <v>262052</v>
      </c>
      <c r="I1546" s="2" t="s">
        <v>2021</v>
      </c>
      <c r="J1546" s="2" t="s">
        <v>2026</v>
      </c>
      <c r="K1546" s="2" t="s">
        <v>2279</v>
      </c>
      <c r="L1546" s="2" t="s">
        <v>4033</v>
      </c>
      <c r="M1546">
        <v>4679.5</v>
      </c>
      <c r="N1546" s="2" t="s">
        <v>4042</v>
      </c>
      <c r="O1546">
        <v>56</v>
      </c>
      <c r="P1546">
        <v>262052</v>
      </c>
      <c r="Q1546" t="b">
        <v>0</v>
      </c>
      <c r="R1546" t="b">
        <v>0</v>
      </c>
      <c r="S1546" t="b">
        <v>0</v>
      </c>
      <c r="T1546" t="b">
        <v>0</v>
      </c>
      <c r="U1546">
        <v>0</v>
      </c>
      <c r="V1546" t="s">
        <v>4073</v>
      </c>
    </row>
    <row r="1547" spans="1:22" hidden="1" x14ac:dyDescent="0.45">
      <c r="A1547" s="2" t="s">
        <v>212</v>
      </c>
      <c r="B1547" s="11">
        <v>45538</v>
      </c>
      <c r="C1547" s="2" t="s">
        <v>2010</v>
      </c>
      <c r="D1547" s="2" t="s">
        <v>2015</v>
      </c>
      <c r="E1547">
        <v>0</v>
      </c>
      <c r="F1547">
        <v>0</v>
      </c>
      <c r="G1547">
        <v>4299.82</v>
      </c>
      <c r="H1547">
        <v>262289.01999999996</v>
      </c>
      <c r="I1547" s="2" t="s">
        <v>2020</v>
      </c>
      <c r="J1547" s="2" t="s">
        <v>2029</v>
      </c>
      <c r="K1547" s="2" t="s">
        <v>2233</v>
      </c>
      <c r="L1547" s="2" t="s">
        <v>4035</v>
      </c>
      <c r="M1547">
        <v>4299.82</v>
      </c>
      <c r="N1547" s="2" t="s">
        <v>4042</v>
      </c>
      <c r="O1547">
        <v>61</v>
      </c>
      <c r="P1547">
        <v>262289.01999999996</v>
      </c>
      <c r="Q1547" t="b">
        <v>0</v>
      </c>
      <c r="R1547" t="b">
        <v>0</v>
      </c>
      <c r="S1547" t="b">
        <v>0</v>
      </c>
      <c r="T1547" t="b">
        <v>0</v>
      </c>
      <c r="U1547">
        <v>0</v>
      </c>
      <c r="V1547" t="s">
        <v>4073</v>
      </c>
    </row>
    <row r="1548" spans="1:22" hidden="1" x14ac:dyDescent="0.45">
      <c r="A1548" s="2" t="s">
        <v>278</v>
      </c>
      <c r="B1548" s="11">
        <v>45338</v>
      </c>
      <c r="C1548" s="2" t="s">
        <v>2010</v>
      </c>
      <c r="D1548" s="2" t="s">
        <v>2015</v>
      </c>
      <c r="E1548">
        <v>0</v>
      </c>
      <c r="F1548">
        <v>0</v>
      </c>
      <c r="G1548">
        <v>4728.58</v>
      </c>
      <c r="H1548">
        <v>264800.48</v>
      </c>
      <c r="I1548" s="2" t="s">
        <v>2023</v>
      </c>
      <c r="J1548" s="2" t="s">
        <v>2028</v>
      </c>
      <c r="K1548" s="2" t="s">
        <v>2299</v>
      </c>
      <c r="L1548" s="2" t="s">
        <v>4033</v>
      </c>
      <c r="M1548">
        <v>4728.58</v>
      </c>
      <c r="N1548" s="2" t="s">
        <v>4042</v>
      </c>
      <c r="O1548">
        <v>56</v>
      </c>
      <c r="P1548">
        <v>264800.48</v>
      </c>
      <c r="Q1548" t="b">
        <v>0</v>
      </c>
      <c r="R1548" t="b">
        <v>0</v>
      </c>
      <c r="S1548" t="b">
        <v>0</v>
      </c>
      <c r="T1548" t="b">
        <v>0</v>
      </c>
      <c r="U1548">
        <v>0</v>
      </c>
      <c r="V1548" t="s">
        <v>4073</v>
      </c>
    </row>
    <row r="1549" spans="1:22" hidden="1" x14ac:dyDescent="0.45">
      <c r="A1549" s="2" t="s">
        <v>481</v>
      </c>
      <c r="B1549" s="11">
        <v>45644</v>
      </c>
      <c r="C1549" s="2" t="s">
        <v>2014</v>
      </c>
      <c r="D1549" s="2" t="s">
        <v>2019</v>
      </c>
      <c r="E1549">
        <v>0</v>
      </c>
      <c r="F1549">
        <v>0</v>
      </c>
      <c r="G1549">
        <v>4734.3599999999997</v>
      </c>
      <c r="H1549">
        <v>265124.15999999997</v>
      </c>
      <c r="I1549" s="2" t="s">
        <v>2020</v>
      </c>
      <c r="J1549" s="2" t="s">
        <v>2028</v>
      </c>
      <c r="K1549" s="2" t="s">
        <v>2502</v>
      </c>
      <c r="L1549" s="2" t="s">
        <v>4033</v>
      </c>
      <c r="M1549">
        <v>4734.3599999999997</v>
      </c>
      <c r="N1549" s="2" t="s">
        <v>4042</v>
      </c>
      <c r="O1549">
        <v>56</v>
      </c>
      <c r="P1549">
        <v>265124.15999999997</v>
      </c>
      <c r="Q1549" t="b">
        <v>0</v>
      </c>
      <c r="R1549" t="b">
        <v>0</v>
      </c>
      <c r="S1549" t="b">
        <v>0</v>
      </c>
      <c r="T1549" t="b">
        <v>0</v>
      </c>
      <c r="U1549">
        <v>0</v>
      </c>
      <c r="V1549" t="s">
        <v>4073</v>
      </c>
    </row>
    <row r="1550" spans="1:22" hidden="1" x14ac:dyDescent="0.45">
      <c r="A1550" s="2" t="s">
        <v>945</v>
      </c>
      <c r="B1550" s="11">
        <v>45399</v>
      </c>
      <c r="C1550" s="2" t="s">
        <v>2014</v>
      </c>
      <c r="D1550" s="2" t="s">
        <v>2019</v>
      </c>
      <c r="E1550">
        <v>0</v>
      </c>
      <c r="F1550">
        <v>0</v>
      </c>
      <c r="G1550">
        <v>4352.6000000000004</v>
      </c>
      <c r="H1550">
        <v>265508.60000000003</v>
      </c>
      <c r="I1550" s="2" t="s">
        <v>2021</v>
      </c>
      <c r="J1550" s="2" t="s">
        <v>2030</v>
      </c>
      <c r="K1550" s="2" t="s">
        <v>2966</v>
      </c>
      <c r="L1550" s="2" t="s">
        <v>4035</v>
      </c>
      <c r="M1550">
        <v>4352.6000000000004</v>
      </c>
      <c r="N1550" s="2" t="s">
        <v>4042</v>
      </c>
      <c r="O1550">
        <v>61</v>
      </c>
      <c r="P1550">
        <v>265508.60000000003</v>
      </c>
      <c r="Q1550" t="b">
        <v>0</v>
      </c>
      <c r="R1550" t="b">
        <v>0</v>
      </c>
      <c r="S1550" t="b">
        <v>0</v>
      </c>
      <c r="T1550" t="b">
        <v>0</v>
      </c>
      <c r="U1550">
        <v>0</v>
      </c>
      <c r="V1550" t="s">
        <v>4073</v>
      </c>
    </row>
    <row r="1551" spans="1:22" hidden="1" x14ac:dyDescent="0.45">
      <c r="A1551" s="2" t="s">
        <v>127</v>
      </c>
      <c r="B1551" s="11">
        <v>45170</v>
      </c>
      <c r="C1551" s="2" t="s">
        <v>2014</v>
      </c>
      <c r="D1551" s="2" t="s">
        <v>2019</v>
      </c>
      <c r="E1551">
        <v>0</v>
      </c>
      <c r="F1551">
        <v>0</v>
      </c>
      <c r="G1551">
        <v>2578.4299999999998</v>
      </c>
      <c r="H1551">
        <v>265578.28999999998</v>
      </c>
      <c r="I1551" s="2" t="s">
        <v>2024</v>
      </c>
      <c r="J1551" s="2" t="s">
        <v>2027</v>
      </c>
      <c r="K1551" s="2" t="s">
        <v>2148</v>
      </c>
      <c r="L1551" s="2" t="s">
        <v>4031</v>
      </c>
      <c r="M1551">
        <v>2578.4299999999998</v>
      </c>
      <c r="N1551" s="2" t="s">
        <v>4042</v>
      </c>
      <c r="O1551">
        <v>103</v>
      </c>
      <c r="P1551">
        <v>265578.28999999998</v>
      </c>
      <c r="Q1551" t="b">
        <v>0</v>
      </c>
      <c r="R1551" t="b">
        <v>0</v>
      </c>
      <c r="S1551" t="b">
        <v>0</v>
      </c>
      <c r="T1551" t="b">
        <v>0</v>
      </c>
      <c r="U1551">
        <v>0</v>
      </c>
      <c r="V1551" t="s">
        <v>4073</v>
      </c>
    </row>
    <row r="1552" spans="1:22" hidden="1" x14ac:dyDescent="0.45">
      <c r="A1552" s="2" t="s">
        <v>1179</v>
      </c>
      <c r="B1552" s="11">
        <v>45826</v>
      </c>
      <c r="C1552" s="2" t="s">
        <v>2014</v>
      </c>
      <c r="D1552" s="2" t="s">
        <v>2019</v>
      </c>
      <c r="E1552">
        <v>0</v>
      </c>
      <c r="F1552">
        <v>0</v>
      </c>
      <c r="G1552">
        <v>4418.1899999999996</v>
      </c>
      <c r="H1552">
        <v>269509.58999999997</v>
      </c>
      <c r="I1552" s="2" t="s">
        <v>2022</v>
      </c>
      <c r="J1552" s="2" t="s">
        <v>2028</v>
      </c>
      <c r="K1552" s="2" t="s">
        <v>3200</v>
      </c>
      <c r="L1552" s="2" t="s">
        <v>4035</v>
      </c>
      <c r="M1552">
        <v>4418.1899999999996</v>
      </c>
      <c r="N1552" s="2" t="s">
        <v>4042</v>
      </c>
      <c r="O1552">
        <v>61</v>
      </c>
      <c r="P1552">
        <v>269509.58999999997</v>
      </c>
      <c r="Q1552" t="b">
        <v>0</v>
      </c>
      <c r="R1552" t="b">
        <v>0</v>
      </c>
      <c r="S1552" t="b">
        <v>0</v>
      </c>
      <c r="T1552" t="b">
        <v>0</v>
      </c>
      <c r="U1552">
        <v>0</v>
      </c>
      <c r="V1552" t="s">
        <v>4073</v>
      </c>
    </row>
    <row r="1553" spans="1:22" hidden="1" x14ac:dyDescent="0.45">
      <c r="A1553" s="2" t="s">
        <v>1279</v>
      </c>
      <c r="B1553" s="11">
        <v>45147</v>
      </c>
      <c r="C1553" s="2" t="s">
        <v>2014</v>
      </c>
      <c r="D1553" s="2" t="s">
        <v>2019</v>
      </c>
      <c r="E1553">
        <v>0</v>
      </c>
      <c r="F1553">
        <v>0</v>
      </c>
      <c r="G1553">
        <v>4835.12</v>
      </c>
      <c r="H1553">
        <v>270766.71999999997</v>
      </c>
      <c r="I1553" s="2" t="s">
        <v>2025</v>
      </c>
      <c r="J1553" s="2" t="s">
        <v>2028</v>
      </c>
      <c r="K1553" s="2" t="s">
        <v>3300</v>
      </c>
      <c r="L1553" s="2" t="s">
        <v>4033</v>
      </c>
      <c r="M1553">
        <v>4835.12</v>
      </c>
      <c r="N1553" s="2" t="s">
        <v>4042</v>
      </c>
      <c r="O1553">
        <v>56</v>
      </c>
      <c r="P1553">
        <v>270766.71999999997</v>
      </c>
      <c r="Q1553" t="b">
        <v>0</v>
      </c>
      <c r="R1553" t="b">
        <v>0</v>
      </c>
      <c r="S1553" t="b">
        <v>0</v>
      </c>
      <c r="T1553" t="b">
        <v>0</v>
      </c>
      <c r="U1553">
        <v>0</v>
      </c>
      <c r="V1553" t="s">
        <v>4073</v>
      </c>
    </row>
    <row r="1554" spans="1:22" hidden="1" x14ac:dyDescent="0.45">
      <c r="A1554" s="2" t="s">
        <v>1317</v>
      </c>
      <c r="B1554" s="11">
        <v>45090</v>
      </c>
      <c r="C1554" s="2" t="s">
        <v>2010</v>
      </c>
      <c r="D1554" s="2" t="s">
        <v>2015</v>
      </c>
      <c r="E1554">
        <v>0</v>
      </c>
      <c r="F1554">
        <v>0</v>
      </c>
      <c r="G1554">
        <v>3083.05</v>
      </c>
      <c r="H1554">
        <v>271308.40000000002</v>
      </c>
      <c r="I1554" s="2" t="s">
        <v>2020</v>
      </c>
      <c r="J1554" s="2" t="s">
        <v>2027</v>
      </c>
      <c r="K1554" s="2" t="s">
        <v>3338</v>
      </c>
      <c r="L1554" s="2" t="s">
        <v>4032</v>
      </c>
      <c r="M1554">
        <v>3083.05</v>
      </c>
      <c r="N1554" s="2" t="s">
        <v>4042</v>
      </c>
      <c r="O1554">
        <v>88</v>
      </c>
      <c r="P1554">
        <v>271308.40000000002</v>
      </c>
      <c r="Q1554" t="b">
        <v>0</v>
      </c>
      <c r="R1554" t="b">
        <v>0</v>
      </c>
      <c r="S1554" t="b">
        <v>0</v>
      </c>
      <c r="T1554" t="b">
        <v>0</v>
      </c>
      <c r="U1554">
        <v>0</v>
      </c>
      <c r="V1554" t="s">
        <v>4073</v>
      </c>
    </row>
    <row r="1555" spans="1:22" hidden="1" x14ac:dyDescent="0.45">
      <c r="A1555" s="2" t="s">
        <v>810</v>
      </c>
      <c r="B1555" s="11">
        <v>45303</v>
      </c>
      <c r="C1555" s="2" t="s">
        <v>2010</v>
      </c>
      <c r="D1555" s="2" t="s">
        <v>2015</v>
      </c>
      <c r="E1555">
        <v>0</v>
      </c>
      <c r="F1555">
        <v>0</v>
      </c>
      <c r="G1555">
        <v>4449.82</v>
      </c>
      <c r="H1555">
        <v>271439.01999999996</v>
      </c>
      <c r="I1555" s="2" t="s">
        <v>2023</v>
      </c>
      <c r="J1555" s="2" t="s">
        <v>2027</v>
      </c>
      <c r="K1555" s="2" t="s">
        <v>2831</v>
      </c>
      <c r="L1555" s="2" t="s">
        <v>4035</v>
      </c>
      <c r="M1555">
        <v>4449.82</v>
      </c>
      <c r="N1555" s="2" t="s">
        <v>4042</v>
      </c>
      <c r="O1555">
        <v>61</v>
      </c>
      <c r="P1555">
        <v>271439.01999999996</v>
      </c>
      <c r="Q1555" t="b">
        <v>0</v>
      </c>
      <c r="R1555" t="b">
        <v>0</v>
      </c>
      <c r="S1555" t="b">
        <v>0</v>
      </c>
      <c r="T1555" t="b">
        <v>0</v>
      </c>
      <c r="U1555">
        <v>0</v>
      </c>
      <c r="V1555" t="s">
        <v>4073</v>
      </c>
    </row>
    <row r="1556" spans="1:22" hidden="1" x14ac:dyDescent="0.45">
      <c r="A1556" s="2" t="s">
        <v>317</v>
      </c>
      <c r="B1556" s="11">
        <v>44949</v>
      </c>
      <c r="C1556" s="2" t="s">
        <v>2010</v>
      </c>
      <c r="D1556" s="2" t="s">
        <v>2015</v>
      </c>
      <c r="E1556">
        <v>0</v>
      </c>
      <c r="F1556">
        <v>0</v>
      </c>
      <c r="G1556">
        <v>2648.82</v>
      </c>
      <c r="H1556">
        <v>272828.46000000002</v>
      </c>
      <c r="I1556" s="2" t="s">
        <v>2025</v>
      </c>
      <c r="J1556" s="2" t="s">
        <v>2029</v>
      </c>
      <c r="K1556" s="2" t="s">
        <v>2338</v>
      </c>
      <c r="L1556" s="2" t="s">
        <v>4031</v>
      </c>
      <c r="M1556">
        <v>2648.82</v>
      </c>
      <c r="N1556" s="2" t="s">
        <v>4042</v>
      </c>
      <c r="O1556">
        <v>103</v>
      </c>
      <c r="P1556">
        <v>272828.46000000002</v>
      </c>
      <c r="Q1556" t="b">
        <v>0</v>
      </c>
      <c r="R1556" t="b">
        <v>0</v>
      </c>
      <c r="S1556" t="b">
        <v>0</v>
      </c>
      <c r="T1556" t="b">
        <v>0</v>
      </c>
      <c r="U1556">
        <v>0</v>
      </c>
      <c r="V1556" t="s">
        <v>4073</v>
      </c>
    </row>
    <row r="1557" spans="1:22" hidden="1" x14ac:dyDescent="0.45">
      <c r="A1557" s="2" t="s">
        <v>1113</v>
      </c>
      <c r="B1557" s="11">
        <v>45434</v>
      </c>
      <c r="C1557" s="2" t="s">
        <v>2014</v>
      </c>
      <c r="D1557" s="2" t="s">
        <v>2019</v>
      </c>
      <c r="E1557">
        <v>0</v>
      </c>
      <c r="F1557">
        <v>0</v>
      </c>
      <c r="G1557">
        <v>3335.43</v>
      </c>
      <c r="H1557">
        <v>273505.26</v>
      </c>
      <c r="I1557" s="2" t="s">
        <v>2025</v>
      </c>
      <c r="J1557" s="2" t="s">
        <v>2029</v>
      </c>
      <c r="K1557" s="2" t="s">
        <v>3134</v>
      </c>
      <c r="L1557" s="2" t="s">
        <v>4034</v>
      </c>
      <c r="M1557">
        <v>3335.43</v>
      </c>
      <c r="N1557" s="2" t="s">
        <v>4042</v>
      </c>
      <c r="O1557">
        <v>82</v>
      </c>
      <c r="P1557">
        <v>273505.26</v>
      </c>
      <c r="Q1557" t="b">
        <v>0</v>
      </c>
      <c r="R1557" t="b">
        <v>0</v>
      </c>
      <c r="S1557" t="b">
        <v>0</v>
      </c>
      <c r="T1557" t="b">
        <v>0</v>
      </c>
      <c r="U1557">
        <v>0</v>
      </c>
      <c r="V1557" t="s">
        <v>4073</v>
      </c>
    </row>
    <row r="1558" spans="1:22" hidden="1" x14ac:dyDescent="0.45">
      <c r="A1558" s="2" t="s">
        <v>659</v>
      </c>
      <c r="B1558" s="11">
        <v>45341</v>
      </c>
      <c r="C1558" s="2" t="s">
        <v>2010</v>
      </c>
      <c r="D1558" s="2" t="s">
        <v>2015</v>
      </c>
      <c r="E1558">
        <v>0</v>
      </c>
      <c r="F1558">
        <v>0</v>
      </c>
      <c r="G1558">
        <v>2657.38</v>
      </c>
      <c r="H1558">
        <v>273710.14</v>
      </c>
      <c r="I1558" s="2" t="s">
        <v>2025</v>
      </c>
      <c r="J1558" s="2" t="s">
        <v>2027</v>
      </c>
      <c r="K1558" s="2" t="s">
        <v>2680</v>
      </c>
      <c r="L1558" s="2" t="s">
        <v>4031</v>
      </c>
      <c r="M1558">
        <v>2657.38</v>
      </c>
      <c r="N1558" s="2" t="s">
        <v>4042</v>
      </c>
      <c r="O1558">
        <v>103</v>
      </c>
      <c r="P1558">
        <v>273710.14</v>
      </c>
      <c r="Q1558" t="b">
        <v>0</v>
      </c>
      <c r="R1558" t="b">
        <v>0</v>
      </c>
      <c r="S1558" t="b">
        <v>0</v>
      </c>
      <c r="T1558" t="b">
        <v>0</v>
      </c>
      <c r="U1558">
        <v>0</v>
      </c>
      <c r="V1558" t="s">
        <v>4073</v>
      </c>
    </row>
    <row r="1559" spans="1:22" hidden="1" x14ac:dyDescent="0.45">
      <c r="A1559" s="2" t="s">
        <v>585</v>
      </c>
      <c r="B1559" s="11">
        <v>45272</v>
      </c>
      <c r="C1559" s="2" t="s">
        <v>2014</v>
      </c>
      <c r="D1559" s="2" t="s">
        <v>2019</v>
      </c>
      <c r="E1559">
        <v>0</v>
      </c>
      <c r="F1559">
        <v>0</v>
      </c>
      <c r="G1559">
        <v>3347.45</v>
      </c>
      <c r="H1559">
        <v>274490.89999999997</v>
      </c>
      <c r="I1559" s="2" t="s">
        <v>2020</v>
      </c>
      <c r="J1559" s="2" t="s">
        <v>2026</v>
      </c>
      <c r="K1559" s="2" t="s">
        <v>2606</v>
      </c>
      <c r="L1559" s="2" t="s">
        <v>4034</v>
      </c>
      <c r="M1559">
        <v>3347.45</v>
      </c>
      <c r="N1559" s="2" t="s">
        <v>4042</v>
      </c>
      <c r="O1559">
        <v>82</v>
      </c>
      <c r="P1559">
        <v>274490.89999999997</v>
      </c>
      <c r="Q1559" t="b">
        <v>0</v>
      </c>
      <c r="R1559" t="b">
        <v>0</v>
      </c>
      <c r="S1559" t="b">
        <v>0</v>
      </c>
      <c r="T1559" t="b">
        <v>0</v>
      </c>
      <c r="U1559">
        <v>0</v>
      </c>
      <c r="V1559" t="s">
        <v>4073</v>
      </c>
    </row>
    <row r="1560" spans="1:22" hidden="1" x14ac:dyDescent="0.45">
      <c r="A1560" s="2" t="s">
        <v>1474</v>
      </c>
      <c r="B1560" s="11">
        <v>45337</v>
      </c>
      <c r="C1560" s="2" t="s">
        <v>2010</v>
      </c>
      <c r="D1560" s="2" t="s">
        <v>2015</v>
      </c>
      <c r="E1560">
        <v>0</v>
      </c>
      <c r="F1560">
        <v>0</v>
      </c>
      <c r="G1560">
        <v>3125.16</v>
      </c>
      <c r="H1560">
        <v>275014.07999999996</v>
      </c>
      <c r="I1560" s="2" t="s">
        <v>2020</v>
      </c>
      <c r="J1560" s="2" t="s">
        <v>2029</v>
      </c>
      <c r="K1560" s="2" t="s">
        <v>3495</v>
      </c>
      <c r="L1560" s="2" t="s">
        <v>4032</v>
      </c>
      <c r="M1560">
        <v>3125.16</v>
      </c>
      <c r="N1560" s="2" t="s">
        <v>4042</v>
      </c>
      <c r="O1560">
        <v>88</v>
      </c>
      <c r="P1560">
        <v>275014.07999999996</v>
      </c>
      <c r="Q1560" t="b">
        <v>0</v>
      </c>
      <c r="R1560" t="b">
        <v>0</v>
      </c>
      <c r="S1560" t="b">
        <v>0</v>
      </c>
      <c r="T1560" t="b">
        <v>0</v>
      </c>
      <c r="U1560">
        <v>0</v>
      </c>
      <c r="V1560" t="s">
        <v>4073</v>
      </c>
    </row>
    <row r="1561" spans="1:22" hidden="1" x14ac:dyDescent="0.45">
      <c r="A1561" s="2" t="s">
        <v>803</v>
      </c>
      <c r="B1561" s="11">
        <v>45516</v>
      </c>
      <c r="C1561" s="2" t="s">
        <v>2014</v>
      </c>
      <c r="D1561" s="2" t="s">
        <v>2019</v>
      </c>
      <c r="E1561">
        <v>0</v>
      </c>
      <c r="F1561">
        <v>0</v>
      </c>
      <c r="G1561">
        <v>3170.84</v>
      </c>
      <c r="H1561">
        <v>260008.88</v>
      </c>
      <c r="I1561" s="2" t="s">
        <v>2024</v>
      </c>
      <c r="J1561" s="2" t="s">
        <v>2030</v>
      </c>
      <c r="K1561" s="2" t="s">
        <v>2824</v>
      </c>
      <c r="L1561" s="2" t="s">
        <v>4034</v>
      </c>
      <c r="M1561">
        <v>3170.84</v>
      </c>
      <c r="N1561" s="2" t="s">
        <v>4042</v>
      </c>
      <c r="O1561">
        <v>82</v>
      </c>
      <c r="P1561">
        <v>260008.88</v>
      </c>
      <c r="Q1561" t="b">
        <v>0</v>
      </c>
      <c r="R1561" t="b">
        <v>0</v>
      </c>
      <c r="S1561" t="b">
        <v>0</v>
      </c>
      <c r="T1561" t="b">
        <v>0</v>
      </c>
      <c r="U1561">
        <v>0</v>
      </c>
      <c r="V1561" t="s">
        <v>4073</v>
      </c>
    </row>
    <row r="1562" spans="1:22" hidden="1" x14ac:dyDescent="0.45">
      <c r="A1562" s="2" t="s">
        <v>1282</v>
      </c>
      <c r="B1562" s="11">
        <v>45126</v>
      </c>
      <c r="C1562" s="2" t="s">
        <v>2014</v>
      </c>
      <c r="D1562" s="2" t="s">
        <v>2019</v>
      </c>
      <c r="E1562">
        <v>0</v>
      </c>
      <c r="F1562">
        <v>0</v>
      </c>
      <c r="G1562">
        <v>3589.18</v>
      </c>
      <c r="H1562">
        <v>200994.08</v>
      </c>
      <c r="I1562" s="2" t="s">
        <v>2024</v>
      </c>
      <c r="J1562" s="2" t="s">
        <v>2027</v>
      </c>
      <c r="K1562" s="2" t="s">
        <v>3303</v>
      </c>
      <c r="L1562" s="2" t="s">
        <v>4033</v>
      </c>
      <c r="M1562">
        <v>3589.18</v>
      </c>
      <c r="N1562" s="2" t="s">
        <v>4042</v>
      </c>
      <c r="O1562">
        <v>56</v>
      </c>
      <c r="P1562">
        <v>200994.08</v>
      </c>
      <c r="Q1562" t="b">
        <v>0</v>
      </c>
      <c r="R1562" t="b">
        <v>0</v>
      </c>
      <c r="S1562" t="b">
        <v>0</v>
      </c>
      <c r="T1562" t="b">
        <v>0</v>
      </c>
      <c r="U1562">
        <v>0</v>
      </c>
      <c r="V1562" t="s">
        <v>4073</v>
      </c>
    </row>
    <row r="1563" spans="1:22" hidden="1" x14ac:dyDescent="0.45">
      <c r="A1563" s="2" t="s">
        <v>587</v>
      </c>
      <c r="B1563" s="11">
        <v>45161</v>
      </c>
      <c r="C1563" s="2" t="s">
        <v>2010</v>
      </c>
      <c r="D1563" s="2" t="s">
        <v>2015</v>
      </c>
      <c r="E1563">
        <v>0</v>
      </c>
      <c r="F1563">
        <v>0</v>
      </c>
      <c r="G1563">
        <v>4254.54</v>
      </c>
      <c r="H1563">
        <v>259526.94</v>
      </c>
      <c r="I1563" s="2" t="s">
        <v>2023</v>
      </c>
      <c r="J1563" s="2" t="s">
        <v>2027</v>
      </c>
      <c r="K1563" s="2" t="s">
        <v>2608</v>
      </c>
      <c r="L1563" s="2" t="s">
        <v>4035</v>
      </c>
      <c r="M1563">
        <v>4254.54</v>
      </c>
      <c r="N1563" s="2" t="s">
        <v>4042</v>
      </c>
      <c r="O1563">
        <v>61</v>
      </c>
      <c r="P1563">
        <v>259526.94</v>
      </c>
      <c r="Q1563" t="b">
        <v>0</v>
      </c>
      <c r="R1563" t="b">
        <v>0</v>
      </c>
      <c r="S1563" t="b">
        <v>0</v>
      </c>
      <c r="T1563" t="b">
        <v>0</v>
      </c>
      <c r="U1563">
        <v>0</v>
      </c>
      <c r="V1563" t="s">
        <v>4073</v>
      </c>
    </row>
    <row r="1564" spans="1:22" hidden="1" x14ac:dyDescent="0.45">
      <c r="A1564" s="2" t="s">
        <v>167</v>
      </c>
      <c r="B1564" s="11">
        <v>45037</v>
      </c>
      <c r="C1564" s="2" t="s">
        <v>2010</v>
      </c>
      <c r="D1564" s="2" t="s">
        <v>2015</v>
      </c>
      <c r="E1564">
        <v>0</v>
      </c>
      <c r="F1564">
        <v>0</v>
      </c>
      <c r="G1564">
        <v>4520.9799999999996</v>
      </c>
      <c r="H1564">
        <v>253174.87999999998</v>
      </c>
      <c r="I1564" s="2" t="s">
        <v>2020</v>
      </c>
      <c r="J1564" s="2" t="s">
        <v>2028</v>
      </c>
      <c r="K1564" s="2" t="s">
        <v>2188</v>
      </c>
      <c r="L1564" s="2" t="s">
        <v>4033</v>
      </c>
      <c r="M1564">
        <v>4520.9799999999996</v>
      </c>
      <c r="N1564" s="2" t="s">
        <v>4042</v>
      </c>
      <c r="O1564">
        <v>56</v>
      </c>
      <c r="P1564">
        <v>253174.87999999998</v>
      </c>
      <c r="Q1564" t="b">
        <v>0</v>
      </c>
      <c r="R1564" t="b">
        <v>0</v>
      </c>
      <c r="S1564" t="b">
        <v>0</v>
      </c>
      <c r="T1564" t="b">
        <v>0</v>
      </c>
      <c r="U1564">
        <v>0</v>
      </c>
      <c r="V1564" t="s">
        <v>4073</v>
      </c>
    </row>
    <row r="1565" spans="1:22" hidden="1" x14ac:dyDescent="0.45">
      <c r="A1565" s="2" t="s">
        <v>1900</v>
      </c>
      <c r="B1565" s="11">
        <v>45701</v>
      </c>
      <c r="C1565" s="2" t="s">
        <v>2014</v>
      </c>
      <c r="D1565" s="2" t="s">
        <v>2019</v>
      </c>
      <c r="E1565">
        <v>0</v>
      </c>
      <c r="F1565">
        <v>0</v>
      </c>
      <c r="G1565">
        <v>3774.32</v>
      </c>
      <c r="H1565">
        <v>230233.52000000002</v>
      </c>
      <c r="I1565" s="2" t="s">
        <v>2025</v>
      </c>
      <c r="J1565" s="2" t="s">
        <v>2027</v>
      </c>
      <c r="K1565" s="2" t="s">
        <v>3921</v>
      </c>
      <c r="L1565" s="2" t="s">
        <v>4035</v>
      </c>
      <c r="M1565">
        <v>3774.32</v>
      </c>
      <c r="N1565" s="2" t="s">
        <v>4042</v>
      </c>
      <c r="O1565">
        <v>61</v>
      </c>
      <c r="P1565">
        <v>230233.52000000002</v>
      </c>
      <c r="Q1565" t="b">
        <v>0</v>
      </c>
      <c r="R1565" t="b">
        <v>0</v>
      </c>
      <c r="S1565" t="b">
        <v>0</v>
      </c>
      <c r="T1565" t="b">
        <v>0</v>
      </c>
      <c r="U1565">
        <v>0</v>
      </c>
      <c r="V1565" t="s">
        <v>4073</v>
      </c>
    </row>
    <row r="1566" spans="1:22" hidden="1" x14ac:dyDescent="0.45">
      <c r="A1566" s="2" t="s">
        <v>819</v>
      </c>
      <c r="B1566" s="11">
        <v>45699</v>
      </c>
      <c r="C1566" s="2" t="s">
        <v>2014</v>
      </c>
      <c r="D1566" s="2" t="s">
        <v>2019</v>
      </c>
      <c r="E1566">
        <v>0</v>
      </c>
      <c r="F1566">
        <v>0</v>
      </c>
      <c r="G1566">
        <v>2809.76</v>
      </c>
      <c r="H1566">
        <v>230400.32</v>
      </c>
      <c r="I1566" s="2" t="s">
        <v>2024</v>
      </c>
      <c r="J1566" s="2" t="s">
        <v>2027</v>
      </c>
      <c r="K1566" s="2" t="s">
        <v>2840</v>
      </c>
      <c r="L1566" s="2" t="s">
        <v>4034</v>
      </c>
      <c r="M1566">
        <v>2809.76</v>
      </c>
      <c r="N1566" s="2" t="s">
        <v>4042</v>
      </c>
      <c r="O1566">
        <v>82</v>
      </c>
      <c r="P1566">
        <v>230400.32</v>
      </c>
      <c r="Q1566" t="b">
        <v>0</v>
      </c>
      <c r="R1566" t="b">
        <v>0</v>
      </c>
      <c r="S1566" t="b">
        <v>0</v>
      </c>
      <c r="T1566" t="b">
        <v>0</v>
      </c>
      <c r="U1566">
        <v>0</v>
      </c>
      <c r="V1566" t="s">
        <v>4073</v>
      </c>
    </row>
    <row r="1567" spans="1:22" hidden="1" x14ac:dyDescent="0.45">
      <c r="A1567" s="2" t="s">
        <v>1535</v>
      </c>
      <c r="B1567" s="11">
        <v>45538</v>
      </c>
      <c r="C1567" s="2" t="s">
        <v>2014</v>
      </c>
      <c r="D1567" s="2" t="s">
        <v>2019</v>
      </c>
      <c r="E1567">
        <v>0</v>
      </c>
      <c r="F1567">
        <v>0</v>
      </c>
      <c r="G1567">
        <v>2827.95</v>
      </c>
      <c r="H1567">
        <v>231891.9</v>
      </c>
      <c r="I1567" s="2" t="s">
        <v>2024</v>
      </c>
      <c r="J1567" s="2" t="s">
        <v>2029</v>
      </c>
      <c r="K1567" s="2" t="s">
        <v>3556</v>
      </c>
      <c r="L1567" s="2" t="s">
        <v>4034</v>
      </c>
      <c r="M1567">
        <v>2827.95</v>
      </c>
      <c r="N1567" s="2" t="s">
        <v>4042</v>
      </c>
      <c r="O1567">
        <v>82</v>
      </c>
      <c r="P1567">
        <v>231891.9</v>
      </c>
      <c r="Q1567" t="b">
        <v>0</v>
      </c>
      <c r="R1567" t="b">
        <v>0</v>
      </c>
      <c r="S1567" t="b">
        <v>0</v>
      </c>
      <c r="T1567" t="b">
        <v>0</v>
      </c>
      <c r="U1567">
        <v>0</v>
      </c>
      <c r="V1567" t="s">
        <v>4073</v>
      </c>
    </row>
    <row r="1568" spans="1:22" hidden="1" x14ac:dyDescent="0.45">
      <c r="A1568" s="2" t="s">
        <v>551</v>
      </c>
      <c r="B1568" s="11">
        <v>45586</v>
      </c>
      <c r="C1568" s="2" t="s">
        <v>2014</v>
      </c>
      <c r="D1568" s="2" t="s">
        <v>2019</v>
      </c>
      <c r="E1568">
        <v>0</v>
      </c>
      <c r="F1568">
        <v>0</v>
      </c>
      <c r="G1568">
        <v>3802.31</v>
      </c>
      <c r="H1568">
        <v>231940.91</v>
      </c>
      <c r="I1568" s="2" t="s">
        <v>2023</v>
      </c>
      <c r="J1568" s="2" t="s">
        <v>2028</v>
      </c>
      <c r="K1568" s="2" t="s">
        <v>2572</v>
      </c>
      <c r="L1568" s="2" t="s">
        <v>4035</v>
      </c>
      <c r="M1568">
        <v>3802.31</v>
      </c>
      <c r="N1568" s="2" t="s">
        <v>4042</v>
      </c>
      <c r="O1568">
        <v>61</v>
      </c>
      <c r="P1568">
        <v>231940.91</v>
      </c>
      <c r="Q1568" t="b">
        <v>0</v>
      </c>
      <c r="R1568" t="b">
        <v>0</v>
      </c>
      <c r="S1568" t="b">
        <v>0</v>
      </c>
      <c r="T1568" t="b">
        <v>0</v>
      </c>
      <c r="U1568">
        <v>0</v>
      </c>
      <c r="V1568" t="s">
        <v>4073</v>
      </c>
    </row>
    <row r="1569" spans="1:22" hidden="1" x14ac:dyDescent="0.45">
      <c r="A1569" s="2" t="s">
        <v>331</v>
      </c>
      <c r="B1569" s="11">
        <v>45023</v>
      </c>
      <c r="C1569" s="2" t="s">
        <v>2014</v>
      </c>
      <c r="D1569" s="2" t="s">
        <v>2019</v>
      </c>
      <c r="E1569">
        <v>0</v>
      </c>
      <c r="F1569">
        <v>0</v>
      </c>
      <c r="G1569">
        <v>2268.92</v>
      </c>
      <c r="H1569">
        <v>233698.76</v>
      </c>
      <c r="I1569" s="2" t="s">
        <v>2024</v>
      </c>
      <c r="J1569" s="2" t="s">
        <v>2026</v>
      </c>
      <c r="K1569" s="2" t="s">
        <v>2352</v>
      </c>
      <c r="L1569" s="2" t="s">
        <v>4031</v>
      </c>
      <c r="M1569">
        <v>2268.92</v>
      </c>
      <c r="N1569" s="2" t="s">
        <v>4042</v>
      </c>
      <c r="O1569">
        <v>103</v>
      </c>
      <c r="P1569">
        <v>233698.76</v>
      </c>
      <c r="Q1569" t="b">
        <v>0</v>
      </c>
      <c r="R1569" t="b">
        <v>0</v>
      </c>
      <c r="S1569" t="b">
        <v>0</v>
      </c>
      <c r="T1569" t="b">
        <v>0</v>
      </c>
      <c r="U1569">
        <v>0</v>
      </c>
      <c r="V1569" t="s">
        <v>4073</v>
      </c>
    </row>
    <row r="1570" spans="1:22" hidden="1" x14ac:dyDescent="0.45">
      <c r="A1570" s="2" t="s">
        <v>505</v>
      </c>
      <c r="B1570" s="11">
        <v>44972</v>
      </c>
      <c r="C1570" s="2" t="s">
        <v>2010</v>
      </c>
      <c r="D1570" s="2" t="s">
        <v>2015</v>
      </c>
      <c r="E1570">
        <v>0</v>
      </c>
      <c r="F1570">
        <v>0</v>
      </c>
      <c r="G1570">
        <v>2924.19</v>
      </c>
      <c r="H1570">
        <v>239783.58000000002</v>
      </c>
      <c r="I1570" s="2" t="s">
        <v>2024</v>
      </c>
      <c r="J1570" s="2" t="s">
        <v>2029</v>
      </c>
      <c r="K1570" s="2" t="s">
        <v>2526</v>
      </c>
      <c r="L1570" s="2" t="s">
        <v>4034</v>
      </c>
      <c r="M1570">
        <v>2924.19</v>
      </c>
      <c r="N1570" s="2" t="s">
        <v>4042</v>
      </c>
      <c r="O1570">
        <v>82</v>
      </c>
      <c r="P1570">
        <v>239783.58000000002</v>
      </c>
      <c r="Q1570" t="b">
        <v>0</v>
      </c>
      <c r="R1570" t="b">
        <v>0</v>
      </c>
      <c r="S1570" t="b">
        <v>0</v>
      </c>
      <c r="T1570" t="b">
        <v>0</v>
      </c>
      <c r="U1570">
        <v>0</v>
      </c>
      <c r="V1570" t="s">
        <v>4073</v>
      </c>
    </row>
    <row r="1571" spans="1:22" hidden="1" x14ac:dyDescent="0.45">
      <c r="A1571" s="2" t="s">
        <v>905</v>
      </c>
      <c r="B1571" s="11">
        <v>45679</v>
      </c>
      <c r="C1571" s="2" t="s">
        <v>2014</v>
      </c>
      <c r="D1571" s="2" t="s">
        <v>2019</v>
      </c>
      <c r="E1571">
        <v>0</v>
      </c>
      <c r="F1571">
        <v>0</v>
      </c>
      <c r="G1571">
        <v>2776.15</v>
      </c>
      <c r="H1571">
        <v>244301.2</v>
      </c>
      <c r="I1571" s="2" t="s">
        <v>2022</v>
      </c>
      <c r="J1571" s="2" t="s">
        <v>2030</v>
      </c>
      <c r="K1571" s="2" t="s">
        <v>2926</v>
      </c>
      <c r="L1571" s="2" t="s">
        <v>4032</v>
      </c>
      <c r="M1571">
        <v>2776.15</v>
      </c>
      <c r="N1571" s="2" t="s">
        <v>4042</v>
      </c>
      <c r="O1571">
        <v>88</v>
      </c>
      <c r="P1571">
        <v>244301.2</v>
      </c>
      <c r="Q1571" t="b">
        <v>0</v>
      </c>
      <c r="R1571" t="b">
        <v>0</v>
      </c>
      <c r="S1571" t="b">
        <v>0</v>
      </c>
      <c r="T1571" t="b">
        <v>0</v>
      </c>
      <c r="U1571">
        <v>0</v>
      </c>
      <c r="V1571" t="s">
        <v>4073</v>
      </c>
    </row>
    <row r="1572" spans="1:22" hidden="1" x14ac:dyDescent="0.45">
      <c r="A1572" s="2" t="s">
        <v>1697</v>
      </c>
      <c r="B1572" s="11">
        <v>45527</v>
      </c>
      <c r="C1572" s="2" t="s">
        <v>2014</v>
      </c>
      <c r="D1572" s="2" t="s">
        <v>2019</v>
      </c>
      <c r="E1572">
        <v>0</v>
      </c>
      <c r="F1572">
        <v>0</v>
      </c>
      <c r="G1572">
        <v>4016.77</v>
      </c>
      <c r="H1572">
        <v>245022.97</v>
      </c>
      <c r="I1572" s="2" t="s">
        <v>2024</v>
      </c>
      <c r="J1572" s="2" t="s">
        <v>2027</v>
      </c>
      <c r="K1572" s="2" t="s">
        <v>3718</v>
      </c>
      <c r="L1572" s="2" t="s">
        <v>4035</v>
      </c>
      <c r="M1572">
        <v>4016.77</v>
      </c>
      <c r="N1572" s="2" t="s">
        <v>4042</v>
      </c>
      <c r="O1572">
        <v>61</v>
      </c>
      <c r="P1572">
        <v>245022.97</v>
      </c>
      <c r="Q1572" t="b">
        <v>0</v>
      </c>
      <c r="R1572" t="b">
        <v>0</v>
      </c>
      <c r="S1572" t="b">
        <v>0</v>
      </c>
      <c r="T1572" t="b">
        <v>0</v>
      </c>
      <c r="U1572">
        <v>0</v>
      </c>
      <c r="V1572" t="s">
        <v>4073</v>
      </c>
    </row>
    <row r="1573" spans="1:22" hidden="1" x14ac:dyDescent="0.45">
      <c r="A1573" s="2" t="s">
        <v>507</v>
      </c>
      <c r="B1573" s="11">
        <v>45336</v>
      </c>
      <c r="C1573" s="2" t="s">
        <v>2010</v>
      </c>
      <c r="D1573" s="2" t="s">
        <v>2015</v>
      </c>
      <c r="E1573">
        <v>0</v>
      </c>
      <c r="F1573">
        <v>0</v>
      </c>
      <c r="G1573">
        <v>2794.59</v>
      </c>
      <c r="H1573">
        <v>245923.92</v>
      </c>
      <c r="I1573" s="2" t="s">
        <v>2021</v>
      </c>
      <c r="J1573" s="2" t="s">
        <v>2029</v>
      </c>
      <c r="K1573" s="2" t="s">
        <v>2528</v>
      </c>
      <c r="L1573" s="2" t="s">
        <v>4032</v>
      </c>
      <c r="M1573">
        <v>2794.59</v>
      </c>
      <c r="N1573" s="2" t="s">
        <v>4042</v>
      </c>
      <c r="O1573">
        <v>88</v>
      </c>
      <c r="P1573">
        <v>245923.92</v>
      </c>
      <c r="Q1573" t="b">
        <v>0</v>
      </c>
      <c r="R1573" t="b">
        <v>0</v>
      </c>
      <c r="S1573" t="b">
        <v>0</v>
      </c>
      <c r="T1573" t="b">
        <v>0</v>
      </c>
      <c r="U1573">
        <v>0</v>
      </c>
      <c r="V1573" t="s">
        <v>4073</v>
      </c>
    </row>
    <row r="1574" spans="1:22" hidden="1" x14ac:dyDescent="0.45">
      <c r="A1574" s="2" t="s">
        <v>804</v>
      </c>
      <c r="B1574" s="11">
        <v>45397</v>
      </c>
      <c r="C1574" s="2" t="s">
        <v>2014</v>
      </c>
      <c r="D1574" s="2" t="s">
        <v>2019</v>
      </c>
      <c r="E1574">
        <v>0</v>
      </c>
      <c r="F1574">
        <v>0</v>
      </c>
      <c r="G1574">
        <v>3010.78</v>
      </c>
      <c r="H1574">
        <v>246883.96000000002</v>
      </c>
      <c r="I1574" s="2" t="s">
        <v>2023</v>
      </c>
      <c r="J1574" s="2" t="s">
        <v>2027</v>
      </c>
      <c r="K1574" s="2" t="s">
        <v>2825</v>
      </c>
      <c r="L1574" s="2" t="s">
        <v>4034</v>
      </c>
      <c r="M1574">
        <v>3010.78</v>
      </c>
      <c r="N1574" s="2" t="s">
        <v>4042</v>
      </c>
      <c r="O1574">
        <v>82</v>
      </c>
      <c r="P1574">
        <v>246883.96000000002</v>
      </c>
      <c r="Q1574" t="b">
        <v>0</v>
      </c>
      <c r="R1574" t="b">
        <v>0</v>
      </c>
      <c r="S1574" t="b">
        <v>0</v>
      </c>
      <c r="T1574" t="b">
        <v>0</v>
      </c>
      <c r="U1574">
        <v>0</v>
      </c>
      <c r="V1574" t="s">
        <v>4073</v>
      </c>
    </row>
    <row r="1575" spans="1:22" hidden="1" x14ac:dyDescent="0.45">
      <c r="A1575" s="2" t="s">
        <v>1421</v>
      </c>
      <c r="B1575" s="11">
        <v>45582</v>
      </c>
      <c r="C1575" s="2" t="s">
        <v>2014</v>
      </c>
      <c r="D1575" s="2" t="s">
        <v>2019</v>
      </c>
      <c r="E1575">
        <v>0</v>
      </c>
      <c r="F1575">
        <v>0</v>
      </c>
      <c r="G1575">
        <v>2397.21</v>
      </c>
      <c r="H1575">
        <v>246912.63</v>
      </c>
      <c r="I1575" s="2" t="s">
        <v>2025</v>
      </c>
      <c r="J1575" s="2" t="s">
        <v>2029</v>
      </c>
      <c r="K1575" s="2" t="s">
        <v>3442</v>
      </c>
      <c r="L1575" s="2" t="s">
        <v>4031</v>
      </c>
      <c r="M1575">
        <v>2397.21</v>
      </c>
      <c r="N1575" s="2" t="s">
        <v>4042</v>
      </c>
      <c r="O1575">
        <v>103</v>
      </c>
      <c r="P1575">
        <v>246912.63</v>
      </c>
      <c r="Q1575" t="b">
        <v>0</v>
      </c>
      <c r="R1575" t="b">
        <v>0</v>
      </c>
      <c r="S1575" t="b">
        <v>0</v>
      </c>
      <c r="T1575" t="b">
        <v>0</v>
      </c>
      <c r="U1575">
        <v>0</v>
      </c>
      <c r="V1575" t="s">
        <v>4073</v>
      </c>
    </row>
    <row r="1576" spans="1:22" hidden="1" x14ac:dyDescent="0.45">
      <c r="A1576" s="2" t="s">
        <v>1939</v>
      </c>
      <c r="B1576" s="11">
        <v>45356</v>
      </c>
      <c r="C1576" s="2" t="s">
        <v>2014</v>
      </c>
      <c r="D1576" s="2" t="s">
        <v>2019</v>
      </c>
      <c r="E1576">
        <v>0</v>
      </c>
      <c r="F1576">
        <v>0</v>
      </c>
      <c r="G1576">
        <v>4064.87</v>
      </c>
      <c r="H1576">
        <v>247957.07</v>
      </c>
      <c r="I1576" s="2" t="s">
        <v>2020</v>
      </c>
      <c r="J1576" s="2" t="s">
        <v>2027</v>
      </c>
      <c r="K1576" s="2" t="s">
        <v>3960</v>
      </c>
      <c r="L1576" s="2" t="s">
        <v>4035</v>
      </c>
      <c r="M1576">
        <v>4064.87</v>
      </c>
      <c r="N1576" s="2" t="s">
        <v>4042</v>
      </c>
      <c r="O1576">
        <v>61</v>
      </c>
      <c r="P1576">
        <v>247957.07</v>
      </c>
      <c r="Q1576" t="b">
        <v>0</v>
      </c>
      <c r="R1576" t="b">
        <v>0</v>
      </c>
      <c r="S1576" t="b">
        <v>0</v>
      </c>
      <c r="T1576" t="b">
        <v>0</v>
      </c>
      <c r="U1576">
        <v>0</v>
      </c>
      <c r="V1576" t="s">
        <v>4073</v>
      </c>
    </row>
    <row r="1577" spans="1:22" hidden="1" x14ac:dyDescent="0.45">
      <c r="A1577" s="2" t="s">
        <v>1273</v>
      </c>
      <c r="B1577" s="11">
        <v>45643</v>
      </c>
      <c r="C1577" s="2" t="s">
        <v>2010</v>
      </c>
      <c r="D1577" s="2" t="s">
        <v>2015</v>
      </c>
      <c r="E1577">
        <v>0</v>
      </c>
      <c r="F1577">
        <v>0</v>
      </c>
      <c r="G1577">
        <v>4074.11</v>
      </c>
      <c r="H1577">
        <v>248520.71000000002</v>
      </c>
      <c r="I1577" s="2" t="s">
        <v>2021</v>
      </c>
      <c r="J1577" s="2" t="s">
        <v>2028</v>
      </c>
      <c r="K1577" s="2" t="s">
        <v>3294</v>
      </c>
      <c r="L1577" s="2" t="s">
        <v>4035</v>
      </c>
      <c r="M1577">
        <v>4074.11</v>
      </c>
      <c r="N1577" s="2" t="s">
        <v>4042</v>
      </c>
      <c r="O1577">
        <v>61</v>
      </c>
      <c r="P1577">
        <v>248520.71000000002</v>
      </c>
      <c r="Q1577" t="b">
        <v>0</v>
      </c>
      <c r="R1577" t="b">
        <v>0</v>
      </c>
      <c r="S1577" t="b">
        <v>0</v>
      </c>
      <c r="T1577" t="b">
        <v>0</v>
      </c>
      <c r="U1577">
        <v>0</v>
      </c>
      <c r="V1577" t="s">
        <v>4073</v>
      </c>
    </row>
    <row r="1578" spans="1:22" hidden="1" x14ac:dyDescent="0.45">
      <c r="A1578" s="2" t="s">
        <v>1526</v>
      </c>
      <c r="B1578" s="11">
        <v>45673</v>
      </c>
      <c r="C1578" s="2" t="s">
        <v>2010</v>
      </c>
      <c r="D1578" s="2" t="s">
        <v>2015</v>
      </c>
      <c r="E1578">
        <v>0</v>
      </c>
      <c r="F1578">
        <v>0</v>
      </c>
      <c r="G1578">
        <v>4447.99</v>
      </c>
      <c r="H1578">
        <v>249087.44</v>
      </c>
      <c r="I1578" s="2" t="s">
        <v>2020</v>
      </c>
      <c r="J1578" s="2" t="s">
        <v>2027</v>
      </c>
      <c r="K1578" s="2" t="s">
        <v>3547</v>
      </c>
      <c r="L1578" s="2" t="s">
        <v>4033</v>
      </c>
      <c r="M1578">
        <v>4447.99</v>
      </c>
      <c r="N1578" s="2" t="s">
        <v>4042</v>
      </c>
      <c r="O1578">
        <v>56</v>
      </c>
      <c r="P1578">
        <v>249087.44</v>
      </c>
      <c r="Q1578" t="b">
        <v>0</v>
      </c>
      <c r="R1578" t="b">
        <v>0</v>
      </c>
      <c r="S1578" t="b">
        <v>0</v>
      </c>
      <c r="T1578" t="b">
        <v>0</v>
      </c>
      <c r="U1578">
        <v>0</v>
      </c>
      <c r="V1578" t="s">
        <v>4073</v>
      </c>
    </row>
    <row r="1579" spans="1:22" hidden="1" x14ac:dyDescent="0.45">
      <c r="A1579" s="2" t="s">
        <v>217</v>
      </c>
      <c r="B1579" s="11">
        <v>45751</v>
      </c>
      <c r="C1579" s="2" t="s">
        <v>2010</v>
      </c>
      <c r="D1579" s="2" t="s">
        <v>2015</v>
      </c>
      <c r="E1579">
        <v>0</v>
      </c>
      <c r="F1579">
        <v>0</v>
      </c>
      <c r="G1579">
        <v>4478.0600000000004</v>
      </c>
      <c r="H1579">
        <v>250771.36000000002</v>
      </c>
      <c r="I1579" s="2" t="s">
        <v>2021</v>
      </c>
      <c r="J1579" s="2" t="s">
        <v>2029</v>
      </c>
      <c r="K1579" s="2" t="s">
        <v>2238</v>
      </c>
      <c r="L1579" s="2" t="s">
        <v>4033</v>
      </c>
      <c r="M1579">
        <v>4478.0600000000004</v>
      </c>
      <c r="N1579" s="2" t="s">
        <v>4042</v>
      </c>
      <c r="O1579">
        <v>56</v>
      </c>
      <c r="P1579">
        <v>250771.36000000002</v>
      </c>
      <c r="Q1579" t="b">
        <v>0</v>
      </c>
      <c r="R1579" t="b">
        <v>0</v>
      </c>
      <c r="S1579" t="b">
        <v>0</v>
      </c>
      <c r="T1579" t="b">
        <v>0</v>
      </c>
      <c r="U1579">
        <v>0</v>
      </c>
      <c r="V1579" t="s">
        <v>4073</v>
      </c>
    </row>
    <row r="1580" spans="1:22" hidden="1" x14ac:dyDescent="0.45">
      <c r="A1580" s="2" t="s">
        <v>1942</v>
      </c>
      <c r="B1580" s="11">
        <v>45583</v>
      </c>
      <c r="C1580" s="2" t="s">
        <v>2014</v>
      </c>
      <c r="D1580" s="2" t="s">
        <v>2019</v>
      </c>
      <c r="E1580">
        <v>0</v>
      </c>
      <c r="F1580">
        <v>0</v>
      </c>
      <c r="G1580">
        <v>4484.1899999999996</v>
      </c>
      <c r="H1580">
        <v>251114.63999999998</v>
      </c>
      <c r="I1580" s="2" t="s">
        <v>2023</v>
      </c>
      <c r="J1580" s="2" t="s">
        <v>2026</v>
      </c>
      <c r="K1580" s="2" t="s">
        <v>3963</v>
      </c>
      <c r="L1580" s="2" t="s">
        <v>4033</v>
      </c>
      <c r="M1580">
        <v>4484.1899999999996</v>
      </c>
      <c r="N1580" s="2" t="s">
        <v>4042</v>
      </c>
      <c r="O1580">
        <v>56</v>
      </c>
      <c r="P1580">
        <v>251114.63999999998</v>
      </c>
      <c r="Q1580" t="b">
        <v>0</v>
      </c>
      <c r="R1580" t="b">
        <v>0</v>
      </c>
      <c r="S1580" t="b">
        <v>0</v>
      </c>
      <c r="T1580" t="b">
        <v>0</v>
      </c>
      <c r="U1580">
        <v>0</v>
      </c>
      <c r="V1580" t="s">
        <v>4073</v>
      </c>
    </row>
    <row r="1581" spans="1:22" hidden="1" x14ac:dyDescent="0.45">
      <c r="A1581" s="2" t="s">
        <v>1722</v>
      </c>
      <c r="B1581" s="11">
        <v>45392</v>
      </c>
      <c r="C1581" s="2" t="s">
        <v>2014</v>
      </c>
      <c r="D1581" s="2" t="s">
        <v>2019</v>
      </c>
      <c r="E1581">
        <v>0</v>
      </c>
      <c r="F1581">
        <v>0</v>
      </c>
      <c r="G1581">
        <v>4500.74</v>
      </c>
      <c r="H1581">
        <v>252041.44</v>
      </c>
      <c r="I1581" s="2" t="s">
        <v>2022</v>
      </c>
      <c r="J1581" s="2" t="s">
        <v>2030</v>
      </c>
      <c r="K1581" s="2" t="s">
        <v>3743</v>
      </c>
      <c r="L1581" s="2" t="s">
        <v>4033</v>
      </c>
      <c r="M1581">
        <v>4500.74</v>
      </c>
      <c r="N1581" s="2" t="s">
        <v>4042</v>
      </c>
      <c r="O1581">
        <v>56</v>
      </c>
      <c r="P1581">
        <v>252041.44</v>
      </c>
      <c r="Q1581" t="b">
        <v>0</v>
      </c>
      <c r="R1581" t="b">
        <v>0</v>
      </c>
      <c r="S1581" t="b">
        <v>0</v>
      </c>
      <c r="T1581" t="b">
        <v>0</v>
      </c>
      <c r="U1581">
        <v>0</v>
      </c>
      <c r="V1581" t="s">
        <v>4073</v>
      </c>
    </row>
    <row r="1582" spans="1:22" hidden="1" x14ac:dyDescent="0.45">
      <c r="A1582" s="2" t="s">
        <v>1503</v>
      </c>
      <c r="B1582" s="11">
        <v>45771</v>
      </c>
      <c r="C1582" s="2" t="s">
        <v>2014</v>
      </c>
      <c r="D1582" s="2" t="s">
        <v>2019</v>
      </c>
      <c r="E1582">
        <v>0</v>
      </c>
      <c r="F1582">
        <v>0</v>
      </c>
      <c r="G1582">
        <v>4204.9399999999996</v>
      </c>
      <c r="H1582">
        <v>256501.33999999997</v>
      </c>
      <c r="I1582" s="2" t="s">
        <v>2025</v>
      </c>
      <c r="J1582" s="2" t="s">
        <v>2028</v>
      </c>
      <c r="K1582" s="2" t="s">
        <v>3524</v>
      </c>
      <c r="L1582" s="2" t="s">
        <v>4035</v>
      </c>
      <c r="M1582">
        <v>4204.9399999999996</v>
      </c>
      <c r="N1582" s="2" t="s">
        <v>4042</v>
      </c>
      <c r="O1582">
        <v>61</v>
      </c>
      <c r="P1582">
        <v>256501.33999999997</v>
      </c>
      <c r="Q1582" t="b">
        <v>0</v>
      </c>
      <c r="R1582" t="b">
        <v>0</v>
      </c>
      <c r="S1582" t="b">
        <v>0</v>
      </c>
      <c r="T1582" t="b">
        <v>0</v>
      </c>
      <c r="U1582">
        <v>0</v>
      </c>
      <c r="V1582" t="s">
        <v>4073</v>
      </c>
    </row>
    <row r="1583" spans="1:22" hidden="1" x14ac:dyDescent="0.45">
      <c r="A1583" s="2" t="s">
        <v>1774</v>
      </c>
      <c r="B1583" s="11">
        <v>45293</v>
      </c>
      <c r="C1583" s="2" t="s">
        <v>2013</v>
      </c>
      <c r="D1583" s="2" t="s">
        <v>2018</v>
      </c>
      <c r="E1583">
        <v>1945.41</v>
      </c>
      <c r="F1583">
        <v>200377.23</v>
      </c>
      <c r="G1583">
        <v>0</v>
      </c>
      <c r="H1583">
        <v>0</v>
      </c>
      <c r="I1583" s="2" t="s">
        <v>2023</v>
      </c>
      <c r="J1583" s="2" t="s">
        <v>2026</v>
      </c>
      <c r="K1583" s="2" t="s">
        <v>3795</v>
      </c>
      <c r="L1583" s="2" t="s">
        <v>4031</v>
      </c>
      <c r="M1583">
        <v>-1945.41</v>
      </c>
      <c r="N1583" s="2" t="s">
        <v>4044</v>
      </c>
      <c r="O1583">
        <v>103</v>
      </c>
      <c r="P1583">
        <v>-200377.23</v>
      </c>
      <c r="Q1583" t="b">
        <v>0</v>
      </c>
      <c r="R1583" t="b">
        <v>0</v>
      </c>
      <c r="S1583" t="b">
        <v>0</v>
      </c>
      <c r="T1583" t="b">
        <v>0</v>
      </c>
      <c r="U1583">
        <v>0</v>
      </c>
      <c r="V1583" t="s">
        <v>4073</v>
      </c>
    </row>
    <row r="1584" spans="1:22" hidden="1" x14ac:dyDescent="0.45">
      <c r="A1584" s="2" t="s">
        <v>20</v>
      </c>
      <c r="B1584" s="11">
        <v>45250</v>
      </c>
      <c r="C1584" s="2" t="s">
        <v>2014</v>
      </c>
      <c r="D1584" s="2" t="s">
        <v>2019</v>
      </c>
      <c r="E1584">
        <v>0</v>
      </c>
      <c r="F1584">
        <v>0</v>
      </c>
      <c r="G1584">
        <v>3282.35</v>
      </c>
      <c r="H1584">
        <v>200223.35</v>
      </c>
      <c r="I1584" s="2" t="s">
        <v>2023</v>
      </c>
      <c r="J1584" s="2" t="s">
        <v>2030</v>
      </c>
      <c r="K1584" s="2" t="s">
        <v>2041</v>
      </c>
      <c r="L1584" s="2" t="s">
        <v>4035</v>
      </c>
      <c r="M1584">
        <v>3282.35</v>
      </c>
      <c r="N1584" s="2" t="s">
        <v>4042</v>
      </c>
      <c r="O1584">
        <v>61</v>
      </c>
      <c r="P1584">
        <v>200223.35</v>
      </c>
      <c r="Q1584" t="b">
        <v>0</v>
      </c>
      <c r="R1584" t="b">
        <v>0</v>
      </c>
      <c r="S1584" t="b">
        <v>0</v>
      </c>
      <c r="T1584" t="b">
        <v>0</v>
      </c>
      <c r="U1584">
        <v>0</v>
      </c>
      <c r="V1584" t="s">
        <v>4073</v>
      </c>
    </row>
    <row r="1585" spans="1:22" hidden="1" x14ac:dyDescent="0.45">
      <c r="A1585" s="2" t="s">
        <v>1773</v>
      </c>
      <c r="B1585" s="11">
        <v>45093</v>
      </c>
      <c r="C1585" s="2" t="s">
        <v>2011</v>
      </c>
      <c r="D1585" s="2" t="s">
        <v>2016</v>
      </c>
      <c r="E1585">
        <v>1941.5</v>
      </c>
      <c r="F1585">
        <v>199974.5</v>
      </c>
      <c r="G1585">
        <v>0</v>
      </c>
      <c r="H1585">
        <v>0</v>
      </c>
      <c r="I1585" s="2" t="s">
        <v>2022</v>
      </c>
      <c r="J1585" s="2" t="s">
        <v>2026</v>
      </c>
      <c r="K1585" s="2" t="s">
        <v>3794</v>
      </c>
      <c r="L1585" s="2" t="s">
        <v>4031</v>
      </c>
      <c r="M1585">
        <v>-1941.5</v>
      </c>
      <c r="N1585" s="2" t="s">
        <v>2016</v>
      </c>
      <c r="O1585">
        <v>103</v>
      </c>
      <c r="P1585">
        <v>-199974.5</v>
      </c>
      <c r="Q1585" t="b">
        <v>0</v>
      </c>
      <c r="R1585" t="b">
        <v>0</v>
      </c>
      <c r="S1585" t="b">
        <v>0</v>
      </c>
      <c r="T1585" t="b">
        <v>0</v>
      </c>
      <c r="U1585">
        <v>0</v>
      </c>
      <c r="V1585" t="s">
        <v>4073</v>
      </c>
    </row>
    <row r="1586" spans="1:22" hidden="1" x14ac:dyDescent="0.45">
      <c r="A1586" s="2" t="s">
        <v>1262</v>
      </c>
      <c r="B1586" s="11">
        <v>45483</v>
      </c>
      <c r="C1586" s="2" t="s">
        <v>2010</v>
      </c>
      <c r="D1586" s="2" t="s">
        <v>2015</v>
      </c>
      <c r="E1586">
        <v>0</v>
      </c>
      <c r="F1586">
        <v>0</v>
      </c>
      <c r="G1586">
        <v>3050.31</v>
      </c>
      <c r="H1586">
        <v>170817.36</v>
      </c>
      <c r="I1586" s="2" t="s">
        <v>2024</v>
      </c>
      <c r="J1586" s="2" t="s">
        <v>2028</v>
      </c>
      <c r="K1586" s="2" t="s">
        <v>3283</v>
      </c>
      <c r="L1586" s="2" t="s">
        <v>4033</v>
      </c>
      <c r="M1586">
        <v>3050.31</v>
      </c>
      <c r="N1586" s="2" t="s">
        <v>4042</v>
      </c>
      <c r="O1586">
        <v>56</v>
      </c>
      <c r="P1586">
        <v>170817.36</v>
      </c>
      <c r="Q1586" t="b">
        <v>0</v>
      </c>
      <c r="R1586" t="b">
        <v>0</v>
      </c>
      <c r="S1586" t="b">
        <v>0</v>
      </c>
      <c r="T1586" t="b">
        <v>0</v>
      </c>
      <c r="U1586">
        <v>0</v>
      </c>
      <c r="V1586" t="s">
        <v>4073</v>
      </c>
    </row>
    <row r="1587" spans="1:22" hidden="1" x14ac:dyDescent="0.45">
      <c r="A1587" s="2" t="s">
        <v>224</v>
      </c>
      <c r="B1587" s="11">
        <v>45152</v>
      </c>
      <c r="C1587" s="2" t="s">
        <v>2014</v>
      </c>
      <c r="D1587" s="2" t="s">
        <v>2019</v>
      </c>
      <c r="E1587">
        <v>0</v>
      </c>
      <c r="F1587">
        <v>0</v>
      </c>
      <c r="G1587">
        <v>1941.69</v>
      </c>
      <c r="H1587">
        <v>170868.72</v>
      </c>
      <c r="I1587" s="2" t="s">
        <v>2020</v>
      </c>
      <c r="J1587" s="2" t="s">
        <v>2029</v>
      </c>
      <c r="K1587" s="2" t="s">
        <v>2245</v>
      </c>
      <c r="L1587" s="2" t="s">
        <v>4032</v>
      </c>
      <c r="M1587">
        <v>1941.69</v>
      </c>
      <c r="N1587" s="2" t="s">
        <v>4042</v>
      </c>
      <c r="O1587">
        <v>88</v>
      </c>
      <c r="P1587">
        <v>170868.72</v>
      </c>
      <c r="Q1587" t="b">
        <v>0</v>
      </c>
      <c r="R1587" t="b">
        <v>0</v>
      </c>
      <c r="S1587" t="b">
        <v>0</v>
      </c>
      <c r="T1587" t="b">
        <v>0</v>
      </c>
      <c r="U1587">
        <v>0</v>
      </c>
      <c r="V1587" t="s">
        <v>4073</v>
      </c>
    </row>
    <row r="1588" spans="1:22" hidden="1" x14ac:dyDescent="0.45">
      <c r="A1588" s="2" t="s">
        <v>670</v>
      </c>
      <c r="B1588" s="11">
        <v>45188</v>
      </c>
      <c r="C1588" s="2" t="s">
        <v>2011</v>
      </c>
      <c r="D1588" s="2" t="s">
        <v>2016</v>
      </c>
      <c r="E1588">
        <v>1659.6</v>
      </c>
      <c r="F1588">
        <v>170938.8</v>
      </c>
      <c r="G1588">
        <v>0</v>
      </c>
      <c r="H1588">
        <v>0</v>
      </c>
      <c r="I1588" s="2" t="s">
        <v>2021</v>
      </c>
      <c r="J1588" s="2" t="s">
        <v>2029</v>
      </c>
      <c r="K1588" s="2" t="s">
        <v>2691</v>
      </c>
      <c r="L1588" s="2" t="s">
        <v>4031</v>
      </c>
      <c r="M1588">
        <v>-1659.6</v>
      </c>
      <c r="N1588" s="2" t="s">
        <v>2016</v>
      </c>
      <c r="O1588">
        <v>103</v>
      </c>
      <c r="P1588">
        <v>-170938.8</v>
      </c>
      <c r="Q1588" t="b">
        <v>0</v>
      </c>
      <c r="R1588" t="b">
        <v>0</v>
      </c>
      <c r="S1588" t="b">
        <v>0</v>
      </c>
      <c r="T1588" t="b">
        <v>0</v>
      </c>
      <c r="U1588">
        <v>0</v>
      </c>
      <c r="V1588" t="s">
        <v>4073</v>
      </c>
    </row>
    <row r="1589" spans="1:22" hidden="1" x14ac:dyDescent="0.45">
      <c r="A1589" s="2" t="s">
        <v>452</v>
      </c>
      <c r="B1589" s="11">
        <v>45467</v>
      </c>
      <c r="C1589" s="2" t="s">
        <v>2010</v>
      </c>
      <c r="D1589" s="2" t="s">
        <v>2015</v>
      </c>
      <c r="E1589">
        <v>0</v>
      </c>
      <c r="F1589">
        <v>0</v>
      </c>
      <c r="G1589">
        <v>1959.12</v>
      </c>
      <c r="H1589">
        <v>172402.56</v>
      </c>
      <c r="I1589" s="2" t="s">
        <v>2022</v>
      </c>
      <c r="J1589" s="2" t="s">
        <v>2030</v>
      </c>
      <c r="K1589" s="2" t="s">
        <v>2473</v>
      </c>
      <c r="L1589" s="2" t="s">
        <v>4032</v>
      </c>
      <c r="M1589">
        <v>1959.12</v>
      </c>
      <c r="N1589" s="2" t="s">
        <v>4042</v>
      </c>
      <c r="O1589">
        <v>88</v>
      </c>
      <c r="P1589">
        <v>172402.56</v>
      </c>
      <c r="Q1589" t="b">
        <v>0</v>
      </c>
      <c r="R1589" t="b">
        <v>0</v>
      </c>
      <c r="S1589" t="b">
        <v>0</v>
      </c>
      <c r="T1589" t="b">
        <v>0</v>
      </c>
      <c r="U1589">
        <v>0</v>
      </c>
      <c r="V1589" t="s">
        <v>4073</v>
      </c>
    </row>
    <row r="1590" spans="1:22" hidden="1" x14ac:dyDescent="0.45">
      <c r="A1590" s="2" t="s">
        <v>1021</v>
      </c>
      <c r="B1590" s="11">
        <v>45055</v>
      </c>
      <c r="C1590" s="2" t="s">
        <v>2011</v>
      </c>
      <c r="D1590" s="2" t="s">
        <v>2016</v>
      </c>
      <c r="E1590">
        <v>1691.11</v>
      </c>
      <c r="F1590">
        <v>174184.33</v>
      </c>
      <c r="G1590">
        <v>0</v>
      </c>
      <c r="H1590">
        <v>0</v>
      </c>
      <c r="I1590" s="2" t="s">
        <v>2022</v>
      </c>
      <c r="J1590" s="2" t="s">
        <v>2027</v>
      </c>
      <c r="K1590" s="2" t="s">
        <v>3042</v>
      </c>
      <c r="L1590" s="2" t="s">
        <v>4031</v>
      </c>
      <c r="M1590">
        <v>-1691.11</v>
      </c>
      <c r="N1590" s="2" t="s">
        <v>2016</v>
      </c>
      <c r="O1590">
        <v>103</v>
      </c>
      <c r="P1590">
        <v>-174184.33</v>
      </c>
      <c r="Q1590" t="b">
        <v>0</v>
      </c>
      <c r="R1590" t="b">
        <v>0</v>
      </c>
      <c r="S1590" t="b">
        <v>0</v>
      </c>
      <c r="T1590" t="b">
        <v>0</v>
      </c>
      <c r="U1590">
        <v>0</v>
      </c>
      <c r="V1590" t="s">
        <v>4073</v>
      </c>
    </row>
    <row r="1591" spans="1:22" hidden="1" x14ac:dyDescent="0.45">
      <c r="A1591" s="2" t="s">
        <v>980</v>
      </c>
      <c r="B1591" s="11">
        <v>45629</v>
      </c>
      <c r="C1591" s="2" t="s">
        <v>2014</v>
      </c>
      <c r="D1591" s="2" t="s">
        <v>2019</v>
      </c>
      <c r="E1591">
        <v>0</v>
      </c>
      <c r="F1591">
        <v>0</v>
      </c>
      <c r="G1591">
        <v>2126.6999999999998</v>
      </c>
      <c r="H1591">
        <v>174389.4</v>
      </c>
      <c r="I1591" s="2" t="s">
        <v>2021</v>
      </c>
      <c r="J1591" s="2" t="s">
        <v>2028</v>
      </c>
      <c r="K1591" s="2" t="s">
        <v>3001</v>
      </c>
      <c r="L1591" s="2" t="s">
        <v>4034</v>
      </c>
      <c r="M1591">
        <v>2126.6999999999998</v>
      </c>
      <c r="N1591" s="2" t="s">
        <v>4042</v>
      </c>
      <c r="O1591">
        <v>82</v>
      </c>
      <c r="P1591">
        <v>174389.4</v>
      </c>
      <c r="Q1591" t="b">
        <v>0</v>
      </c>
      <c r="R1591" t="b">
        <v>0</v>
      </c>
      <c r="S1591" t="b">
        <v>0</v>
      </c>
      <c r="T1591" t="b">
        <v>0</v>
      </c>
      <c r="U1591">
        <v>0</v>
      </c>
      <c r="V1591" t="s">
        <v>4073</v>
      </c>
    </row>
    <row r="1592" spans="1:22" hidden="1" x14ac:dyDescent="0.45">
      <c r="A1592" s="2" t="s">
        <v>808</v>
      </c>
      <c r="B1592" s="11">
        <v>45082</v>
      </c>
      <c r="C1592" s="2" t="s">
        <v>2014</v>
      </c>
      <c r="D1592" s="2" t="s">
        <v>2019</v>
      </c>
      <c r="E1592">
        <v>0</v>
      </c>
      <c r="F1592">
        <v>0</v>
      </c>
      <c r="G1592">
        <v>2860.2</v>
      </c>
      <c r="H1592">
        <v>174472.19999999998</v>
      </c>
      <c r="I1592" s="2" t="s">
        <v>2023</v>
      </c>
      <c r="J1592" s="2" t="s">
        <v>2027</v>
      </c>
      <c r="K1592" s="2" t="s">
        <v>2829</v>
      </c>
      <c r="L1592" s="2" t="s">
        <v>4035</v>
      </c>
      <c r="M1592">
        <v>2860.2</v>
      </c>
      <c r="N1592" s="2" t="s">
        <v>4042</v>
      </c>
      <c r="O1592">
        <v>61</v>
      </c>
      <c r="P1592">
        <v>174472.19999999998</v>
      </c>
      <c r="Q1592" t="b">
        <v>0</v>
      </c>
      <c r="R1592" t="b">
        <v>0</v>
      </c>
      <c r="S1592" t="b">
        <v>0</v>
      </c>
      <c r="T1592" t="b">
        <v>0</v>
      </c>
      <c r="U1592">
        <v>0</v>
      </c>
      <c r="V1592" t="s">
        <v>4073</v>
      </c>
    </row>
    <row r="1593" spans="1:22" hidden="1" x14ac:dyDescent="0.45">
      <c r="A1593" s="2" t="s">
        <v>521</v>
      </c>
      <c r="B1593" s="11">
        <v>45666</v>
      </c>
      <c r="C1593" s="2" t="s">
        <v>2014</v>
      </c>
      <c r="D1593" s="2" t="s">
        <v>2019</v>
      </c>
      <c r="E1593">
        <v>0</v>
      </c>
      <c r="F1593">
        <v>0</v>
      </c>
      <c r="G1593">
        <v>1986.96</v>
      </c>
      <c r="H1593">
        <v>174852.48000000001</v>
      </c>
      <c r="I1593" s="2" t="s">
        <v>2025</v>
      </c>
      <c r="J1593" s="2" t="s">
        <v>2030</v>
      </c>
      <c r="K1593" s="2" t="s">
        <v>2542</v>
      </c>
      <c r="L1593" s="2" t="s">
        <v>4032</v>
      </c>
      <c r="M1593">
        <v>1986.96</v>
      </c>
      <c r="N1593" s="2" t="s">
        <v>4042</v>
      </c>
      <c r="O1593">
        <v>88</v>
      </c>
      <c r="P1593">
        <v>174852.48000000001</v>
      </c>
      <c r="Q1593" t="b">
        <v>0</v>
      </c>
      <c r="R1593" t="b">
        <v>0</v>
      </c>
      <c r="S1593" t="b">
        <v>0</v>
      </c>
      <c r="T1593" t="b">
        <v>0</v>
      </c>
      <c r="U1593">
        <v>0</v>
      </c>
      <c r="V1593" t="s">
        <v>4073</v>
      </c>
    </row>
    <row r="1594" spans="1:22" hidden="1" x14ac:dyDescent="0.45">
      <c r="A1594" s="2" t="s">
        <v>708</v>
      </c>
      <c r="B1594" s="11">
        <v>45369</v>
      </c>
      <c r="C1594" s="2" t="s">
        <v>2014</v>
      </c>
      <c r="D1594" s="2" t="s">
        <v>2019</v>
      </c>
      <c r="E1594">
        <v>0</v>
      </c>
      <c r="F1594">
        <v>0</v>
      </c>
      <c r="G1594">
        <v>2135.0700000000002</v>
      </c>
      <c r="H1594">
        <v>175075.74000000002</v>
      </c>
      <c r="I1594" s="2" t="s">
        <v>2022</v>
      </c>
      <c r="J1594" s="2" t="s">
        <v>2027</v>
      </c>
      <c r="K1594" s="2" t="s">
        <v>2729</v>
      </c>
      <c r="L1594" s="2" t="s">
        <v>4034</v>
      </c>
      <c r="M1594">
        <v>2135.0700000000002</v>
      </c>
      <c r="N1594" s="2" t="s">
        <v>4042</v>
      </c>
      <c r="O1594">
        <v>82</v>
      </c>
      <c r="P1594">
        <v>175075.74000000002</v>
      </c>
      <c r="Q1594" t="b">
        <v>0</v>
      </c>
      <c r="R1594" t="b">
        <v>0</v>
      </c>
      <c r="S1594" t="b">
        <v>0</v>
      </c>
      <c r="T1594" t="b">
        <v>0</v>
      </c>
      <c r="U1594">
        <v>0</v>
      </c>
      <c r="V1594" t="s">
        <v>4073</v>
      </c>
    </row>
    <row r="1595" spans="1:22" hidden="1" x14ac:dyDescent="0.45">
      <c r="A1595" s="2" t="s">
        <v>1520</v>
      </c>
      <c r="B1595" s="11">
        <v>45537</v>
      </c>
      <c r="C1595" s="2" t="s">
        <v>2011</v>
      </c>
      <c r="D1595" s="2" t="s">
        <v>2016</v>
      </c>
      <c r="E1595">
        <v>1702.53</v>
      </c>
      <c r="F1595">
        <v>175360.59</v>
      </c>
      <c r="G1595">
        <v>0</v>
      </c>
      <c r="H1595">
        <v>0</v>
      </c>
      <c r="I1595" s="2" t="s">
        <v>2022</v>
      </c>
      <c r="J1595" s="2" t="s">
        <v>2030</v>
      </c>
      <c r="K1595" s="2" t="s">
        <v>3541</v>
      </c>
      <c r="L1595" s="2" t="s">
        <v>4031</v>
      </c>
      <c r="M1595">
        <v>-1702.53</v>
      </c>
      <c r="N1595" s="2" t="s">
        <v>2016</v>
      </c>
      <c r="O1595">
        <v>103</v>
      </c>
      <c r="P1595">
        <v>-175360.59</v>
      </c>
      <c r="Q1595" t="b">
        <v>0</v>
      </c>
      <c r="R1595" t="b">
        <v>0</v>
      </c>
      <c r="S1595" t="b">
        <v>0</v>
      </c>
      <c r="T1595" t="b">
        <v>0</v>
      </c>
      <c r="U1595">
        <v>0</v>
      </c>
      <c r="V1595" t="s">
        <v>4073</v>
      </c>
    </row>
    <row r="1596" spans="1:22" hidden="1" x14ac:dyDescent="0.45">
      <c r="A1596" s="2" t="s">
        <v>957</v>
      </c>
      <c r="B1596" s="11">
        <v>44946</v>
      </c>
      <c r="C1596" s="2" t="s">
        <v>2014</v>
      </c>
      <c r="D1596" s="2" t="s">
        <v>2019</v>
      </c>
      <c r="E1596">
        <v>0</v>
      </c>
      <c r="F1596">
        <v>0</v>
      </c>
      <c r="G1596">
        <v>1995.59</v>
      </c>
      <c r="H1596">
        <v>175611.91999999998</v>
      </c>
      <c r="I1596" s="2" t="s">
        <v>2024</v>
      </c>
      <c r="J1596" s="2" t="s">
        <v>2027</v>
      </c>
      <c r="K1596" s="2" t="s">
        <v>2978</v>
      </c>
      <c r="L1596" s="2" t="s">
        <v>4032</v>
      </c>
      <c r="M1596">
        <v>1995.59</v>
      </c>
      <c r="N1596" s="2" t="s">
        <v>4042</v>
      </c>
      <c r="O1596">
        <v>88</v>
      </c>
      <c r="P1596">
        <v>175611.91999999998</v>
      </c>
      <c r="Q1596" t="b">
        <v>0</v>
      </c>
      <c r="R1596" t="b">
        <v>0</v>
      </c>
      <c r="S1596" t="b">
        <v>0</v>
      </c>
      <c r="T1596" t="b">
        <v>0</v>
      </c>
      <c r="U1596">
        <v>0</v>
      </c>
      <c r="V1596" t="s">
        <v>4073</v>
      </c>
    </row>
    <row r="1597" spans="1:22" hidden="1" x14ac:dyDescent="0.45">
      <c r="A1597" s="2" t="s">
        <v>1414</v>
      </c>
      <c r="B1597" s="11">
        <v>45694</v>
      </c>
      <c r="C1597" s="2" t="s">
        <v>2011</v>
      </c>
      <c r="D1597" s="2" t="s">
        <v>2016</v>
      </c>
      <c r="E1597">
        <v>1998.5</v>
      </c>
      <c r="F1597">
        <v>175868</v>
      </c>
      <c r="G1597">
        <v>0</v>
      </c>
      <c r="H1597">
        <v>0</v>
      </c>
      <c r="I1597" s="2" t="s">
        <v>2023</v>
      </c>
      <c r="J1597" s="2" t="s">
        <v>2029</v>
      </c>
      <c r="K1597" s="2" t="s">
        <v>3435</v>
      </c>
      <c r="L1597" s="2" t="s">
        <v>4032</v>
      </c>
      <c r="M1597">
        <v>-1998.5</v>
      </c>
      <c r="N1597" s="2" t="s">
        <v>2016</v>
      </c>
      <c r="O1597">
        <v>88</v>
      </c>
      <c r="P1597">
        <v>-175868</v>
      </c>
      <c r="Q1597" t="b">
        <v>0</v>
      </c>
      <c r="R1597" t="b">
        <v>0</v>
      </c>
      <c r="S1597" t="b">
        <v>0</v>
      </c>
      <c r="T1597" t="b">
        <v>0</v>
      </c>
      <c r="U1597">
        <v>0</v>
      </c>
      <c r="V1597" t="s">
        <v>4073</v>
      </c>
    </row>
    <row r="1598" spans="1:22" hidden="1" x14ac:dyDescent="0.45">
      <c r="A1598" s="2" t="s">
        <v>1969</v>
      </c>
      <c r="B1598" s="11">
        <v>45306</v>
      </c>
      <c r="C1598" s="2" t="s">
        <v>2010</v>
      </c>
      <c r="D1598" s="2" t="s">
        <v>2015</v>
      </c>
      <c r="E1598">
        <v>0</v>
      </c>
      <c r="F1598">
        <v>0</v>
      </c>
      <c r="G1598">
        <v>2900.85</v>
      </c>
      <c r="H1598">
        <v>176951.85</v>
      </c>
      <c r="I1598" s="2" t="s">
        <v>2023</v>
      </c>
      <c r="J1598" s="2" t="s">
        <v>2029</v>
      </c>
      <c r="K1598" s="2" t="s">
        <v>3990</v>
      </c>
      <c r="L1598" s="2" t="s">
        <v>4035</v>
      </c>
      <c r="M1598">
        <v>2900.85</v>
      </c>
      <c r="N1598" s="2" t="s">
        <v>4042</v>
      </c>
      <c r="O1598">
        <v>61</v>
      </c>
      <c r="P1598">
        <v>176951.85</v>
      </c>
      <c r="Q1598" t="b">
        <v>0</v>
      </c>
      <c r="R1598" t="b">
        <v>0</v>
      </c>
      <c r="S1598" t="b">
        <v>0</v>
      </c>
      <c r="T1598" t="b">
        <v>0</v>
      </c>
      <c r="U1598">
        <v>0</v>
      </c>
      <c r="V1598" t="s">
        <v>4073</v>
      </c>
    </row>
    <row r="1599" spans="1:22" hidden="1" x14ac:dyDescent="0.45">
      <c r="A1599" s="2" t="s">
        <v>1463</v>
      </c>
      <c r="B1599" s="11">
        <v>45141</v>
      </c>
      <c r="C1599" s="2" t="s">
        <v>2014</v>
      </c>
      <c r="D1599" s="2" t="s">
        <v>2019</v>
      </c>
      <c r="E1599">
        <v>0</v>
      </c>
      <c r="F1599">
        <v>0</v>
      </c>
      <c r="G1599">
        <v>3167.06</v>
      </c>
      <c r="H1599">
        <v>177355.36</v>
      </c>
      <c r="I1599" s="2" t="s">
        <v>2020</v>
      </c>
      <c r="J1599" s="2" t="s">
        <v>2028</v>
      </c>
      <c r="K1599" s="2" t="s">
        <v>3484</v>
      </c>
      <c r="L1599" s="2" t="s">
        <v>4033</v>
      </c>
      <c r="M1599">
        <v>3167.06</v>
      </c>
      <c r="N1599" s="2" t="s">
        <v>4042</v>
      </c>
      <c r="O1599">
        <v>56</v>
      </c>
      <c r="P1599">
        <v>177355.36</v>
      </c>
      <c r="Q1599" t="b">
        <v>0</v>
      </c>
      <c r="R1599" t="b">
        <v>0</v>
      </c>
      <c r="S1599" t="b">
        <v>0</v>
      </c>
      <c r="T1599" t="b">
        <v>0</v>
      </c>
      <c r="U1599">
        <v>0</v>
      </c>
      <c r="V1599" t="s">
        <v>4073</v>
      </c>
    </row>
    <row r="1600" spans="1:22" hidden="1" x14ac:dyDescent="0.45">
      <c r="A1600" s="2" t="s">
        <v>715</v>
      </c>
      <c r="B1600" s="11">
        <v>45303</v>
      </c>
      <c r="C1600" s="2" t="s">
        <v>2012</v>
      </c>
      <c r="D1600" s="2" t="s">
        <v>2017</v>
      </c>
      <c r="E1600">
        <v>1723.07</v>
      </c>
      <c r="F1600">
        <v>177476.21</v>
      </c>
      <c r="G1600">
        <v>0</v>
      </c>
      <c r="H1600">
        <v>0</v>
      </c>
      <c r="I1600" s="2" t="s">
        <v>2025</v>
      </c>
      <c r="J1600" s="2" t="s">
        <v>2030</v>
      </c>
      <c r="K1600" s="2" t="s">
        <v>2736</v>
      </c>
      <c r="L1600" s="2" t="s">
        <v>4031</v>
      </c>
      <c r="M1600">
        <v>-1723.07</v>
      </c>
      <c r="N1600" s="2" t="s">
        <v>4044</v>
      </c>
      <c r="O1600">
        <v>103</v>
      </c>
      <c r="P1600">
        <v>-177476.21</v>
      </c>
      <c r="Q1600" t="b">
        <v>0</v>
      </c>
      <c r="R1600" t="b">
        <v>0</v>
      </c>
      <c r="S1600" t="b">
        <v>0</v>
      </c>
      <c r="T1600" t="b">
        <v>0</v>
      </c>
      <c r="U1600">
        <v>0</v>
      </c>
      <c r="V1600" t="s">
        <v>4073</v>
      </c>
    </row>
    <row r="1601" spans="1:22" hidden="1" x14ac:dyDescent="0.45">
      <c r="A1601" s="2" t="s">
        <v>694</v>
      </c>
      <c r="B1601" s="11">
        <v>45646</v>
      </c>
      <c r="C1601" s="2" t="s">
        <v>2012</v>
      </c>
      <c r="D1601" s="2" t="s">
        <v>2017</v>
      </c>
      <c r="E1601">
        <v>1724.65</v>
      </c>
      <c r="F1601">
        <v>177638.95</v>
      </c>
      <c r="G1601">
        <v>0</v>
      </c>
      <c r="H1601">
        <v>0</v>
      </c>
      <c r="I1601" s="2" t="s">
        <v>2024</v>
      </c>
      <c r="J1601" s="2" t="s">
        <v>2026</v>
      </c>
      <c r="K1601" s="2" t="s">
        <v>2715</v>
      </c>
      <c r="L1601" s="2" t="s">
        <v>4031</v>
      </c>
      <c r="M1601">
        <v>-1724.65</v>
      </c>
      <c r="N1601" s="2" t="s">
        <v>4044</v>
      </c>
      <c r="O1601">
        <v>103</v>
      </c>
      <c r="P1601">
        <v>-177638.95</v>
      </c>
      <c r="Q1601" t="b">
        <v>0</v>
      </c>
      <c r="R1601" t="b">
        <v>0</v>
      </c>
      <c r="S1601" t="b">
        <v>0</v>
      </c>
      <c r="T1601" t="b">
        <v>0</v>
      </c>
      <c r="U1601">
        <v>0</v>
      </c>
      <c r="V1601" t="s">
        <v>4073</v>
      </c>
    </row>
    <row r="1602" spans="1:22" hidden="1" x14ac:dyDescent="0.45">
      <c r="A1602" s="2" t="s">
        <v>1270</v>
      </c>
      <c r="B1602" s="11">
        <v>45338</v>
      </c>
      <c r="C1602" s="2" t="s">
        <v>2010</v>
      </c>
      <c r="D1602" s="2" t="s">
        <v>2015</v>
      </c>
      <c r="E1602">
        <v>0</v>
      </c>
      <c r="F1602">
        <v>0</v>
      </c>
      <c r="G1602">
        <v>2026.45</v>
      </c>
      <c r="H1602">
        <v>178327.6</v>
      </c>
      <c r="I1602" s="2" t="s">
        <v>2020</v>
      </c>
      <c r="J1602" s="2" t="s">
        <v>2028</v>
      </c>
      <c r="K1602" s="2" t="s">
        <v>3291</v>
      </c>
      <c r="L1602" s="2" t="s">
        <v>4032</v>
      </c>
      <c r="M1602">
        <v>2026.45</v>
      </c>
      <c r="N1602" s="2" t="s">
        <v>4042</v>
      </c>
      <c r="O1602">
        <v>88</v>
      </c>
      <c r="P1602">
        <v>178327.6</v>
      </c>
      <c r="Q1602" t="b">
        <v>0</v>
      </c>
      <c r="R1602" t="b">
        <v>0</v>
      </c>
      <c r="S1602" t="b">
        <v>0</v>
      </c>
      <c r="T1602" t="b">
        <v>0</v>
      </c>
      <c r="U1602">
        <v>0</v>
      </c>
      <c r="V1602" t="s">
        <v>4073</v>
      </c>
    </row>
    <row r="1603" spans="1:22" hidden="1" x14ac:dyDescent="0.45">
      <c r="A1603" s="2" t="s">
        <v>1387</v>
      </c>
      <c r="B1603" s="11">
        <v>45397</v>
      </c>
      <c r="C1603" s="2" t="s">
        <v>2014</v>
      </c>
      <c r="D1603" s="2" t="s">
        <v>2019</v>
      </c>
      <c r="E1603">
        <v>0</v>
      </c>
      <c r="F1603">
        <v>0</v>
      </c>
      <c r="G1603">
        <v>1657.49</v>
      </c>
      <c r="H1603">
        <v>170721.47</v>
      </c>
      <c r="I1603" s="2" t="s">
        <v>2025</v>
      </c>
      <c r="J1603" s="2" t="s">
        <v>2028</v>
      </c>
      <c r="K1603" s="2" t="s">
        <v>3408</v>
      </c>
      <c r="L1603" s="2" t="s">
        <v>4031</v>
      </c>
      <c r="M1603">
        <v>1657.49</v>
      </c>
      <c r="N1603" s="2" t="s">
        <v>4042</v>
      </c>
      <c r="O1603">
        <v>103</v>
      </c>
      <c r="P1603">
        <v>170721.47</v>
      </c>
      <c r="Q1603" t="b">
        <v>0</v>
      </c>
      <c r="R1603" t="b">
        <v>0</v>
      </c>
      <c r="S1603" t="b">
        <v>0</v>
      </c>
      <c r="T1603" t="b">
        <v>0</v>
      </c>
      <c r="U1603">
        <v>0</v>
      </c>
      <c r="V1603" t="s">
        <v>4073</v>
      </c>
    </row>
    <row r="1604" spans="1:22" hidden="1" x14ac:dyDescent="0.45">
      <c r="A1604" s="2" t="s">
        <v>558</v>
      </c>
      <c r="B1604" s="11">
        <v>45600</v>
      </c>
      <c r="C1604" s="2" t="s">
        <v>2013</v>
      </c>
      <c r="D1604" s="2" t="s">
        <v>2018</v>
      </c>
      <c r="E1604">
        <v>1731.71</v>
      </c>
      <c r="F1604">
        <v>178366.13</v>
      </c>
      <c r="G1604">
        <v>0</v>
      </c>
      <c r="H1604">
        <v>0</v>
      </c>
      <c r="I1604" s="2" t="s">
        <v>2020</v>
      </c>
      <c r="J1604" s="2" t="s">
        <v>2028</v>
      </c>
      <c r="K1604" s="2" t="s">
        <v>2579</v>
      </c>
      <c r="L1604" s="2" t="s">
        <v>4031</v>
      </c>
      <c r="M1604">
        <v>-1731.71</v>
      </c>
      <c r="N1604" s="2" t="s">
        <v>4044</v>
      </c>
      <c r="O1604">
        <v>103</v>
      </c>
      <c r="P1604">
        <v>-178366.13</v>
      </c>
      <c r="Q1604" t="b">
        <v>0</v>
      </c>
      <c r="R1604" t="b">
        <v>0</v>
      </c>
      <c r="S1604" t="b">
        <v>0</v>
      </c>
      <c r="T1604" t="b">
        <v>0</v>
      </c>
      <c r="U1604">
        <v>0</v>
      </c>
      <c r="V1604" t="s">
        <v>4073</v>
      </c>
    </row>
    <row r="1605" spans="1:22" hidden="1" x14ac:dyDescent="0.45">
      <c r="A1605" s="2" t="s">
        <v>1385</v>
      </c>
      <c r="B1605" s="11">
        <v>45489</v>
      </c>
      <c r="C1605" s="2" t="s">
        <v>2010</v>
      </c>
      <c r="D1605" s="2" t="s">
        <v>2015</v>
      </c>
      <c r="E1605">
        <v>0</v>
      </c>
      <c r="F1605">
        <v>0</v>
      </c>
      <c r="G1605">
        <v>1929.16</v>
      </c>
      <c r="H1605">
        <v>169766.08000000002</v>
      </c>
      <c r="I1605" s="2" t="s">
        <v>2023</v>
      </c>
      <c r="J1605" s="2" t="s">
        <v>2029</v>
      </c>
      <c r="K1605" s="2" t="s">
        <v>3406</v>
      </c>
      <c r="L1605" s="2" t="s">
        <v>4032</v>
      </c>
      <c r="M1605">
        <v>1929.16</v>
      </c>
      <c r="N1605" s="2" t="s">
        <v>4042</v>
      </c>
      <c r="O1605">
        <v>88</v>
      </c>
      <c r="P1605">
        <v>169766.08000000002</v>
      </c>
      <c r="Q1605" t="b">
        <v>0</v>
      </c>
      <c r="R1605" t="b">
        <v>0</v>
      </c>
      <c r="S1605" t="b">
        <v>0</v>
      </c>
      <c r="T1605" t="b">
        <v>0</v>
      </c>
      <c r="U1605">
        <v>0</v>
      </c>
      <c r="V1605" t="s">
        <v>4073</v>
      </c>
    </row>
    <row r="1606" spans="1:22" hidden="1" x14ac:dyDescent="0.45">
      <c r="A1606" s="2" t="s">
        <v>48</v>
      </c>
      <c r="B1606" s="11">
        <v>45660</v>
      </c>
      <c r="C1606" s="2" t="s">
        <v>2012</v>
      </c>
      <c r="D1606" s="2" t="s">
        <v>2017</v>
      </c>
      <c r="E1606">
        <v>1924.85</v>
      </c>
      <c r="F1606">
        <v>169386.8</v>
      </c>
      <c r="G1606">
        <v>0</v>
      </c>
      <c r="H1606">
        <v>0</v>
      </c>
      <c r="I1606" s="2" t="s">
        <v>2024</v>
      </c>
      <c r="J1606" s="2" t="s">
        <v>2030</v>
      </c>
      <c r="K1606" s="2" t="s">
        <v>2069</v>
      </c>
      <c r="L1606" s="2" t="s">
        <v>4032</v>
      </c>
      <c r="M1606">
        <v>-1924.85</v>
      </c>
      <c r="N1606" s="2" t="s">
        <v>4044</v>
      </c>
      <c r="O1606">
        <v>88</v>
      </c>
      <c r="P1606">
        <v>-169386.8</v>
      </c>
      <c r="Q1606" t="b">
        <v>0</v>
      </c>
      <c r="R1606" t="b">
        <v>0</v>
      </c>
      <c r="S1606" t="b">
        <v>0</v>
      </c>
      <c r="T1606" t="b">
        <v>0</v>
      </c>
      <c r="U1606">
        <v>0</v>
      </c>
      <c r="V1606" t="s">
        <v>4073</v>
      </c>
    </row>
    <row r="1607" spans="1:22" hidden="1" x14ac:dyDescent="0.45">
      <c r="A1607" s="2" t="s">
        <v>1719</v>
      </c>
      <c r="B1607" s="11">
        <v>44946</v>
      </c>
      <c r="C1607" s="2" t="s">
        <v>2014</v>
      </c>
      <c r="D1607" s="2" t="s">
        <v>2019</v>
      </c>
      <c r="E1607">
        <v>0</v>
      </c>
      <c r="F1607">
        <v>0</v>
      </c>
      <c r="G1607">
        <v>1963.74</v>
      </c>
      <c r="H1607">
        <v>161026.68</v>
      </c>
      <c r="I1607" s="2" t="s">
        <v>2022</v>
      </c>
      <c r="J1607" s="2" t="s">
        <v>2027</v>
      </c>
      <c r="K1607" s="2" t="s">
        <v>3740</v>
      </c>
      <c r="L1607" s="2" t="s">
        <v>4034</v>
      </c>
      <c r="M1607">
        <v>1963.74</v>
      </c>
      <c r="N1607" s="2" t="s">
        <v>4042</v>
      </c>
      <c r="O1607">
        <v>82</v>
      </c>
      <c r="P1607">
        <v>161026.68</v>
      </c>
      <c r="Q1607" t="b">
        <v>0</v>
      </c>
      <c r="R1607" t="b">
        <v>0</v>
      </c>
      <c r="S1607" t="b">
        <v>0</v>
      </c>
      <c r="T1607" t="b">
        <v>0</v>
      </c>
      <c r="U1607">
        <v>0</v>
      </c>
      <c r="V1607" t="s">
        <v>4073</v>
      </c>
    </row>
    <row r="1608" spans="1:22" hidden="1" x14ac:dyDescent="0.45">
      <c r="A1608" s="2" t="s">
        <v>1829</v>
      </c>
      <c r="B1608" s="11">
        <v>44958</v>
      </c>
      <c r="C1608" s="2" t="s">
        <v>2014</v>
      </c>
      <c r="D1608" s="2" t="s">
        <v>2019</v>
      </c>
      <c r="E1608">
        <v>0</v>
      </c>
      <c r="F1608">
        <v>0</v>
      </c>
      <c r="G1608">
        <v>2648.51</v>
      </c>
      <c r="H1608">
        <v>161559.11000000002</v>
      </c>
      <c r="I1608" s="2" t="s">
        <v>2023</v>
      </c>
      <c r="J1608" s="2" t="s">
        <v>2027</v>
      </c>
      <c r="K1608" s="2" t="s">
        <v>3850</v>
      </c>
      <c r="L1608" s="2" t="s">
        <v>4035</v>
      </c>
      <c r="M1608">
        <v>2648.51</v>
      </c>
      <c r="N1608" s="2" t="s">
        <v>4042</v>
      </c>
      <c r="O1608">
        <v>61</v>
      </c>
      <c r="P1608">
        <v>161559.11000000002</v>
      </c>
      <c r="Q1608" t="b">
        <v>0</v>
      </c>
      <c r="R1608" t="b">
        <v>0</v>
      </c>
      <c r="S1608" t="b">
        <v>0</v>
      </c>
      <c r="T1608" t="b">
        <v>0</v>
      </c>
      <c r="U1608">
        <v>0</v>
      </c>
      <c r="V1608" t="s">
        <v>4073</v>
      </c>
    </row>
    <row r="1609" spans="1:22" hidden="1" x14ac:dyDescent="0.45">
      <c r="A1609" s="2" t="s">
        <v>901</v>
      </c>
      <c r="B1609" s="11">
        <v>45068</v>
      </c>
      <c r="C1609" s="2" t="s">
        <v>2010</v>
      </c>
      <c r="D1609" s="2" t="s">
        <v>2015</v>
      </c>
      <c r="E1609">
        <v>0</v>
      </c>
      <c r="F1609">
        <v>0</v>
      </c>
      <c r="G1609">
        <v>2655.46</v>
      </c>
      <c r="H1609">
        <v>161983.06</v>
      </c>
      <c r="I1609" s="2" t="s">
        <v>2020</v>
      </c>
      <c r="J1609" s="2" t="s">
        <v>2026</v>
      </c>
      <c r="K1609" s="2" t="s">
        <v>2922</v>
      </c>
      <c r="L1609" s="2" t="s">
        <v>4035</v>
      </c>
      <c r="M1609">
        <v>2655.46</v>
      </c>
      <c r="N1609" s="2" t="s">
        <v>4042</v>
      </c>
      <c r="O1609">
        <v>61</v>
      </c>
      <c r="P1609">
        <v>161983.06</v>
      </c>
      <c r="Q1609" t="b">
        <v>0</v>
      </c>
      <c r="R1609" t="b">
        <v>0</v>
      </c>
      <c r="S1609" t="b">
        <v>0</v>
      </c>
      <c r="T1609" t="b">
        <v>0</v>
      </c>
      <c r="U1609">
        <v>0</v>
      </c>
      <c r="V1609" t="s">
        <v>4073</v>
      </c>
    </row>
    <row r="1610" spans="1:22" hidden="1" x14ac:dyDescent="0.45">
      <c r="A1610" s="2" t="s">
        <v>1020</v>
      </c>
      <c r="B1610" s="11">
        <v>45729</v>
      </c>
      <c r="C1610" s="2" t="s">
        <v>2012</v>
      </c>
      <c r="D1610" s="2" t="s">
        <v>2017</v>
      </c>
      <c r="E1610">
        <v>1978.21</v>
      </c>
      <c r="F1610">
        <v>162213.22</v>
      </c>
      <c r="G1610">
        <v>0</v>
      </c>
      <c r="H1610">
        <v>0</v>
      </c>
      <c r="I1610" s="2" t="s">
        <v>2021</v>
      </c>
      <c r="J1610" s="2" t="s">
        <v>2026</v>
      </c>
      <c r="K1610" s="2" t="s">
        <v>3041</v>
      </c>
      <c r="L1610" s="2" t="s">
        <v>4034</v>
      </c>
      <c r="M1610">
        <v>-1978.21</v>
      </c>
      <c r="N1610" s="2" t="s">
        <v>4044</v>
      </c>
      <c r="O1610">
        <v>82</v>
      </c>
      <c r="P1610">
        <v>-162213.22</v>
      </c>
      <c r="Q1610" t="b">
        <v>0</v>
      </c>
      <c r="R1610" t="b">
        <v>0</v>
      </c>
      <c r="S1610" t="b">
        <v>0</v>
      </c>
      <c r="T1610" t="b">
        <v>0</v>
      </c>
      <c r="U1610">
        <v>0</v>
      </c>
      <c r="V1610" t="s">
        <v>4073</v>
      </c>
    </row>
    <row r="1611" spans="1:22" hidden="1" x14ac:dyDescent="0.45">
      <c r="A1611" s="2" t="s">
        <v>1780</v>
      </c>
      <c r="B1611" s="11">
        <v>45699</v>
      </c>
      <c r="C1611" s="2" t="s">
        <v>2011</v>
      </c>
      <c r="D1611" s="2" t="s">
        <v>2016</v>
      </c>
      <c r="E1611">
        <v>1995.64</v>
      </c>
      <c r="F1611">
        <v>163642.48000000001</v>
      </c>
      <c r="G1611">
        <v>0</v>
      </c>
      <c r="H1611">
        <v>0</v>
      </c>
      <c r="I1611" s="2" t="s">
        <v>2023</v>
      </c>
      <c r="J1611" s="2" t="s">
        <v>2026</v>
      </c>
      <c r="K1611" s="2" t="s">
        <v>3801</v>
      </c>
      <c r="L1611" s="2" t="s">
        <v>4034</v>
      </c>
      <c r="M1611">
        <v>-1995.64</v>
      </c>
      <c r="N1611" s="2" t="s">
        <v>2016</v>
      </c>
      <c r="O1611">
        <v>82</v>
      </c>
      <c r="P1611">
        <v>-163642.48000000001</v>
      </c>
      <c r="Q1611" t="b">
        <v>0</v>
      </c>
      <c r="R1611" t="b">
        <v>0</v>
      </c>
      <c r="S1611" t="b">
        <v>0</v>
      </c>
      <c r="T1611" t="b">
        <v>0</v>
      </c>
      <c r="U1611">
        <v>0</v>
      </c>
      <c r="V1611" t="s">
        <v>4073</v>
      </c>
    </row>
    <row r="1612" spans="1:22" hidden="1" x14ac:dyDescent="0.45">
      <c r="A1612" s="2" t="s">
        <v>464</v>
      </c>
      <c r="B1612" s="11">
        <v>44935</v>
      </c>
      <c r="C1612" s="2" t="s">
        <v>2010</v>
      </c>
      <c r="D1612" s="2" t="s">
        <v>2015</v>
      </c>
      <c r="E1612">
        <v>0</v>
      </c>
      <c r="F1612">
        <v>0</v>
      </c>
      <c r="G1612">
        <v>1859.84</v>
      </c>
      <c r="H1612">
        <v>163665.91999999998</v>
      </c>
      <c r="I1612" s="2" t="s">
        <v>2020</v>
      </c>
      <c r="J1612" s="2" t="s">
        <v>2029</v>
      </c>
      <c r="K1612" s="2" t="s">
        <v>2485</v>
      </c>
      <c r="L1612" s="2" t="s">
        <v>4032</v>
      </c>
      <c r="M1612">
        <v>1859.84</v>
      </c>
      <c r="N1612" s="2" t="s">
        <v>4042</v>
      </c>
      <c r="O1612">
        <v>88</v>
      </c>
      <c r="P1612">
        <v>163665.91999999998</v>
      </c>
      <c r="Q1612" t="b">
        <v>0</v>
      </c>
      <c r="R1612" t="b">
        <v>0</v>
      </c>
      <c r="S1612" t="b">
        <v>0</v>
      </c>
      <c r="T1612" t="b">
        <v>0</v>
      </c>
      <c r="U1612">
        <v>0</v>
      </c>
      <c r="V1612" t="s">
        <v>4073</v>
      </c>
    </row>
    <row r="1613" spans="1:22" hidden="1" x14ac:dyDescent="0.45">
      <c r="A1613" s="2" t="s">
        <v>1869</v>
      </c>
      <c r="B1613" s="11">
        <v>45827</v>
      </c>
      <c r="C1613" s="2" t="s">
        <v>2012</v>
      </c>
      <c r="D1613" s="2" t="s">
        <v>2017</v>
      </c>
      <c r="E1613">
        <v>1592.97</v>
      </c>
      <c r="F1613">
        <v>164075.91</v>
      </c>
      <c r="G1613">
        <v>0</v>
      </c>
      <c r="H1613">
        <v>0</v>
      </c>
      <c r="I1613" s="2" t="s">
        <v>2021</v>
      </c>
      <c r="J1613" s="2" t="s">
        <v>2029</v>
      </c>
      <c r="K1613" s="2" t="s">
        <v>3890</v>
      </c>
      <c r="L1613" s="2" t="s">
        <v>4031</v>
      </c>
      <c r="M1613">
        <v>-1592.97</v>
      </c>
      <c r="N1613" s="2" t="s">
        <v>4044</v>
      </c>
      <c r="O1613">
        <v>103</v>
      </c>
      <c r="P1613">
        <v>-164075.91</v>
      </c>
      <c r="Q1613" t="b">
        <v>0</v>
      </c>
      <c r="R1613" t="b">
        <v>0</v>
      </c>
      <c r="S1613" t="b">
        <v>0</v>
      </c>
      <c r="T1613" t="b">
        <v>0</v>
      </c>
      <c r="U1613">
        <v>0</v>
      </c>
      <c r="V1613" t="s">
        <v>4073</v>
      </c>
    </row>
    <row r="1614" spans="1:22" hidden="1" x14ac:dyDescent="0.45">
      <c r="A1614" s="2" t="s">
        <v>1818</v>
      </c>
      <c r="B1614" s="11">
        <v>45573</v>
      </c>
      <c r="C1614" s="2" t="s">
        <v>2011</v>
      </c>
      <c r="D1614" s="2" t="s">
        <v>2016</v>
      </c>
      <c r="E1614">
        <v>1866.55</v>
      </c>
      <c r="F1614">
        <v>164256.4</v>
      </c>
      <c r="G1614">
        <v>0</v>
      </c>
      <c r="H1614">
        <v>0</v>
      </c>
      <c r="I1614" s="2" t="s">
        <v>2021</v>
      </c>
      <c r="J1614" s="2" t="s">
        <v>2026</v>
      </c>
      <c r="K1614" s="2" t="s">
        <v>3839</v>
      </c>
      <c r="L1614" s="2" t="s">
        <v>4032</v>
      </c>
      <c r="M1614">
        <v>-1866.55</v>
      </c>
      <c r="N1614" s="2" t="s">
        <v>2016</v>
      </c>
      <c r="O1614">
        <v>88</v>
      </c>
      <c r="P1614">
        <v>-164256.4</v>
      </c>
      <c r="Q1614" t="b">
        <v>0</v>
      </c>
      <c r="R1614" t="b">
        <v>0</v>
      </c>
      <c r="S1614" t="b">
        <v>0</v>
      </c>
      <c r="T1614" t="b">
        <v>0</v>
      </c>
      <c r="U1614">
        <v>0</v>
      </c>
      <c r="V1614" t="s">
        <v>4073</v>
      </c>
    </row>
    <row r="1615" spans="1:22" hidden="1" x14ac:dyDescent="0.45">
      <c r="A1615" s="2" t="s">
        <v>1878</v>
      </c>
      <c r="B1615" s="11">
        <v>45588</v>
      </c>
      <c r="C1615" s="2" t="s">
        <v>2014</v>
      </c>
      <c r="D1615" s="2" t="s">
        <v>2019</v>
      </c>
      <c r="E1615">
        <v>0</v>
      </c>
      <c r="F1615">
        <v>0</v>
      </c>
      <c r="G1615">
        <v>1886.23</v>
      </c>
      <c r="H1615">
        <v>165988.24</v>
      </c>
      <c r="I1615" s="2" t="s">
        <v>2020</v>
      </c>
      <c r="J1615" s="2" t="s">
        <v>2026</v>
      </c>
      <c r="K1615" s="2" t="s">
        <v>3899</v>
      </c>
      <c r="L1615" s="2" t="s">
        <v>4032</v>
      </c>
      <c r="M1615">
        <v>1886.23</v>
      </c>
      <c r="N1615" s="2" t="s">
        <v>4042</v>
      </c>
      <c r="O1615">
        <v>88</v>
      </c>
      <c r="P1615">
        <v>165988.24</v>
      </c>
      <c r="Q1615" t="b">
        <v>0</v>
      </c>
      <c r="R1615" t="b">
        <v>0</v>
      </c>
      <c r="S1615" t="b">
        <v>0</v>
      </c>
      <c r="T1615" t="b">
        <v>0</v>
      </c>
      <c r="U1615">
        <v>0</v>
      </c>
      <c r="V1615" t="s">
        <v>4073</v>
      </c>
    </row>
    <row r="1616" spans="1:22" hidden="1" x14ac:dyDescent="0.45">
      <c r="A1616" s="2" t="s">
        <v>1413</v>
      </c>
      <c r="B1616" s="11">
        <v>45796</v>
      </c>
      <c r="C1616" s="2" t="s">
        <v>2012</v>
      </c>
      <c r="D1616" s="2" t="s">
        <v>2017</v>
      </c>
      <c r="E1616">
        <v>1891.61</v>
      </c>
      <c r="F1616">
        <v>166461.68</v>
      </c>
      <c r="G1616">
        <v>0</v>
      </c>
      <c r="H1616">
        <v>0</v>
      </c>
      <c r="I1616" s="2" t="s">
        <v>2020</v>
      </c>
      <c r="J1616" s="2" t="s">
        <v>2026</v>
      </c>
      <c r="K1616" s="2" t="s">
        <v>3434</v>
      </c>
      <c r="L1616" s="2" t="s">
        <v>4032</v>
      </c>
      <c r="M1616">
        <v>-1891.61</v>
      </c>
      <c r="N1616" s="2" t="s">
        <v>4044</v>
      </c>
      <c r="O1616">
        <v>88</v>
      </c>
      <c r="P1616">
        <v>-166461.68</v>
      </c>
      <c r="Q1616" t="b">
        <v>0</v>
      </c>
      <c r="R1616" t="b">
        <v>0</v>
      </c>
      <c r="S1616" t="b">
        <v>0</v>
      </c>
      <c r="T1616" t="b">
        <v>0</v>
      </c>
      <c r="U1616">
        <v>0</v>
      </c>
      <c r="V1616" t="s">
        <v>4073</v>
      </c>
    </row>
    <row r="1617" spans="1:22" hidden="1" x14ac:dyDescent="0.45">
      <c r="A1617" s="2" t="s">
        <v>758</v>
      </c>
      <c r="B1617" s="11">
        <v>45019</v>
      </c>
      <c r="C1617" s="2" t="s">
        <v>2010</v>
      </c>
      <c r="D1617" s="2" t="s">
        <v>2015</v>
      </c>
      <c r="E1617">
        <v>0</v>
      </c>
      <c r="F1617">
        <v>0</v>
      </c>
      <c r="G1617">
        <v>2983.93</v>
      </c>
      <c r="H1617">
        <v>167100.07999999999</v>
      </c>
      <c r="I1617" s="2" t="s">
        <v>2022</v>
      </c>
      <c r="J1617" s="2" t="s">
        <v>2026</v>
      </c>
      <c r="K1617" s="2" t="s">
        <v>2779</v>
      </c>
      <c r="L1617" s="2" t="s">
        <v>4033</v>
      </c>
      <c r="M1617">
        <v>2983.93</v>
      </c>
      <c r="N1617" s="2" t="s">
        <v>4042</v>
      </c>
      <c r="O1617">
        <v>56</v>
      </c>
      <c r="P1617">
        <v>167100.07999999999</v>
      </c>
      <c r="Q1617" t="b">
        <v>0</v>
      </c>
      <c r="R1617" t="b">
        <v>0</v>
      </c>
      <c r="S1617" t="b">
        <v>0</v>
      </c>
      <c r="T1617" t="b">
        <v>0</v>
      </c>
      <c r="U1617">
        <v>0</v>
      </c>
      <c r="V1617" t="s">
        <v>4073</v>
      </c>
    </row>
    <row r="1618" spans="1:22" hidden="1" x14ac:dyDescent="0.45">
      <c r="A1618" s="2" t="s">
        <v>944</v>
      </c>
      <c r="B1618" s="11">
        <v>45425</v>
      </c>
      <c r="C1618" s="2" t="s">
        <v>2014</v>
      </c>
      <c r="D1618" s="2" t="s">
        <v>2019</v>
      </c>
      <c r="E1618">
        <v>0</v>
      </c>
      <c r="F1618">
        <v>0</v>
      </c>
      <c r="G1618">
        <v>2984.56</v>
      </c>
      <c r="H1618">
        <v>167135.35999999999</v>
      </c>
      <c r="I1618" s="2" t="s">
        <v>2025</v>
      </c>
      <c r="J1618" s="2" t="s">
        <v>2028</v>
      </c>
      <c r="K1618" s="2" t="s">
        <v>2965</v>
      </c>
      <c r="L1618" s="2" t="s">
        <v>4033</v>
      </c>
      <c r="M1618">
        <v>2984.56</v>
      </c>
      <c r="N1618" s="2" t="s">
        <v>4042</v>
      </c>
      <c r="O1618">
        <v>56</v>
      </c>
      <c r="P1618">
        <v>167135.35999999999</v>
      </c>
      <c r="Q1618" t="b">
        <v>0</v>
      </c>
      <c r="R1618" t="b">
        <v>0</v>
      </c>
      <c r="S1618" t="b">
        <v>0</v>
      </c>
      <c r="T1618" t="b">
        <v>0</v>
      </c>
      <c r="U1618">
        <v>0</v>
      </c>
      <c r="V1618" t="s">
        <v>4073</v>
      </c>
    </row>
    <row r="1619" spans="1:22" hidden="1" x14ac:dyDescent="0.45">
      <c r="A1619" s="2" t="s">
        <v>195</v>
      </c>
      <c r="B1619" s="11">
        <v>45069</v>
      </c>
      <c r="C1619" s="2" t="s">
        <v>2011</v>
      </c>
      <c r="D1619" s="2" t="s">
        <v>2016</v>
      </c>
      <c r="E1619">
        <v>1625.69</v>
      </c>
      <c r="F1619">
        <v>167446.07</v>
      </c>
      <c r="G1619">
        <v>0</v>
      </c>
      <c r="H1619">
        <v>0</v>
      </c>
      <c r="I1619" s="2" t="s">
        <v>2023</v>
      </c>
      <c r="J1619" s="2" t="s">
        <v>2027</v>
      </c>
      <c r="K1619" s="2" t="s">
        <v>2216</v>
      </c>
      <c r="L1619" s="2" t="s">
        <v>4031</v>
      </c>
      <c r="M1619">
        <v>-1625.69</v>
      </c>
      <c r="N1619" s="2" t="s">
        <v>2016</v>
      </c>
      <c r="O1619">
        <v>103</v>
      </c>
      <c r="P1619">
        <v>-167446.07</v>
      </c>
      <c r="Q1619" t="b">
        <v>0</v>
      </c>
      <c r="R1619" t="b">
        <v>0</v>
      </c>
      <c r="S1619" t="b">
        <v>0</v>
      </c>
      <c r="T1619" t="b">
        <v>0</v>
      </c>
      <c r="U1619">
        <v>0</v>
      </c>
      <c r="V1619" t="s">
        <v>4073</v>
      </c>
    </row>
    <row r="1620" spans="1:22" hidden="1" x14ac:dyDescent="0.45">
      <c r="A1620" s="2" t="s">
        <v>1223</v>
      </c>
      <c r="B1620" s="11">
        <v>45692</v>
      </c>
      <c r="C1620" s="2" t="s">
        <v>2013</v>
      </c>
      <c r="D1620" s="2" t="s">
        <v>2018</v>
      </c>
      <c r="E1620">
        <v>1628.31</v>
      </c>
      <c r="F1620">
        <v>167715.93</v>
      </c>
      <c r="G1620">
        <v>0</v>
      </c>
      <c r="H1620">
        <v>0</v>
      </c>
      <c r="I1620" s="2" t="s">
        <v>2025</v>
      </c>
      <c r="J1620" s="2" t="s">
        <v>2029</v>
      </c>
      <c r="K1620" s="2" t="s">
        <v>3244</v>
      </c>
      <c r="L1620" s="2" t="s">
        <v>4031</v>
      </c>
      <c r="M1620">
        <v>-1628.31</v>
      </c>
      <c r="N1620" s="2" t="s">
        <v>4044</v>
      </c>
      <c r="O1620">
        <v>103</v>
      </c>
      <c r="P1620">
        <v>-167715.93</v>
      </c>
      <c r="Q1620" t="b">
        <v>0</v>
      </c>
      <c r="R1620" t="b">
        <v>0</v>
      </c>
      <c r="S1620" t="b">
        <v>0</v>
      </c>
      <c r="T1620" t="b">
        <v>0</v>
      </c>
      <c r="U1620">
        <v>0</v>
      </c>
      <c r="V1620" t="s">
        <v>4073</v>
      </c>
    </row>
    <row r="1621" spans="1:22" hidden="1" x14ac:dyDescent="0.45">
      <c r="A1621" s="2" t="s">
        <v>898</v>
      </c>
      <c r="B1621" s="11">
        <v>45574</v>
      </c>
      <c r="C1621" s="2" t="s">
        <v>2013</v>
      </c>
      <c r="D1621" s="2" t="s">
        <v>2018</v>
      </c>
      <c r="E1621">
        <v>1915.1</v>
      </c>
      <c r="F1621">
        <v>168528.8</v>
      </c>
      <c r="G1621">
        <v>0</v>
      </c>
      <c r="H1621">
        <v>0</v>
      </c>
      <c r="I1621" s="2" t="s">
        <v>2022</v>
      </c>
      <c r="J1621" s="2" t="s">
        <v>2030</v>
      </c>
      <c r="K1621" s="2" t="s">
        <v>2919</v>
      </c>
      <c r="L1621" s="2" t="s">
        <v>4032</v>
      </c>
      <c r="M1621">
        <v>-1915.1</v>
      </c>
      <c r="N1621" s="2" t="s">
        <v>4044</v>
      </c>
      <c r="O1621">
        <v>88</v>
      </c>
      <c r="P1621">
        <v>-168528.8</v>
      </c>
      <c r="Q1621" t="b">
        <v>0</v>
      </c>
      <c r="R1621" t="b">
        <v>0</v>
      </c>
      <c r="S1621" t="b">
        <v>0</v>
      </c>
      <c r="T1621" t="b">
        <v>0</v>
      </c>
      <c r="U1621">
        <v>0</v>
      </c>
      <c r="V1621" t="s">
        <v>4073</v>
      </c>
    </row>
    <row r="1622" spans="1:22" hidden="1" x14ac:dyDescent="0.45">
      <c r="A1622" s="2" t="s">
        <v>623</v>
      </c>
      <c r="B1622" s="11">
        <v>45000</v>
      </c>
      <c r="C1622" s="2" t="s">
        <v>2012</v>
      </c>
      <c r="D1622" s="2" t="s">
        <v>2017</v>
      </c>
      <c r="E1622">
        <v>1638.5</v>
      </c>
      <c r="F1622">
        <v>168765.5</v>
      </c>
      <c r="G1622">
        <v>0</v>
      </c>
      <c r="H1622">
        <v>0</v>
      </c>
      <c r="I1622" s="2" t="s">
        <v>2022</v>
      </c>
      <c r="J1622" s="2" t="s">
        <v>2026</v>
      </c>
      <c r="K1622" s="2" t="s">
        <v>2644</v>
      </c>
      <c r="L1622" s="2" t="s">
        <v>4031</v>
      </c>
      <c r="M1622">
        <v>-1638.5</v>
      </c>
      <c r="N1622" s="2" t="s">
        <v>4044</v>
      </c>
      <c r="O1622">
        <v>103</v>
      </c>
      <c r="P1622">
        <v>-168765.5</v>
      </c>
      <c r="Q1622" t="b">
        <v>0</v>
      </c>
      <c r="R1622" t="b">
        <v>0</v>
      </c>
      <c r="S1622" t="b">
        <v>0</v>
      </c>
      <c r="T1622" t="b">
        <v>0</v>
      </c>
      <c r="U1622">
        <v>0</v>
      </c>
      <c r="V1622" t="s">
        <v>4073</v>
      </c>
    </row>
    <row r="1623" spans="1:22" hidden="1" x14ac:dyDescent="0.45">
      <c r="A1623" s="2" t="s">
        <v>473</v>
      </c>
      <c r="B1623" s="11">
        <v>45667</v>
      </c>
      <c r="C1623" s="2" t="s">
        <v>2013</v>
      </c>
      <c r="D1623" s="2" t="s">
        <v>2018</v>
      </c>
      <c r="E1623">
        <v>1920.52</v>
      </c>
      <c r="F1623">
        <v>169005.76</v>
      </c>
      <c r="G1623">
        <v>0</v>
      </c>
      <c r="H1623">
        <v>0</v>
      </c>
      <c r="I1623" s="2" t="s">
        <v>2020</v>
      </c>
      <c r="J1623" s="2" t="s">
        <v>2027</v>
      </c>
      <c r="K1623" s="2" t="s">
        <v>2494</v>
      </c>
      <c r="L1623" s="2" t="s">
        <v>4032</v>
      </c>
      <c r="M1623">
        <v>-1920.52</v>
      </c>
      <c r="N1623" s="2" t="s">
        <v>4044</v>
      </c>
      <c r="O1623">
        <v>88</v>
      </c>
      <c r="P1623">
        <v>-169005.76</v>
      </c>
      <c r="Q1623" t="b">
        <v>0</v>
      </c>
      <c r="R1623" t="b">
        <v>0</v>
      </c>
      <c r="S1623" t="b">
        <v>0</v>
      </c>
      <c r="T1623" t="b">
        <v>0</v>
      </c>
      <c r="U1623">
        <v>0</v>
      </c>
      <c r="V1623" t="s">
        <v>4073</v>
      </c>
    </row>
    <row r="1624" spans="1:22" hidden="1" x14ac:dyDescent="0.45">
      <c r="A1624" s="2" t="s">
        <v>862</v>
      </c>
      <c r="B1624" s="11">
        <v>45218</v>
      </c>
      <c r="C1624" s="2" t="s">
        <v>2010</v>
      </c>
      <c r="D1624" s="2" t="s">
        <v>2015</v>
      </c>
      <c r="E1624">
        <v>0</v>
      </c>
      <c r="F1624">
        <v>0</v>
      </c>
      <c r="G1624">
        <v>3025.08</v>
      </c>
      <c r="H1624">
        <v>169404.47999999998</v>
      </c>
      <c r="I1624" s="2" t="s">
        <v>2023</v>
      </c>
      <c r="J1624" s="2" t="s">
        <v>2030</v>
      </c>
      <c r="K1624" s="2" t="s">
        <v>2883</v>
      </c>
      <c r="L1624" s="2" t="s">
        <v>4033</v>
      </c>
      <c r="M1624">
        <v>3025.08</v>
      </c>
      <c r="N1624" s="2" t="s">
        <v>4042</v>
      </c>
      <c r="O1624">
        <v>56</v>
      </c>
      <c r="P1624">
        <v>169404.47999999998</v>
      </c>
      <c r="Q1624" t="b">
        <v>0</v>
      </c>
      <c r="R1624" t="b">
        <v>0</v>
      </c>
      <c r="S1624" t="b">
        <v>0</v>
      </c>
      <c r="T1624" t="b">
        <v>0</v>
      </c>
      <c r="U1624">
        <v>0</v>
      </c>
      <c r="V1624" t="s">
        <v>4073</v>
      </c>
    </row>
    <row r="1625" spans="1:22" hidden="1" x14ac:dyDescent="0.45">
      <c r="A1625" s="2" t="s">
        <v>1166</v>
      </c>
      <c r="B1625" s="11">
        <v>45057</v>
      </c>
      <c r="C1625" s="2" t="s">
        <v>2013</v>
      </c>
      <c r="D1625" s="2" t="s">
        <v>2018</v>
      </c>
      <c r="E1625">
        <v>1961.58</v>
      </c>
      <c r="F1625">
        <v>160849.56</v>
      </c>
      <c r="G1625">
        <v>0</v>
      </c>
      <c r="H1625">
        <v>0</v>
      </c>
      <c r="I1625" s="2" t="s">
        <v>2024</v>
      </c>
      <c r="J1625" s="2" t="s">
        <v>2027</v>
      </c>
      <c r="K1625" s="2" t="s">
        <v>3187</v>
      </c>
      <c r="L1625" s="2" t="s">
        <v>4034</v>
      </c>
      <c r="M1625">
        <v>-1961.58</v>
      </c>
      <c r="N1625" s="2" t="s">
        <v>4044</v>
      </c>
      <c r="O1625">
        <v>82</v>
      </c>
      <c r="P1625">
        <v>-160849.56</v>
      </c>
      <c r="Q1625" t="b">
        <v>0</v>
      </c>
      <c r="R1625" t="b">
        <v>0</v>
      </c>
      <c r="S1625" t="b">
        <v>0</v>
      </c>
      <c r="T1625" t="b">
        <v>0</v>
      </c>
      <c r="U1625">
        <v>0</v>
      </c>
      <c r="V1625" t="s">
        <v>4073</v>
      </c>
    </row>
    <row r="1626" spans="1:22" hidden="1" x14ac:dyDescent="0.45">
      <c r="A1626" s="2" t="s">
        <v>1653</v>
      </c>
      <c r="B1626" s="11">
        <v>45302</v>
      </c>
      <c r="C1626" s="2" t="s">
        <v>2010</v>
      </c>
      <c r="D1626" s="2" t="s">
        <v>2015</v>
      </c>
      <c r="E1626">
        <v>0</v>
      </c>
      <c r="F1626">
        <v>0</v>
      </c>
      <c r="G1626">
        <v>1736.08</v>
      </c>
      <c r="H1626">
        <v>178816.24</v>
      </c>
      <c r="I1626" s="2" t="s">
        <v>2021</v>
      </c>
      <c r="J1626" s="2" t="s">
        <v>2029</v>
      </c>
      <c r="K1626" s="2" t="s">
        <v>3674</v>
      </c>
      <c r="L1626" s="2" t="s">
        <v>4031</v>
      </c>
      <c r="M1626">
        <v>1736.08</v>
      </c>
      <c r="N1626" s="2" t="s">
        <v>4042</v>
      </c>
      <c r="O1626">
        <v>103</v>
      </c>
      <c r="P1626">
        <v>178816.24</v>
      </c>
      <c r="Q1626" t="b">
        <v>0</v>
      </c>
      <c r="R1626" t="b">
        <v>0</v>
      </c>
      <c r="S1626" t="b">
        <v>0</v>
      </c>
      <c r="T1626" t="b">
        <v>0</v>
      </c>
      <c r="U1626">
        <v>0</v>
      </c>
      <c r="V1626" t="s">
        <v>4073</v>
      </c>
    </row>
    <row r="1627" spans="1:22" hidden="1" x14ac:dyDescent="0.45">
      <c r="A1627" s="2" t="s">
        <v>1836</v>
      </c>
      <c r="B1627" s="11">
        <v>45574</v>
      </c>
      <c r="C1627" s="2" t="s">
        <v>2014</v>
      </c>
      <c r="D1627" s="2" t="s">
        <v>2019</v>
      </c>
      <c r="E1627">
        <v>0</v>
      </c>
      <c r="F1627">
        <v>0</v>
      </c>
      <c r="G1627">
        <v>1743.21</v>
      </c>
      <c r="H1627">
        <v>179550.63</v>
      </c>
      <c r="I1627" s="2" t="s">
        <v>2025</v>
      </c>
      <c r="J1627" s="2" t="s">
        <v>2028</v>
      </c>
      <c r="K1627" s="2" t="s">
        <v>3857</v>
      </c>
      <c r="L1627" s="2" t="s">
        <v>4031</v>
      </c>
      <c r="M1627">
        <v>1743.21</v>
      </c>
      <c r="N1627" s="2" t="s">
        <v>4042</v>
      </c>
      <c r="O1627">
        <v>103</v>
      </c>
      <c r="P1627">
        <v>179550.63</v>
      </c>
      <c r="Q1627" t="b">
        <v>0</v>
      </c>
      <c r="R1627" t="b">
        <v>0</v>
      </c>
      <c r="S1627" t="b">
        <v>0</v>
      </c>
      <c r="T1627" t="b">
        <v>0</v>
      </c>
      <c r="U1627">
        <v>0</v>
      </c>
      <c r="V1627" t="s">
        <v>4073</v>
      </c>
    </row>
    <row r="1628" spans="1:22" hidden="1" x14ac:dyDescent="0.45">
      <c r="A1628" s="2" t="s">
        <v>290</v>
      </c>
      <c r="B1628" s="11">
        <v>45475</v>
      </c>
      <c r="C1628" s="2" t="s">
        <v>2014</v>
      </c>
      <c r="D1628" s="2" t="s">
        <v>2019</v>
      </c>
      <c r="E1628">
        <v>0</v>
      </c>
      <c r="F1628">
        <v>0</v>
      </c>
      <c r="G1628">
        <v>2329.64</v>
      </c>
      <c r="H1628">
        <v>191030.47999999998</v>
      </c>
      <c r="I1628" s="2" t="s">
        <v>2024</v>
      </c>
      <c r="J1628" s="2" t="s">
        <v>2028</v>
      </c>
      <c r="K1628" s="2" t="s">
        <v>2311</v>
      </c>
      <c r="L1628" s="2" t="s">
        <v>4034</v>
      </c>
      <c r="M1628">
        <v>2329.64</v>
      </c>
      <c r="N1628" s="2" t="s">
        <v>4042</v>
      </c>
      <c r="O1628">
        <v>82</v>
      </c>
      <c r="P1628">
        <v>191030.47999999998</v>
      </c>
      <c r="Q1628" t="b">
        <v>0</v>
      </c>
      <c r="R1628" t="b">
        <v>0</v>
      </c>
      <c r="S1628" t="b">
        <v>0</v>
      </c>
      <c r="T1628" t="b">
        <v>0</v>
      </c>
      <c r="U1628">
        <v>0</v>
      </c>
      <c r="V1628" t="s">
        <v>4073</v>
      </c>
    </row>
    <row r="1629" spans="1:22" hidden="1" x14ac:dyDescent="0.45">
      <c r="A1629" s="2" t="s">
        <v>1910</v>
      </c>
      <c r="B1629" s="11">
        <v>45413</v>
      </c>
      <c r="C1629" s="2" t="s">
        <v>2014</v>
      </c>
      <c r="D1629" s="2" t="s">
        <v>2019</v>
      </c>
      <c r="E1629">
        <v>0</v>
      </c>
      <c r="F1629">
        <v>0</v>
      </c>
      <c r="G1629">
        <v>2332.9299999999998</v>
      </c>
      <c r="H1629">
        <v>191300.25999999998</v>
      </c>
      <c r="I1629" s="2" t="s">
        <v>2020</v>
      </c>
      <c r="J1629" s="2" t="s">
        <v>2030</v>
      </c>
      <c r="K1629" s="2" t="s">
        <v>3931</v>
      </c>
      <c r="L1629" s="2" t="s">
        <v>4034</v>
      </c>
      <c r="M1629">
        <v>2332.9299999999998</v>
      </c>
      <c r="N1629" s="2" t="s">
        <v>4042</v>
      </c>
      <c r="O1629">
        <v>82</v>
      </c>
      <c r="P1629">
        <v>191300.25999999998</v>
      </c>
      <c r="Q1629" t="b">
        <v>0</v>
      </c>
      <c r="R1629" t="b">
        <v>0</v>
      </c>
      <c r="S1629" t="b">
        <v>0</v>
      </c>
      <c r="T1629" t="b">
        <v>0</v>
      </c>
      <c r="U1629">
        <v>0</v>
      </c>
      <c r="V1629" t="s">
        <v>4073</v>
      </c>
    </row>
    <row r="1630" spans="1:22" hidden="1" x14ac:dyDescent="0.45">
      <c r="A1630" s="2" t="s">
        <v>524</v>
      </c>
      <c r="B1630" s="11">
        <v>45547</v>
      </c>
      <c r="C1630" s="2" t="s">
        <v>2010</v>
      </c>
      <c r="D1630" s="2" t="s">
        <v>2015</v>
      </c>
      <c r="E1630">
        <v>0</v>
      </c>
      <c r="F1630">
        <v>0</v>
      </c>
      <c r="G1630">
        <v>2180.11</v>
      </c>
      <c r="H1630">
        <v>191849.68000000002</v>
      </c>
      <c r="I1630" s="2" t="s">
        <v>2021</v>
      </c>
      <c r="J1630" s="2" t="s">
        <v>2028</v>
      </c>
      <c r="K1630" s="2" t="s">
        <v>2545</v>
      </c>
      <c r="L1630" s="2" t="s">
        <v>4032</v>
      </c>
      <c r="M1630">
        <v>2180.11</v>
      </c>
      <c r="N1630" s="2" t="s">
        <v>4042</v>
      </c>
      <c r="O1630">
        <v>88</v>
      </c>
      <c r="P1630">
        <v>191849.68000000002</v>
      </c>
      <c r="Q1630" t="b">
        <v>0</v>
      </c>
      <c r="R1630" t="b">
        <v>0</v>
      </c>
      <c r="S1630" t="b">
        <v>0</v>
      </c>
      <c r="T1630" t="b">
        <v>0</v>
      </c>
      <c r="U1630">
        <v>0</v>
      </c>
      <c r="V1630" t="s">
        <v>4073</v>
      </c>
    </row>
    <row r="1631" spans="1:22" hidden="1" x14ac:dyDescent="0.45">
      <c r="A1631" s="2" t="s">
        <v>1917</v>
      </c>
      <c r="B1631" s="11">
        <v>45327</v>
      </c>
      <c r="C1631" s="2" t="s">
        <v>2011</v>
      </c>
      <c r="D1631" s="2" t="s">
        <v>2016</v>
      </c>
      <c r="E1631">
        <v>1868.89</v>
      </c>
      <c r="F1631">
        <v>192495.67</v>
      </c>
      <c r="G1631">
        <v>0</v>
      </c>
      <c r="H1631">
        <v>0</v>
      </c>
      <c r="I1631" s="2" t="s">
        <v>2020</v>
      </c>
      <c r="J1631" s="2" t="s">
        <v>2030</v>
      </c>
      <c r="K1631" s="2" t="s">
        <v>3938</v>
      </c>
      <c r="L1631" s="2" t="s">
        <v>4031</v>
      </c>
      <c r="M1631">
        <v>-1868.89</v>
      </c>
      <c r="N1631" s="2" t="s">
        <v>2016</v>
      </c>
      <c r="O1631">
        <v>103</v>
      </c>
      <c r="P1631">
        <v>-192495.67</v>
      </c>
      <c r="Q1631" t="b">
        <v>0</v>
      </c>
      <c r="R1631" t="b">
        <v>0</v>
      </c>
      <c r="S1631" t="b">
        <v>0</v>
      </c>
      <c r="T1631" t="b">
        <v>0</v>
      </c>
      <c r="U1631">
        <v>0</v>
      </c>
      <c r="V1631" t="s">
        <v>4073</v>
      </c>
    </row>
    <row r="1632" spans="1:22" hidden="1" x14ac:dyDescent="0.45">
      <c r="A1632" s="2" t="s">
        <v>554</v>
      </c>
      <c r="B1632" s="11">
        <v>45048</v>
      </c>
      <c r="C1632" s="2" t="s">
        <v>2014</v>
      </c>
      <c r="D1632" s="2" t="s">
        <v>2019</v>
      </c>
      <c r="E1632">
        <v>0</v>
      </c>
      <c r="F1632">
        <v>0</v>
      </c>
      <c r="G1632">
        <v>3160.15</v>
      </c>
      <c r="H1632">
        <v>192769.15</v>
      </c>
      <c r="I1632" s="2" t="s">
        <v>2024</v>
      </c>
      <c r="J1632" s="2" t="s">
        <v>2028</v>
      </c>
      <c r="K1632" s="2" t="s">
        <v>2575</v>
      </c>
      <c r="L1632" s="2" t="s">
        <v>4035</v>
      </c>
      <c r="M1632">
        <v>3160.15</v>
      </c>
      <c r="N1632" s="2" t="s">
        <v>4042</v>
      </c>
      <c r="O1632">
        <v>61</v>
      </c>
      <c r="P1632">
        <v>192769.15</v>
      </c>
      <c r="Q1632" t="b">
        <v>0</v>
      </c>
      <c r="R1632" t="b">
        <v>0</v>
      </c>
      <c r="S1632" t="b">
        <v>0</v>
      </c>
      <c r="T1632" t="b">
        <v>0</v>
      </c>
      <c r="U1632">
        <v>0</v>
      </c>
      <c r="V1632" t="s">
        <v>4073</v>
      </c>
    </row>
    <row r="1633" spans="1:22" hidden="1" x14ac:dyDescent="0.45">
      <c r="A1633" s="2" t="s">
        <v>102</v>
      </c>
      <c r="B1633" s="11">
        <v>45709</v>
      </c>
      <c r="C1633" s="2" t="s">
        <v>2011</v>
      </c>
      <c r="D1633" s="2" t="s">
        <v>2016</v>
      </c>
      <c r="E1633">
        <v>1875.56</v>
      </c>
      <c r="F1633">
        <v>193182.68</v>
      </c>
      <c r="G1633">
        <v>0</v>
      </c>
      <c r="H1633">
        <v>0</v>
      </c>
      <c r="I1633" s="2" t="s">
        <v>2024</v>
      </c>
      <c r="J1633" s="2" t="s">
        <v>2027</v>
      </c>
      <c r="K1633" s="2" t="s">
        <v>2123</v>
      </c>
      <c r="L1633" s="2" t="s">
        <v>4031</v>
      </c>
      <c r="M1633">
        <v>-1875.56</v>
      </c>
      <c r="N1633" s="2" t="s">
        <v>2016</v>
      </c>
      <c r="O1633">
        <v>103</v>
      </c>
      <c r="P1633">
        <v>-193182.68</v>
      </c>
      <c r="Q1633" t="b">
        <v>0</v>
      </c>
      <c r="R1633" t="b">
        <v>0</v>
      </c>
      <c r="S1633" t="b">
        <v>0</v>
      </c>
      <c r="T1633" t="b">
        <v>0</v>
      </c>
      <c r="U1633">
        <v>0</v>
      </c>
      <c r="V1633" t="s">
        <v>4073</v>
      </c>
    </row>
    <row r="1634" spans="1:22" hidden="1" x14ac:dyDescent="0.45">
      <c r="A1634" s="2" t="s">
        <v>1538</v>
      </c>
      <c r="B1634" s="11">
        <v>45553</v>
      </c>
      <c r="C1634" s="2" t="s">
        <v>2013</v>
      </c>
      <c r="D1634" s="2" t="s">
        <v>2018</v>
      </c>
      <c r="E1634">
        <v>1878.74</v>
      </c>
      <c r="F1634">
        <v>193510.22</v>
      </c>
      <c r="G1634">
        <v>0</v>
      </c>
      <c r="H1634">
        <v>0</v>
      </c>
      <c r="I1634" s="2" t="s">
        <v>2021</v>
      </c>
      <c r="J1634" s="2" t="s">
        <v>2027</v>
      </c>
      <c r="K1634" s="2" t="s">
        <v>3559</v>
      </c>
      <c r="L1634" s="2" t="s">
        <v>4031</v>
      </c>
      <c r="M1634">
        <v>-1878.74</v>
      </c>
      <c r="N1634" s="2" t="s">
        <v>4044</v>
      </c>
      <c r="O1634">
        <v>103</v>
      </c>
      <c r="P1634">
        <v>-193510.22</v>
      </c>
      <c r="Q1634" t="b">
        <v>0</v>
      </c>
      <c r="R1634" t="b">
        <v>0</v>
      </c>
      <c r="S1634" t="b">
        <v>0</v>
      </c>
      <c r="T1634" t="b">
        <v>0</v>
      </c>
      <c r="U1634">
        <v>0</v>
      </c>
      <c r="V1634" t="s">
        <v>4073</v>
      </c>
    </row>
    <row r="1635" spans="1:22" hidden="1" x14ac:dyDescent="0.45">
      <c r="A1635" s="2" t="s">
        <v>245</v>
      </c>
      <c r="B1635" s="11">
        <v>45397</v>
      </c>
      <c r="C1635" s="2" t="s">
        <v>2010</v>
      </c>
      <c r="D1635" s="2" t="s">
        <v>2015</v>
      </c>
      <c r="E1635">
        <v>0</v>
      </c>
      <c r="F1635">
        <v>0</v>
      </c>
      <c r="G1635">
        <v>2361.1799999999998</v>
      </c>
      <c r="H1635">
        <v>193616.75999999998</v>
      </c>
      <c r="I1635" s="2" t="s">
        <v>2022</v>
      </c>
      <c r="J1635" s="2" t="s">
        <v>2030</v>
      </c>
      <c r="K1635" s="2" t="s">
        <v>2266</v>
      </c>
      <c r="L1635" s="2" t="s">
        <v>4034</v>
      </c>
      <c r="M1635">
        <v>2361.1799999999998</v>
      </c>
      <c r="N1635" s="2" t="s">
        <v>4042</v>
      </c>
      <c r="O1635">
        <v>82</v>
      </c>
      <c r="P1635">
        <v>193616.75999999998</v>
      </c>
      <c r="Q1635" t="b">
        <v>0</v>
      </c>
      <c r="R1635" t="b">
        <v>0</v>
      </c>
      <c r="S1635" t="b">
        <v>0</v>
      </c>
      <c r="T1635" t="b">
        <v>0</v>
      </c>
      <c r="U1635">
        <v>0</v>
      </c>
      <c r="V1635" t="s">
        <v>4073</v>
      </c>
    </row>
    <row r="1636" spans="1:22" hidden="1" x14ac:dyDescent="0.45">
      <c r="A1636" s="2" t="s">
        <v>1968</v>
      </c>
      <c r="B1636" s="11">
        <v>45243</v>
      </c>
      <c r="C1636" s="2" t="s">
        <v>2014</v>
      </c>
      <c r="D1636" s="2" t="s">
        <v>2019</v>
      </c>
      <c r="E1636">
        <v>0</v>
      </c>
      <c r="F1636">
        <v>0</v>
      </c>
      <c r="G1636">
        <v>3466.47</v>
      </c>
      <c r="H1636">
        <v>194122.31999999998</v>
      </c>
      <c r="I1636" s="2" t="s">
        <v>2024</v>
      </c>
      <c r="J1636" s="2" t="s">
        <v>2028</v>
      </c>
      <c r="K1636" s="2" t="s">
        <v>3989</v>
      </c>
      <c r="L1636" s="2" t="s">
        <v>4033</v>
      </c>
      <c r="M1636">
        <v>3466.47</v>
      </c>
      <c r="N1636" s="2" t="s">
        <v>4042</v>
      </c>
      <c r="O1636">
        <v>56</v>
      </c>
      <c r="P1636">
        <v>194122.31999999998</v>
      </c>
      <c r="Q1636" t="b">
        <v>0</v>
      </c>
      <c r="R1636" t="b">
        <v>0</v>
      </c>
      <c r="S1636" t="b">
        <v>0</v>
      </c>
      <c r="T1636" t="b">
        <v>0</v>
      </c>
      <c r="U1636">
        <v>0</v>
      </c>
      <c r="V1636" t="s">
        <v>4073</v>
      </c>
    </row>
    <row r="1637" spans="1:22" hidden="1" x14ac:dyDescent="0.45">
      <c r="A1637" s="2" t="s">
        <v>790</v>
      </c>
      <c r="B1637" s="11">
        <v>45446</v>
      </c>
      <c r="C1637" s="2" t="s">
        <v>2012</v>
      </c>
      <c r="D1637" s="2" t="s">
        <v>2017</v>
      </c>
      <c r="E1637">
        <v>1887.31</v>
      </c>
      <c r="F1637">
        <v>194392.93</v>
      </c>
      <c r="G1637">
        <v>0</v>
      </c>
      <c r="H1637">
        <v>0</v>
      </c>
      <c r="I1637" s="2" t="s">
        <v>2023</v>
      </c>
      <c r="J1637" s="2" t="s">
        <v>2026</v>
      </c>
      <c r="K1637" s="2" t="s">
        <v>2811</v>
      </c>
      <c r="L1637" s="2" t="s">
        <v>4031</v>
      </c>
      <c r="M1637">
        <v>-1887.31</v>
      </c>
      <c r="N1637" s="2" t="s">
        <v>4044</v>
      </c>
      <c r="O1637">
        <v>103</v>
      </c>
      <c r="P1637">
        <v>-194392.93</v>
      </c>
      <c r="Q1637" t="b">
        <v>0</v>
      </c>
      <c r="R1637" t="b">
        <v>0</v>
      </c>
      <c r="S1637" t="b">
        <v>0</v>
      </c>
      <c r="T1637" t="b">
        <v>0</v>
      </c>
      <c r="U1637">
        <v>0</v>
      </c>
      <c r="V1637" t="s">
        <v>4073</v>
      </c>
    </row>
    <row r="1638" spans="1:22" hidden="1" x14ac:dyDescent="0.45">
      <c r="A1638" s="2" t="s">
        <v>113</v>
      </c>
      <c r="B1638" s="11">
        <v>45799</v>
      </c>
      <c r="C1638" s="2" t="s">
        <v>2010</v>
      </c>
      <c r="D1638" s="2" t="s">
        <v>2015</v>
      </c>
      <c r="E1638">
        <v>0</v>
      </c>
      <c r="F1638">
        <v>0</v>
      </c>
      <c r="G1638">
        <v>1902.45</v>
      </c>
      <c r="H1638">
        <v>195952.35</v>
      </c>
      <c r="I1638" s="2" t="s">
        <v>2022</v>
      </c>
      <c r="J1638" s="2" t="s">
        <v>2026</v>
      </c>
      <c r="K1638" s="2" t="s">
        <v>2134</v>
      </c>
      <c r="L1638" s="2" t="s">
        <v>4031</v>
      </c>
      <c r="M1638">
        <v>1902.45</v>
      </c>
      <c r="N1638" s="2" t="s">
        <v>4042</v>
      </c>
      <c r="O1638">
        <v>103</v>
      </c>
      <c r="P1638">
        <v>195952.35</v>
      </c>
      <c r="Q1638" t="b">
        <v>0</v>
      </c>
      <c r="R1638" t="b">
        <v>0</v>
      </c>
      <c r="S1638" t="b">
        <v>0</v>
      </c>
      <c r="T1638" t="b">
        <v>0</v>
      </c>
      <c r="U1638">
        <v>0</v>
      </c>
      <c r="V1638" t="s">
        <v>4073</v>
      </c>
    </row>
    <row r="1639" spans="1:22" hidden="1" x14ac:dyDescent="0.45">
      <c r="A1639" s="2" t="s">
        <v>1389</v>
      </c>
      <c r="B1639" s="11">
        <v>45824</v>
      </c>
      <c r="C1639" s="2" t="s">
        <v>2014</v>
      </c>
      <c r="D1639" s="2" t="s">
        <v>2019</v>
      </c>
      <c r="E1639">
        <v>0</v>
      </c>
      <c r="F1639">
        <v>0</v>
      </c>
      <c r="G1639">
        <v>3216.06</v>
      </c>
      <c r="H1639">
        <v>196179.66</v>
      </c>
      <c r="I1639" s="2" t="s">
        <v>2024</v>
      </c>
      <c r="J1639" s="2" t="s">
        <v>2030</v>
      </c>
      <c r="K1639" s="2" t="s">
        <v>3410</v>
      </c>
      <c r="L1639" s="2" t="s">
        <v>4035</v>
      </c>
      <c r="M1639">
        <v>3216.06</v>
      </c>
      <c r="N1639" s="2" t="s">
        <v>4042</v>
      </c>
      <c r="O1639">
        <v>61</v>
      </c>
      <c r="P1639">
        <v>196179.66</v>
      </c>
      <c r="Q1639" t="b">
        <v>0</v>
      </c>
      <c r="R1639" t="b">
        <v>0</v>
      </c>
      <c r="S1639" t="b">
        <v>0</v>
      </c>
      <c r="T1639" t="b">
        <v>0</v>
      </c>
      <c r="U1639">
        <v>0</v>
      </c>
      <c r="V1639" t="s">
        <v>4073</v>
      </c>
    </row>
    <row r="1640" spans="1:22" hidden="1" x14ac:dyDescent="0.45">
      <c r="A1640" s="2" t="s">
        <v>1629</v>
      </c>
      <c r="B1640" s="11">
        <v>45566</v>
      </c>
      <c r="C1640" s="2" t="s">
        <v>2014</v>
      </c>
      <c r="D1640" s="2" t="s">
        <v>2019</v>
      </c>
      <c r="E1640">
        <v>0</v>
      </c>
      <c r="F1640">
        <v>0</v>
      </c>
      <c r="G1640">
        <v>1908.36</v>
      </c>
      <c r="H1640">
        <v>196561.08</v>
      </c>
      <c r="I1640" s="2" t="s">
        <v>2025</v>
      </c>
      <c r="J1640" s="2" t="s">
        <v>2026</v>
      </c>
      <c r="K1640" s="2" t="s">
        <v>3650</v>
      </c>
      <c r="L1640" s="2" t="s">
        <v>4031</v>
      </c>
      <c r="M1640">
        <v>1908.36</v>
      </c>
      <c r="N1640" s="2" t="s">
        <v>4042</v>
      </c>
      <c r="O1640">
        <v>103</v>
      </c>
      <c r="P1640">
        <v>196561.08</v>
      </c>
      <c r="Q1640" t="b">
        <v>0</v>
      </c>
      <c r="R1640" t="b">
        <v>0</v>
      </c>
      <c r="S1640" t="b">
        <v>0</v>
      </c>
      <c r="T1640" t="b">
        <v>0</v>
      </c>
      <c r="U1640">
        <v>0</v>
      </c>
      <c r="V1640" t="s">
        <v>4073</v>
      </c>
    </row>
    <row r="1641" spans="1:22" hidden="1" x14ac:dyDescent="0.45">
      <c r="A1641" s="2" t="s">
        <v>948</v>
      </c>
      <c r="B1641" s="11">
        <v>45751</v>
      </c>
      <c r="C1641" s="2" t="s">
        <v>2014</v>
      </c>
      <c r="D1641" s="2" t="s">
        <v>2019</v>
      </c>
      <c r="E1641">
        <v>0</v>
      </c>
      <c r="F1641">
        <v>0</v>
      </c>
      <c r="G1641">
        <v>3515.1</v>
      </c>
      <c r="H1641">
        <v>196845.6</v>
      </c>
      <c r="I1641" s="2" t="s">
        <v>2021</v>
      </c>
      <c r="J1641" s="2" t="s">
        <v>2026</v>
      </c>
      <c r="K1641" s="2" t="s">
        <v>2969</v>
      </c>
      <c r="L1641" s="2" t="s">
        <v>4033</v>
      </c>
      <c r="M1641">
        <v>3515.1</v>
      </c>
      <c r="N1641" s="2" t="s">
        <v>4042</v>
      </c>
      <c r="O1641">
        <v>56</v>
      </c>
      <c r="P1641">
        <v>196845.6</v>
      </c>
      <c r="Q1641" t="b">
        <v>0</v>
      </c>
      <c r="R1641" t="b">
        <v>0</v>
      </c>
      <c r="S1641" t="b">
        <v>0</v>
      </c>
      <c r="T1641" t="b">
        <v>0</v>
      </c>
      <c r="U1641">
        <v>0</v>
      </c>
      <c r="V1641" t="s">
        <v>4073</v>
      </c>
    </row>
    <row r="1642" spans="1:22" hidden="1" x14ac:dyDescent="0.45">
      <c r="A1642" s="2" t="s">
        <v>406</v>
      </c>
      <c r="B1642" s="11">
        <v>45146</v>
      </c>
      <c r="C1642" s="2" t="s">
        <v>2010</v>
      </c>
      <c r="D1642" s="2" t="s">
        <v>2015</v>
      </c>
      <c r="E1642">
        <v>0</v>
      </c>
      <c r="F1642">
        <v>0</v>
      </c>
      <c r="G1642">
        <v>3519.07</v>
      </c>
      <c r="H1642">
        <v>197067.92</v>
      </c>
      <c r="I1642" s="2" t="s">
        <v>2021</v>
      </c>
      <c r="J1642" s="2" t="s">
        <v>2027</v>
      </c>
      <c r="K1642" s="2" t="s">
        <v>2427</v>
      </c>
      <c r="L1642" s="2" t="s">
        <v>4033</v>
      </c>
      <c r="M1642">
        <v>3519.07</v>
      </c>
      <c r="N1642" s="2" t="s">
        <v>4042</v>
      </c>
      <c r="O1642">
        <v>56</v>
      </c>
      <c r="P1642">
        <v>197067.92</v>
      </c>
      <c r="Q1642" t="b">
        <v>0</v>
      </c>
      <c r="R1642" t="b">
        <v>0</v>
      </c>
      <c r="S1642" t="b">
        <v>0</v>
      </c>
      <c r="T1642" t="b">
        <v>0</v>
      </c>
      <c r="U1642">
        <v>0</v>
      </c>
      <c r="V1642" t="s">
        <v>4073</v>
      </c>
    </row>
    <row r="1643" spans="1:22" hidden="1" x14ac:dyDescent="0.45">
      <c r="A1643" s="2" t="s">
        <v>1590</v>
      </c>
      <c r="B1643" s="11">
        <v>45817</v>
      </c>
      <c r="C1643" s="2" t="s">
        <v>2014</v>
      </c>
      <c r="D1643" s="2" t="s">
        <v>2019</v>
      </c>
      <c r="E1643">
        <v>0</v>
      </c>
      <c r="F1643">
        <v>0</v>
      </c>
      <c r="G1643">
        <v>1913.45</v>
      </c>
      <c r="H1643">
        <v>197085.35</v>
      </c>
      <c r="I1643" s="2" t="s">
        <v>2025</v>
      </c>
      <c r="J1643" s="2" t="s">
        <v>2027</v>
      </c>
      <c r="K1643" s="2" t="s">
        <v>3611</v>
      </c>
      <c r="L1643" s="2" t="s">
        <v>4031</v>
      </c>
      <c r="M1643">
        <v>1913.45</v>
      </c>
      <c r="N1643" s="2" t="s">
        <v>4042</v>
      </c>
      <c r="O1643">
        <v>103</v>
      </c>
      <c r="P1643">
        <v>197085.35</v>
      </c>
      <c r="Q1643" t="b">
        <v>0</v>
      </c>
      <c r="R1643" t="b">
        <v>0</v>
      </c>
      <c r="S1643" t="b">
        <v>0</v>
      </c>
      <c r="T1643" t="b">
        <v>0</v>
      </c>
      <c r="U1643">
        <v>0</v>
      </c>
      <c r="V1643" t="s">
        <v>4073</v>
      </c>
    </row>
    <row r="1644" spans="1:22" hidden="1" x14ac:dyDescent="0.45">
      <c r="A1644" s="2" t="s">
        <v>503</v>
      </c>
      <c r="B1644" s="11">
        <v>45415</v>
      </c>
      <c r="C1644" s="2" t="s">
        <v>2014</v>
      </c>
      <c r="D1644" s="2" t="s">
        <v>2019</v>
      </c>
      <c r="E1644">
        <v>0</v>
      </c>
      <c r="F1644">
        <v>0</v>
      </c>
      <c r="G1644">
        <v>3274.24</v>
      </c>
      <c r="H1644">
        <v>199728.63999999998</v>
      </c>
      <c r="I1644" s="2" t="s">
        <v>2021</v>
      </c>
      <c r="J1644" s="2" t="s">
        <v>2030</v>
      </c>
      <c r="K1644" s="2" t="s">
        <v>2524</v>
      </c>
      <c r="L1644" s="2" t="s">
        <v>4035</v>
      </c>
      <c r="M1644">
        <v>3274.24</v>
      </c>
      <c r="N1644" s="2" t="s">
        <v>4042</v>
      </c>
      <c r="O1644">
        <v>61</v>
      </c>
      <c r="P1644">
        <v>199728.63999999998</v>
      </c>
      <c r="Q1644" t="b">
        <v>0</v>
      </c>
      <c r="R1644" t="b">
        <v>0</v>
      </c>
      <c r="S1644" t="b">
        <v>0</v>
      </c>
      <c r="T1644" t="b">
        <v>0</v>
      </c>
      <c r="U1644">
        <v>0</v>
      </c>
      <c r="V1644" t="s">
        <v>4073</v>
      </c>
    </row>
    <row r="1645" spans="1:22" hidden="1" x14ac:dyDescent="0.45">
      <c r="A1645" s="2" t="s">
        <v>1390</v>
      </c>
      <c r="B1645" s="11">
        <v>45065</v>
      </c>
      <c r="C1645" s="2" t="s">
        <v>2014</v>
      </c>
      <c r="D1645" s="2" t="s">
        <v>2019</v>
      </c>
      <c r="E1645">
        <v>0</v>
      </c>
      <c r="F1645">
        <v>0</v>
      </c>
      <c r="G1645">
        <v>3406.43</v>
      </c>
      <c r="H1645">
        <v>190760.08</v>
      </c>
      <c r="I1645" s="2" t="s">
        <v>2022</v>
      </c>
      <c r="J1645" s="2" t="s">
        <v>2030</v>
      </c>
      <c r="K1645" s="2" t="s">
        <v>3411</v>
      </c>
      <c r="L1645" s="2" t="s">
        <v>4033</v>
      </c>
      <c r="M1645">
        <v>3406.43</v>
      </c>
      <c r="N1645" s="2" t="s">
        <v>4042</v>
      </c>
      <c r="O1645">
        <v>56</v>
      </c>
      <c r="P1645">
        <v>190760.08</v>
      </c>
      <c r="Q1645" t="b">
        <v>0</v>
      </c>
      <c r="R1645" t="b">
        <v>0</v>
      </c>
      <c r="S1645" t="b">
        <v>0</v>
      </c>
      <c r="T1645" t="b">
        <v>0</v>
      </c>
      <c r="U1645">
        <v>0</v>
      </c>
      <c r="V1645" t="s">
        <v>4073</v>
      </c>
    </row>
    <row r="1646" spans="1:22" hidden="1" x14ac:dyDescent="0.45">
      <c r="A1646" s="2" t="s">
        <v>1875</v>
      </c>
      <c r="B1646" s="11">
        <v>45636</v>
      </c>
      <c r="C1646" s="2" t="s">
        <v>2013</v>
      </c>
      <c r="D1646" s="2" t="s">
        <v>2018</v>
      </c>
      <c r="E1646">
        <v>1741.23</v>
      </c>
      <c r="F1646">
        <v>179346.69</v>
      </c>
      <c r="G1646">
        <v>0</v>
      </c>
      <c r="H1646">
        <v>0</v>
      </c>
      <c r="I1646" s="2" t="s">
        <v>2021</v>
      </c>
      <c r="J1646" s="2" t="s">
        <v>2028</v>
      </c>
      <c r="K1646" s="2" t="s">
        <v>3896</v>
      </c>
      <c r="L1646" s="2" t="s">
        <v>4031</v>
      </c>
      <c r="M1646">
        <v>-1741.23</v>
      </c>
      <c r="N1646" s="2" t="s">
        <v>4044</v>
      </c>
      <c r="O1646">
        <v>103</v>
      </c>
      <c r="P1646">
        <v>-179346.69</v>
      </c>
      <c r="Q1646" t="b">
        <v>0</v>
      </c>
      <c r="R1646" t="b">
        <v>0</v>
      </c>
      <c r="S1646" t="b">
        <v>0</v>
      </c>
      <c r="T1646" t="b">
        <v>0</v>
      </c>
      <c r="U1646">
        <v>0</v>
      </c>
      <c r="V1646" t="s">
        <v>4073</v>
      </c>
    </row>
    <row r="1647" spans="1:22" hidden="1" x14ac:dyDescent="0.45">
      <c r="A1647" s="2" t="s">
        <v>268</v>
      </c>
      <c r="B1647" s="11">
        <v>45356</v>
      </c>
      <c r="C1647" s="2" t="s">
        <v>2014</v>
      </c>
      <c r="D1647" s="2" t="s">
        <v>2019</v>
      </c>
      <c r="E1647">
        <v>0</v>
      </c>
      <c r="F1647">
        <v>0</v>
      </c>
      <c r="G1647">
        <v>3404.96</v>
      </c>
      <c r="H1647">
        <v>190677.76000000001</v>
      </c>
      <c r="I1647" s="2" t="s">
        <v>2020</v>
      </c>
      <c r="J1647" s="2" t="s">
        <v>2026</v>
      </c>
      <c r="K1647" s="2" t="s">
        <v>2289</v>
      </c>
      <c r="L1647" s="2" t="s">
        <v>4033</v>
      </c>
      <c r="M1647">
        <v>3404.96</v>
      </c>
      <c r="N1647" s="2" t="s">
        <v>4042</v>
      </c>
      <c r="O1647">
        <v>56</v>
      </c>
      <c r="P1647">
        <v>190677.76000000001</v>
      </c>
      <c r="Q1647" t="b">
        <v>0</v>
      </c>
      <c r="R1647" t="b">
        <v>0</v>
      </c>
      <c r="S1647" t="b">
        <v>0</v>
      </c>
      <c r="T1647" t="b">
        <v>0</v>
      </c>
      <c r="U1647">
        <v>0</v>
      </c>
      <c r="V1647" t="s">
        <v>4073</v>
      </c>
    </row>
    <row r="1648" spans="1:22" hidden="1" x14ac:dyDescent="0.45">
      <c r="A1648" s="2" t="s">
        <v>1466</v>
      </c>
      <c r="B1648" s="11">
        <v>45635</v>
      </c>
      <c r="C1648" s="2" t="s">
        <v>2010</v>
      </c>
      <c r="D1648" s="2" t="s">
        <v>2015</v>
      </c>
      <c r="E1648">
        <v>0</v>
      </c>
      <c r="F1648">
        <v>0</v>
      </c>
      <c r="G1648">
        <v>3400.48</v>
      </c>
      <c r="H1648">
        <v>190426.88</v>
      </c>
      <c r="I1648" s="2" t="s">
        <v>2020</v>
      </c>
      <c r="J1648" s="2" t="s">
        <v>2030</v>
      </c>
      <c r="K1648" s="2" t="s">
        <v>3487</v>
      </c>
      <c r="L1648" s="2" t="s">
        <v>4033</v>
      </c>
      <c r="M1648">
        <v>3400.48</v>
      </c>
      <c r="N1648" s="2" t="s">
        <v>4042</v>
      </c>
      <c r="O1648">
        <v>56</v>
      </c>
      <c r="P1648">
        <v>190426.88</v>
      </c>
      <c r="Q1648" t="b">
        <v>0</v>
      </c>
      <c r="R1648" t="b">
        <v>0</v>
      </c>
      <c r="S1648" t="b">
        <v>0</v>
      </c>
      <c r="T1648" t="b">
        <v>0</v>
      </c>
      <c r="U1648">
        <v>0</v>
      </c>
      <c r="V1648" t="s">
        <v>4073</v>
      </c>
    </row>
    <row r="1649" spans="1:22" hidden="1" x14ac:dyDescent="0.45">
      <c r="A1649" s="2" t="s">
        <v>1051</v>
      </c>
      <c r="B1649" s="11">
        <v>45573</v>
      </c>
      <c r="C1649" s="2" t="s">
        <v>2010</v>
      </c>
      <c r="D1649" s="2" t="s">
        <v>2015</v>
      </c>
      <c r="E1649">
        <v>0</v>
      </c>
      <c r="F1649">
        <v>0</v>
      </c>
      <c r="G1649">
        <v>3214.89</v>
      </c>
      <c r="H1649">
        <v>180033.84</v>
      </c>
      <c r="I1649" s="2" t="s">
        <v>2022</v>
      </c>
      <c r="J1649" s="2" t="s">
        <v>2026</v>
      </c>
      <c r="K1649" s="2" t="s">
        <v>3072</v>
      </c>
      <c r="L1649" s="2" t="s">
        <v>4033</v>
      </c>
      <c r="M1649">
        <v>3214.89</v>
      </c>
      <c r="N1649" s="2" t="s">
        <v>4042</v>
      </c>
      <c r="O1649">
        <v>56</v>
      </c>
      <c r="P1649">
        <v>180033.84</v>
      </c>
      <c r="Q1649" t="b">
        <v>0</v>
      </c>
      <c r="R1649" t="b">
        <v>0</v>
      </c>
      <c r="S1649" t="b">
        <v>0</v>
      </c>
      <c r="T1649" t="b">
        <v>0</v>
      </c>
      <c r="U1649">
        <v>0</v>
      </c>
      <c r="V1649" t="s">
        <v>4073</v>
      </c>
    </row>
    <row r="1650" spans="1:22" hidden="1" x14ac:dyDescent="0.45">
      <c r="A1650" s="2" t="s">
        <v>561</v>
      </c>
      <c r="B1650" s="11">
        <v>45050</v>
      </c>
      <c r="C1650" s="2" t="s">
        <v>2010</v>
      </c>
      <c r="D1650" s="2" t="s">
        <v>2015</v>
      </c>
      <c r="E1650">
        <v>0</v>
      </c>
      <c r="F1650">
        <v>0</v>
      </c>
      <c r="G1650">
        <v>3218.47</v>
      </c>
      <c r="H1650">
        <v>180234.31999999998</v>
      </c>
      <c r="I1650" s="2" t="s">
        <v>2022</v>
      </c>
      <c r="J1650" s="2" t="s">
        <v>2028</v>
      </c>
      <c r="K1650" s="2" t="s">
        <v>2582</v>
      </c>
      <c r="L1650" s="2" t="s">
        <v>4033</v>
      </c>
      <c r="M1650">
        <v>3218.47</v>
      </c>
      <c r="N1650" s="2" t="s">
        <v>4042</v>
      </c>
      <c r="O1650">
        <v>56</v>
      </c>
      <c r="P1650">
        <v>180234.31999999998</v>
      </c>
      <c r="Q1650" t="b">
        <v>0</v>
      </c>
      <c r="R1650" t="b">
        <v>0</v>
      </c>
      <c r="S1650" t="b">
        <v>0</v>
      </c>
      <c r="T1650" t="b">
        <v>0</v>
      </c>
      <c r="U1650">
        <v>0</v>
      </c>
      <c r="V1650" t="s">
        <v>4073</v>
      </c>
    </row>
    <row r="1651" spans="1:22" hidden="1" x14ac:dyDescent="0.45">
      <c r="A1651" s="2" t="s">
        <v>1895</v>
      </c>
      <c r="B1651" s="11">
        <v>45110</v>
      </c>
      <c r="C1651" s="2" t="s">
        <v>2010</v>
      </c>
      <c r="D1651" s="2" t="s">
        <v>2015</v>
      </c>
      <c r="E1651">
        <v>0</v>
      </c>
      <c r="F1651">
        <v>0</v>
      </c>
      <c r="G1651">
        <v>2202.71</v>
      </c>
      <c r="H1651">
        <v>180622.22</v>
      </c>
      <c r="I1651" s="2" t="s">
        <v>2020</v>
      </c>
      <c r="J1651" s="2" t="s">
        <v>2028</v>
      </c>
      <c r="K1651" s="2" t="s">
        <v>3916</v>
      </c>
      <c r="L1651" s="2" t="s">
        <v>4034</v>
      </c>
      <c r="M1651">
        <v>2202.71</v>
      </c>
      <c r="N1651" s="2" t="s">
        <v>4042</v>
      </c>
      <c r="O1651">
        <v>82</v>
      </c>
      <c r="P1651">
        <v>180622.22</v>
      </c>
      <c r="Q1651" t="b">
        <v>0</v>
      </c>
      <c r="R1651" t="b">
        <v>0</v>
      </c>
      <c r="S1651" t="b">
        <v>0</v>
      </c>
      <c r="T1651" t="b">
        <v>0</v>
      </c>
      <c r="U1651">
        <v>0</v>
      </c>
      <c r="V1651" t="s">
        <v>4073</v>
      </c>
    </row>
    <row r="1652" spans="1:22" hidden="1" x14ac:dyDescent="0.45">
      <c r="A1652" s="2" t="s">
        <v>794</v>
      </c>
      <c r="B1652" s="11">
        <v>45826</v>
      </c>
      <c r="C1652" s="2" t="s">
        <v>2014</v>
      </c>
      <c r="D1652" s="2" t="s">
        <v>2019</v>
      </c>
      <c r="E1652">
        <v>0</v>
      </c>
      <c r="F1652">
        <v>0</v>
      </c>
      <c r="G1652">
        <v>3235.44</v>
      </c>
      <c r="H1652">
        <v>181184.64000000001</v>
      </c>
      <c r="I1652" s="2" t="s">
        <v>2020</v>
      </c>
      <c r="J1652" s="2" t="s">
        <v>2026</v>
      </c>
      <c r="K1652" s="2" t="s">
        <v>2815</v>
      </c>
      <c r="L1652" s="2" t="s">
        <v>4033</v>
      </c>
      <c r="M1652">
        <v>3235.44</v>
      </c>
      <c r="N1652" s="2" t="s">
        <v>4042</v>
      </c>
      <c r="O1652">
        <v>56</v>
      </c>
      <c r="P1652">
        <v>181184.64000000001</v>
      </c>
      <c r="Q1652" t="b">
        <v>0</v>
      </c>
      <c r="R1652" t="b">
        <v>0</v>
      </c>
      <c r="S1652" t="b">
        <v>0</v>
      </c>
      <c r="T1652" t="b">
        <v>0</v>
      </c>
      <c r="U1652">
        <v>0</v>
      </c>
      <c r="V1652" t="s">
        <v>4073</v>
      </c>
    </row>
    <row r="1653" spans="1:22" hidden="1" x14ac:dyDescent="0.45">
      <c r="A1653" s="2" t="s">
        <v>673</v>
      </c>
      <c r="B1653" s="11">
        <v>45631</v>
      </c>
      <c r="C1653" s="2" t="s">
        <v>2011</v>
      </c>
      <c r="D1653" s="2" t="s">
        <v>2016</v>
      </c>
      <c r="E1653">
        <v>1760.57</v>
      </c>
      <c r="F1653">
        <v>181338.71</v>
      </c>
      <c r="G1653">
        <v>0</v>
      </c>
      <c r="H1653">
        <v>0</v>
      </c>
      <c r="I1653" s="2" t="s">
        <v>2023</v>
      </c>
      <c r="J1653" s="2" t="s">
        <v>2027</v>
      </c>
      <c r="K1653" s="2" t="s">
        <v>2694</v>
      </c>
      <c r="L1653" s="2" t="s">
        <v>4031</v>
      </c>
      <c r="M1653">
        <v>-1760.57</v>
      </c>
      <c r="N1653" s="2" t="s">
        <v>2016</v>
      </c>
      <c r="O1653">
        <v>103</v>
      </c>
      <c r="P1653">
        <v>-181338.71</v>
      </c>
      <c r="Q1653" t="b">
        <v>0</v>
      </c>
      <c r="R1653" t="b">
        <v>0</v>
      </c>
      <c r="S1653" t="b">
        <v>0</v>
      </c>
      <c r="T1653" t="b">
        <v>0</v>
      </c>
      <c r="U1653">
        <v>0</v>
      </c>
      <c r="V1653" t="s">
        <v>4073</v>
      </c>
    </row>
    <row r="1654" spans="1:22" hidden="1" x14ac:dyDescent="0.45">
      <c r="A1654" s="2" t="s">
        <v>1092</v>
      </c>
      <c r="B1654" s="11">
        <v>45721</v>
      </c>
      <c r="C1654" s="2" t="s">
        <v>2013</v>
      </c>
      <c r="D1654" s="2" t="s">
        <v>2018</v>
      </c>
      <c r="E1654">
        <v>1770.21</v>
      </c>
      <c r="F1654">
        <v>182331.63</v>
      </c>
      <c r="G1654">
        <v>0</v>
      </c>
      <c r="H1654">
        <v>0</v>
      </c>
      <c r="I1654" s="2" t="s">
        <v>2020</v>
      </c>
      <c r="J1654" s="2" t="s">
        <v>2029</v>
      </c>
      <c r="K1654" s="2" t="s">
        <v>3113</v>
      </c>
      <c r="L1654" s="2" t="s">
        <v>4031</v>
      </c>
      <c r="M1654">
        <v>-1770.21</v>
      </c>
      <c r="N1654" s="2" t="s">
        <v>4044</v>
      </c>
      <c r="O1654">
        <v>103</v>
      </c>
      <c r="P1654">
        <v>-182331.63</v>
      </c>
      <c r="Q1654" t="b">
        <v>0</v>
      </c>
      <c r="R1654" t="b">
        <v>0</v>
      </c>
      <c r="S1654" t="b">
        <v>0</v>
      </c>
      <c r="T1654" t="b">
        <v>0</v>
      </c>
      <c r="U1654">
        <v>0</v>
      </c>
      <c r="V1654" t="s">
        <v>4073</v>
      </c>
    </row>
    <row r="1655" spans="1:22" hidden="1" x14ac:dyDescent="0.45">
      <c r="A1655" s="2" t="s">
        <v>517</v>
      </c>
      <c r="B1655" s="11">
        <v>44965</v>
      </c>
      <c r="C1655" s="2" t="s">
        <v>2014</v>
      </c>
      <c r="D1655" s="2" t="s">
        <v>2019</v>
      </c>
      <c r="E1655">
        <v>0</v>
      </c>
      <c r="F1655">
        <v>0</v>
      </c>
      <c r="G1655">
        <v>3002.52</v>
      </c>
      <c r="H1655">
        <v>183153.72</v>
      </c>
      <c r="I1655" s="2" t="s">
        <v>2021</v>
      </c>
      <c r="J1655" s="2" t="s">
        <v>2030</v>
      </c>
      <c r="K1655" s="2" t="s">
        <v>2538</v>
      </c>
      <c r="L1655" s="2" t="s">
        <v>4035</v>
      </c>
      <c r="M1655">
        <v>3002.52</v>
      </c>
      <c r="N1655" s="2" t="s">
        <v>4042</v>
      </c>
      <c r="O1655">
        <v>61</v>
      </c>
      <c r="P1655">
        <v>183153.72</v>
      </c>
      <c r="Q1655" t="b">
        <v>0</v>
      </c>
      <c r="R1655" t="b">
        <v>0</v>
      </c>
      <c r="S1655" t="b">
        <v>0</v>
      </c>
      <c r="T1655" t="b">
        <v>0</v>
      </c>
      <c r="U1655">
        <v>0</v>
      </c>
      <c r="V1655" t="s">
        <v>4073</v>
      </c>
    </row>
    <row r="1656" spans="1:22" hidden="1" x14ac:dyDescent="0.45">
      <c r="A1656" s="2" t="s">
        <v>1616</v>
      </c>
      <c r="B1656" s="11">
        <v>45464</v>
      </c>
      <c r="C1656" s="2" t="s">
        <v>2013</v>
      </c>
      <c r="D1656" s="2" t="s">
        <v>2018</v>
      </c>
      <c r="E1656">
        <v>1792.26</v>
      </c>
      <c r="F1656">
        <v>184602.78</v>
      </c>
      <c r="G1656">
        <v>0</v>
      </c>
      <c r="H1656">
        <v>0</v>
      </c>
      <c r="I1656" s="2" t="s">
        <v>2020</v>
      </c>
      <c r="J1656" s="2" t="s">
        <v>2026</v>
      </c>
      <c r="K1656" s="2" t="s">
        <v>3637</v>
      </c>
      <c r="L1656" s="2" t="s">
        <v>4031</v>
      </c>
      <c r="M1656">
        <v>-1792.26</v>
      </c>
      <c r="N1656" s="2" t="s">
        <v>4044</v>
      </c>
      <c r="O1656">
        <v>103</v>
      </c>
      <c r="P1656">
        <v>-184602.78</v>
      </c>
      <c r="Q1656" t="b">
        <v>0</v>
      </c>
      <c r="R1656" t="b">
        <v>0</v>
      </c>
      <c r="S1656" t="b">
        <v>0</v>
      </c>
      <c r="T1656" t="b">
        <v>0</v>
      </c>
      <c r="U1656">
        <v>0</v>
      </c>
      <c r="V1656" t="s">
        <v>4073</v>
      </c>
    </row>
    <row r="1657" spans="1:22" hidden="1" x14ac:dyDescent="0.45">
      <c r="A1657" s="2" t="s">
        <v>311</v>
      </c>
      <c r="B1657" s="11">
        <v>45608</v>
      </c>
      <c r="C1657" s="2" t="s">
        <v>2011</v>
      </c>
      <c r="D1657" s="2" t="s">
        <v>2016</v>
      </c>
      <c r="E1657">
        <v>1804.04</v>
      </c>
      <c r="F1657">
        <v>185816.12</v>
      </c>
      <c r="G1657">
        <v>0</v>
      </c>
      <c r="H1657">
        <v>0</v>
      </c>
      <c r="I1657" s="2" t="s">
        <v>2021</v>
      </c>
      <c r="J1657" s="2" t="s">
        <v>2029</v>
      </c>
      <c r="K1657" s="2" t="s">
        <v>2332</v>
      </c>
      <c r="L1657" s="2" t="s">
        <v>4031</v>
      </c>
      <c r="M1657">
        <v>-1804.04</v>
      </c>
      <c r="N1657" s="2" t="s">
        <v>2016</v>
      </c>
      <c r="O1657">
        <v>103</v>
      </c>
      <c r="P1657">
        <v>-185816.12</v>
      </c>
      <c r="Q1657" t="b">
        <v>0</v>
      </c>
      <c r="R1657" t="b">
        <v>0</v>
      </c>
      <c r="S1657" t="b">
        <v>0</v>
      </c>
      <c r="T1657" t="b">
        <v>0</v>
      </c>
      <c r="U1657">
        <v>0</v>
      </c>
      <c r="V1657" t="s">
        <v>4073</v>
      </c>
    </row>
    <row r="1658" spans="1:22" hidden="1" x14ac:dyDescent="0.45">
      <c r="A1658" s="2" t="s">
        <v>1070</v>
      </c>
      <c r="B1658" s="11">
        <v>45175</v>
      </c>
      <c r="C1658" s="2" t="s">
        <v>2011</v>
      </c>
      <c r="D1658" s="2" t="s">
        <v>2016</v>
      </c>
      <c r="E1658">
        <v>1812.2</v>
      </c>
      <c r="F1658">
        <v>186656.6</v>
      </c>
      <c r="G1658">
        <v>0</v>
      </c>
      <c r="H1658">
        <v>0</v>
      </c>
      <c r="I1658" s="2" t="s">
        <v>2021</v>
      </c>
      <c r="J1658" s="2" t="s">
        <v>2030</v>
      </c>
      <c r="K1658" s="2" t="s">
        <v>3091</v>
      </c>
      <c r="L1658" s="2" t="s">
        <v>4031</v>
      </c>
      <c r="M1658">
        <v>-1812.2</v>
      </c>
      <c r="N1658" s="2" t="s">
        <v>2016</v>
      </c>
      <c r="O1658">
        <v>103</v>
      </c>
      <c r="P1658">
        <v>-186656.6</v>
      </c>
      <c r="Q1658" t="b">
        <v>0</v>
      </c>
      <c r="R1658" t="b">
        <v>0</v>
      </c>
      <c r="S1658" t="b">
        <v>0</v>
      </c>
      <c r="T1658" t="b">
        <v>0</v>
      </c>
      <c r="U1658">
        <v>0</v>
      </c>
      <c r="V1658" t="s">
        <v>4073</v>
      </c>
    </row>
    <row r="1659" spans="1:22" hidden="1" x14ac:dyDescent="0.45">
      <c r="A1659" s="2" t="s">
        <v>1887</v>
      </c>
      <c r="B1659" s="11">
        <v>45811</v>
      </c>
      <c r="C1659" s="2" t="s">
        <v>2014</v>
      </c>
      <c r="D1659" s="2" t="s">
        <v>2019</v>
      </c>
      <c r="E1659">
        <v>0</v>
      </c>
      <c r="F1659">
        <v>0</v>
      </c>
      <c r="G1659">
        <v>3079.85</v>
      </c>
      <c r="H1659">
        <v>187870.85</v>
      </c>
      <c r="I1659" s="2" t="s">
        <v>2021</v>
      </c>
      <c r="J1659" s="2" t="s">
        <v>2027</v>
      </c>
      <c r="K1659" s="2" t="s">
        <v>3908</v>
      </c>
      <c r="L1659" s="2" t="s">
        <v>4035</v>
      </c>
      <c r="M1659">
        <v>3079.85</v>
      </c>
      <c r="N1659" s="2" t="s">
        <v>4042</v>
      </c>
      <c r="O1659">
        <v>61</v>
      </c>
      <c r="P1659">
        <v>187870.85</v>
      </c>
      <c r="Q1659" t="b">
        <v>0</v>
      </c>
      <c r="R1659" t="b">
        <v>0</v>
      </c>
      <c r="S1659" t="b">
        <v>0</v>
      </c>
      <c r="T1659" t="b">
        <v>0</v>
      </c>
      <c r="U1659">
        <v>0</v>
      </c>
      <c r="V1659" t="s">
        <v>4073</v>
      </c>
    </row>
    <row r="1660" spans="1:22" hidden="1" x14ac:dyDescent="0.45">
      <c r="A1660" s="2" t="s">
        <v>388</v>
      </c>
      <c r="B1660" s="11">
        <v>45246</v>
      </c>
      <c r="C1660" s="2" t="s">
        <v>2012</v>
      </c>
      <c r="D1660" s="2" t="s">
        <v>2017</v>
      </c>
      <c r="E1660">
        <v>1836.23</v>
      </c>
      <c r="F1660">
        <v>189131.69</v>
      </c>
      <c r="G1660">
        <v>0</v>
      </c>
      <c r="H1660">
        <v>0</v>
      </c>
      <c r="I1660" s="2" t="s">
        <v>2023</v>
      </c>
      <c r="J1660" s="2" t="s">
        <v>2030</v>
      </c>
      <c r="K1660" s="2" t="s">
        <v>2409</v>
      </c>
      <c r="L1660" s="2" t="s">
        <v>4031</v>
      </c>
      <c r="M1660">
        <v>-1836.23</v>
      </c>
      <c r="N1660" s="2" t="s">
        <v>4044</v>
      </c>
      <c r="O1660">
        <v>103</v>
      </c>
      <c r="P1660">
        <v>-189131.69</v>
      </c>
      <c r="Q1660" t="b">
        <v>0</v>
      </c>
      <c r="R1660" t="b">
        <v>0</v>
      </c>
      <c r="S1660" t="b">
        <v>0</v>
      </c>
      <c r="T1660" t="b">
        <v>0</v>
      </c>
      <c r="U1660">
        <v>0</v>
      </c>
      <c r="V1660" t="s">
        <v>4073</v>
      </c>
    </row>
    <row r="1661" spans="1:22" hidden="1" x14ac:dyDescent="0.45">
      <c r="A1661" s="2" t="s">
        <v>1002</v>
      </c>
      <c r="B1661" s="11">
        <v>45275</v>
      </c>
      <c r="C1661" s="2" t="s">
        <v>2010</v>
      </c>
      <c r="D1661" s="2" t="s">
        <v>2015</v>
      </c>
      <c r="E1661">
        <v>0</v>
      </c>
      <c r="F1661">
        <v>0</v>
      </c>
      <c r="G1661">
        <v>3100.79</v>
      </c>
      <c r="H1661">
        <v>189148.19</v>
      </c>
      <c r="I1661" s="2" t="s">
        <v>2024</v>
      </c>
      <c r="J1661" s="2" t="s">
        <v>2029</v>
      </c>
      <c r="K1661" s="2" t="s">
        <v>3023</v>
      </c>
      <c r="L1661" s="2" t="s">
        <v>4035</v>
      </c>
      <c r="M1661">
        <v>3100.79</v>
      </c>
      <c r="N1661" s="2" t="s">
        <v>4042</v>
      </c>
      <c r="O1661">
        <v>61</v>
      </c>
      <c r="P1661">
        <v>189148.19</v>
      </c>
      <c r="Q1661" t="b">
        <v>0</v>
      </c>
      <c r="R1661" t="b">
        <v>0</v>
      </c>
      <c r="S1661" t="b">
        <v>0</v>
      </c>
      <c r="T1661" t="b">
        <v>0</v>
      </c>
      <c r="U1661">
        <v>0</v>
      </c>
      <c r="V1661" t="s">
        <v>4073</v>
      </c>
    </row>
    <row r="1662" spans="1:22" hidden="1" x14ac:dyDescent="0.45">
      <c r="A1662" s="2" t="s">
        <v>492</v>
      </c>
      <c r="B1662" s="11">
        <v>45100</v>
      </c>
      <c r="C1662" s="2" t="s">
        <v>2011</v>
      </c>
      <c r="D1662" s="2" t="s">
        <v>2016</v>
      </c>
      <c r="E1662">
        <v>1843.54</v>
      </c>
      <c r="F1662">
        <v>189884.62</v>
      </c>
      <c r="G1662">
        <v>0</v>
      </c>
      <c r="H1662">
        <v>0</v>
      </c>
      <c r="I1662" s="2" t="s">
        <v>2024</v>
      </c>
      <c r="J1662" s="2" t="s">
        <v>2026</v>
      </c>
      <c r="K1662" s="2" t="s">
        <v>2513</v>
      </c>
      <c r="L1662" s="2" t="s">
        <v>4031</v>
      </c>
      <c r="M1662">
        <v>-1843.54</v>
      </c>
      <c r="N1662" s="2" t="s">
        <v>2016</v>
      </c>
      <c r="O1662">
        <v>103</v>
      </c>
      <c r="P1662">
        <v>-189884.62</v>
      </c>
      <c r="Q1662" t="b">
        <v>0</v>
      </c>
      <c r="R1662" t="b">
        <v>0</v>
      </c>
      <c r="S1662" t="b">
        <v>0</v>
      </c>
      <c r="T1662" t="b">
        <v>0</v>
      </c>
      <c r="U1662">
        <v>0</v>
      </c>
      <c r="V1662" t="s">
        <v>4073</v>
      </c>
    </row>
    <row r="1663" spans="1:22" hidden="1" x14ac:dyDescent="0.45">
      <c r="A1663" s="2" t="s">
        <v>823</v>
      </c>
      <c r="B1663" s="11">
        <v>45764</v>
      </c>
      <c r="C1663" s="2" t="s">
        <v>2013</v>
      </c>
      <c r="D1663" s="2" t="s">
        <v>2018</v>
      </c>
      <c r="E1663">
        <v>1845.75</v>
      </c>
      <c r="F1663">
        <v>190112.25</v>
      </c>
      <c r="G1663">
        <v>0</v>
      </c>
      <c r="H1663">
        <v>0</v>
      </c>
      <c r="I1663" s="2" t="s">
        <v>2020</v>
      </c>
      <c r="J1663" s="2" t="s">
        <v>2029</v>
      </c>
      <c r="K1663" s="2" t="s">
        <v>2844</v>
      </c>
      <c r="L1663" s="2" t="s">
        <v>4031</v>
      </c>
      <c r="M1663">
        <v>-1845.75</v>
      </c>
      <c r="N1663" s="2" t="s">
        <v>4044</v>
      </c>
      <c r="O1663">
        <v>103</v>
      </c>
      <c r="P1663">
        <v>-190112.25</v>
      </c>
      <c r="Q1663" t="b">
        <v>0</v>
      </c>
      <c r="R1663" t="b">
        <v>0</v>
      </c>
      <c r="S1663" t="b">
        <v>0</v>
      </c>
      <c r="T1663" t="b">
        <v>0</v>
      </c>
      <c r="U1663">
        <v>0</v>
      </c>
      <c r="V1663" t="s">
        <v>4073</v>
      </c>
    </row>
    <row r="1664" spans="1:22" hidden="1" x14ac:dyDescent="0.45">
      <c r="A1664" s="2" t="s">
        <v>93</v>
      </c>
      <c r="B1664" s="11">
        <v>45222</v>
      </c>
      <c r="C1664" s="2" t="s">
        <v>2014</v>
      </c>
      <c r="D1664" s="2" t="s">
        <v>2019</v>
      </c>
      <c r="E1664">
        <v>0</v>
      </c>
      <c r="F1664">
        <v>0</v>
      </c>
      <c r="G1664">
        <v>3399.04</v>
      </c>
      <c r="H1664">
        <v>190346.23999999999</v>
      </c>
      <c r="I1664" s="2" t="s">
        <v>2022</v>
      </c>
      <c r="J1664" s="2" t="s">
        <v>2029</v>
      </c>
      <c r="K1664" s="2" t="s">
        <v>2114</v>
      </c>
      <c r="L1664" s="2" t="s">
        <v>4033</v>
      </c>
      <c r="M1664">
        <v>3399.04</v>
      </c>
      <c r="N1664" s="2" t="s">
        <v>4042</v>
      </c>
      <c r="O1664">
        <v>56</v>
      </c>
      <c r="P1664">
        <v>190346.23999999999</v>
      </c>
      <c r="Q1664" t="b">
        <v>0</v>
      </c>
      <c r="R1664" t="b">
        <v>0</v>
      </c>
      <c r="S1664" t="b">
        <v>0</v>
      </c>
      <c r="T1664" t="b">
        <v>0</v>
      </c>
      <c r="U1664">
        <v>0</v>
      </c>
      <c r="V1664" t="s">
        <v>4073</v>
      </c>
    </row>
    <row r="1665" spans="1:22" hidden="1" x14ac:dyDescent="0.45">
      <c r="A1665" s="2" t="s">
        <v>501</v>
      </c>
      <c r="B1665" s="11">
        <v>45559</v>
      </c>
      <c r="C1665" s="2" t="s">
        <v>2010</v>
      </c>
      <c r="D1665" s="2" t="s">
        <v>2015</v>
      </c>
      <c r="E1665">
        <v>0</v>
      </c>
      <c r="F1665">
        <v>0</v>
      </c>
      <c r="G1665">
        <v>2322.15</v>
      </c>
      <c r="H1665">
        <v>190416.30000000002</v>
      </c>
      <c r="I1665" s="2" t="s">
        <v>2020</v>
      </c>
      <c r="J1665" s="2" t="s">
        <v>2028</v>
      </c>
      <c r="K1665" s="2" t="s">
        <v>2522</v>
      </c>
      <c r="L1665" s="2" t="s">
        <v>4034</v>
      </c>
      <c r="M1665">
        <v>2322.15</v>
      </c>
      <c r="N1665" s="2" t="s">
        <v>4042</v>
      </c>
      <c r="O1665">
        <v>82</v>
      </c>
      <c r="P1665">
        <v>190416.30000000002</v>
      </c>
      <c r="Q1665" t="b">
        <v>0</v>
      </c>
      <c r="R1665" t="b">
        <v>0</v>
      </c>
      <c r="S1665" t="b">
        <v>0</v>
      </c>
      <c r="T1665" t="b">
        <v>0</v>
      </c>
      <c r="U1665">
        <v>0</v>
      </c>
      <c r="V1665" t="s">
        <v>4073</v>
      </c>
    </row>
    <row r="1666" spans="1:22" hidden="1" x14ac:dyDescent="0.45">
      <c r="A1666" s="2" t="s">
        <v>1926</v>
      </c>
      <c r="B1666" s="11">
        <v>45145</v>
      </c>
      <c r="C1666" s="2" t="s">
        <v>2013</v>
      </c>
      <c r="D1666" s="2" t="s">
        <v>2018</v>
      </c>
      <c r="E1666">
        <v>1850.88</v>
      </c>
      <c r="F1666">
        <v>190640.64000000001</v>
      </c>
      <c r="G1666">
        <v>0</v>
      </c>
      <c r="H1666">
        <v>0</v>
      </c>
      <c r="I1666" s="2" t="s">
        <v>2023</v>
      </c>
      <c r="J1666" s="2" t="s">
        <v>2027</v>
      </c>
      <c r="K1666" s="2" t="s">
        <v>3947</v>
      </c>
      <c r="L1666" s="2" t="s">
        <v>4031</v>
      </c>
      <c r="M1666">
        <v>-1850.88</v>
      </c>
      <c r="N1666" s="2" t="s">
        <v>4044</v>
      </c>
      <c r="O1666">
        <v>103</v>
      </c>
      <c r="P1666">
        <v>-190640.64000000001</v>
      </c>
      <c r="Q1666" t="b">
        <v>0</v>
      </c>
      <c r="R1666" t="b">
        <v>0</v>
      </c>
      <c r="S1666" t="b">
        <v>0</v>
      </c>
      <c r="T1666" t="b">
        <v>0</v>
      </c>
      <c r="U1666">
        <v>0</v>
      </c>
      <c r="V1666" t="s">
        <v>4073</v>
      </c>
    </row>
    <row r="1667" spans="1:22" hidden="1" x14ac:dyDescent="0.45">
      <c r="A1667" s="2" t="s">
        <v>1701</v>
      </c>
      <c r="B1667" s="11">
        <v>45435</v>
      </c>
      <c r="C1667" s="2" t="s">
        <v>2012</v>
      </c>
      <c r="D1667" s="2" t="s">
        <v>2017</v>
      </c>
      <c r="E1667">
        <v>739.61</v>
      </c>
      <c r="F1667">
        <v>65085.68</v>
      </c>
      <c r="G1667">
        <v>0</v>
      </c>
      <c r="H1667">
        <v>0</v>
      </c>
      <c r="I1667" s="2" t="s">
        <v>2023</v>
      </c>
      <c r="J1667" s="2" t="s">
        <v>2026</v>
      </c>
      <c r="K1667" s="2" t="s">
        <v>3722</v>
      </c>
      <c r="L1667" s="2" t="s">
        <v>4032</v>
      </c>
      <c r="M1667">
        <v>-739.61</v>
      </c>
      <c r="N1667" s="2" t="s">
        <v>4044</v>
      </c>
      <c r="O1667">
        <v>88</v>
      </c>
      <c r="P1667">
        <v>-65085.68</v>
      </c>
      <c r="Q1667" t="b">
        <v>0</v>
      </c>
      <c r="R1667" t="b">
        <v>0</v>
      </c>
      <c r="S1667" t="b">
        <v>0</v>
      </c>
      <c r="T1667" t="b">
        <v>0</v>
      </c>
      <c r="U1667">
        <v>0</v>
      </c>
      <c r="V1667" t="s">
        <v>4073</v>
      </c>
    </row>
    <row r="1668" spans="1:22" hidden="1" x14ac:dyDescent="0.45">
      <c r="A1668" s="2" t="s">
        <v>1640</v>
      </c>
      <c r="B1668" s="11">
        <v>45364</v>
      </c>
      <c r="C1668" s="2" t="s">
        <v>2013</v>
      </c>
      <c r="D1668" s="2" t="s">
        <v>2018</v>
      </c>
      <c r="E1668">
        <v>1408.83</v>
      </c>
      <c r="F1668">
        <v>115524.06</v>
      </c>
      <c r="G1668">
        <v>0</v>
      </c>
      <c r="H1668">
        <v>0</v>
      </c>
      <c r="I1668" s="2" t="s">
        <v>2020</v>
      </c>
      <c r="J1668" s="2" t="s">
        <v>2030</v>
      </c>
      <c r="K1668" s="2" t="s">
        <v>3661</v>
      </c>
      <c r="L1668" s="2" t="s">
        <v>4034</v>
      </c>
      <c r="M1668">
        <v>-1408.83</v>
      </c>
      <c r="N1668" s="2" t="s">
        <v>4044</v>
      </c>
      <c r="O1668">
        <v>82</v>
      </c>
      <c r="P1668">
        <v>-115524.06</v>
      </c>
      <c r="Q1668" t="b">
        <v>0</v>
      </c>
      <c r="R1668" t="b">
        <v>0</v>
      </c>
      <c r="S1668" t="b">
        <v>0</v>
      </c>
      <c r="T1668" t="b">
        <v>0</v>
      </c>
      <c r="U1668">
        <v>0</v>
      </c>
      <c r="V1668" t="s">
        <v>4073</v>
      </c>
    </row>
    <row r="1669" spans="1:22" hidden="1" x14ac:dyDescent="0.45">
      <c r="A1669" s="2" t="s">
        <v>1060</v>
      </c>
      <c r="B1669" s="11">
        <v>45244</v>
      </c>
      <c r="C1669" s="2" t="s">
        <v>2012</v>
      </c>
      <c r="D1669" s="2" t="s">
        <v>2017</v>
      </c>
      <c r="E1669">
        <v>1396.76</v>
      </c>
      <c r="F1669">
        <v>114534.31999999999</v>
      </c>
      <c r="G1669">
        <v>0</v>
      </c>
      <c r="H1669">
        <v>0</v>
      </c>
      <c r="I1669" s="2" t="s">
        <v>2021</v>
      </c>
      <c r="J1669" s="2" t="s">
        <v>2029</v>
      </c>
      <c r="K1669" s="2" t="s">
        <v>3081</v>
      </c>
      <c r="L1669" s="2" t="s">
        <v>4034</v>
      </c>
      <c r="M1669">
        <v>-1396.76</v>
      </c>
      <c r="N1669" s="2" t="s">
        <v>4044</v>
      </c>
      <c r="O1669">
        <v>82</v>
      </c>
      <c r="P1669">
        <v>-114534.31999999999</v>
      </c>
      <c r="Q1669" t="b">
        <v>0</v>
      </c>
      <c r="R1669" t="b">
        <v>0</v>
      </c>
      <c r="S1669" t="b">
        <v>0</v>
      </c>
      <c r="T1669" t="b">
        <v>0</v>
      </c>
      <c r="U1669">
        <v>0</v>
      </c>
      <c r="V1669" t="s">
        <v>4073</v>
      </c>
    </row>
    <row r="1670" spans="1:22" hidden="1" x14ac:dyDescent="0.45">
      <c r="A1670" s="2" t="s">
        <v>1300</v>
      </c>
      <c r="B1670" s="11">
        <v>45359</v>
      </c>
      <c r="C1670" s="2" t="s">
        <v>2013</v>
      </c>
      <c r="D1670" s="2" t="s">
        <v>2018</v>
      </c>
      <c r="E1670">
        <v>1329.55</v>
      </c>
      <c r="F1670">
        <v>81102.55</v>
      </c>
      <c r="G1670">
        <v>0</v>
      </c>
      <c r="H1670">
        <v>0</v>
      </c>
      <c r="I1670" s="2" t="s">
        <v>2024</v>
      </c>
      <c r="J1670" s="2" t="s">
        <v>2030</v>
      </c>
      <c r="K1670" s="2" t="s">
        <v>3321</v>
      </c>
      <c r="L1670" s="2" t="s">
        <v>4035</v>
      </c>
      <c r="M1670">
        <v>-1329.55</v>
      </c>
      <c r="N1670" s="2" t="s">
        <v>4044</v>
      </c>
      <c r="O1670">
        <v>61</v>
      </c>
      <c r="P1670">
        <v>-81102.55</v>
      </c>
      <c r="Q1670" t="b">
        <v>0</v>
      </c>
      <c r="R1670" t="b">
        <v>0</v>
      </c>
      <c r="S1670" t="b">
        <v>0</v>
      </c>
      <c r="T1670" t="b">
        <v>0</v>
      </c>
      <c r="U1670">
        <v>0</v>
      </c>
      <c r="V1670" t="s">
        <v>4073</v>
      </c>
    </row>
    <row r="1671" spans="1:22" hidden="1" x14ac:dyDescent="0.45">
      <c r="A1671" s="2" t="s">
        <v>962</v>
      </c>
      <c r="B1671" s="11">
        <v>45034</v>
      </c>
      <c r="C1671" s="2" t="s">
        <v>2011</v>
      </c>
      <c r="D1671" s="2" t="s">
        <v>2016</v>
      </c>
      <c r="E1671">
        <v>788.01</v>
      </c>
      <c r="F1671">
        <v>81165.03</v>
      </c>
      <c r="G1671">
        <v>0</v>
      </c>
      <c r="H1671">
        <v>0</v>
      </c>
      <c r="I1671" s="2" t="s">
        <v>2021</v>
      </c>
      <c r="J1671" s="2" t="s">
        <v>2029</v>
      </c>
      <c r="K1671" s="2" t="s">
        <v>2983</v>
      </c>
      <c r="L1671" s="2" t="s">
        <v>4031</v>
      </c>
      <c r="M1671">
        <v>-788.01</v>
      </c>
      <c r="N1671" s="2" t="s">
        <v>2016</v>
      </c>
      <c r="O1671">
        <v>103</v>
      </c>
      <c r="P1671">
        <v>-81165.03</v>
      </c>
      <c r="Q1671" t="b">
        <v>0</v>
      </c>
      <c r="R1671" t="b">
        <v>0</v>
      </c>
      <c r="S1671" t="b">
        <v>0</v>
      </c>
      <c r="T1671" t="b">
        <v>0</v>
      </c>
      <c r="U1671">
        <v>0</v>
      </c>
      <c r="V1671" t="s">
        <v>4073</v>
      </c>
    </row>
    <row r="1672" spans="1:22" hidden="1" x14ac:dyDescent="0.45">
      <c r="A1672" s="2" t="s">
        <v>138</v>
      </c>
      <c r="B1672" s="11">
        <v>45762</v>
      </c>
      <c r="C1672" s="2" t="s">
        <v>2013</v>
      </c>
      <c r="D1672" s="2" t="s">
        <v>2018</v>
      </c>
      <c r="E1672">
        <v>925</v>
      </c>
      <c r="F1672">
        <v>81400</v>
      </c>
      <c r="G1672">
        <v>0</v>
      </c>
      <c r="H1672">
        <v>0</v>
      </c>
      <c r="I1672" s="2" t="s">
        <v>2020</v>
      </c>
      <c r="J1672" s="2" t="s">
        <v>2026</v>
      </c>
      <c r="K1672" s="2" t="s">
        <v>2159</v>
      </c>
      <c r="L1672" s="2" t="s">
        <v>4032</v>
      </c>
      <c r="M1672">
        <v>-925</v>
      </c>
      <c r="N1672" s="2" t="s">
        <v>4044</v>
      </c>
      <c r="O1672">
        <v>88</v>
      </c>
      <c r="P1672">
        <v>-81400</v>
      </c>
      <c r="Q1672" t="b">
        <v>0</v>
      </c>
      <c r="R1672" t="b">
        <v>0</v>
      </c>
      <c r="S1672" t="b">
        <v>0</v>
      </c>
      <c r="T1672" t="b">
        <v>0</v>
      </c>
      <c r="U1672">
        <v>0</v>
      </c>
      <c r="V1672" t="s">
        <v>4073</v>
      </c>
    </row>
    <row r="1673" spans="1:22" hidden="1" x14ac:dyDescent="0.45">
      <c r="A1673" s="2" t="s">
        <v>1316</v>
      </c>
      <c r="B1673" s="11">
        <v>45398</v>
      </c>
      <c r="C1673" s="2" t="s">
        <v>2014</v>
      </c>
      <c r="D1673" s="2" t="s">
        <v>2019</v>
      </c>
      <c r="E1673">
        <v>0</v>
      </c>
      <c r="F1673">
        <v>0</v>
      </c>
      <c r="G1673">
        <v>790.68</v>
      </c>
      <c r="H1673">
        <v>81440.039999999994</v>
      </c>
      <c r="I1673" s="2" t="s">
        <v>2021</v>
      </c>
      <c r="J1673" s="2" t="s">
        <v>2026</v>
      </c>
      <c r="K1673" s="2" t="s">
        <v>3337</v>
      </c>
      <c r="L1673" s="2" t="s">
        <v>4031</v>
      </c>
      <c r="M1673">
        <v>790.68</v>
      </c>
      <c r="N1673" s="2" t="s">
        <v>4042</v>
      </c>
      <c r="O1673">
        <v>103</v>
      </c>
      <c r="P1673">
        <v>81440.039999999994</v>
      </c>
      <c r="Q1673" t="b">
        <v>0</v>
      </c>
      <c r="R1673" t="b">
        <v>0</v>
      </c>
      <c r="S1673" t="b">
        <v>0</v>
      </c>
      <c r="T1673" t="b">
        <v>0</v>
      </c>
      <c r="U1673">
        <v>0</v>
      </c>
      <c r="V1673" t="s">
        <v>4073</v>
      </c>
    </row>
    <row r="1674" spans="1:22" hidden="1" x14ac:dyDescent="0.45">
      <c r="A1674" s="2" t="s">
        <v>1345</v>
      </c>
      <c r="B1674" s="11">
        <v>45062</v>
      </c>
      <c r="C1674" s="2" t="s">
        <v>2012</v>
      </c>
      <c r="D1674" s="2" t="s">
        <v>2017</v>
      </c>
      <c r="E1674">
        <v>792.43</v>
      </c>
      <c r="F1674">
        <v>81620.289999999994</v>
      </c>
      <c r="G1674">
        <v>0</v>
      </c>
      <c r="H1674">
        <v>0</v>
      </c>
      <c r="I1674" s="2" t="s">
        <v>2024</v>
      </c>
      <c r="J1674" s="2" t="s">
        <v>2027</v>
      </c>
      <c r="K1674" s="2" t="s">
        <v>3366</v>
      </c>
      <c r="L1674" s="2" t="s">
        <v>4031</v>
      </c>
      <c r="M1674">
        <v>-792.43</v>
      </c>
      <c r="N1674" s="2" t="s">
        <v>4044</v>
      </c>
      <c r="O1674">
        <v>103</v>
      </c>
      <c r="P1674">
        <v>-81620.289999999994</v>
      </c>
      <c r="Q1674" t="b">
        <v>0</v>
      </c>
      <c r="R1674" t="b">
        <v>0</v>
      </c>
      <c r="S1674" t="b">
        <v>0</v>
      </c>
      <c r="T1674" t="b">
        <v>0</v>
      </c>
      <c r="U1674">
        <v>0</v>
      </c>
      <c r="V1674" t="s">
        <v>4073</v>
      </c>
    </row>
    <row r="1675" spans="1:22" hidden="1" x14ac:dyDescent="0.45">
      <c r="A1675" s="2" t="s">
        <v>1375</v>
      </c>
      <c r="B1675" s="11">
        <v>45007</v>
      </c>
      <c r="C1675" s="2" t="s">
        <v>2014</v>
      </c>
      <c r="D1675" s="2" t="s">
        <v>2019</v>
      </c>
      <c r="E1675">
        <v>0</v>
      </c>
      <c r="F1675">
        <v>0</v>
      </c>
      <c r="G1675">
        <v>998.83</v>
      </c>
      <c r="H1675">
        <v>81904.06</v>
      </c>
      <c r="I1675" s="2" t="s">
        <v>2025</v>
      </c>
      <c r="J1675" s="2" t="s">
        <v>2030</v>
      </c>
      <c r="K1675" s="2" t="s">
        <v>3396</v>
      </c>
      <c r="L1675" s="2" t="s">
        <v>4034</v>
      </c>
      <c r="M1675">
        <v>998.83</v>
      </c>
      <c r="N1675" s="2" t="s">
        <v>4042</v>
      </c>
      <c r="O1675">
        <v>82</v>
      </c>
      <c r="P1675">
        <v>81904.06</v>
      </c>
      <c r="Q1675" t="b">
        <v>0</v>
      </c>
      <c r="R1675" t="b">
        <v>0</v>
      </c>
      <c r="S1675" t="b">
        <v>0</v>
      </c>
      <c r="T1675" t="b">
        <v>0</v>
      </c>
      <c r="U1675">
        <v>0</v>
      </c>
      <c r="V1675" t="s">
        <v>4073</v>
      </c>
    </row>
    <row r="1676" spans="1:22" hidden="1" x14ac:dyDescent="0.45">
      <c r="A1676" s="2" t="s">
        <v>480</v>
      </c>
      <c r="B1676" s="11">
        <v>45261</v>
      </c>
      <c r="C1676" s="2" t="s">
        <v>2012</v>
      </c>
      <c r="D1676" s="2" t="s">
        <v>2017</v>
      </c>
      <c r="E1676">
        <v>1466.97</v>
      </c>
      <c r="F1676">
        <v>82150.320000000007</v>
      </c>
      <c r="G1676">
        <v>0</v>
      </c>
      <c r="H1676">
        <v>0</v>
      </c>
      <c r="I1676" s="2" t="s">
        <v>2021</v>
      </c>
      <c r="J1676" s="2" t="s">
        <v>2029</v>
      </c>
      <c r="K1676" s="2" t="s">
        <v>2501</v>
      </c>
      <c r="L1676" s="2" t="s">
        <v>4033</v>
      </c>
      <c r="M1676">
        <v>-1466.97</v>
      </c>
      <c r="N1676" s="2" t="s">
        <v>4044</v>
      </c>
      <c r="O1676">
        <v>56</v>
      </c>
      <c r="P1676">
        <v>-82150.320000000007</v>
      </c>
      <c r="Q1676" t="b">
        <v>0</v>
      </c>
      <c r="R1676" t="b">
        <v>0</v>
      </c>
      <c r="S1676" t="b">
        <v>0</v>
      </c>
      <c r="T1676" t="b">
        <v>0</v>
      </c>
      <c r="U1676">
        <v>0</v>
      </c>
      <c r="V1676" t="s">
        <v>4073</v>
      </c>
    </row>
    <row r="1677" spans="1:22" hidden="1" x14ac:dyDescent="0.45">
      <c r="A1677" s="2" t="s">
        <v>1066</v>
      </c>
      <c r="B1677" s="11">
        <v>45782</v>
      </c>
      <c r="C1677" s="2" t="s">
        <v>2012</v>
      </c>
      <c r="D1677" s="2" t="s">
        <v>2017</v>
      </c>
      <c r="E1677">
        <v>1328.19</v>
      </c>
      <c r="F1677">
        <v>81019.59</v>
      </c>
      <c r="G1677">
        <v>0</v>
      </c>
      <c r="H1677">
        <v>0</v>
      </c>
      <c r="I1677" s="2" t="s">
        <v>2024</v>
      </c>
      <c r="J1677" s="2" t="s">
        <v>2026</v>
      </c>
      <c r="K1677" s="2" t="s">
        <v>3087</v>
      </c>
      <c r="L1677" s="2" t="s">
        <v>4035</v>
      </c>
      <c r="M1677">
        <v>-1328.19</v>
      </c>
      <c r="N1677" s="2" t="s">
        <v>4044</v>
      </c>
      <c r="O1677">
        <v>61</v>
      </c>
      <c r="P1677">
        <v>-81019.59</v>
      </c>
      <c r="Q1677" t="b">
        <v>0</v>
      </c>
      <c r="R1677" t="b">
        <v>0</v>
      </c>
      <c r="S1677" t="b">
        <v>0</v>
      </c>
      <c r="T1677" t="b">
        <v>0</v>
      </c>
      <c r="U1677">
        <v>0</v>
      </c>
      <c r="V1677" t="s">
        <v>4073</v>
      </c>
    </row>
    <row r="1678" spans="1:22" hidden="1" x14ac:dyDescent="0.45">
      <c r="A1678" s="2" t="s">
        <v>1528</v>
      </c>
      <c r="B1678" s="11">
        <v>45343</v>
      </c>
      <c r="C1678" s="2" t="s">
        <v>2010</v>
      </c>
      <c r="D1678" s="2" t="s">
        <v>2015</v>
      </c>
      <c r="E1678">
        <v>0</v>
      </c>
      <c r="F1678">
        <v>0</v>
      </c>
      <c r="G1678">
        <v>934.01</v>
      </c>
      <c r="H1678">
        <v>82192.88</v>
      </c>
      <c r="I1678" s="2" t="s">
        <v>2021</v>
      </c>
      <c r="J1678" s="2" t="s">
        <v>2026</v>
      </c>
      <c r="K1678" s="2" t="s">
        <v>3549</v>
      </c>
      <c r="L1678" s="2" t="s">
        <v>4032</v>
      </c>
      <c r="M1678">
        <v>934.01</v>
      </c>
      <c r="N1678" s="2" t="s">
        <v>4042</v>
      </c>
      <c r="O1678">
        <v>88</v>
      </c>
      <c r="P1678">
        <v>82192.88</v>
      </c>
      <c r="Q1678" t="b">
        <v>0</v>
      </c>
      <c r="R1678" t="b">
        <v>0</v>
      </c>
      <c r="S1678" t="b">
        <v>0</v>
      </c>
      <c r="T1678" t="b">
        <v>0</v>
      </c>
      <c r="U1678">
        <v>0</v>
      </c>
      <c r="V1678" t="s">
        <v>4073</v>
      </c>
    </row>
    <row r="1679" spans="1:22" hidden="1" x14ac:dyDescent="0.45">
      <c r="A1679" s="2" t="s">
        <v>565</v>
      </c>
      <c r="B1679" s="11">
        <v>45709</v>
      </c>
      <c r="C1679" s="2" t="s">
        <v>2011</v>
      </c>
      <c r="D1679" s="2" t="s">
        <v>2016</v>
      </c>
      <c r="E1679">
        <v>1354.74</v>
      </c>
      <c r="F1679">
        <v>82639.14</v>
      </c>
      <c r="G1679">
        <v>0</v>
      </c>
      <c r="H1679">
        <v>0</v>
      </c>
      <c r="I1679" s="2" t="s">
        <v>2021</v>
      </c>
      <c r="J1679" s="2" t="s">
        <v>2026</v>
      </c>
      <c r="K1679" s="2" t="s">
        <v>2586</v>
      </c>
      <c r="L1679" s="2" t="s">
        <v>4035</v>
      </c>
      <c r="M1679">
        <v>-1354.74</v>
      </c>
      <c r="N1679" s="2" t="s">
        <v>2016</v>
      </c>
      <c r="O1679">
        <v>61</v>
      </c>
      <c r="P1679">
        <v>-82639.14</v>
      </c>
      <c r="Q1679" t="b">
        <v>0</v>
      </c>
      <c r="R1679" t="b">
        <v>0</v>
      </c>
      <c r="S1679" t="b">
        <v>0</v>
      </c>
      <c r="T1679" t="b">
        <v>0</v>
      </c>
      <c r="U1679">
        <v>0</v>
      </c>
      <c r="V1679" t="s">
        <v>4073</v>
      </c>
    </row>
    <row r="1680" spans="1:22" hidden="1" x14ac:dyDescent="0.45">
      <c r="A1680" s="2" t="s">
        <v>700</v>
      </c>
      <c r="B1680" s="11">
        <v>45631</v>
      </c>
      <c r="C1680" s="2" t="s">
        <v>2011</v>
      </c>
      <c r="D1680" s="2" t="s">
        <v>2016</v>
      </c>
      <c r="E1680">
        <v>1478.7</v>
      </c>
      <c r="F1680">
        <v>82807.199999999997</v>
      </c>
      <c r="G1680">
        <v>0</v>
      </c>
      <c r="H1680">
        <v>0</v>
      </c>
      <c r="I1680" s="2" t="s">
        <v>2021</v>
      </c>
      <c r="J1680" s="2" t="s">
        <v>2030</v>
      </c>
      <c r="K1680" s="2" t="s">
        <v>2721</v>
      </c>
      <c r="L1680" s="2" t="s">
        <v>4033</v>
      </c>
      <c r="M1680">
        <v>-1478.7</v>
      </c>
      <c r="N1680" s="2" t="s">
        <v>2016</v>
      </c>
      <c r="O1680">
        <v>56</v>
      </c>
      <c r="P1680">
        <v>-82807.199999999997</v>
      </c>
      <c r="Q1680" t="b">
        <v>0</v>
      </c>
      <c r="R1680" t="b">
        <v>0</v>
      </c>
      <c r="S1680" t="b">
        <v>0</v>
      </c>
      <c r="T1680" t="b">
        <v>0</v>
      </c>
      <c r="U1680">
        <v>0</v>
      </c>
      <c r="V1680" t="s">
        <v>4073</v>
      </c>
    </row>
    <row r="1681" spans="1:22" hidden="1" x14ac:dyDescent="0.45">
      <c r="A1681" s="2" t="s">
        <v>53</v>
      </c>
      <c r="B1681" s="11">
        <v>45000</v>
      </c>
      <c r="C1681" s="2" t="s">
        <v>2012</v>
      </c>
      <c r="D1681" s="2" t="s">
        <v>2017</v>
      </c>
      <c r="E1681">
        <v>941.14</v>
      </c>
      <c r="F1681">
        <v>82820.319999999992</v>
      </c>
      <c r="G1681">
        <v>0</v>
      </c>
      <c r="H1681">
        <v>0</v>
      </c>
      <c r="I1681" s="2" t="s">
        <v>2024</v>
      </c>
      <c r="J1681" s="2" t="s">
        <v>2028</v>
      </c>
      <c r="K1681" s="2" t="s">
        <v>2074</v>
      </c>
      <c r="L1681" s="2" t="s">
        <v>4032</v>
      </c>
      <c r="M1681">
        <v>-941.14</v>
      </c>
      <c r="N1681" s="2" t="s">
        <v>4044</v>
      </c>
      <c r="O1681">
        <v>88</v>
      </c>
      <c r="P1681">
        <v>-82820.319999999992</v>
      </c>
      <c r="Q1681" t="b">
        <v>0</v>
      </c>
      <c r="R1681" t="b">
        <v>0</v>
      </c>
      <c r="S1681" t="b">
        <v>0</v>
      </c>
      <c r="T1681" t="b">
        <v>0</v>
      </c>
      <c r="U1681">
        <v>0</v>
      </c>
      <c r="V1681" t="s">
        <v>4073</v>
      </c>
    </row>
    <row r="1682" spans="1:22" hidden="1" x14ac:dyDescent="0.45">
      <c r="A1682" s="2" t="s">
        <v>809</v>
      </c>
      <c r="B1682" s="11">
        <v>45159</v>
      </c>
      <c r="C1682" s="2" t="s">
        <v>2013</v>
      </c>
      <c r="D1682" s="2" t="s">
        <v>2018</v>
      </c>
      <c r="E1682">
        <v>1363.92</v>
      </c>
      <c r="F1682">
        <v>83199.12000000001</v>
      </c>
      <c r="G1682">
        <v>0</v>
      </c>
      <c r="H1682">
        <v>0</v>
      </c>
      <c r="I1682" s="2" t="s">
        <v>2025</v>
      </c>
      <c r="J1682" s="2" t="s">
        <v>2027</v>
      </c>
      <c r="K1682" s="2" t="s">
        <v>2830</v>
      </c>
      <c r="L1682" s="2" t="s">
        <v>4035</v>
      </c>
      <c r="M1682">
        <v>-1363.92</v>
      </c>
      <c r="N1682" s="2" t="s">
        <v>4044</v>
      </c>
      <c r="O1682">
        <v>61</v>
      </c>
      <c r="P1682">
        <v>-83199.12000000001</v>
      </c>
      <c r="Q1682" t="b">
        <v>0</v>
      </c>
      <c r="R1682" t="b">
        <v>0</v>
      </c>
      <c r="S1682" t="b">
        <v>0</v>
      </c>
      <c r="T1682" t="b">
        <v>0</v>
      </c>
      <c r="U1682">
        <v>0</v>
      </c>
      <c r="V1682" t="s">
        <v>4073</v>
      </c>
    </row>
    <row r="1683" spans="1:22" hidden="1" x14ac:dyDescent="0.45">
      <c r="A1683" s="2" t="s">
        <v>298</v>
      </c>
      <c r="B1683" s="11">
        <v>45712</v>
      </c>
      <c r="C1683" s="2" t="s">
        <v>2011</v>
      </c>
      <c r="D1683" s="2" t="s">
        <v>2016</v>
      </c>
      <c r="E1683">
        <v>1486.16</v>
      </c>
      <c r="F1683">
        <v>83224.960000000006</v>
      </c>
      <c r="G1683">
        <v>0</v>
      </c>
      <c r="H1683">
        <v>0</v>
      </c>
      <c r="I1683" s="2" t="s">
        <v>2023</v>
      </c>
      <c r="J1683" s="2" t="s">
        <v>2026</v>
      </c>
      <c r="K1683" s="2" t="s">
        <v>2319</v>
      </c>
      <c r="L1683" s="2" t="s">
        <v>4033</v>
      </c>
      <c r="M1683">
        <v>-1486.16</v>
      </c>
      <c r="N1683" s="2" t="s">
        <v>2016</v>
      </c>
      <c r="O1683">
        <v>56</v>
      </c>
      <c r="P1683">
        <v>-83224.960000000006</v>
      </c>
      <c r="Q1683" t="b">
        <v>0</v>
      </c>
      <c r="R1683" t="b">
        <v>0</v>
      </c>
      <c r="S1683" t="b">
        <v>0</v>
      </c>
      <c r="T1683" t="b">
        <v>0</v>
      </c>
      <c r="U1683">
        <v>0</v>
      </c>
      <c r="V1683" t="s">
        <v>4073</v>
      </c>
    </row>
    <row r="1684" spans="1:22" hidden="1" x14ac:dyDescent="0.45">
      <c r="A1684" s="2" t="s">
        <v>1344</v>
      </c>
      <c r="B1684" s="11">
        <v>45201</v>
      </c>
      <c r="C1684" s="2" t="s">
        <v>2011</v>
      </c>
      <c r="D1684" s="2" t="s">
        <v>2016</v>
      </c>
      <c r="E1684">
        <v>1487.83</v>
      </c>
      <c r="F1684">
        <v>83318.48</v>
      </c>
      <c r="G1684">
        <v>0</v>
      </c>
      <c r="H1684">
        <v>0</v>
      </c>
      <c r="I1684" s="2" t="s">
        <v>2022</v>
      </c>
      <c r="J1684" s="2" t="s">
        <v>2029</v>
      </c>
      <c r="K1684" s="2" t="s">
        <v>3365</v>
      </c>
      <c r="L1684" s="2" t="s">
        <v>4033</v>
      </c>
      <c r="M1684">
        <v>-1487.83</v>
      </c>
      <c r="N1684" s="2" t="s">
        <v>2016</v>
      </c>
      <c r="O1684">
        <v>56</v>
      </c>
      <c r="P1684">
        <v>-83318.48</v>
      </c>
      <c r="Q1684" t="b">
        <v>0</v>
      </c>
      <c r="R1684" t="b">
        <v>0</v>
      </c>
      <c r="S1684" t="b">
        <v>0</v>
      </c>
      <c r="T1684" t="b">
        <v>0</v>
      </c>
      <c r="U1684">
        <v>0</v>
      </c>
      <c r="V1684" t="s">
        <v>4073</v>
      </c>
    </row>
    <row r="1685" spans="1:22" hidden="1" x14ac:dyDescent="0.45">
      <c r="A1685" s="2" t="s">
        <v>1310</v>
      </c>
      <c r="B1685" s="11">
        <v>45162</v>
      </c>
      <c r="C1685" s="2" t="s">
        <v>2012</v>
      </c>
      <c r="D1685" s="2" t="s">
        <v>2017</v>
      </c>
      <c r="E1685">
        <v>810.8</v>
      </c>
      <c r="F1685">
        <v>83512.399999999994</v>
      </c>
      <c r="G1685">
        <v>0</v>
      </c>
      <c r="H1685">
        <v>0</v>
      </c>
      <c r="I1685" s="2" t="s">
        <v>2023</v>
      </c>
      <c r="J1685" s="2" t="s">
        <v>2030</v>
      </c>
      <c r="K1685" s="2" t="s">
        <v>3331</v>
      </c>
      <c r="L1685" s="2" t="s">
        <v>4031</v>
      </c>
      <c r="M1685">
        <v>-810.8</v>
      </c>
      <c r="N1685" s="2" t="s">
        <v>4044</v>
      </c>
      <c r="O1685">
        <v>103</v>
      </c>
      <c r="P1685">
        <v>-83512.399999999994</v>
      </c>
      <c r="Q1685" t="b">
        <v>0</v>
      </c>
      <c r="R1685" t="b">
        <v>0</v>
      </c>
      <c r="S1685" t="b">
        <v>0</v>
      </c>
      <c r="T1685" t="b">
        <v>0</v>
      </c>
      <c r="U1685">
        <v>0</v>
      </c>
      <c r="V1685" t="s">
        <v>4073</v>
      </c>
    </row>
    <row r="1686" spans="1:22" hidden="1" x14ac:dyDescent="0.45">
      <c r="A1686" s="2" t="s">
        <v>1192</v>
      </c>
      <c r="B1686" s="11">
        <v>45299</v>
      </c>
      <c r="C1686" s="2" t="s">
        <v>2014</v>
      </c>
      <c r="D1686" s="2" t="s">
        <v>2019</v>
      </c>
      <c r="E1686">
        <v>0</v>
      </c>
      <c r="F1686">
        <v>0</v>
      </c>
      <c r="G1686">
        <v>1469.73</v>
      </c>
      <c r="H1686">
        <v>82304.88</v>
      </c>
      <c r="I1686" s="2" t="s">
        <v>2023</v>
      </c>
      <c r="J1686" s="2" t="s">
        <v>2026</v>
      </c>
      <c r="K1686" s="2" t="s">
        <v>3213</v>
      </c>
      <c r="L1686" s="2" t="s">
        <v>4033</v>
      </c>
      <c r="M1686">
        <v>1469.73</v>
      </c>
      <c r="N1686" s="2" t="s">
        <v>4042</v>
      </c>
      <c r="O1686">
        <v>56</v>
      </c>
      <c r="P1686">
        <v>82304.88</v>
      </c>
      <c r="Q1686" t="b">
        <v>0</v>
      </c>
      <c r="R1686" t="b">
        <v>0</v>
      </c>
      <c r="S1686" t="b">
        <v>0</v>
      </c>
      <c r="T1686" t="b">
        <v>0</v>
      </c>
      <c r="U1686">
        <v>0</v>
      </c>
      <c r="V1686" t="s">
        <v>4073</v>
      </c>
    </row>
    <row r="1687" spans="1:22" hidden="1" x14ac:dyDescent="0.45">
      <c r="A1687" s="2" t="s">
        <v>1448</v>
      </c>
      <c r="B1687" s="11">
        <v>45251</v>
      </c>
      <c r="C1687" s="2" t="s">
        <v>2011</v>
      </c>
      <c r="D1687" s="2" t="s">
        <v>2016</v>
      </c>
      <c r="E1687">
        <v>918.99</v>
      </c>
      <c r="F1687">
        <v>80871.12</v>
      </c>
      <c r="G1687">
        <v>0</v>
      </c>
      <c r="H1687">
        <v>0</v>
      </c>
      <c r="I1687" s="2" t="s">
        <v>2024</v>
      </c>
      <c r="J1687" s="2" t="s">
        <v>2029</v>
      </c>
      <c r="K1687" s="2" t="s">
        <v>3469</v>
      </c>
      <c r="L1687" s="2" t="s">
        <v>4032</v>
      </c>
      <c r="M1687">
        <v>-918.99</v>
      </c>
      <c r="N1687" s="2" t="s">
        <v>2016</v>
      </c>
      <c r="O1687">
        <v>88</v>
      </c>
      <c r="P1687">
        <v>-80871.12</v>
      </c>
      <c r="Q1687" t="b">
        <v>0</v>
      </c>
      <c r="R1687" t="b">
        <v>0</v>
      </c>
      <c r="S1687" t="b">
        <v>0</v>
      </c>
      <c r="T1687" t="b">
        <v>0</v>
      </c>
      <c r="U1687">
        <v>0</v>
      </c>
      <c r="V1687" t="s">
        <v>4073</v>
      </c>
    </row>
    <row r="1688" spans="1:22" hidden="1" x14ac:dyDescent="0.45">
      <c r="A1688" s="2" t="s">
        <v>1473</v>
      </c>
      <c r="B1688" s="11">
        <v>45824</v>
      </c>
      <c r="C1688" s="2" t="s">
        <v>2011</v>
      </c>
      <c r="D1688" s="2" t="s">
        <v>2016</v>
      </c>
      <c r="E1688">
        <v>783.53</v>
      </c>
      <c r="F1688">
        <v>80703.59</v>
      </c>
      <c r="G1688">
        <v>0</v>
      </c>
      <c r="H1688">
        <v>0</v>
      </c>
      <c r="I1688" s="2" t="s">
        <v>2025</v>
      </c>
      <c r="J1688" s="2" t="s">
        <v>2027</v>
      </c>
      <c r="K1688" s="2" t="s">
        <v>3494</v>
      </c>
      <c r="L1688" s="2" t="s">
        <v>4031</v>
      </c>
      <c r="M1688">
        <v>-783.53</v>
      </c>
      <c r="N1688" s="2" t="s">
        <v>2016</v>
      </c>
      <c r="O1688">
        <v>103</v>
      </c>
      <c r="P1688">
        <v>-80703.59</v>
      </c>
      <c r="Q1688" t="b">
        <v>0</v>
      </c>
      <c r="R1688" t="b">
        <v>0</v>
      </c>
      <c r="S1688" t="b">
        <v>0</v>
      </c>
      <c r="T1688" t="b">
        <v>0</v>
      </c>
      <c r="U1688">
        <v>0</v>
      </c>
      <c r="V1688" t="s">
        <v>4073</v>
      </c>
    </row>
    <row r="1689" spans="1:22" hidden="1" x14ac:dyDescent="0.45">
      <c r="A1689" s="2" t="s">
        <v>1965</v>
      </c>
      <c r="B1689" s="11">
        <v>45082</v>
      </c>
      <c r="C1689" s="2" t="s">
        <v>2011</v>
      </c>
      <c r="D1689" s="2" t="s">
        <v>2016</v>
      </c>
      <c r="E1689">
        <v>1322.13</v>
      </c>
      <c r="F1689">
        <v>80649.930000000008</v>
      </c>
      <c r="G1689">
        <v>0</v>
      </c>
      <c r="H1689">
        <v>0</v>
      </c>
      <c r="I1689" s="2" t="s">
        <v>2022</v>
      </c>
      <c r="J1689" s="2" t="s">
        <v>2029</v>
      </c>
      <c r="K1689" s="2" t="s">
        <v>3986</v>
      </c>
      <c r="L1689" s="2" t="s">
        <v>4035</v>
      </c>
      <c r="M1689">
        <v>-1322.13</v>
      </c>
      <c r="N1689" s="2" t="s">
        <v>2016</v>
      </c>
      <c r="O1689">
        <v>61</v>
      </c>
      <c r="P1689">
        <v>-80649.930000000008</v>
      </c>
      <c r="Q1689" t="b">
        <v>0</v>
      </c>
      <c r="R1689" t="b">
        <v>0</v>
      </c>
      <c r="S1689" t="b">
        <v>0</v>
      </c>
      <c r="T1689" t="b">
        <v>0</v>
      </c>
      <c r="U1689">
        <v>0</v>
      </c>
      <c r="V1689" t="s">
        <v>4073</v>
      </c>
    </row>
    <row r="1690" spans="1:22" hidden="1" x14ac:dyDescent="0.45">
      <c r="A1690" s="2" t="s">
        <v>1848</v>
      </c>
      <c r="B1690" s="11">
        <v>45460</v>
      </c>
      <c r="C1690" s="2" t="s">
        <v>2010</v>
      </c>
      <c r="D1690" s="2" t="s">
        <v>2015</v>
      </c>
      <c r="E1690">
        <v>0</v>
      </c>
      <c r="F1690">
        <v>0</v>
      </c>
      <c r="G1690">
        <v>887.28</v>
      </c>
      <c r="H1690">
        <v>78080.639999999999</v>
      </c>
      <c r="I1690" s="2" t="s">
        <v>2020</v>
      </c>
      <c r="J1690" s="2" t="s">
        <v>2029</v>
      </c>
      <c r="K1690" s="2" t="s">
        <v>3869</v>
      </c>
      <c r="L1690" s="2" t="s">
        <v>4032</v>
      </c>
      <c r="M1690">
        <v>887.28</v>
      </c>
      <c r="N1690" s="2" t="s">
        <v>4042</v>
      </c>
      <c r="O1690">
        <v>88</v>
      </c>
      <c r="P1690">
        <v>78080.639999999999</v>
      </c>
      <c r="Q1690" t="b">
        <v>0</v>
      </c>
      <c r="R1690" t="b">
        <v>0</v>
      </c>
      <c r="S1690" t="b">
        <v>0</v>
      </c>
      <c r="T1690" t="b">
        <v>0</v>
      </c>
      <c r="U1690">
        <v>0</v>
      </c>
      <c r="V1690" t="s">
        <v>4073</v>
      </c>
    </row>
    <row r="1691" spans="1:22" hidden="1" x14ac:dyDescent="0.45">
      <c r="A1691" s="2" t="s">
        <v>1527</v>
      </c>
      <c r="B1691" s="11">
        <v>45401</v>
      </c>
      <c r="C1691" s="2" t="s">
        <v>2014</v>
      </c>
      <c r="D1691" s="2" t="s">
        <v>2019</v>
      </c>
      <c r="E1691">
        <v>0</v>
      </c>
      <c r="F1691">
        <v>0</v>
      </c>
      <c r="G1691">
        <v>758.28</v>
      </c>
      <c r="H1691">
        <v>78102.84</v>
      </c>
      <c r="I1691" s="2" t="s">
        <v>2025</v>
      </c>
      <c r="J1691" s="2" t="s">
        <v>2027</v>
      </c>
      <c r="K1691" s="2" t="s">
        <v>3548</v>
      </c>
      <c r="L1691" s="2" t="s">
        <v>4031</v>
      </c>
      <c r="M1691">
        <v>758.28</v>
      </c>
      <c r="N1691" s="2" t="s">
        <v>4042</v>
      </c>
      <c r="O1691">
        <v>103</v>
      </c>
      <c r="P1691">
        <v>78102.84</v>
      </c>
      <c r="Q1691" t="b">
        <v>0</v>
      </c>
      <c r="R1691" t="b">
        <v>0</v>
      </c>
      <c r="S1691" t="b">
        <v>0</v>
      </c>
      <c r="T1691" t="b">
        <v>0</v>
      </c>
      <c r="U1691">
        <v>0</v>
      </c>
      <c r="V1691" t="s">
        <v>4073</v>
      </c>
    </row>
    <row r="1692" spans="1:22" hidden="1" x14ac:dyDescent="0.45">
      <c r="A1692" s="2" t="s">
        <v>867</v>
      </c>
      <c r="B1692" s="11">
        <v>45779</v>
      </c>
      <c r="C1692" s="2" t="s">
        <v>2014</v>
      </c>
      <c r="D1692" s="2" t="s">
        <v>2019</v>
      </c>
      <c r="E1692">
        <v>0</v>
      </c>
      <c r="F1692">
        <v>0</v>
      </c>
      <c r="G1692">
        <v>889.07</v>
      </c>
      <c r="H1692">
        <v>78238.16</v>
      </c>
      <c r="I1692" s="2" t="s">
        <v>2020</v>
      </c>
      <c r="J1692" s="2" t="s">
        <v>2029</v>
      </c>
      <c r="K1692" s="2" t="s">
        <v>2888</v>
      </c>
      <c r="L1692" s="2" t="s">
        <v>4032</v>
      </c>
      <c r="M1692">
        <v>889.07</v>
      </c>
      <c r="N1692" s="2" t="s">
        <v>4042</v>
      </c>
      <c r="O1692">
        <v>88</v>
      </c>
      <c r="P1692">
        <v>78238.16</v>
      </c>
      <c r="Q1692" t="b">
        <v>0</v>
      </c>
      <c r="R1692" t="b">
        <v>0</v>
      </c>
      <c r="S1692" t="b">
        <v>0</v>
      </c>
      <c r="T1692" t="b">
        <v>0</v>
      </c>
      <c r="U1692">
        <v>0</v>
      </c>
      <c r="V1692" t="s">
        <v>4073</v>
      </c>
    </row>
    <row r="1693" spans="1:22" hidden="1" x14ac:dyDescent="0.45">
      <c r="A1693" s="2" t="s">
        <v>1600</v>
      </c>
      <c r="B1693" s="11">
        <v>45049</v>
      </c>
      <c r="C1693" s="2" t="s">
        <v>2011</v>
      </c>
      <c r="D1693" s="2" t="s">
        <v>2016</v>
      </c>
      <c r="E1693">
        <v>889.83</v>
      </c>
      <c r="F1693">
        <v>78305.040000000008</v>
      </c>
      <c r="G1693">
        <v>0</v>
      </c>
      <c r="H1693">
        <v>0</v>
      </c>
      <c r="I1693" s="2" t="s">
        <v>2021</v>
      </c>
      <c r="J1693" s="2" t="s">
        <v>2027</v>
      </c>
      <c r="K1693" s="2" t="s">
        <v>3621</v>
      </c>
      <c r="L1693" s="2" t="s">
        <v>4032</v>
      </c>
      <c r="M1693">
        <v>-889.83</v>
      </c>
      <c r="N1693" s="2" t="s">
        <v>2016</v>
      </c>
      <c r="O1693">
        <v>88</v>
      </c>
      <c r="P1693">
        <v>-78305.040000000008</v>
      </c>
      <c r="Q1693" t="b">
        <v>0</v>
      </c>
      <c r="R1693" t="b">
        <v>0</v>
      </c>
      <c r="S1693" t="b">
        <v>0</v>
      </c>
      <c r="T1693" t="b">
        <v>0</v>
      </c>
      <c r="U1693">
        <v>0</v>
      </c>
      <c r="V1693" t="s">
        <v>4073</v>
      </c>
    </row>
    <row r="1694" spans="1:22" hidden="1" x14ac:dyDescent="0.45">
      <c r="A1694" s="2" t="s">
        <v>1325</v>
      </c>
      <c r="B1694" s="11">
        <v>45544</v>
      </c>
      <c r="C1694" s="2" t="s">
        <v>2013</v>
      </c>
      <c r="D1694" s="2" t="s">
        <v>2018</v>
      </c>
      <c r="E1694">
        <v>1403.4</v>
      </c>
      <c r="F1694">
        <v>78590.400000000009</v>
      </c>
      <c r="G1694">
        <v>0</v>
      </c>
      <c r="H1694">
        <v>0</v>
      </c>
      <c r="I1694" s="2" t="s">
        <v>2023</v>
      </c>
      <c r="J1694" s="2" t="s">
        <v>2027</v>
      </c>
      <c r="K1694" s="2" t="s">
        <v>3346</v>
      </c>
      <c r="L1694" s="2" t="s">
        <v>4033</v>
      </c>
      <c r="M1694">
        <v>-1403.4</v>
      </c>
      <c r="N1694" s="2" t="s">
        <v>4044</v>
      </c>
      <c r="O1694">
        <v>56</v>
      </c>
      <c r="P1694">
        <v>-78590.400000000009</v>
      </c>
      <c r="Q1694" t="b">
        <v>0</v>
      </c>
      <c r="R1694" t="b">
        <v>0</v>
      </c>
      <c r="S1694" t="b">
        <v>0</v>
      </c>
      <c r="T1694" t="b">
        <v>0</v>
      </c>
      <c r="U1694">
        <v>0</v>
      </c>
      <c r="V1694" t="s">
        <v>4073</v>
      </c>
    </row>
    <row r="1695" spans="1:22" hidden="1" x14ac:dyDescent="0.45">
      <c r="A1695" s="2" t="s">
        <v>553</v>
      </c>
      <c r="B1695" s="11">
        <v>45630</v>
      </c>
      <c r="C1695" s="2" t="s">
        <v>2010</v>
      </c>
      <c r="D1695" s="2" t="s">
        <v>2015</v>
      </c>
      <c r="E1695">
        <v>0</v>
      </c>
      <c r="F1695">
        <v>0</v>
      </c>
      <c r="G1695">
        <v>1404.17</v>
      </c>
      <c r="H1695">
        <v>78633.52</v>
      </c>
      <c r="I1695" s="2" t="s">
        <v>2022</v>
      </c>
      <c r="J1695" s="2" t="s">
        <v>2026</v>
      </c>
      <c r="K1695" s="2" t="s">
        <v>2574</v>
      </c>
      <c r="L1695" s="2" t="s">
        <v>4033</v>
      </c>
      <c r="M1695">
        <v>1404.17</v>
      </c>
      <c r="N1695" s="2" t="s">
        <v>4042</v>
      </c>
      <c r="O1695">
        <v>56</v>
      </c>
      <c r="P1695">
        <v>78633.52</v>
      </c>
      <c r="Q1695" t="b">
        <v>0</v>
      </c>
      <c r="R1695" t="b">
        <v>0</v>
      </c>
      <c r="S1695" t="b">
        <v>0</v>
      </c>
      <c r="T1695" t="b">
        <v>0</v>
      </c>
      <c r="U1695">
        <v>0</v>
      </c>
      <c r="V1695" t="s">
        <v>4073</v>
      </c>
    </row>
    <row r="1696" spans="1:22" hidden="1" x14ac:dyDescent="0.45">
      <c r="A1696" s="2" t="s">
        <v>1493</v>
      </c>
      <c r="B1696" s="11">
        <v>45611</v>
      </c>
      <c r="C1696" s="2" t="s">
        <v>2013</v>
      </c>
      <c r="D1696" s="2" t="s">
        <v>2018</v>
      </c>
      <c r="E1696">
        <v>959.69</v>
      </c>
      <c r="F1696">
        <v>78694.58</v>
      </c>
      <c r="G1696">
        <v>0</v>
      </c>
      <c r="H1696">
        <v>0</v>
      </c>
      <c r="I1696" s="2" t="s">
        <v>2025</v>
      </c>
      <c r="J1696" s="2" t="s">
        <v>2027</v>
      </c>
      <c r="K1696" s="2" t="s">
        <v>3514</v>
      </c>
      <c r="L1696" s="2" t="s">
        <v>4034</v>
      </c>
      <c r="M1696">
        <v>-959.69</v>
      </c>
      <c r="N1696" s="2" t="s">
        <v>4044</v>
      </c>
      <c r="O1696">
        <v>82</v>
      </c>
      <c r="P1696">
        <v>-78694.58</v>
      </c>
      <c r="Q1696" t="b">
        <v>0</v>
      </c>
      <c r="R1696" t="b">
        <v>0</v>
      </c>
      <c r="S1696" t="b">
        <v>0</v>
      </c>
      <c r="T1696" t="b">
        <v>0</v>
      </c>
      <c r="U1696">
        <v>0</v>
      </c>
      <c r="V1696" t="s">
        <v>4073</v>
      </c>
    </row>
    <row r="1697" spans="1:22" hidden="1" x14ac:dyDescent="0.45">
      <c r="A1697" s="2" t="s">
        <v>461</v>
      </c>
      <c r="B1697" s="11">
        <v>45817</v>
      </c>
      <c r="C1697" s="2" t="s">
        <v>2012</v>
      </c>
      <c r="D1697" s="2" t="s">
        <v>2017</v>
      </c>
      <c r="E1697">
        <v>1413.19</v>
      </c>
      <c r="F1697">
        <v>79138.64</v>
      </c>
      <c r="G1697">
        <v>0</v>
      </c>
      <c r="H1697">
        <v>0</v>
      </c>
      <c r="I1697" s="2" t="s">
        <v>2024</v>
      </c>
      <c r="J1697" s="2" t="s">
        <v>2026</v>
      </c>
      <c r="K1697" s="2" t="s">
        <v>2482</v>
      </c>
      <c r="L1697" s="2" t="s">
        <v>4033</v>
      </c>
      <c r="M1697">
        <v>-1413.19</v>
      </c>
      <c r="N1697" s="2" t="s">
        <v>4044</v>
      </c>
      <c r="O1697">
        <v>56</v>
      </c>
      <c r="P1697">
        <v>-79138.64</v>
      </c>
      <c r="Q1697" t="b">
        <v>0</v>
      </c>
      <c r="R1697" t="b">
        <v>0</v>
      </c>
      <c r="S1697" t="b">
        <v>0</v>
      </c>
      <c r="T1697" t="b">
        <v>0</v>
      </c>
      <c r="U1697">
        <v>0</v>
      </c>
      <c r="V1697" t="s">
        <v>4073</v>
      </c>
    </row>
    <row r="1698" spans="1:22" hidden="1" x14ac:dyDescent="0.45">
      <c r="A1698" s="2" t="s">
        <v>1265</v>
      </c>
      <c r="B1698" s="11">
        <v>45054</v>
      </c>
      <c r="C1698" s="2" t="s">
        <v>2013</v>
      </c>
      <c r="D1698" s="2" t="s">
        <v>2018</v>
      </c>
      <c r="E1698">
        <v>1415.06</v>
      </c>
      <c r="F1698">
        <v>79243.360000000001</v>
      </c>
      <c r="G1698">
        <v>0</v>
      </c>
      <c r="H1698">
        <v>0</v>
      </c>
      <c r="I1698" s="2" t="s">
        <v>2025</v>
      </c>
      <c r="J1698" s="2" t="s">
        <v>2026</v>
      </c>
      <c r="K1698" s="2" t="s">
        <v>3286</v>
      </c>
      <c r="L1698" s="2" t="s">
        <v>4033</v>
      </c>
      <c r="M1698">
        <v>-1415.06</v>
      </c>
      <c r="N1698" s="2" t="s">
        <v>4044</v>
      </c>
      <c r="O1698">
        <v>56</v>
      </c>
      <c r="P1698">
        <v>-79243.360000000001</v>
      </c>
      <c r="Q1698" t="b">
        <v>0</v>
      </c>
      <c r="R1698" t="b">
        <v>0</v>
      </c>
      <c r="S1698" t="b">
        <v>0</v>
      </c>
      <c r="T1698" t="b">
        <v>0</v>
      </c>
      <c r="U1698">
        <v>0</v>
      </c>
      <c r="V1698" t="s">
        <v>4073</v>
      </c>
    </row>
    <row r="1699" spans="1:22" hidden="1" x14ac:dyDescent="0.45">
      <c r="A1699" s="2" t="s">
        <v>913</v>
      </c>
      <c r="B1699" s="11">
        <v>45159</v>
      </c>
      <c r="C1699" s="2" t="s">
        <v>2013</v>
      </c>
      <c r="D1699" s="2" t="s">
        <v>2018</v>
      </c>
      <c r="E1699">
        <v>769.49</v>
      </c>
      <c r="F1699">
        <v>79257.47</v>
      </c>
      <c r="G1699">
        <v>0</v>
      </c>
      <c r="H1699">
        <v>0</v>
      </c>
      <c r="I1699" s="2" t="s">
        <v>2022</v>
      </c>
      <c r="J1699" s="2" t="s">
        <v>2030</v>
      </c>
      <c r="K1699" s="2" t="s">
        <v>2934</v>
      </c>
      <c r="L1699" s="2" t="s">
        <v>4031</v>
      </c>
      <c r="M1699">
        <v>-769.49</v>
      </c>
      <c r="N1699" s="2" t="s">
        <v>4044</v>
      </c>
      <c r="O1699">
        <v>103</v>
      </c>
      <c r="P1699">
        <v>-79257.47</v>
      </c>
      <c r="Q1699" t="b">
        <v>0</v>
      </c>
      <c r="R1699" t="b">
        <v>0</v>
      </c>
      <c r="S1699" t="b">
        <v>0</v>
      </c>
      <c r="T1699" t="b">
        <v>0</v>
      </c>
      <c r="U1699">
        <v>0</v>
      </c>
      <c r="V1699" t="s">
        <v>4073</v>
      </c>
    </row>
    <row r="1700" spans="1:22" hidden="1" x14ac:dyDescent="0.45">
      <c r="A1700" s="2" t="s">
        <v>384</v>
      </c>
      <c r="B1700" s="11">
        <v>45574</v>
      </c>
      <c r="C1700" s="2" t="s">
        <v>2013</v>
      </c>
      <c r="D1700" s="2" t="s">
        <v>2018</v>
      </c>
      <c r="E1700">
        <v>903.24</v>
      </c>
      <c r="F1700">
        <v>79485.119999999995</v>
      </c>
      <c r="G1700">
        <v>0</v>
      </c>
      <c r="H1700">
        <v>0</v>
      </c>
      <c r="I1700" s="2" t="s">
        <v>2022</v>
      </c>
      <c r="J1700" s="2" t="s">
        <v>2028</v>
      </c>
      <c r="K1700" s="2" t="s">
        <v>2405</v>
      </c>
      <c r="L1700" s="2" t="s">
        <v>4032</v>
      </c>
      <c r="M1700">
        <v>-903.24</v>
      </c>
      <c r="N1700" s="2" t="s">
        <v>4044</v>
      </c>
      <c r="O1700">
        <v>88</v>
      </c>
      <c r="P1700">
        <v>-79485.119999999995</v>
      </c>
      <c r="Q1700" t="b">
        <v>0</v>
      </c>
      <c r="R1700" t="b">
        <v>0</v>
      </c>
      <c r="S1700" t="b">
        <v>0</v>
      </c>
      <c r="T1700" t="b">
        <v>0</v>
      </c>
      <c r="U1700">
        <v>0</v>
      </c>
      <c r="V1700" t="s">
        <v>4073</v>
      </c>
    </row>
    <row r="1701" spans="1:22" hidden="1" x14ac:dyDescent="0.45">
      <c r="A1701" s="2" t="s">
        <v>1714</v>
      </c>
      <c r="B1701" s="11">
        <v>45670</v>
      </c>
      <c r="C1701" s="2" t="s">
        <v>2014</v>
      </c>
      <c r="D1701" s="2" t="s">
        <v>2019</v>
      </c>
      <c r="E1701">
        <v>0</v>
      </c>
      <c r="F1701">
        <v>0</v>
      </c>
      <c r="G1701">
        <v>1422.91</v>
      </c>
      <c r="H1701">
        <v>79682.960000000006</v>
      </c>
      <c r="I1701" s="2" t="s">
        <v>2021</v>
      </c>
      <c r="J1701" s="2" t="s">
        <v>2028</v>
      </c>
      <c r="K1701" s="2" t="s">
        <v>3735</v>
      </c>
      <c r="L1701" s="2" t="s">
        <v>4033</v>
      </c>
      <c r="M1701">
        <v>1422.91</v>
      </c>
      <c r="N1701" s="2" t="s">
        <v>4042</v>
      </c>
      <c r="O1701">
        <v>56</v>
      </c>
      <c r="P1701">
        <v>79682.960000000006</v>
      </c>
      <c r="Q1701" t="b">
        <v>0</v>
      </c>
      <c r="R1701" t="b">
        <v>0</v>
      </c>
      <c r="S1701" t="b">
        <v>0</v>
      </c>
      <c r="T1701" t="b">
        <v>0</v>
      </c>
      <c r="U1701">
        <v>0</v>
      </c>
      <c r="V1701" t="s">
        <v>4073</v>
      </c>
    </row>
    <row r="1702" spans="1:22" hidden="1" x14ac:dyDescent="0.45">
      <c r="A1702" s="2" t="s">
        <v>1724</v>
      </c>
      <c r="B1702" s="11">
        <v>45630</v>
      </c>
      <c r="C1702" s="2" t="s">
        <v>2012</v>
      </c>
      <c r="D1702" s="2" t="s">
        <v>2017</v>
      </c>
      <c r="E1702">
        <v>1306.92</v>
      </c>
      <c r="F1702">
        <v>79722.12000000001</v>
      </c>
      <c r="G1702">
        <v>0</v>
      </c>
      <c r="H1702">
        <v>0</v>
      </c>
      <c r="I1702" s="2" t="s">
        <v>2025</v>
      </c>
      <c r="J1702" s="2" t="s">
        <v>2027</v>
      </c>
      <c r="K1702" s="2" t="s">
        <v>3745</v>
      </c>
      <c r="L1702" s="2" t="s">
        <v>4035</v>
      </c>
      <c r="M1702">
        <v>-1306.92</v>
      </c>
      <c r="N1702" s="2" t="s">
        <v>4044</v>
      </c>
      <c r="O1702">
        <v>61</v>
      </c>
      <c r="P1702">
        <v>-79722.12000000001</v>
      </c>
      <c r="Q1702" t="b">
        <v>0</v>
      </c>
      <c r="R1702" t="b">
        <v>0</v>
      </c>
      <c r="S1702" t="b">
        <v>0</v>
      </c>
      <c r="T1702" t="b">
        <v>0</v>
      </c>
      <c r="U1702">
        <v>0</v>
      </c>
      <c r="V1702" t="s">
        <v>4073</v>
      </c>
    </row>
    <row r="1703" spans="1:22" hidden="1" x14ac:dyDescent="0.45">
      <c r="A1703" s="2" t="s">
        <v>1037</v>
      </c>
      <c r="B1703" s="11">
        <v>45721</v>
      </c>
      <c r="C1703" s="2" t="s">
        <v>2012</v>
      </c>
      <c r="D1703" s="2" t="s">
        <v>2017</v>
      </c>
      <c r="E1703">
        <v>1425.4</v>
      </c>
      <c r="F1703">
        <v>79822.400000000009</v>
      </c>
      <c r="G1703">
        <v>0</v>
      </c>
      <c r="H1703">
        <v>0</v>
      </c>
      <c r="I1703" s="2" t="s">
        <v>2021</v>
      </c>
      <c r="J1703" s="2" t="s">
        <v>2027</v>
      </c>
      <c r="K1703" s="2" t="s">
        <v>3058</v>
      </c>
      <c r="L1703" s="2" t="s">
        <v>4033</v>
      </c>
      <c r="M1703">
        <v>-1425.4</v>
      </c>
      <c r="N1703" s="2" t="s">
        <v>4044</v>
      </c>
      <c r="O1703">
        <v>56</v>
      </c>
      <c r="P1703">
        <v>-79822.400000000009</v>
      </c>
      <c r="Q1703" t="b">
        <v>0</v>
      </c>
      <c r="R1703" t="b">
        <v>0</v>
      </c>
      <c r="S1703" t="b">
        <v>0</v>
      </c>
      <c r="T1703" t="b">
        <v>0</v>
      </c>
      <c r="U1703">
        <v>0</v>
      </c>
      <c r="V1703" t="s">
        <v>4073</v>
      </c>
    </row>
    <row r="1704" spans="1:22" hidden="1" x14ac:dyDescent="0.45">
      <c r="A1704" s="2" t="s">
        <v>1399</v>
      </c>
      <c r="B1704" s="11">
        <v>45139</v>
      </c>
      <c r="C1704" s="2" t="s">
        <v>2014</v>
      </c>
      <c r="D1704" s="2" t="s">
        <v>2019</v>
      </c>
      <c r="E1704">
        <v>0</v>
      </c>
      <c r="F1704">
        <v>0</v>
      </c>
      <c r="G1704">
        <v>1310.5899999999999</v>
      </c>
      <c r="H1704">
        <v>79945.989999999991</v>
      </c>
      <c r="I1704" s="2" t="s">
        <v>2025</v>
      </c>
      <c r="J1704" s="2" t="s">
        <v>2030</v>
      </c>
      <c r="K1704" s="2" t="s">
        <v>3420</v>
      </c>
      <c r="L1704" s="2" t="s">
        <v>4035</v>
      </c>
      <c r="M1704">
        <v>1310.5899999999999</v>
      </c>
      <c r="N1704" s="2" t="s">
        <v>4042</v>
      </c>
      <c r="O1704">
        <v>61</v>
      </c>
      <c r="P1704">
        <v>79945.989999999991</v>
      </c>
      <c r="Q1704" t="b">
        <v>0</v>
      </c>
      <c r="R1704" t="b">
        <v>0</v>
      </c>
      <c r="S1704" t="b">
        <v>0</v>
      </c>
      <c r="T1704" t="b">
        <v>0</v>
      </c>
      <c r="U1704">
        <v>0</v>
      </c>
      <c r="V1704" t="s">
        <v>4073</v>
      </c>
    </row>
    <row r="1705" spans="1:22" hidden="1" x14ac:dyDescent="0.45">
      <c r="A1705" s="2" t="s">
        <v>1506</v>
      </c>
      <c r="B1705" s="11">
        <v>45328</v>
      </c>
      <c r="C1705" s="2" t="s">
        <v>2013</v>
      </c>
      <c r="D1705" s="2" t="s">
        <v>2018</v>
      </c>
      <c r="E1705">
        <v>1312.14</v>
      </c>
      <c r="F1705">
        <v>80040.540000000008</v>
      </c>
      <c r="G1705">
        <v>0</v>
      </c>
      <c r="H1705">
        <v>0</v>
      </c>
      <c r="I1705" s="2" t="s">
        <v>2023</v>
      </c>
      <c r="J1705" s="2" t="s">
        <v>2028</v>
      </c>
      <c r="K1705" s="2" t="s">
        <v>3527</v>
      </c>
      <c r="L1705" s="2" t="s">
        <v>4035</v>
      </c>
      <c r="M1705">
        <v>-1312.14</v>
      </c>
      <c r="N1705" s="2" t="s">
        <v>4044</v>
      </c>
      <c r="O1705">
        <v>61</v>
      </c>
      <c r="P1705">
        <v>-80040.540000000008</v>
      </c>
      <c r="Q1705" t="b">
        <v>0</v>
      </c>
      <c r="R1705" t="b">
        <v>0</v>
      </c>
      <c r="S1705" t="b">
        <v>0</v>
      </c>
      <c r="T1705" t="b">
        <v>0</v>
      </c>
      <c r="U1705">
        <v>0</v>
      </c>
      <c r="V1705" t="s">
        <v>4073</v>
      </c>
    </row>
    <row r="1706" spans="1:22" hidden="1" x14ac:dyDescent="0.45">
      <c r="A1706" s="2" t="s">
        <v>1244</v>
      </c>
      <c r="B1706" s="11">
        <v>45733</v>
      </c>
      <c r="C1706" s="2" t="s">
        <v>2014</v>
      </c>
      <c r="D1706" s="2" t="s">
        <v>2019</v>
      </c>
      <c r="E1706">
        <v>0</v>
      </c>
      <c r="F1706">
        <v>0</v>
      </c>
      <c r="G1706">
        <v>1312.61</v>
      </c>
      <c r="H1706">
        <v>80069.209999999992</v>
      </c>
      <c r="I1706" s="2" t="s">
        <v>2025</v>
      </c>
      <c r="J1706" s="2" t="s">
        <v>2029</v>
      </c>
      <c r="K1706" s="2" t="s">
        <v>3265</v>
      </c>
      <c r="L1706" s="2" t="s">
        <v>4035</v>
      </c>
      <c r="M1706">
        <v>1312.61</v>
      </c>
      <c r="N1706" s="2" t="s">
        <v>4042</v>
      </c>
      <c r="O1706">
        <v>61</v>
      </c>
      <c r="P1706">
        <v>80069.209999999992</v>
      </c>
      <c r="Q1706" t="b">
        <v>0</v>
      </c>
      <c r="R1706" t="b">
        <v>0</v>
      </c>
      <c r="S1706" t="b">
        <v>0</v>
      </c>
      <c r="T1706" t="b">
        <v>0</v>
      </c>
      <c r="U1706">
        <v>0</v>
      </c>
      <c r="V1706" t="s">
        <v>4073</v>
      </c>
    </row>
    <row r="1707" spans="1:22" hidden="1" x14ac:dyDescent="0.45">
      <c r="A1707" s="2" t="s">
        <v>372</v>
      </c>
      <c r="B1707" s="11">
        <v>45505</v>
      </c>
      <c r="C1707" s="2" t="s">
        <v>2013</v>
      </c>
      <c r="D1707" s="2" t="s">
        <v>2018</v>
      </c>
      <c r="E1707">
        <v>1375.81</v>
      </c>
      <c r="F1707">
        <v>83924.41</v>
      </c>
      <c r="G1707">
        <v>0</v>
      </c>
      <c r="H1707">
        <v>0</v>
      </c>
      <c r="I1707" s="2" t="s">
        <v>2020</v>
      </c>
      <c r="J1707" s="2" t="s">
        <v>2028</v>
      </c>
      <c r="K1707" s="2" t="s">
        <v>2393</v>
      </c>
      <c r="L1707" s="2" t="s">
        <v>4035</v>
      </c>
      <c r="M1707">
        <v>-1375.81</v>
      </c>
      <c r="N1707" s="2" t="s">
        <v>4044</v>
      </c>
      <c r="O1707">
        <v>61</v>
      </c>
      <c r="P1707">
        <v>-83924.41</v>
      </c>
      <c r="Q1707" t="b">
        <v>0</v>
      </c>
      <c r="R1707" t="b">
        <v>0</v>
      </c>
      <c r="S1707" t="b">
        <v>0</v>
      </c>
      <c r="T1707" t="b">
        <v>0</v>
      </c>
      <c r="U1707">
        <v>0</v>
      </c>
      <c r="V1707" t="s">
        <v>4073</v>
      </c>
    </row>
    <row r="1708" spans="1:22" hidden="1" x14ac:dyDescent="0.45">
      <c r="A1708" s="2" t="s">
        <v>1178</v>
      </c>
      <c r="B1708" s="11">
        <v>44928</v>
      </c>
      <c r="C1708" s="2" t="s">
        <v>2011</v>
      </c>
      <c r="D1708" s="2" t="s">
        <v>2016</v>
      </c>
      <c r="E1708">
        <v>954.94</v>
      </c>
      <c r="F1708">
        <v>84034.72</v>
      </c>
      <c r="G1708">
        <v>0</v>
      </c>
      <c r="H1708">
        <v>0</v>
      </c>
      <c r="I1708" s="2" t="s">
        <v>2021</v>
      </c>
      <c r="J1708" s="2" t="s">
        <v>2029</v>
      </c>
      <c r="K1708" s="2" t="s">
        <v>3199</v>
      </c>
      <c r="L1708" s="2" t="s">
        <v>4032</v>
      </c>
      <c r="M1708">
        <v>-954.94</v>
      </c>
      <c r="N1708" s="2" t="s">
        <v>2016</v>
      </c>
      <c r="O1708">
        <v>88</v>
      </c>
      <c r="P1708">
        <v>-84034.72</v>
      </c>
      <c r="Q1708" t="b">
        <v>0</v>
      </c>
      <c r="R1708" t="b">
        <v>0</v>
      </c>
      <c r="S1708" t="b">
        <v>0</v>
      </c>
      <c r="T1708" t="b">
        <v>0</v>
      </c>
      <c r="U1708">
        <v>0</v>
      </c>
      <c r="V1708" t="s">
        <v>4073</v>
      </c>
    </row>
    <row r="1709" spans="1:22" hidden="1" x14ac:dyDescent="0.45">
      <c r="A1709" s="2" t="s">
        <v>1580</v>
      </c>
      <c r="B1709" s="11">
        <v>45057</v>
      </c>
      <c r="C1709" s="2" t="s">
        <v>2010</v>
      </c>
      <c r="D1709" s="2" t="s">
        <v>2015</v>
      </c>
      <c r="E1709">
        <v>0</v>
      </c>
      <c r="F1709">
        <v>0</v>
      </c>
      <c r="G1709">
        <v>1502.06</v>
      </c>
      <c r="H1709">
        <v>84115.36</v>
      </c>
      <c r="I1709" s="2" t="s">
        <v>2022</v>
      </c>
      <c r="J1709" s="2" t="s">
        <v>2027</v>
      </c>
      <c r="K1709" s="2" t="s">
        <v>3601</v>
      </c>
      <c r="L1709" s="2" t="s">
        <v>4033</v>
      </c>
      <c r="M1709">
        <v>1502.06</v>
      </c>
      <c r="N1709" s="2" t="s">
        <v>4042</v>
      </c>
      <c r="O1709">
        <v>56</v>
      </c>
      <c r="P1709">
        <v>84115.36</v>
      </c>
      <c r="Q1709" t="b">
        <v>0</v>
      </c>
      <c r="R1709" t="b">
        <v>0</v>
      </c>
      <c r="S1709" t="b">
        <v>0</v>
      </c>
      <c r="T1709" t="b">
        <v>0</v>
      </c>
      <c r="U1709">
        <v>0</v>
      </c>
      <c r="V1709" t="s">
        <v>4073</v>
      </c>
    </row>
    <row r="1710" spans="1:22" hidden="1" x14ac:dyDescent="0.45">
      <c r="A1710" s="2" t="s">
        <v>1817</v>
      </c>
      <c r="B1710" s="11">
        <v>45008</v>
      </c>
      <c r="C1710" s="2" t="s">
        <v>2011</v>
      </c>
      <c r="D1710" s="2" t="s">
        <v>2016</v>
      </c>
      <c r="E1710">
        <v>956.25</v>
      </c>
      <c r="F1710">
        <v>84150</v>
      </c>
      <c r="G1710">
        <v>0</v>
      </c>
      <c r="H1710">
        <v>0</v>
      </c>
      <c r="I1710" s="2" t="s">
        <v>2020</v>
      </c>
      <c r="J1710" s="2" t="s">
        <v>2029</v>
      </c>
      <c r="K1710" s="2" t="s">
        <v>3838</v>
      </c>
      <c r="L1710" s="2" t="s">
        <v>4032</v>
      </c>
      <c r="M1710">
        <v>-956.25</v>
      </c>
      <c r="N1710" s="2" t="s">
        <v>2016</v>
      </c>
      <c r="O1710">
        <v>88</v>
      </c>
      <c r="P1710">
        <v>-84150</v>
      </c>
      <c r="Q1710" t="b">
        <v>0</v>
      </c>
      <c r="R1710" t="b">
        <v>0</v>
      </c>
      <c r="S1710" t="b">
        <v>0</v>
      </c>
      <c r="T1710" t="b">
        <v>0</v>
      </c>
      <c r="U1710">
        <v>0</v>
      </c>
      <c r="V1710" t="s">
        <v>4073</v>
      </c>
    </row>
    <row r="1711" spans="1:22" hidden="1" x14ac:dyDescent="0.45">
      <c r="A1711" s="2" t="s">
        <v>1680</v>
      </c>
      <c r="B1711" s="11">
        <v>44994</v>
      </c>
      <c r="C1711" s="2" t="s">
        <v>2010</v>
      </c>
      <c r="D1711" s="2" t="s">
        <v>2015</v>
      </c>
      <c r="E1711">
        <v>0</v>
      </c>
      <c r="F1711">
        <v>0</v>
      </c>
      <c r="G1711">
        <v>1559.52</v>
      </c>
      <c r="H1711">
        <v>87333.119999999995</v>
      </c>
      <c r="I1711" s="2" t="s">
        <v>2022</v>
      </c>
      <c r="J1711" s="2" t="s">
        <v>2027</v>
      </c>
      <c r="K1711" s="2" t="s">
        <v>3701</v>
      </c>
      <c r="L1711" s="2" t="s">
        <v>4033</v>
      </c>
      <c r="M1711">
        <v>1559.52</v>
      </c>
      <c r="N1711" s="2" t="s">
        <v>4042</v>
      </c>
      <c r="O1711">
        <v>56</v>
      </c>
      <c r="P1711">
        <v>87333.119999999995</v>
      </c>
      <c r="Q1711" t="b">
        <v>0</v>
      </c>
      <c r="R1711" t="b">
        <v>0</v>
      </c>
      <c r="S1711" t="b">
        <v>0</v>
      </c>
      <c r="T1711" t="b">
        <v>0</v>
      </c>
      <c r="U1711">
        <v>0</v>
      </c>
      <c r="V1711" t="s">
        <v>4073</v>
      </c>
    </row>
    <row r="1712" spans="1:22" hidden="1" x14ac:dyDescent="0.45">
      <c r="A1712" s="2" t="s">
        <v>947</v>
      </c>
      <c r="B1712" s="11">
        <v>45007</v>
      </c>
      <c r="C1712" s="2" t="s">
        <v>2014</v>
      </c>
      <c r="D1712" s="2" t="s">
        <v>2019</v>
      </c>
      <c r="E1712">
        <v>0</v>
      </c>
      <c r="F1712">
        <v>0</v>
      </c>
      <c r="G1712">
        <v>1431.79</v>
      </c>
      <c r="H1712">
        <v>87339.19</v>
      </c>
      <c r="I1712" s="2" t="s">
        <v>2021</v>
      </c>
      <c r="J1712" s="2" t="s">
        <v>2027</v>
      </c>
      <c r="K1712" s="2" t="s">
        <v>2968</v>
      </c>
      <c r="L1712" s="2" t="s">
        <v>4035</v>
      </c>
      <c r="M1712">
        <v>1431.79</v>
      </c>
      <c r="N1712" s="2" t="s">
        <v>4042</v>
      </c>
      <c r="O1712">
        <v>61</v>
      </c>
      <c r="P1712">
        <v>87339.19</v>
      </c>
      <c r="Q1712" t="b">
        <v>0</v>
      </c>
      <c r="R1712" t="b">
        <v>0</v>
      </c>
      <c r="S1712" t="b">
        <v>0</v>
      </c>
      <c r="T1712" t="b">
        <v>0</v>
      </c>
      <c r="U1712">
        <v>0</v>
      </c>
      <c r="V1712" t="s">
        <v>4073</v>
      </c>
    </row>
    <row r="1713" spans="1:22" hidden="1" x14ac:dyDescent="0.45">
      <c r="A1713" s="2" t="s">
        <v>488</v>
      </c>
      <c r="B1713" s="11">
        <v>45191</v>
      </c>
      <c r="C1713" s="2" t="s">
        <v>2012</v>
      </c>
      <c r="D1713" s="2" t="s">
        <v>2017</v>
      </c>
      <c r="E1713">
        <v>1559.89</v>
      </c>
      <c r="F1713">
        <v>87353.840000000011</v>
      </c>
      <c r="G1713">
        <v>0</v>
      </c>
      <c r="H1713">
        <v>0</v>
      </c>
      <c r="I1713" s="2" t="s">
        <v>2021</v>
      </c>
      <c r="J1713" s="2" t="s">
        <v>2028</v>
      </c>
      <c r="K1713" s="2" t="s">
        <v>2509</v>
      </c>
      <c r="L1713" s="2" t="s">
        <v>4033</v>
      </c>
      <c r="M1713">
        <v>-1559.89</v>
      </c>
      <c r="N1713" s="2" t="s">
        <v>4044</v>
      </c>
      <c r="O1713">
        <v>56</v>
      </c>
      <c r="P1713">
        <v>-87353.840000000011</v>
      </c>
      <c r="Q1713" t="b">
        <v>0</v>
      </c>
      <c r="R1713" t="b">
        <v>0</v>
      </c>
      <c r="S1713" t="b">
        <v>0</v>
      </c>
      <c r="T1713" t="b">
        <v>0</v>
      </c>
      <c r="U1713">
        <v>0</v>
      </c>
      <c r="V1713" t="s">
        <v>4073</v>
      </c>
    </row>
    <row r="1714" spans="1:22" hidden="1" x14ac:dyDescent="0.45">
      <c r="A1714" s="2" t="s">
        <v>1587</v>
      </c>
      <c r="B1714" s="11">
        <v>45267</v>
      </c>
      <c r="C1714" s="2" t="s">
        <v>2013</v>
      </c>
      <c r="D1714" s="2" t="s">
        <v>2018</v>
      </c>
      <c r="E1714">
        <v>1067.19</v>
      </c>
      <c r="F1714">
        <v>87509.58</v>
      </c>
      <c r="G1714">
        <v>0</v>
      </c>
      <c r="H1714">
        <v>0</v>
      </c>
      <c r="I1714" s="2" t="s">
        <v>2021</v>
      </c>
      <c r="J1714" s="2" t="s">
        <v>2028</v>
      </c>
      <c r="K1714" s="2" t="s">
        <v>3608</v>
      </c>
      <c r="L1714" s="2" t="s">
        <v>4034</v>
      </c>
      <c r="M1714">
        <v>-1067.19</v>
      </c>
      <c r="N1714" s="2" t="s">
        <v>4044</v>
      </c>
      <c r="O1714">
        <v>82</v>
      </c>
      <c r="P1714">
        <v>-87509.58</v>
      </c>
      <c r="Q1714" t="b">
        <v>0</v>
      </c>
      <c r="R1714" t="b">
        <v>0</v>
      </c>
      <c r="S1714" t="b">
        <v>0</v>
      </c>
      <c r="T1714" t="b">
        <v>0</v>
      </c>
      <c r="U1714">
        <v>0</v>
      </c>
      <c r="V1714" t="s">
        <v>4073</v>
      </c>
    </row>
    <row r="1715" spans="1:22" hidden="1" x14ac:dyDescent="0.45">
      <c r="A1715" s="2" t="s">
        <v>970</v>
      </c>
      <c r="B1715" s="11">
        <v>45551</v>
      </c>
      <c r="C1715" s="2" t="s">
        <v>2011</v>
      </c>
      <c r="D1715" s="2" t="s">
        <v>2016</v>
      </c>
      <c r="E1715">
        <v>996.13</v>
      </c>
      <c r="F1715">
        <v>87659.44</v>
      </c>
      <c r="G1715">
        <v>0</v>
      </c>
      <c r="H1715">
        <v>0</v>
      </c>
      <c r="I1715" s="2" t="s">
        <v>2022</v>
      </c>
      <c r="J1715" s="2" t="s">
        <v>2029</v>
      </c>
      <c r="K1715" s="2" t="s">
        <v>2991</v>
      </c>
      <c r="L1715" s="2" t="s">
        <v>4032</v>
      </c>
      <c r="M1715">
        <v>-996.13</v>
      </c>
      <c r="N1715" s="2" t="s">
        <v>2016</v>
      </c>
      <c r="O1715">
        <v>88</v>
      </c>
      <c r="P1715">
        <v>-87659.44</v>
      </c>
      <c r="Q1715" t="b">
        <v>0</v>
      </c>
      <c r="R1715" t="b">
        <v>0</v>
      </c>
      <c r="S1715" t="b">
        <v>0</v>
      </c>
      <c r="T1715" t="b">
        <v>0</v>
      </c>
      <c r="U1715">
        <v>0</v>
      </c>
      <c r="V1715" t="s">
        <v>4073</v>
      </c>
    </row>
    <row r="1716" spans="1:22" hidden="1" x14ac:dyDescent="0.45">
      <c r="A1716" s="2" t="s">
        <v>815</v>
      </c>
      <c r="B1716" s="11">
        <v>45209</v>
      </c>
      <c r="C1716" s="2" t="s">
        <v>2011</v>
      </c>
      <c r="D1716" s="2" t="s">
        <v>2016</v>
      </c>
      <c r="E1716">
        <v>1567.28</v>
      </c>
      <c r="F1716">
        <v>87767.679999999993</v>
      </c>
      <c r="G1716">
        <v>0</v>
      </c>
      <c r="H1716">
        <v>0</v>
      </c>
      <c r="I1716" s="2" t="s">
        <v>2023</v>
      </c>
      <c r="J1716" s="2" t="s">
        <v>2030</v>
      </c>
      <c r="K1716" s="2" t="s">
        <v>2836</v>
      </c>
      <c r="L1716" s="2" t="s">
        <v>4033</v>
      </c>
      <c r="M1716">
        <v>-1567.28</v>
      </c>
      <c r="N1716" s="2" t="s">
        <v>2016</v>
      </c>
      <c r="O1716">
        <v>56</v>
      </c>
      <c r="P1716">
        <v>-87767.679999999993</v>
      </c>
      <c r="Q1716" t="b">
        <v>0</v>
      </c>
      <c r="R1716" t="b">
        <v>0</v>
      </c>
      <c r="S1716" t="b">
        <v>0</v>
      </c>
      <c r="T1716" t="b">
        <v>0</v>
      </c>
      <c r="U1716">
        <v>0</v>
      </c>
      <c r="V1716" t="s">
        <v>4073</v>
      </c>
    </row>
    <row r="1717" spans="1:22" hidden="1" x14ac:dyDescent="0.45">
      <c r="A1717" s="2" t="s">
        <v>1979</v>
      </c>
      <c r="B1717" s="11">
        <v>45770</v>
      </c>
      <c r="C1717" s="2" t="s">
        <v>2014</v>
      </c>
      <c r="D1717" s="2" t="s">
        <v>2019</v>
      </c>
      <c r="E1717">
        <v>0</v>
      </c>
      <c r="F1717">
        <v>0</v>
      </c>
      <c r="G1717">
        <v>1071.52</v>
      </c>
      <c r="H1717">
        <v>87864.639999999999</v>
      </c>
      <c r="I1717" s="2" t="s">
        <v>2022</v>
      </c>
      <c r="J1717" s="2" t="s">
        <v>2028</v>
      </c>
      <c r="K1717" s="2" t="s">
        <v>4000</v>
      </c>
      <c r="L1717" s="2" t="s">
        <v>4034</v>
      </c>
      <c r="M1717">
        <v>1071.52</v>
      </c>
      <c r="N1717" s="2" t="s">
        <v>4042</v>
      </c>
      <c r="O1717">
        <v>82</v>
      </c>
      <c r="P1717">
        <v>87864.639999999999</v>
      </c>
      <c r="Q1717" t="b">
        <v>0</v>
      </c>
      <c r="R1717" t="b">
        <v>0</v>
      </c>
      <c r="S1717" t="b">
        <v>0</v>
      </c>
      <c r="T1717" t="b">
        <v>0</v>
      </c>
      <c r="U1717">
        <v>0</v>
      </c>
      <c r="V1717" t="s">
        <v>4073</v>
      </c>
    </row>
    <row r="1718" spans="1:22" hidden="1" x14ac:dyDescent="0.45">
      <c r="A1718" s="2" t="s">
        <v>97</v>
      </c>
      <c r="B1718" s="11">
        <v>45618</v>
      </c>
      <c r="C1718" s="2" t="s">
        <v>2011</v>
      </c>
      <c r="D1718" s="2" t="s">
        <v>2016</v>
      </c>
      <c r="E1718">
        <v>1441.07</v>
      </c>
      <c r="F1718">
        <v>87905.26999999999</v>
      </c>
      <c r="G1718">
        <v>0</v>
      </c>
      <c r="H1718">
        <v>0</v>
      </c>
      <c r="I1718" s="2" t="s">
        <v>2024</v>
      </c>
      <c r="J1718" s="2" t="s">
        <v>2030</v>
      </c>
      <c r="K1718" s="2" t="s">
        <v>2118</v>
      </c>
      <c r="L1718" s="2" t="s">
        <v>4035</v>
      </c>
      <c r="M1718">
        <v>-1441.07</v>
      </c>
      <c r="N1718" s="2" t="s">
        <v>2016</v>
      </c>
      <c r="O1718">
        <v>61</v>
      </c>
      <c r="P1718">
        <v>-87905.26999999999</v>
      </c>
      <c r="Q1718" t="b">
        <v>0</v>
      </c>
      <c r="R1718" t="b">
        <v>0</v>
      </c>
      <c r="S1718" t="b">
        <v>0</v>
      </c>
      <c r="T1718" t="b">
        <v>0</v>
      </c>
      <c r="U1718">
        <v>0</v>
      </c>
      <c r="V1718" t="s">
        <v>4073</v>
      </c>
    </row>
    <row r="1719" spans="1:22" hidden="1" x14ac:dyDescent="0.45">
      <c r="A1719" s="2" t="s">
        <v>292</v>
      </c>
      <c r="B1719" s="11">
        <v>45000</v>
      </c>
      <c r="C1719" s="2" t="s">
        <v>2013</v>
      </c>
      <c r="D1719" s="2" t="s">
        <v>2018</v>
      </c>
      <c r="E1719">
        <v>1441.17</v>
      </c>
      <c r="F1719">
        <v>87911.37000000001</v>
      </c>
      <c r="G1719">
        <v>0</v>
      </c>
      <c r="H1719">
        <v>0</v>
      </c>
      <c r="I1719" s="2" t="s">
        <v>2021</v>
      </c>
      <c r="J1719" s="2" t="s">
        <v>2028</v>
      </c>
      <c r="K1719" s="2" t="s">
        <v>2313</v>
      </c>
      <c r="L1719" s="2" t="s">
        <v>4035</v>
      </c>
      <c r="M1719">
        <v>-1441.17</v>
      </c>
      <c r="N1719" s="2" t="s">
        <v>4044</v>
      </c>
      <c r="O1719">
        <v>61</v>
      </c>
      <c r="P1719">
        <v>-87911.37000000001</v>
      </c>
      <c r="Q1719" t="b">
        <v>0</v>
      </c>
      <c r="R1719" t="b">
        <v>0</v>
      </c>
      <c r="S1719" t="b">
        <v>0</v>
      </c>
      <c r="T1719" t="b">
        <v>0</v>
      </c>
      <c r="U1719">
        <v>0</v>
      </c>
      <c r="V1719" t="s">
        <v>4073</v>
      </c>
    </row>
    <row r="1720" spans="1:22" hidden="1" x14ac:dyDescent="0.45">
      <c r="A1720" s="2" t="s">
        <v>376</v>
      </c>
      <c r="B1720" s="11">
        <v>45761</v>
      </c>
      <c r="C1720" s="2" t="s">
        <v>2012</v>
      </c>
      <c r="D1720" s="2" t="s">
        <v>2017</v>
      </c>
      <c r="E1720">
        <v>999.72</v>
      </c>
      <c r="F1720">
        <v>87975.360000000001</v>
      </c>
      <c r="G1720">
        <v>0</v>
      </c>
      <c r="H1720">
        <v>0</v>
      </c>
      <c r="I1720" s="2" t="s">
        <v>2025</v>
      </c>
      <c r="J1720" s="2" t="s">
        <v>2027</v>
      </c>
      <c r="K1720" s="2" t="s">
        <v>2397</v>
      </c>
      <c r="L1720" s="2" t="s">
        <v>4032</v>
      </c>
      <c r="M1720">
        <v>-999.72</v>
      </c>
      <c r="N1720" s="2" t="s">
        <v>4044</v>
      </c>
      <c r="O1720">
        <v>88</v>
      </c>
      <c r="P1720">
        <v>-87975.360000000001</v>
      </c>
      <c r="Q1720" t="b">
        <v>0</v>
      </c>
      <c r="R1720" t="b">
        <v>0</v>
      </c>
      <c r="S1720" t="b">
        <v>0</v>
      </c>
      <c r="T1720" t="b">
        <v>0</v>
      </c>
      <c r="U1720">
        <v>0</v>
      </c>
      <c r="V1720" t="s">
        <v>4073</v>
      </c>
    </row>
    <row r="1721" spans="1:22" hidden="1" x14ac:dyDescent="0.45">
      <c r="A1721" s="2" t="s">
        <v>1928</v>
      </c>
      <c r="B1721" s="11">
        <v>44942</v>
      </c>
      <c r="C1721" s="2" t="s">
        <v>2013</v>
      </c>
      <c r="D1721" s="2" t="s">
        <v>2018</v>
      </c>
      <c r="E1721">
        <v>854.45</v>
      </c>
      <c r="F1721">
        <v>88008.35</v>
      </c>
      <c r="G1721">
        <v>0</v>
      </c>
      <c r="H1721">
        <v>0</v>
      </c>
      <c r="I1721" s="2" t="s">
        <v>2023</v>
      </c>
      <c r="J1721" s="2" t="s">
        <v>2030</v>
      </c>
      <c r="K1721" s="2" t="s">
        <v>3949</v>
      </c>
      <c r="L1721" s="2" t="s">
        <v>4031</v>
      </c>
      <c r="M1721">
        <v>-854.45</v>
      </c>
      <c r="N1721" s="2" t="s">
        <v>4044</v>
      </c>
      <c r="O1721">
        <v>103</v>
      </c>
      <c r="P1721">
        <v>-88008.35</v>
      </c>
      <c r="Q1721" t="b">
        <v>0</v>
      </c>
      <c r="R1721" t="b">
        <v>0</v>
      </c>
      <c r="S1721" t="b">
        <v>0</v>
      </c>
      <c r="T1721" t="b">
        <v>0</v>
      </c>
      <c r="U1721">
        <v>0</v>
      </c>
      <c r="V1721" t="s">
        <v>4073</v>
      </c>
    </row>
    <row r="1722" spans="1:22" hidden="1" x14ac:dyDescent="0.45">
      <c r="A1722" s="2" t="s">
        <v>460</v>
      </c>
      <c r="B1722" s="11">
        <v>45208</v>
      </c>
      <c r="C1722" s="2" t="s">
        <v>2010</v>
      </c>
      <c r="D1722" s="2" t="s">
        <v>2015</v>
      </c>
      <c r="E1722">
        <v>0</v>
      </c>
      <c r="F1722">
        <v>0</v>
      </c>
      <c r="G1722">
        <v>1571.79</v>
      </c>
      <c r="H1722">
        <v>88020.239999999991</v>
      </c>
      <c r="I1722" s="2" t="s">
        <v>2025</v>
      </c>
      <c r="J1722" s="2" t="s">
        <v>2030</v>
      </c>
      <c r="K1722" s="2" t="s">
        <v>2481</v>
      </c>
      <c r="L1722" s="2" t="s">
        <v>4033</v>
      </c>
      <c r="M1722">
        <v>1571.79</v>
      </c>
      <c r="N1722" s="2" t="s">
        <v>4042</v>
      </c>
      <c r="O1722">
        <v>56</v>
      </c>
      <c r="P1722">
        <v>88020.239999999991</v>
      </c>
      <c r="Q1722" t="b">
        <v>0</v>
      </c>
      <c r="R1722" t="b">
        <v>0</v>
      </c>
      <c r="S1722" t="b">
        <v>0</v>
      </c>
      <c r="T1722" t="b">
        <v>0</v>
      </c>
      <c r="U1722">
        <v>0</v>
      </c>
      <c r="V1722" t="s">
        <v>4073</v>
      </c>
    </row>
    <row r="1723" spans="1:22" hidden="1" x14ac:dyDescent="0.45">
      <c r="A1723" s="2" t="s">
        <v>1918</v>
      </c>
      <c r="B1723" s="11">
        <v>45513</v>
      </c>
      <c r="C1723" s="2" t="s">
        <v>2012</v>
      </c>
      <c r="D1723" s="2" t="s">
        <v>2017</v>
      </c>
      <c r="E1723">
        <v>1572.8</v>
      </c>
      <c r="F1723">
        <v>88076.800000000003</v>
      </c>
      <c r="G1723">
        <v>0</v>
      </c>
      <c r="H1723">
        <v>0</v>
      </c>
      <c r="I1723" s="2" t="s">
        <v>2025</v>
      </c>
      <c r="J1723" s="2" t="s">
        <v>2028</v>
      </c>
      <c r="K1723" s="2" t="s">
        <v>3939</v>
      </c>
      <c r="L1723" s="2" t="s">
        <v>4033</v>
      </c>
      <c r="M1723">
        <v>-1572.8</v>
      </c>
      <c r="N1723" s="2" t="s">
        <v>4044</v>
      </c>
      <c r="O1723">
        <v>56</v>
      </c>
      <c r="P1723">
        <v>-88076.800000000003</v>
      </c>
      <c r="Q1723" t="b">
        <v>0</v>
      </c>
      <c r="R1723" t="b">
        <v>0</v>
      </c>
      <c r="S1723" t="b">
        <v>0</v>
      </c>
      <c r="T1723" t="b">
        <v>0</v>
      </c>
      <c r="U1723">
        <v>0</v>
      </c>
      <c r="V1723" t="s">
        <v>4073</v>
      </c>
    </row>
    <row r="1724" spans="1:22" hidden="1" x14ac:dyDescent="0.45">
      <c r="A1724" s="2" t="s">
        <v>468</v>
      </c>
      <c r="B1724" s="11">
        <v>45541</v>
      </c>
      <c r="C1724" s="2" t="s">
        <v>2014</v>
      </c>
      <c r="D1724" s="2" t="s">
        <v>2019</v>
      </c>
      <c r="E1724">
        <v>0</v>
      </c>
      <c r="F1724">
        <v>0</v>
      </c>
      <c r="G1724">
        <v>855.46</v>
      </c>
      <c r="H1724">
        <v>88112.38</v>
      </c>
      <c r="I1724" s="2" t="s">
        <v>2023</v>
      </c>
      <c r="J1724" s="2" t="s">
        <v>2026</v>
      </c>
      <c r="K1724" s="2" t="s">
        <v>2489</v>
      </c>
      <c r="L1724" s="2" t="s">
        <v>4031</v>
      </c>
      <c r="M1724">
        <v>855.46</v>
      </c>
      <c r="N1724" s="2" t="s">
        <v>4042</v>
      </c>
      <c r="O1724">
        <v>103</v>
      </c>
      <c r="P1724">
        <v>88112.38</v>
      </c>
      <c r="Q1724" t="b">
        <v>0</v>
      </c>
      <c r="R1724" t="b">
        <v>0</v>
      </c>
      <c r="S1724" t="b">
        <v>0</v>
      </c>
      <c r="T1724" t="b">
        <v>0</v>
      </c>
      <c r="U1724">
        <v>0</v>
      </c>
      <c r="V1724" t="s">
        <v>4073</v>
      </c>
    </row>
    <row r="1725" spans="1:22" hidden="1" x14ac:dyDescent="0.45">
      <c r="A1725" s="2" t="s">
        <v>60</v>
      </c>
      <c r="B1725" s="11">
        <v>45553</v>
      </c>
      <c r="C1725" s="2" t="s">
        <v>2011</v>
      </c>
      <c r="D1725" s="2" t="s">
        <v>2016</v>
      </c>
      <c r="E1725">
        <v>1444.62</v>
      </c>
      <c r="F1725">
        <v>88121.819999999992</v>
      </c>
      <c r="G1725">
        <v>0</v>
      </c>
      <c r="H1725">
        <v>0</v>
      </c>
      <c r="I1725" s="2" t="s">
        <v>2023</v>
      </c>
      <c r="J1725" s="2" t="s">
        <v>2030</v>
      </c>
      <c r="K1725" s="2" t="s">
        <v>2081</v>
      </c>
      <c r="L1725" s="2" t="s">
        <v>4035</v>
      </c>
      <c r="M1725">
        <v>-1444.62</v>
      </c>
      <c r="N1725" s="2" t="s">
        <v>2016</v>
      </c>
      <c r="O1725">
        <v>61</v>
      </c>
      <c r="P1725">
        <v>-88121.819999999992</v>
      </c>
      <c r="Q1725" t="b">
        <v>0</v>
      </c>
      <c r="R1725" t="b">
        <v>0</v>
      </c>
      <c r="S1725" t="b">
        <v>0</v>
      </c>
      <c r="T1725" t="b">
        <v>0</v>
      </c>
      <c r="U1725">
        <v>0</v>
      </c>
      <c r="V1725" t="s">
        <v>4073</v>
      </c>
    </row>
    <row r="1726" spans="1:22" hidden="1" x14ac:dyDescent="0.45">
      <c r="A1726" s="2" t="s">
        <v>244</v>
      </c>
      <c r="B1726" s="11">
        <v>45275</v>
      </c>
      <c r="C1726" s="2" t="s">
        <v>2010</v>
      </c>
      <c r="D1726" s="2" t="s">
        <v>2015</v>
      </c>
      <c r="E1726">
        <v>0</v>
      </c>
      <c r="F1726">
        <v>0</v>
      </c>
      <c r="G1726">
        <v>1075.51</v>
      </c>
      <c r="H1726">
        <v>88191.819999999992</v>
      </c>
      <c r="I1726" s="2" t="s">
        <v>2022</v>
      </c>
      <c r="J1726" s="2" t="s">
        <v>2030</v>
      </c>
      <c r="K1726" s="2" t="s">
        <v>2265</v>
      </c>
      <c r="L1726" s="2" t="s">
        <v>4034</v>
      </c>
      <c r="M1726">
        <v>1075.51</v>
      </c>
      <c r="N1726" s="2" t="s">
        <v>4042</v>
      </c>
      <c r="O1726">
        <v>82</v>
      </c>
      <c r="P1726">
        <v>88191.819999999992</v>
      </c>
      <c r="Q1726" t="b">
        <v>0</v>
      </c>
      <c r="R1726" t="b">
        <v>0</v>
      </c>
      <c r="S1726" t="b">
        <v>0</v>
      </c>
      <c r="T1726" t="b">
        <v>0</v>
      </c>
      <c r="U1726">
        <v>0</v>
      </c>
      <c r="V1726" t="s">
        <v>4073</v>
      </c>
    </row>
    <row r="1727" spans="1:22" hidden="1" x14ac:dyDescent="0.45">
      <c r="A1727" s="2" t="s">
        <v>459</v>
      </c>
      <c r="B1727" s="11">
        <v>45007</v>
      </c>
      <c r="C1727" s="2" t="s">
        <v>2012</v>
      </c>
      <c r="D1727" s="2" t="s">
        <v>2017</v>
      </c>
      <c r="E1727">
        <v>1003.21</v>
      </c>
      <c r="F1727">
        <v>88282.48000000001</v>
      </c>
      <c r="G1727">
        <v>0</v>
      </c>
      <c r="H1727">
        <v>0</v>
      </c>
      <c r="I1727" s="2" t="s">
        <v>2023</v>
      </c>
      <c r="J1727" s="2" t="s">
        <v>2029</v>
      </c>
      <c r="K1727" s="2" t="s">
        <v>2480</v>
      </c>
      <c r="L1727" s="2" t="s">
        <v>4032</v>
      </c>
      <c r="M1727">
        <v>-1003.21</v>
      </c>
      <c r="N1727" s="2" t="s">
        <v>4044</v>
      </c>
      <c r="O1727">
        <v>88</v>
      </c>
      <c r="P1727">
        <v>-88282.48000000001</v>
      </c>
      <c r="Q1727" t="b">
        <v>0</v>
      </c>
      <c r="R1727" t="b">
        <v>0</v>
      </c>
      <c r="S1727" t="b">
        <v>0</v>
      </c>
      <c r="T1727" t="b">
        <v>0</v>
      </c>
      <c r="U1727">
        <v>0</v>
      </c>
      <c r="V1727" t="s">
        <v>4073</v>
      </c>
    </row>
    <row r="1728" spans="1:22" hidden="1" x14ac:dyDescent="0.45">
      <c r="A1728" s="2" t="s">
        <v>1156</v>
      </c>
      <c r="B1728" s="11">
        <v>45681</v>
      </c>
      <c r="C1728" s="2" t="s">
        <v>2013</v>
      </c>
      <c r="D1728" s="2" t="s">
        <v>2018</v>
      </c>
      <c r="E1728">
        <v>991.7</v>
      </c>
      <c r="F1728">
        <v>87269.6</v>
      </c>
      <c r="G1728">
        <v>0</v>
      </c>
      <c r="H1728">
        <v>0</v>
      </c>
      <c r="I1728" s="2" t="s">
        <v>2021</v>
      </c>
      <c r="J1728" s="2" t="s">
        <v>2026</v>
      </c>
      <c r="K1728" s="2" t="s">
        <v>3177</v>
      </c>
      <c r="L1728" s="2" t="s">
        <v>4032</v>
      </c>
      <c r="M1728">
        <v>-991.7</v>
      </c>
      <c r="N1728" s="2" t="s">
        <v>4044</v>
      </c>
      <c r="O1728">
        <v>88</v>
      </c>
      <c r="P1728">
        <v>-87269.6</v>
      </c>
      <c r="Q1728" t="b">
        <v>0</v>
      </c>
      <c r="R1728" t="b">
        <v>0</v>
      </c>
      <c r="S1728" t="b">
        <v>0</v>
      </c>
      <c r="T1728" t="b">
        <v>0</v>
      </c>
      <c r="U1728">
        <v>0</v>
      </c>
      <c r="V1728" t="s">
        <v>4073</v>
      </c>
    </row>
    <row r="1729" spans="1:22" hidden="1" x14ac:dyDescent="0.45">
      <c r="A1729" s="2" t="s">
        <v>1792</v>
      </c>
      <c r="B1729" s="11">
        <v>45545</v>
      </c>
      <c r="C1729" s="2" t="s">
        <v>2012</v>
      </c>
      <c r="D1729" s="2" t="s">
        <v>2017</v>
      </c>
      <c r="E1729">
        <v>887.17</v>
      </c>
      <c r="F1729">
        <v>78070.959999999992</v>
      </c>
      <c r="G1729">
        <v>0</v>
      </c>
      <c r="H1729">
        <v>0</v>
      </c>
      <c r="I1729" s="2" t="s">
        <v>2022</v>
      </c>
      <c r="J1729" s="2" t="s">
        <v>2026</v>
      </c>
      <c r="K1729" s="2" t="s">
        <v>3813</v>
      </c>
      <c r="L1729" s="2" t="s">
        <v>4032</v>
      </c>
      <c r="M1729">
        <v>-887.17</v>
      </c>
      <c r="N1729" s="2" t="s">
        <v>4044</v>
      </c>
      <c r="O1729">
        <v>88</v>
      </c>
      <c r="P1729">
        <v>-78070.959999999992</v>
      </c>
      <c r="Q1729" t="b">
        <v>0</v>
      </c>
      <c r="R1729" t="b">
        <v>0</v>
      </c>
      <c r="S1729" t="b">
        <v>0</v>
      </c>
      <c r="T1729" t="b">
        <v>0</v>
      </c>
      <c r="U1729">
        <v>0</v>
      </c>
      <c r="V1729" t="s">
        <v>4073</v>
      </c>
    </row>
    <row r="1730" spans="1:22" hidden="1" x14ac:dyDescent="0.45">
      <c r="A1730" s="2" t="s">
        <v>556</v>
      </c>
      <c r="B1730" s="11">
        <v>45552</v>
      </c>
      <c r="C1730" s="2" t="s">
        <v>2012</v>
      </c>
      <c r="D1730" s="2" t="s">
        <v>2017</v>
      </c>
      <c r="E1730">
        <v>846.89</v>
      </c>
      <c r="F1730">
        <v>87229.67</v>
      </c>
      <c r="G1730">
        <v>0</v>
      </c>
      <c r="H1730">
        <v>0</v>
      </c>
      <c r="I1730" s="2" t="s">
        <v>2023</v>
      </c>
      <c r="J1730" s="2" t="s">
        <v>2029</v>
      </c>
      <c r="K1730" s="2" t="s">
        <v>2577</v>
      </c>
      <c r="L1730" s="2" t="s">
        <v>4031</v>
      </c>
      <c r="M1730">
        <v>-846.89</v>
      </c>
      <c r="N1730" s="2" t="s">
        <v>4044</v>
      </c>
      <c r="O1730">
        <v>103</v>
      </c>
      <c r="P1730">
        <v>-87229.67</v>
      </c>
      <c r="Q1730" t="b">
        <v>0</v>
      </c>
      <c r="R1730" t="b">
        <v>0</v>
      </c>
      <c r="S1730" t="b">
        <v>0</v>
      </c>
      <c r="T1730" t="b">
        <v>0</v>
      </c>
      <c r="U1730">
        <v>0</v>
      </c>
      <c r="V1730" t="s">
        <v>4073</v>
      </c>
    </row>
    <row r="1731" spans="1:22" hidden="1" x14ac:dyDescent="0.45">
      <c r="A1731" s="2" t="s">
        <v>315</v>
      </c>
      <c r="B1731" s="11">
        <v>45385</v>
      </c>
      <c r="C1731" s="2" t="s">
        <v>2010</v>
      </c>
      <c r="D1731" s="2" t="s">
        <v>2015</v>
      </c>
      <c r="E1731">
        <v>0</v>
      </c>
      <c r="F1731">
        <v>0</v>
      </c>
      <c r="G1731">
        <v>1059.18</v>
      </c>
      <c r="H1731">
        <v>86852.760000000009</v>
      </c>
      <c r="I1731" s="2" t="s">
        <v>2022</v>
      </c>
      <c r="J1731" s="2" t="s">
        <v>2028</v>
      </c>
      <c r="K1731" s="2" t="s">
        <v>2336</v>
      </c>
      <c r="L1731" s="2" t="s">
        <v>4034</v>
      </c>
      <c r="M1731">
        <v>1059.18</v>
      </c>
      <c r="N1731" s="2" t="s">
        <v>4042</v>
      </c>
      <c r="O1731">
        <v>82</v>
      </c>
      <c r="P1731">
        <v>86852.760000000009</v>
      </c>
      <c r="Q1731" t="b">
        <v>0</v>
      </c>
      <c r="R1731" t="b">
        <v>0</v>
      </c>
      <c r="S1731" t="b">
        <v>0</v>
      </c>
      <c r="T1731" t="b">
        <v>0</v>
      </c>
      <c r="U1731">
        <v>0</v>
      </c>
      <c r="V1731" t="s">
        <v>4073</v>
      </c>
    </row>
    <row r="1732" spans="1:22" hidden="1" x14ac:dyDescent="0.45">
      <c r="A1732" s="2" t="s">
        <v>342</v>
      </c>
      <c r="B1732" s="11">
        <v>45566</v>
      </c>
      <c r="C1732" s="2" t="s">
        <v>2011</v>
      </c>
      <c r="D1732" s="2" t="s">
        <v>2016</v>
      </c>
      <c r="E1732">
        <v>957.72</v>
      </c>
      <c r="F1732">
        <v>84279.360000000001</v>
      </c>
      <c r="G1732">
        <v>0</v>
      </c>
      <c r="H1732">
        <v>0</v>
      </c>
      <c r="I1732" s="2" t="s">
        <v>2024</v>
      </c>
      <c r="J1732" s="2" t="s">
        <v>2028</v>
      </c>
      <c r="K1732" s="2" t="s">
        <v>2363</v>
      </c>
      <c r="L1732" s="2" t="s">
        <v>4032</v>
      </c>
      <c r="M1732">
        <v>-957.72</v>
      </c>
      <c r="N1732" s="2" t="s">
        <v>2016</v>
      </c>
      <c r="O1732">
        <v>88</v>
      </c>
      <c r="P1732">
        <v>-84279.360000000001</v>
      </c>
      <c r="Q1732" t="b">
        <v>0</v>
      </c>
      <c r="R1732" t="b">
        <v>0</v>
      </c>
      <c r="S1732" t="b">
        <v>0</v>
      </c>
      <c r="T1732" t="b">
        <v>0</v>
      </c>
      <c r="U1732">
        <v>0</v>
      </c>
      <c r="V1732" t="s">
        <v>4073</v>
      </c>
    </row>
    <row r="1733" spans="1:22" hidden="1" x14ac:dyDescent="0.45">
      <c r="A1733" s="2" t="s">
        <v>1425</v>
      </c>
      <c r="B1733" s="11">
        <v>45812</v>
      </c>
      <c r="C1733" s="2" t="s">
        <v>2013</v>
      </c>
      <c r="D1733" s="2" t="s">
        <v>2018</v>
      </c>
      <c r="E1733">
        <v>1383.8</v>
      </c>
      <c r="F1733">
        <v>84411.8</v>
      </c>
      <c r="G1733">
        <v>0</v>
      </c>
      <c r="H1733">
        <v>0</v>
      </c>
      <c r="I1733" s="2" t="s">
        <v>2025</v>
      </c>
      <c r="J1733" s="2" t="s">
        <v>2029</v>
      </c>
      <c r="K1733" s="2" t="s">
        <v>3446</v>
      </c>
      <c r="L1733" s="2" t="s">
        <v>4035</v>
      </c>
      <c r="M1733">
        <v>-1383.8</v>
      </c>
      <c r="N1733" s="2" t="s">
        <v>4044</v>
      </c>
      <c r="O1733">
        <v>61</v>
      </c>
      <c r="P1733">
        <v>-84411.8</v>
      </c>
      <c r="Q1733" t="b">
        <v>0</v>
      </c>
      <c r="R1733" t="b">
        <v>0</v>
      </c>
      <c r="S1733" t="b">
        <v>0</v>
      </c>
      <c r="T1733" t="b">
        <v>0</v>
      </c>
      <c r="U1733">
        <v>0</v>
      </c>
      <c r="V1733" t="s">
        <v>4073</v>
      </c>
    </row>
    <row r="1734" spans="1:22" hidden="1" x14ac:dyDescent="0.45">
      <c r="A1734" s="2" t="s">
        <v>381</v>
      </c>
      <c r="B1734" s="11">
        <v>44930</v>
      </c>
      <c r="C1734" s="2" t="s">
        <v>2012</v>
      </c>
      <c r="D1734" s="2" t="s">
        <v>2017</v>
      </c>
      <c r="E1734">
        <v>820.46</v>
      </c>
      <c r="F1734">
        <v>84507.38</v>
      </c>
      <c r="G1734">
        <v>0</v>
      </c>
      <c r="H1734">
        <v>0</v>
      </c>
      <c r="I1734" s="2" t="s">
        <v>2024</v>
      </c>
      <c r="J1734" s="2" t="s">
        <v>2026</v>
      </c>
      <c r="K1734" s="2" t="s">
        <v>2402</v>
      </c>
      <c r="L1734" s="2" t="s">
        <v>4031</v>
      </c>
      <c r="M1734">
        <v>-820.46</v>
      </c>
      <c r="N1734" s="2" t="s">
        <v>4044</v>
      </c>
      <c r="O1734">
        <v>103</v>
      </c>
      <c r="P1734">
        <v>-84507.38</v>
      </c>
      <c r="Q1734" t="b">
        <v>0</v>
      </c>
      <c r="R1734" t="b">
        <v>0</v>
      </c>
      <c r="S1734" t="b">
        <v>0</v>
      </c>
      <c r="T1734" t="b">
        <v>0</v>
      </c>
      <c r="U1734">
        <v>0</v>
      </c>
      <c r="V1734" t="s">
        <v>4073</v>
      </c>
    </row>
    <row r="1735" spans="1:22" hidden="1" x14ac:dyDescent="0.45">
      <c r="A1735" s="2" t="s">
        <v>438</v>
      </c>
      <c r="B1735" s="11">
        <v>45114</v>
      </c>
      <c r="C1735" s="2" t="s">
        <v>2011</v>
      </c>
      <c r="D1735" s="2" t="s">
        <v>2016</v>
      </c>
      <c r="E1735">
        <v>960.38</v>
      </c>
      <c r="F1735">
        <v>84513.44</v>
      </c>
      <c r="G1735">
        <v>0</v>
      </c>
      <c r="H1735">
        <v>0</v>
      </c>
      <c r="I1735" s="2" t="s">
        <v>2023</v>
      </c>
      <c r="J1735" s="2" t="s">
        <v>2030</v>
      </c>
      <c r="K1735" s="2" t="s">
        <v>2459</v>
      </c>
      <c r="L1735" s="2" t="s">
        <v>4032</v>
      </c>
      <c r="M1735">
        <v>-960.38</v>
      </c>
      <c r="N1735" s="2" t="s">
        <v>2016</v>
      </c>
      <c r="O1735">
        <v>88</v>
      </c>
      <c r="P1735">
        <v>-84513.44</v>
      </c>
      <c r="Q1735" t="b">
        <v>0</v>
      </c>
      <c r="R1735" t="b">
        <v>0</v>
      </c>
      <c r="S1735" t="b">
        <v>0</v>
      </c>
      <c r="T1735" t="b">
        <v>0</v>
      </c>
      <c r="U1735">
        <v>0</v>
      </c>
      <c r="V1735" t="s">
        <v>4073</v>
      </c>
    </row>
    <row r="1736" spans="1:22" hidden="1" x14ac:dyDescent="0.45">
      <c r="A1736" s="2" t="s">
        <v>443</v>
      </c>
      <c r="B1736" s="11">
        <v>44932</v>
      </c>
      <c r="C1736" s="2" t="s">
        <v>2012</v>
      </c>
      <c r="D1736" s="2" t="s">
        <v>2017</v>
      </c>
      <c r="E1736">
        <v>1392.66</v>
      </c>
      <c r="F1736">
        <v>84952.260000000009</v>
      </c>
      <c r="G1736">
        <v>0</v>
      </c>
      <c r="H1736">
        <v>0</v>
      </c>
      <c r="I1736" s="2" t="s">
        <v>2022</v>
      </c>
      <c r="J1736" s="2" t="s">
        <v>2030</v>
      </c>
      <c r="K1736" s="2" t="s">
        <v>2464</v>
      </c>
      <c r="L1736" s="2" t="s">
        <v>4035</v>
      </c>
      <c r="M1736">
        <v>-1392.66</v>
      </c>
      <c r="N1736" s="2" t="s">
        <v>4044</v>
      </c>
      <c r="O1736">
        <v>61</v>
      </c>
      <c r="P1736">
        <v>-84952.260000000009</v>
      </c>
      <c r="Q1736" t="b">
        <v>0</v>
      </c>
      <c r="R1736" t="b">
        <v>0</v>
      </c>
      <c r="S1736" t="b">
        <v>0</v>
      </c>
      <c r="T1736" t="b">
        <v>0</v>
      </c>
      <c r="U1736">
        <v>0</v>
      </c>
      <c r="V1736" t="s">
        <v>4073</v>
      </c>
    </row>
    <row r="1737" spans="1:22" hidden="1" x14ac:dyDescent="0.45">
      <c r="A1737" s="2" t="s">
        <v>716</v>
      </c>
      <c r="B1737" s="11">
        <v>45282</v>
      </c>
      <c r="C1737" s="2" t="s">
        <v>2014</v>
      </c>
      <c r="D1737" s="2" t="s">
        <v>2019</v>
      </c>
      <c r="E1737">
        <v>0</v>
      </c>
      <c r="F1737">
        <v>0</v>
      </c>
      <c r="G1737">
        <v>965.55</v>
      </c>
      <c r="H1737">
        <v>84968.4</v>
      </c>
      <c r="I1737" s="2" t="s">
        <v>2020</v>
      </c>
      <c r="J1737" s="2" t="s">
        <v>2027</v>
      </c>
      <c r="K1737" s="2" t="s">
        <v>2737</v>
      </c>
      <c r="L1737" s="2" t="s">
        <v>4032</v>
      </c>
      <c r="M1737">
        <v>965.55</v>
      </c>
      <c r="N1737" s="2" t="s">
        <v>4042</v>
      </c>
      <c r="O1737">
        <v>88</v>
      </c>
      <c r="P1737">
        <v>84968.4</v>
      </c>
      <c r="Q1737" t="b">
        <v>0</v>
      </c>
      <c r="R1737" t="b">
        <v>0</v>
      </c>
      <c r="S1737" t="b">
        <v>0</v>
      </c>
      <c r="T1737" t="b">
        <v>0</v>
      </c>
      <c r="U1737">
        <v>0</v>
      </c>
      <c r="V1737" t="s">
        <v>4073</v>
      </c>
    </row>
    <row r="1738" spans="1:22" hidden="1" x14ac:dyDescent="0.45">
      <c r="A1738" s="2" t="s">
        <v>1889</v>
      </c>
      <c r="B1738" s="11">
        <v>45334</v>
      </c>
      <c r="C1738" s="2" t="s">
        <v>2013</v>
      </c>
      <c r="D1738" s="2" t="s">
        <v>2018</v>
      </c>
      <c r="E1738">
        <v>1517.3</v>
      </c>
      <c r="F1738">
        <v>84968.8</v>
      </c>
      <c r="G1738">
        <v>0</v>
      </c>
      <c r="H1738">
        <v>0</v>
      </c>
      <c r="I1738" s="2" t="s">
        <v>2024</v>
      </c>
      <c r="J1738" s="2" t="s">
        <v>2029</v>
      </c>
      <c r="K1738" s="2" t="s">
        <v>3910</v>
      </c>
      <c r="L1738" s="2" t="s">
        <v>4033</v>
      </c>
      <c r="M1738">
        <v>-1517.3</v>
      </c>
      <c r="N1738" s="2" t="s">
        <v>4044</v>
      </c>
      <c r="O1738">
        <v>56</v>
      </c>
      <c r="P1738">
        <v>-84968.8</v>
      </c>
      <c r="Q1738" t="b">
        <v>0</v>
      </c>
      <c r="R1738" t="b">
        <v>0</v>
      </c>
      <c r="S1738" t="b">
        <v>0</v>
      </c>
      <c r="T1738" t="b">
        <v>0</v>
      </c>
      <c r="U1738">
        <v>0</v>
      </c>
      <c r="V1738" t="s">
        <v>4073</v>
      </c>
    </row>
    <row r="1739" spans="1:22" hidden="1" x14ac:dyDescent="0.45">
      <c r="A1739" s="2" t="s">
        <v>1158</v>
      </c>
      <c r="B1739" s="11">
        <v>45236</v>
      </c>
      <c r="C1739" s="2" t="s">
        <v>2012</v>
      </c>
      <c r="D1739" s="2" t="s">
        <v>2017</v>
      </c>
      <c r="E1739">
        <v>1518.91</v>
      </c>
      <c r="F1739">
        <v>85058.96</v>
      </c>
      <c r="G1739">
        <v>0</v>
      </c>
      <c r="H1739">
        <v>0</v>
      </c>
      <c r="I1739" s="2" t="s">
        <v>2020</v>
      </c>
      <c r="J1739" s="2" t="s">
        <v>2030</v>
      </c>
      <c r="K1739" s="2" t="s">
        <v>3179</v>
      </c>
      <c r="L1739" s="2" t="s">
        <v>4033</v>
      </c>
      <c r="M1739">
        <v>-1518.91</v>
      </c>
      <c r="N1739" s="2" t="s">
        <v>4044</v>
      </c>
      <c r="O1739">
        <v>56</v>
      </c>
      <c r="P1739">
        <v>-85058.96</v>
      </c>
      <c r="Q1739" t="b">
        <v>0</v>
      </c>
      <c r="R1739" t="b">
        <v>0</v>
      </c>
      <c r="S1739" t="b">
        <v>0</v>
      </c>
      <c r="T1739" t="b">
        <v>0</v>
      </c>
      <c r="U1739">
        <v>0</v>
      </c>
      <c r="V1739" t="s">
        <v>4073</v>
      </c>
    </row>
    <row r="1740" spans="1:22" hidden="1" x14ac:dyDescent="0.45">
      <c r="A1740" s="2" t="s">
        <v>1429</v>
      </c>
      <c r="B1740" s="11">
        <v>45175</v>
      </c>
      <c r="C1740" s="2" t="s">
        <v>2013</v>
      </c>
      <c r="D1740" s="2" t="s">
        <v>2018</v>
      </c>
      <c r="E1740">
        <v>1394.77</v>
      </c>
      <c r="F1740">
        <v>85080.97</v>
      </c>
      <c r="G1740">
        <v>0</v>
      </c>
      <c r="H1740">
        <v>0</v>
      </c>
      <c r="I1740" s="2" t="s">
        <v>2020</v>
      </c>
      <c r="J1740" s="2" t="s">
        <v>2030</v>
      </c>
      <c r="K1740" s="2" t="s">
        <v>3450</v>
      </c>
      <c r="L1740" s="2" t="s">
        <v>4035</v>
      </c>
      <c r="M1740">
        <v>-1394.77</v>
      </c>
      <c r="N1740" s="2" t="s">
        <v>4044</v>
      </c>
      <c r="O1740">
        <v>61</v>
      </c>
      <c r="P1740">
        <v>-85080.97</v>
      </c>
      <c r="Q1740" t="b">
        <v>0</v>
      </c>
      <c r="R1740" t="b">
        <v>0</v>
      </c>
      <c r="S1740" t="b">
        <v>0</v>
      </c>
      <c r="T1740" t="b">
        <v>0</v>
      </c>
      <c r="U1740">
        <v>0</v>
      </c>
      <c r="V1740" t="s">
        <v>4073</v>
      </c>
    </row>
    <row r="1741" spans="1:22" hidden="1" x14ac:dyDescent="0.45">
      <c r="A1741" s="2" t="s">
        <v>297</v>
      </c>
      <c r="B1741" s="11">
        <v>45383</v>
      </c>
      <c r="C1741" s="2" t="s">
        <v>2013</v>
      </c>
      <c r="D1741" s="2" t="s">
        <v>2018</v>
      </c>
      <c r="E1741">
        <v>1521.85</v>
      </c>
      <c r="F1741">
        <v>85223.599999999991</v>
      </c>
      <c r="G1741">
        <v>0</v>
      </c>
      <c r="H1741">
        <v>0</v>
      </c>
      <c r="I1741" s="2" t="s">
        <v>2022</v>
      </c>
      <c r="J1741" s="2" t="s">
        <v>2030</v>
      </c>
      <c r="K1741" s="2" t="s">
        <v>2318</v>
      </c>
      <c r="L1741" s="2" t="s">
        <v>4033</v>
      </c>
      <c r="M1741">
        <v>-1521.85</v>
      </c>
      <c r="N1741" s="2" t="s">
        <v>4044</v>
      </c>
      <c r="O1741">
        <v>56</v>
      </c>
      <c r="P1741">
        <v>-85223.599999999991</v>
      </c>
      <c r="Q1741" t="b">
        <v>0</v>
      </c>
      <c r="R1741" t="b">
        <v>0</v>
      </c>
      <c r="S1741" t="b">
        <v>0</v>
      </c>
      <c r="T1741" t="b">
        <v>0</v>
      </c>
      <c r="U1741">
        <v>0</v>
      </c>
      <c r="V1741" t="s">
        <v>4073</v>
      </c>
    </row>
    <row r="1742" spans="1:22" hidden="1" x14ac:dyDescent="0.45">
      <c r="A1742" s="2" t="s">
        <v>1082</v>
      </c>
      <c r="B1742" s="11">
        <v>45680</v>
      </c>
      <c r="C1742" s="2" t="s">
        <v>2012</v>
      </c>
      <c r="D1742" s="2" t="s">
        <v>2017</v>
      </c>
      <c r="E1742">
        <v>1399.67</v>
      </c>
      <c r="F1742">
        <v>85379.87000000001</v>
      </c>
      <c r="G1742">
        <v>0</v>
      </c>
      <c r="H1742">
        <v>0</v>
      </c>
      <c r="I1742" s="2" t="s">
        <v>2024</v>
      </c>
      <c r="J1742" s="2" t="s">
        <v>2030</v>
      </c>
      <c r="K1742" s="2" t="s">
        <v>3103</v>
      </c>
      <c r="L1742" s="2" t="s">
        <v>4035</v>
      </c>
      <c r="M1742">
        <v>-1399.67</v>
      </c>
      <c r="N1742" s="2" t="s">
        <v>4044</v>
      </c>
      <c r="O1742">
        <v>61</v>
      </c>
      <c r="P1742">
        <v>-85379.87000000001</v>
      </c>
      <c r="Q1742" t="b">
        <v>0</v>
      </c>
      <c r="R1742" t="b">
        <v>0</v>
      </c>
      <c r="S1742" t="b">
        <v>0</v>
      </c>
      <c r="T1742" t="b">
        <v>0</v>
      </c>
      <c r="U1742">
        <v>0</v>
      </c>
      <c r="V1742" t="s">
        <v>4073</v>
      </c>
    </row>
    <row r="1743" spans="1:22" hidden="1" x14ac:dyDescent="0.45">
      <c r="A1743" s="2" t="s">
        <v>999</v>
      </c>
      <c r="B1743" s="11">
        <v>45723</v>
      </c>
      <c r="C1743" s="2" t="s">
        <v>2011</v>
      </c>
      <c r="D1743" s="2" t="s">
        <v>2016</v>
      </c>
      <c r="E1743">
        <v>1404.46</v>
      </c>
      <c r="F1743">
        <v>85672.06</v>
      </c>
      <c r="G1743">
        <v>0</v>
      </c>
      <c r="H1743">
        <v>0</v>
      </c>
      <c r="I1743" s="2" t="s">
        <v>2022</v>
      </c>
      <c r="J1743" s="2" t="s">
        <v>2027</v>
      </c>
      <c r="K1743" s="2" t="s">
        <v>3020</v>
      </c>
      <c r="L1743" s="2" t="s">
        <v>4035</v>
      </c>
      <c r="M1743">
        <v>-1404.46</v>
      </c>
      <c r="N1743" s="2" t="s">
        <v>2016</v>
      </c>
      <c r="O1743">
        <v>61</v>
      </c>
      <c r="P1743">
        <v>-85672.06</v>
      </c>
      <c r="Q1743" t="b">
        <v>0</v>
      </c>
      <c r="R1743" t="b">
        <v>0</v>
      </c>
      <c r="S1743" t="b">
        <v>0</v>
      </c>
      <c r="T1743" t="b">
        <v>0</v>
      </c>
      <c r="U1743">
        <v>0</v>
      </c>
      <c r="V1743" t="s">
        <v>4073</v>
      </c>
    </row>
    <row r="1744" spans="1:22" hidden="1" x14ac:dyDescent="0.45">
      <c r="A1744" s="2" t="s">
        <v>889</v>
      </c>
      <c r="B1744" s="11">
        <v>45475</v>
      </c>
      <c r="C1744" s="2" t="s">
        <v>2012</v>
      </c>
      <c r="D1744" s="2" t="s">
        <v>2017</v>
      </c>
      <c r="E1744">
        <v>1408.29</v>
      </c>
      <c r="F1744">
        <v>85905.69</v>
      </c>
      <c r="G1744">
        <v>0</v>
      </c>
      <c r="H1744">
        <v>0</v>
      </c>
      <c r="I1744" s="2" t="s">
        <v>2020</v>
      </c>
      <c r="J1744" s="2" t="s">
        <v>2027</v>
      </c>
      <c r="K1744" s="2" t="s">
        <v>2910</v>
      </c>
      <c r="L1744" s="2" t="s">
        <v>4035</v>
      </c>
      <c r="M1744">
        <v>-1408.29</v>
      </c>
      <c r="N1744" s="2" t="s">
        <v>4044</v>
      </c>
      <c r="O1744">
        <v>61</v>
      </c>
      <c r="P1744">
        <v>-85905.69</v>
      </c>
      <c r="Q1744" t="b">
        <v>0</v>
      </c>
      <c r="R1744" t="b">
        <v>0</v>
      </c>
      <c r="S1744" t="b">
        <v>0</v>
      </c>
      <c r="T1744" t="b">
        <v>0</v>
      </c>
      <c r="U1744">
        <v>0</v>
      </c>
      <c r="V1744" t="s">
        <v>4073</v>
      </c>
    </row>
    <row r="1745" spans="1:22" hidden="1" x14ac:dyDescent="0.45">
      <c r="A1745" s="2" t="s">
        <v>14</v>
      </c>
      <c r="B1745" s="11">
        <v>45141</v>
      </c>
      <c r="C1745" s="2" t="s">
        <v>2011</v>
      </c>
      <c r="D1745" s="2" t="s">
        <v>2016</v>
      </c>
      <c r="E1745">
        <v>1053.1199999999999</v>
      </c>
      <c r="F1745">
        <v>86355.839999999997</v>
      </c>
      <c r="G1745">
        <v>0</v>
      </c>
      <c r="H1745">
        <v>0</v>
      </c>
      <c r="I1745" s="2" t="s">
        <v>2021</v>
      </c>
      <c r="J1745" s="2" t="s">
        <v>2028</v>
      </c>
      <c r="K1745" s="2" t="s">
        <v>2035</v>
      </c>
      <c r="L1745" s="2" t="s">
        <v>4034</v>
      </c>
      <c r="M1745">
        <v>-1053.1199999999999</v>
      </c>
      <c r="N1745" s="2" t="s">
        <v>2016</v>
      </c>
      <c r="O1745">
        <v>82</v>
      </c>
      <c r="P1745">
        <v>-86355.839999999997</v>
      </c>
      <c r="Q1745" t="b">
        <v>0</v>
      </c>
      <c r="R1745" t="b">
        <v>0</v>
      </c>
      <c r="S1745" t="b">
        <v>0</v>
      </c>
      <c r="T1745" t="b">
        <v>0</v>
      </c>
      <c r="U1745">
        <v>0</v>
      </c>
      <c r="V1745" t="s">
        <v>4073</v>
      </c>
    </row>
    <row r="1746" spans="1:22" hidden="1" x14ac:dyDescent="0.45">
      <c r="A1746" s="2" t="s">
        <v>1775</v>
      </c>
      <c r="B1746" s="11">
        <v>45337</v>
      </c>
      <c r="C1746" s="2" t="s">
        <v>2011</v>
      </c>
      <c r="D1746" s="2" t="s">
        <v>2016</v>
      </c>
      <c r="E1746">
        <v>1421.11</v>
      </c>
      <c r="F1746">
        <v>86687.709999999992</v>
      </c>
      <c r="G1746">
        <v>0</v>
      </c>
      <c r="H1746">
        <v>0</v>
      </c>
      <c r="I1746" s="2" t="s">
        <v>2022</v>
      </c>
      <c r="J1746" s="2" t="s">
        <v>2029</v>
      </c>
      <c r="K1746" s="2" t="s">
        <v>3796</v>
      </c>
      <c r="L1746" s="2" t="s">
        <v>4035</v>
      </c>
      <c r="M1746">
        <v>-1421.11</v>
      </c>
      <c r="N1746" s="2" t="s">
        <v>2016</v>
      </c>
      <c r="O1746">
        <v>61</v>
      </c>
      <c r="P1746">
        <v>-86687.709999999992</v>
      </c>
      <c r="Q1746" t="b">
        <v>0</v>
      </c>
      <c r="R1746" t="b">
        <v>0</v>
      </c>
      <c r="S1746" t="b">
        <v>0</v>
      </c>
      <c r="T1746" t="b">
        <v>0</v>
      </c>
      <c r="U1746">
        <v>0</v>
      </c>
      <c r="V1746" t="s">
        <v>4073</v>
      </c>
    </row>
    <row r="1747" spans="1:22" hidden="1" x14ac:dyDescent="0.45">
      <c r="A1747" s="2" t="s">
        <v>119</v>
      </c>
      <c r="B1747" s="11">
        <v>45355</v>
      </c>
      <c r="C1747" s="2" t="s">
        <v>2013</v>
      </c>
      <c r="D1747" s="2" t="s">
        <v>2018</v>
      </c>
      <c r="E1747">
        <v>1548.81</v>
      </c>
      <c r="F1747">
        <v>86733.36</v>
      </c>
      <c r="G1747">
        <v>0</v>
      </c>
      <c r="H1747">
        <v>0</v>
      </c>
      <c r="I1747" s="2" t="s">
        <v>2025</v>
      </c>
      <c r="J1747" s="2" t="s">
        <v>2030</v>
      </c>
      <c r="K1747" s="2" t="s">
        <v>2140</v>
      </c>
      <c r="L1747" s="2" t="s">
        <v>4033</v>
      </c>
      <c r="M1747">
        <v>-1548.81</v>
      </c>
      <c r="N1747" s="2" t="s">
        <v>4044</v>
      </c>
      <c r="O1747">
        <v>56</v>
      </c>
      <c r="P1747">
        <v>-86733.36</v>
      </c>
      <c r="Q1747" t="b">
        <v>0</v>
      </c>
      <c r="R1747" t="b">
        <v>0</v>
      </c>
      <c r="S1747" t="b">
        <v>0</v>
      </c>
      <c r="T1747" t="b">
        <v>0</v>
      </c>
      <c r="U1747">
        <v>0</v>
      </c>
      <c r="V1747" t="s">
        <v>4073</v>
      </c>
    </row>
    <row r="1748" spans="1:22" hidden="1" x14ac:dyDescent="0.45">
      <c r="A1748" s="2" t="s">
        <v>1897</v>
      </c>
      <c r="B1748" s="11">
        <v>45386</v>
      </c>
      <c r="C1748" s="2" t="s">
        <v>2011</v>
      </c>
      <c r="D1748" s="2" t="s">
        <v>2016</v>
      </c>
      <c r="E1748">
        <v>1422.61</v>
      </c>
      <c r="F1748">
        <v>86779.209999999992</v>
      </c>
      <c r="G1748">
        <v>0</v>
      </c>
      <c r="H1748">
        <v>0</v>
      </c>
      <c r="I1748" s="2" t="s">
        <v>2021</v>
      </c>
      <c r="J1748" s="2" t="s">
        <v>2029</v>
      </c>
      <c r="K1748" s="2" t="s">
        <v>3918</v>
      </c>
      <c r="L1748" s="2" t="s">
        <v>4035</v>
      </c>
      <c r="M1748">
        <v>-1422.61</v>
      </c>
      <c r="N1748" s="2" t="s">
        <v>2016</v>
      </c>
      <c r="O1748">
        <v>61</v>
      </c>
      <c r="P1748">
        <v>-86779.209999999992</v>
      </c>
      <c r="Q1748" t="b">
        <v>0</v>
      </c>
      <c r="R1748" t="b">
        <v>0</v>
      </c>
      <c r="S1748" t="b">
        <v>0</v>
      </c>
      <c r="T1748" t="b">
        <v>0</v>
      </c>
      <c r="U1748">
        <v>0</v>
      </c>
      <c r="V1748" t="s">
        <v>4073</v>
      </c>
    </row>
    <row r="1749" spans="1:22" hidden="1" x14ac:dyDescent="0.45">
      <c r="A1749" s="2" t="s">
        <v>1777</v>
      </c>
      <c r="B1749" s="11">
        <v>45156</v>
      </c>
      <c r="C1749" s="2" t="s">
        <v>2013</v>
      </c>
      <c r="D1749" s="2" t="s">
        <v>2018</v>
      </c>
      <c r="E1749">
        <v>1061.21</v>
      </c>
      <c r="F1749">
        <v>87019.22</v>
      </c>
      <c r="G1749">
        <v>0</v>
      </c>
      <c r="H1749">
        <v>0</v>
      </c>
      <c r="I1749" s="2" t="s">
        <v>2024</v>
      </c>
      <c r="J1749" s="2" t="s">
        <v>2028</v>
      </c>
      <c r="K1749" s="2" t="s">
        <v>3798</v>
      </c>
      <c r="L1749" s="2" t="s">
        <v>4034</v>
      </c>
      <c r="M1749">
        <v>-1061.21</v>
      </c>
      <c r="N1749" s="2" t="s">
        <v>4044</v>
      </c>
      <c r="O1749">
        <v>82</v>
      </c>
      <c r="P1749">
        <v>-87019.22</v>
      </c>
      <c r="Q1749" t="b">
        <v>0</v>
      </c>
      <c r="R1749" t="b">
        <v>0</v>
      </c>
      <c r="S1749" t="b">
        <v>0</v>
      </c>
      <c r="T1749" t="b">
        <v>0</v>
      </c>
      <c r="U1749">
        <v>0</v>
      </c>
      <c r="V1749" t="s">
        <v>4073</v>
      </c>
    </row>
    <row r="1750" spans="1:22" hidden="1" x14ac:dyDescent="0.45">
      <c r="A1750" s="2" t="s">
        <v>1275</v>
      </c>
      <c r="B1750" s="11">
        <v>45708</v>
      </c>
      <c r="C1750" s="2" t="s">
        <v>2013</v>
      </c>
      <c r="D1750" s="2" t="s">
        <v>2018</v>
      </c>
      <c r="E1750">
        <v>1279.52</v>
      </c>
      <c r="F1750">
        <v>78050.720000000001</v>
      </c>
      <c r="G1750">
        <v>0</v>
      </c>
      <c r="H1750">
        <v>0</v>
      </c>
      <c r="I1750" s="2" t="s">
        <v>2022</v>
      </c>
      <c r="J1750" s="2" t="s">
        <v>2028</v>
      </c>
      <c r="K1750" s="2" t="s">
        <v>3296</v>
      </c>
      <c r="L1750" s="2" t="s">
        <v>4035</v>
      </c>
      <c r="M1750">
        <v>-1279.52</v>
      </c>
      <c r="N1750" s="2" t="s">
        <v>4044</v>
      </c>
      <c r="O1750">
        <v>61</v>
      </c>
      <c r="P1750">
        <v>-78050.720000000001</v>
      </c>
      <c r="Q1750" t="b">
        <v>0</v>
      </c>
      <c r="R1750" t="b">
        <v>0</v>
      </c>
      <c r="S1750" t="b">
        <v>0</v>
      </c>
      <c r="T1750" t="b">
        <v>0</v>
      </c>
      <c r="U1750">
        <v>0</v>
      </c>
      <c r="V1750" t="s">
        <v>4073</v>
      </c>
    </row>
    <row r="1751" spans="1:22" hidden="1" x14ac:dyDescent="0.45">
      <c r="A1751" s="2" t="s">
        <v>1825</v>
      </c>
      <c r="B1751" s="11">
        <v>45000</v>
      </c>
      <c r="C1751" s="2" t="s">
        <v>2013</v>
      </c>
      <c r="D1751" s="2" t="s">
        <v>2018</v>
      </c>
      <c r="E1751">
        <v>1274.73</v>
      </c>
      <c r="F1751">
        <v>77758.53</v>
      </c>
      <c r="G1751">
        <v>0</v>
      </c>
      <c r="H1751">
        <v>0</v>
      </c>
      <c r="I1751" s="2" t="s">
        <v>2025</v>
      </c>
      <c r="J1751" s="2" t="s">
        <v>2030</v>
      </c>
      <c r="K1751" s="2" t="s">
        <v>3846</v>
      </c>
      <c r="L1751" s="2" t="s">
        <v>4035</v>
      </c>
      <c r="M1751">
        <v>-1274.73</v>
      </c>
      <c r="N1751" s="2" t="s">
        <v>4044</v>
      </c>
      <c r="O1751">
        <v>61</v>
      </c>
      <c r="P1751">
        <v>-77758.53</v>
      </c>
      <c r="Q1751" t="b">
        <v>0</v>
      </c>
      <c r="R1751" t="b">
        <v>0</v>
      </c>
      <c r="S1751" t="b">
        <v>0</v>
      </c>
      <c r="T1751" t="b">
        <v>0</v>
      </c>
      <c r="U1751">
        <v>0</v>
      </c>
      <c r="V1751" t="s">
        <v>4073</v>
      </c>
    </row>
    <row r="1752" spans="1:22" hidden="1" x14ac:dyDescent="0.45">
      <c r="A1752" s="2" t="s">
        <v>1134</v>
      </c>
      <c r="B1752" s="11">
        <v>45722</v>
      </c>
      <c r="C1752" s="2" t="s">
        <v>2012</v>
      </c>
      <c r="D1752" s="2" t="s">
        <v>2017</v>
      </c>
      <c r="E1752">
        <v>882.43</v>
      </c>
      <c r="F1752">
        <v>77653.84</v>
      </c>
      <c r="G1752">
        <v>0</v>
      </c>
      <c r="H1752">
        <v>0</v>
      </c>
      <c r="I1752" s="2" t="s">
        <v>2020</v>
      </c>
      <c r="J1752" s="2" t="s">
        <v>2026</v>
      </c>
      <c r="K1752" s="2" t="s">
        <v>3155</v>
      </c>
      <c r="L1752" s="2" t="s">
        <v>4032</v>
      </c>
      <c r="M1752">
        <v>-882.43</v>
      </c>
      <c r="N1752" s="2" t="s">
        <v>4044</v>
      </c>
      <c r="O1752">
        <v>88</v>
      </c>
      <c r="P1752">
        <v>-77653.84</v>
      </c>
      <c r="Q1752" t="b">
        <v>0</v>
      </c>
      <c r="R1752" t="b">
        <v>0</v>
      </c>
      <c r="S1752" t="b">
        <v>0</v>
      </c>
      <c r="T1752" t="b">
        <v>0</v>
      </c>
      <c r="U1752">
        <v>0</v>
      </c>
      <c r="V1752" t="s">
        <v>4073</v>
      </c>
    </row>
    <row r="1753" spans="1:22" hidden="1" x14ac:dyDescent="0.45">
      <c r="A1753" s="2" t="s">
        <v>1553</v>
      </c>
      <c r="B1753" s="11">
        <v>45525</v>
      </c>
      <c r="C1753" s="2" t="s">
        <v>2014</v>
      </c>
      <c r="D1753" s="2" t="s">
        <v>2019</v>
      </c>
      <c r="E1753">
        <v>0</v>
      </c>
      <c r="F1753">
        <v>0</v>
      </c>
      <c r="G1753">
        <v>827.97</v>
      </c>
      <c r="H1753">
        <v>67893.540000000008</v>
      </c>
      <c r="I1753" s="2" t="s">
        <v>2020</v>
      </c>
      <c r="J1753" s="2" t="s">
        <v>2029</v>
      </c>
      <c r="K1753" s="2" t="s">
        <v>3574</v>
      </c>
      <c r="L1753" s="2" t="s">
        <v>4034</v>
      </c>
      <c r="M1753">
        <v>827.97</v>
      </c>
      <c r="N1753" s="2" t="s">
        <v>4042</v>
      </c>
      <c r="O1753">
        <v>82</v>
      </c>
      <c r="P1753">
        <v>67893.540000000008</v>
      </c>
      <c r="Q1753" t="b">
        <v>0</v>
      </c>
      <c r="R1753" t="b">
        <v>0</v>
      </c>
      <c r="S1753" t="b">
        <v>0</v>
      </c>
      <c r="T1753" t="b">
        <v>0</v>
      </c>
      <c r="U1753">
        <v>0</v>
      </c>
      <c r="V1753" t="s">
        <v>4073</v>
      </c>
    </row>
    <row r="1754" spans="1:22" hidden="1" x14ac:dyDescent="0.45">
      <c r="A1754" s="2" t="s">
        <v>1521</v>
      </c>
      <c r="B1754" s="11">
        <v>45210</v>
      </c>
      <c r="C1754" s="2" t="s">
        <v>2010</v>
      </c>
      <c r="D1754" s="2" t="s">
        <v>2015</v>
      </c>
      <c r="E1754">
        <v>0</v>
      </c>
      <c r="F1754">
        <v>0</v>
      </c>
      <c r="G1754">
        <v>829.97</v>
      </c>
      <c r="H1754">
        <v>68057.540000000008</v>
      </c>
      <c r="I1754" s="2" t="s">
        <v>2024</v>
      </c>
      <c r="J1754" s="2" t="s">
        <v>2027</v>
      </c>
      <c r="K1754" s="2" t="s">
        <v>3542</v>
      </c>
      <c r="L1754" s="2" t="s">
        <v>4034</v>
      </c>
      <c r="M1754">
        <v>829.97</v>
      </c>
      <c r="N1754" s="2" t="s">
        <v>4042</v>
      </c>
      <c r="O1754">
        <v>82</v>
      </c>
      <c r="P1754">
        <v>68057.540000000008</v>
      </c>
      <c r="Q1754" t="b">
        <v>0</v>
      </c>
      <c r="R1754" t="b">
        <v>0</v>
      </c>
      <c r="S1754" t="b">
        <v>0</v>
      </c>
      <c r="T1754" t="b">
        <v>0</v>
      </c>
      <c r="U1754">
        <v>0</v>
      </c>
      <c r="V1754" t="s">
        <v>4073</v>
      </c>
    </row>
    <row r="1755" spans="1:22" hidden="1" x14ac:dyDescent="0.45">
      <c r="A1755" s="2" t="s">
        <v>1136</v>
      </c>
      <c r="B1755" s="11">
        <v>45027</v>
      </c>
      <c r="C1755" s="2" t="s">
        <v>2012</v>
      </c>
      <c r="D1755" s="2" t="s">
        <v>2017</v>
      </c>
      <c r="E1755">
        <v>1217.1199999999999</v>
      </c>
      <c r="F1755">
        <v>68158.720000000001</v>
      </c>
      <c r="G1755">
        <v>0</v>
      </c>
      <c r="H1755">
        <v>0</v>
      </c>
      <c r="I1755" s="2" t="s">
        <v>2024</v>
      </c>
      <c r="J1755" s="2" t="s">
        <v>2026</v>
      </c>
      <c r="K1755" s="2" t="s">
        <v>3157</v>
      </c>
      <c r="L1755" s="2" t="s">
        <v>4033</v>
      </c>
      <c r="M1755">
        <v>-1217.1199999999999</v>
      </c>
      <c r="N1755" s="2" t="s">
        <v>4044</v>
      </c>
      <c r="O1755">
        <v>56</v>
      </c>
      <c r="P1755">
        <v>-68158.720000000001</v>
      </c>
      <c r="Q1755" t="b">
        <v>0</v>
      </c>
      <c r="R1755" t="b">
        <v>0</v>
      </c>
      <c r="S1755" t="b">
        <v>0</v>
      </c>
      <c r="T1755" t="b">
        <v>0</v>
      </c>
      <c r="U1755">
        <v>0</v>
      </c>
      <c r="V1755" t="s">
        <v>4073</v>
      </c>
    </row>
    <row r="1756" spans="1:22" hidden="1" x14ac:dyDescent="0.45">
      <c r="A1756" s="2" t="s">
        <v>1977</v>
      </c>
      <c r="B1756" s="11">
        <v>45548</v>
      </c>
      <c r="C1756" s="2" t="s">
        <v>2011</v>
      </c>
      <c r="D1756" s="2" t="s">
        <v>2016</v>
      </c>
      <c r="E1756">
        <v>839.33</v>
      </c>
      <c r="F1756">
        <v>68825.06</v>
      </c>
      <c r="G1756">
        <v>0</v>
      </c>
      <c r="H1756">
        <v>0</v>
      </c>
      <c r="I1756" s="2" t="s">
        <v>2025</v>
      </c>
      <c r="J1756" s="2" t="s">
        <v>2030</v>
      </c>
      <c r="K1756" s="2" t="s">
        <v>3998</v>
      </c>
      <c r="L1756" s="2" t="s">
        <v>4034</v>
      </c>
      <c r="M1756">
        <v>-839.33</v>
      </c>
      <c r="N1756" s="2" t="s">
        <v>2016</v>
      </c>
      <c r="O1756">
        <v>82</v>
      </c>
      <c r="P1756">
        <v>-68825.06</v>
      </c>
      <c r="Q1756" t="b">
        <v>0</v>
      </c>
      <c r="R1756" t="b">
        <v>0</v>
      </c>
      <c r="S1756" t="b">
        <v>0</v>
      </c>
      <c r="T1756" t="b">
        <v>0</v>
      </c>
      <c r="U1756">
        <v>0</v>
      </c>
      <c r="V1756" t="s">
        <v>4073</v>
      </c>
    </row>
    <row r="1757" spans="1:22" hidden="1" x14ac:dyDescent="0.45">
      <c r="A1757" s="2" t="s">
        <v>301</v>
      </c>
      <c r="B1757" s="11">
        <v>45422</v>
      </c>
      <c r="C1757" s="2" t="s">
        <v>2013</v>
      </c>
      <c r="D1757" s="2" t="s">
        <v>2018</v>
      </c>
      <c r="E1757">
        <v>842.35</v>
      </c>
      <c r="F1757">
        <v>69072.7</v>
      </c>
      <c r="G1757">
        <v>0</v>
      </c>
      <c r="H1757">
        <v>0</v>
      </c>
      <c r="I1757" s="2" t="s">
        <v>2023</v>
      </c>
      <c r="J1757" s="2" t="s">
        <v>2029</v>
      </c>
      <c r="K1757" s="2" t="s">
        <v>2322</v>
      </c>
      <c r="L1757" s="2" t="s">
        <v>4034</v>
      </c>
      <c r="M1757">
        <v>-842.35</v>
      </c>
      <c r="N1757" s="2" t="s">
        <v>4044</v>
      </c>
      <c r="O1757">
        <v>82</v>
      </c>
      <c r="P1757">
        <v>-69072.7</v>
      </c>
      <c r="Q1757" t="b">
        <v>0</v>
      </c>
      <c r="R1757" t="b">
        <v>0</v>
      </c>
      <c r="S1757" t="b">
        <v>0</v>
      </c>
      <c r="T1757" t="b">
        <v>0</v>
      </c>
      <c r="U1757">
        <v>0</v>
      </c>
      <c r="V1757" t="s">
        <v>4073</v>
      </c>
    </row>
    <row r="1758" spans="1:22" hidden="1" x14ac:dyDescent="0.45">
      <c r="A1758" s="2" t="s">
        <v>1791</v>
      </c>
      <c r="B1758" s="11">
        <v>45161</v>
      </c>
      <c r="C1758" s="2" t="s">
        <v>2012</v>
      </c>
      <c r="D1758" s="2" t="s">
        <v>2017</v>
      </c>
      <c r="E1758">
        <v>670.62</v>
      </c>
      <c r="F1758">
        <v>69073.86</v>
      </c>
      <c r="G1758">
        <v>0</v>
      </c>
      <c r="H1758">
        <v>0</v>
      </c>
      <c r="I1758" s="2" t="s">
        <v>2021</v>
      </c>
      <c r="J1758" s="2" t="s">
        <v>2028</v>
      </c>
      <c r="K1758" s="2" t="s">
        <v>3812</v>
      </c>
      <c r="L1758" s="2" t="s">
        <v>4031</v>
      </c>
      <c r="M1758">
        <v>-670.62</v>
      </c>
      <c r="N1758" s="2" t="s">
        <v>4044</v>
      </c>
      <c r="O1758">
        <v>103</v>
      </c>
      <c r="P1758">
        <v>-69073.86</v>
      </c>
      <c r="Q1758" t="b">
        <v>0</v>
      </c>
      <c r="R1758" t="b">
        <v>0</v>
      </c>
      <c r="S1758" t="b">
        <v>0</v>
      </c>
      <c r="T1758" t="b">
        <v>0</v>
      </c>
      <c r="U1758">
        <v>0</v>
      </c>
      <c r="V1758" t="s">
        <v>4073</v>
      </c>
    </row>
    <row r="1759" spans="1:22" hidden="1" x14ac:dyDescent="0.45">
      <c r="A1759" s="2" t="s">
        <v>1242</v>
      </c>
      <c r="B1759" s="11">
        <v>45084</v>
      </c>
      <c r="C1759" s="2" t="s">
        <v>2011</v>
      </c>
      <c r="D1759" s="2" t="s">
        <v>2016</v>
      </c>
      <c r="E1759">
        <v>674.31</v>
      </c>
      <c r="F1759">
        <v>69453.929999999993</v>
      </c>
      <c r="G1759">
        <v>0</v>
      </c>
      <c r="H1759">
        <v>0</v>
      </c>
      <c r="I1759" s="2" t="s">
        <v>2021</v>
      </c>
      <c r="J1759" s="2" t="s">
        <v>2026</v>
      </c>
      <c r="K1759" s="2" t="s">
        <v>3263</v>
      </c>
      <c r="L1759" s="2" t="s">
        <v>4031</v>
      </c>
      <c r="M1759">
        <v>-674.31</v>
      </c>
      <c r="N1759" s="2" t="s">
        <v>2016</v>
      </c>
      <c r="O1759">
        <v>103</v>
      </c>
      <c r="P1759">
        <v>-69453.929999999993</v>
      </c>
      <c r="Q1759" t="b">
        <v>0</v>
      </c>
      <c r="R1759" t="b">
        <v>0</v>
      </c>
      <c r="S1759" t="b">
        <v>0</v>
      </c>
      <c r="T1759" t="b">
        <v>0</v>
      </c>
      <c r="U1759">
        <v>0</v>
      </c>
      <c r="V1759" t="s">
        <v>4073</v>
      </c>
    </row>
    <row r="1760" spans="1:22" hidden="1" x14ac:dyDescent="0.45">
      <c r="A1760" s="2" t="s">
        <v>719</v>
      </c>
      <c r="B1760" s="11">
        <v>45362</v>
      </c>
      <c r="C1760" s="2" t="s">
        <v>2014</v>
      </c>
      <c r="D1760" s="2" t="s">
        <v>2019</v>
      </c>
      <c r="E1760">
        <v>0</v>
      </c>
      <c r="F1760">
        <v>0</v>
      </c>
      <c r="G1760">
        <v>1155.8499999999999</v>
      </c>
      <c r="H1760">
        <v>70506.849999999991</v>
      </c>
      <c r="I1760" s="2" t="s">
        <v>2024</v>
      </c>
      <c r="J1760" s="2" t="s">
        <v>2030</v>
      </c>
      <c r="K1760" s="2" t="s">
        <v>2740</v>
      </c>
      <c r="L1760" s="2" t="s">
        <v>4035</v>
      </c>
      <c r="M1760">
        <v>1155.8499999999999</v>
      </c>
      <c r="N1760" s="2" t="s">
        <v>4042</v>
      </c>
      <c r="O1760">
        <v>61</v>
      </c>
      <c r="P1760">
        <v>70506.849999999991</v>
      </c>
      <c r="Q1760" t="b">
        <v>0</v>
      </c>
      <c r="R1760" t="b">
        <v>0</v>
      </c>
      <c r="S1760" t="b">
        <v>0</v>
      </c>
      <c r="T1760" t="b">
        <v>0</v>
      </c>
      <c r="U1760">
        <v>0</v>
      </c>
      <c r="V1760" t="s">
        <v>4073</v>
      </c>
    </row>
    <row r="1761" spans="1:22" hidden="1" x14ac:dyDescent="0.45">
      <c r="A1761" s="2" t="s">
        <v>274</v>
      </c>
      <c r="B1761" s="11">
        <v>45663</v>
      </c>
      <c r="C1761" s="2" t="s">
        <v>2011</v>
      </c>
      <c r="D1761" s="2" t="s">
        <v>2016</v>
      </c>
      <c r="E1761">
        <v>1157.8</v>
      </c>
      <c r="F1761">
        <v>70625.8</v>
      </c>
      <c r="G1761">
        <v>0</v>
      </c>
      <c r="H1761">
        <v>0</v>
      </c>
      <c r="I1761" s="2" t="s">
        <v>2020</v>
      </c>
      <c r="J1761" s="2" t="s">
        <v>2026</v>
      </c>
      <c r="K1761" s="2" t="s">
        <v>2295</v>
      </c>
      <c r="L1761" s="2" t="s">
        <v>4035</v>
      </c>
      <c r="M1761">
        <v>-1157.8</v>
      </c>
      <c r="N1761" s="2" t="s">
        <v>2016</v>
      </c>
      <c r="O1761">
        <v>61</v>
      </c>
      <c r="P1761">
        <v>-70625.8</v>
      </c>
      <c r="Q1761" t="b">
        <v>0</v>
      </c>
      <c r="R1761" t="b">
        <v>0</v>
      </c>
      <c r="S1761" t="b">
        <v>0</v>
      </c>
      <c r="T1761" t="b">
        <v>0</v>
      </c>
      <c r="U1761">
        <v>0</v>
      </c>
      <c r="V1761" t="s">
        <v>4073</v>
      </c>
    </row>
    <row r="1762" spans="1:22" hidden="1" x14ac:dyDescent="0.45">
      <c r="A1762" s="2" t="s">
        <v>730</v>
      </c>
      <c r="B1762" s="11">
        <v>45700</v>
      </c>
      <c r="C1762" s="2" t="s">
        <v>2011</v>
      </c>
      <c r="D1762" s="2" t="s">
        <v>2016</v>
      </c>
      <c r="E1762">
        <v>863.44</v>
      </c>
      <c r="F1762">
        <v>70802.080000000002</v>
      </c>
      <c r="G1762">
        <v>0</v>
      </c>
      <c r="H1762">
        <v>0</v>
      </c>
      <c r="I1762" s="2" t="s">
        <v>2023</v>
      </c>
      <c r="J1762" s="2" t="s">
        <v>2029</v>
      </c>
      <c r="K1762" s="2" t="s">
        <v>2751</v>
      </c>
      <c r="L1762" s="2" t="s">
        <v>4034</v>
      </c>
      <c r="M1762">
        <v>-863.44</v>
      </c>
      <c r="N1762" s="2" t="s">
        <v>2016</v>
      </c>
      <c r="O1762">
        <v>82</v>
      </c>
      <c r="P1762">
        <v>-70802.080000000002</v>
      </c>
      <c r="Q1762" t="b">
        <v>0</v>
      </c>
      <c r="R1762" t="b">
        <v>0</v>
      </c>
      <c r="S1762" t="b">
        <v>0</v>
      </c>
      <c r="T1762" t="b">
        <v>0</v>
      </c>
      <c r="U1762">
        <v>0</v>
      </c>
      <c r="V1762" t="s">
        <v>4073</v>
      </c>
    </row>
    <row r="1763" spans="1:22" hidden="1" x14ac:dyDescent="0.45">
      <c r="A1763" s="2" t="s">
        <v>1529</v>
      </c>
      <c r="B1763" s="11">
        <v>45601</v>
      </c>
      <c r="C1763" s="2" t="s">
        <v>2013</v>
      </c>
      <c r="D1763" s="2" t="s">
        <v>2018</v>
      </c>
      <c r="E1763">
        <v>1161.7</v>
      </c>
      <c r="F1763">
        <v>70863.7</v>
      </c>
      <c r="G1763">
        <v>0</v>
      </c>
      <c r="H1763">
        <v>0</v>
      </c>
      <c r="I1763" s="2" t="s">
        <v>2022</v>
      </c>
      <c r="J1763" s="2" t="s">
        <v>2030</v>
      </c>
      <c r="K1763" s="2" t="s">
        <v>3550</v>
      </c>
      <c r="L1763" s="2" t="s">
        <v>4035</v>
      </c>
      <c r="M1763">
        <v>-1161.7</v>
      </c>
      <c r="N1763" s="2" t="s">
        <v>4044</v>
      </c>
      <c r="O1763">
        <v>61</v>
      </c>
      <c r="P1763">
        <v>-70863.7</v>
      </c>
      <c r="Q1763" t="b">
        <v>0</v>
      </c>
      <c r="R1763" t="b">
        <v>0</v>
      </c>
      <c r="S1763" t="b">
        <v>0</v>
      </c>
      <c r="T1763" t="b">
        <v>0</v>
      </c>
      <c r="U1763">
        <v>0</v>
      </c>
      <c r="V1763" t="s">
        <v>4073</v>
      </c>
    </row>
    <row r="1764" spans="1:22" hidden="1" x14ac:dyDescent="0.45">
      <c r="A1764" s="2" t="s">
        <v>1333</v>
      </c>
      <c r="B1764" s="11">
        <v>45826</v>
      </c>
      <c r="C1764" s="2" t="s">
        <v>2014</v>
      </c>
      <c r="D1764" s="2" t="s">
        <v>2019</v>
      </c>
      <c r="E1764">
        <v>0</v>
      </c>
      <c r="F1764">
        <v>0</v>
      </c>
      <c r="G1764">
        <v>1269.44</v>
      </c>
      <c r="H1764">
        <v>71088.639999999999</v>
      </c>
      <c r="I1764" s="2" t="s">
        <v>2020</v>
      </c>
      <c r="J1764" s="2" t="s">
        <v>2029</v>
      </c>
      <c r="K1764" s="2" t="s">
        <v>3354</v>
      </c>
      <c r="L1764" s="2" t="s">
        <v>4033</v>
      </c>
      <c r="M1764">
        <v>1269.44</v>
      </c>
      <c r="N1764" s="2" t="s">
        <v>4042</v>
      </c>
      <c r="O1764">
        <v>56</v>
      </c>
      <c r="P1764">
        <v>71088.639999999999</v>
      </c>
      <c r="Q1764" t="b">
        <v>0</v>
      </c>
      <c r="R1764" t="b">
        <v>0</v>
      </c>
      <c r="S1764" t="b">
        <v>0</v>
      </c>
      <c r="T1764" t="b">
        <v>0</v>
      </c>
      <c r="U1764">
        <v>0</v>
      </c>
      <c r="V1764" t="s">
        <v>4073</v>
      </c>
    </row>
    <row r="1765" spans="1:22" hidden="1" x14ac:dyDescent="0.45">
      <c r="A1765" s="2" t="s">
        <v>1398</v>
      </c>
      <c r="B1765" s="11">
        <v>45391</v>
      </c>
      <c r="C1765" s="2" t="s">
        <v>2014</v>
      </c>
      <c r="D1765" s="2" t="s">
        <v>2019</v>
      </c>
      <c r="E1765">
        <v>0</v>
      </c>
      <c r="F1765">
        <v>0</v>
      </c>
      <c r="G1765">
        <v>1270.57</v>
      </c>
      <c r="H1765">
        <v>71151.92</v>
      </c>
      <c r="I1765" s="2" t="s">
        <v>2022</v>
      </c>
      <c r="J1765" s="2" t="s">
        <v>2027</v>
      </c>
      <c r="K1765" s="2" t="s">
        <v>3419</v>
      </c>
      <c r="L1765" s="2" t="s">
        <v>4033</v>
      </c>
      <c r="M1765">
        <v>1270.57</v>
      </c>
      <c r="N1765" s="2" t="s">
        <v>4042</v>
      </c>
      <c r="O1765">
        <v>56</v>
      </c>
      <c r="P1765">
        <v>71151.92</v>
      </c>
      <c r="Q1765" t="b">
        <v>0</v>
      </c>
      <c r="R1765" t="b">
        <v>0</v>
      </c>
      <c r="S1765" t="b">
        <v>0</v>
      </c>
      <c r="T1765" t="b">
        <v>0</v>
      </c>
      <c r="U1765">
        <v>0</v>
      </c>
      <c r="V1765" t="s">
        <v>4073</v>
      </c>
    </row>
    <row r="1766" spans="1:22" hidden="1" x14ac:dyDescent="0.45">
      <c r="A1766" s="2" t="s">
        <v>449</v>
      </c>
      <c r="B1766" s="11">
        <v>45455</v>
      </c>
      <c r="C1766" s="2" t="s">
        <v>2013</v>
      </c>
      <c r="D1766" s="2" t="s">
        <v>2018</v>
      </c>
      <c r="E1766">
        <v>808.94</v>
      </c>
      <c r="F1766">
        <v>71186.720000000001</v>
      </c>
      <c r="G1766">
        <v>0</v>
      </c>
      <c r="H1766">
        <v>0</v>
      </c>
      <c r="I1766" s="2" t="s">
        <v>2025</v>
      </c>
      <c r="J1766" s="2" t="s">
        <v>2027</v>
      </c>
      <c r="K1766" s="2" t="s">
        <v>2470</v>
      </c>
      <c r="L1766" s="2" t="s">
        <v>4032</v>
      </c>
      <c r="M1766">
        <v>-808.94</v>
      </c>
      <c r="N1766" s="2" t="s">
        <v>4044</v>
      </c>
      <c r="O1766">
        <v>88</v>
      </c>
      <c r="P1766">
        <v>-71186.720000000001</v>
      </c>
      <c r="Q1766" t="b">
        <v>0</v>
      </c>
      <c r="R1766" t="b">
        <v>0</v>
      </c>
      <c r="S1766" t="b">
        <v>0</v>
      </c>
      <c r="T1766" t="b">
        <v>0</v>
      </c>
      <c r="U1766">
        <v>0</v>
      </c>
      <c r="V1766" t="s">
        <v>4073</v>
      </c>
    </row>
    <row r="1767" spans="1:22" hidden="1" x14ac:dyDescent="0.45">
      <c r="A1767" s="2" t="s">
        <v>1445</v>
      </c>
      <c r="B1767" s="11">
        <v>45422</v>
      </c>
      <c r="C1767" s="2" t="s">
        <v>2013</v>
      </c>
      <c r="D1767" s="2" t="s">
        <v>2018</v>
      </c>
      <c r="E1767">
        <v>868.34</v>
      </c>
      <c r="F1767">
        <v>71203.88</v>
      </c>
      <c r="G1767">
        <v>0</v>
      </c>
      <c r="H1767">
        <v>0</v>
      </c>
      <c r="I1767" s="2" t="s">
        <v>2021</v>
      </c>
      <c r="J1767" s="2" t="s">
        <v>2028</v>
      </c>
      <c r="K1767" s="2" t="s">
        <v>3466</v>
      </c>
      <c r="L1767" s="2" t="s">
        <v>4034</v>
      </c>
      <c r="M1767">
        <v>-868.34</v>
      </c>
      <c r="N1767" s="2" t="s">
        <v>4044</v>
      </c>
      <c r="O1767">
        <v>82</v>
      </c>
      <c r="P1767">
        <v>-71203.88</v>
      </c>
      <c r="Q1767" t="b">
        <v>0</v>
      </c>
      <c r="R1767" t="b">
        <v>0</v>
      </c>
      <c r="S1767" t="b">
        <v>0</v>
      </c>
      <c r="T1767" t="b">
        <v>0</v>
      </c>
      <c r="U1767">
        <v>0</v>
      </c>
      <c r="V1767" t="s">
        <v>4073</v>
      </c>
    </row>
    <row r="1768" spans="1:22" hidden="1" x14ac:dyDescent="0.45">
      <c r="A1768" s="2" t="s">
        <v>739</v>
      </c>
      <c r="B1768" s="11">
        <v>45450</v>
      </c>
      <c r="C1768" s="2" t="s">
        <v>2012</v>
      </c>
      <c r="D1768" s="2" t="s">
        <v>2017</v>
      </c>
      <c r="E1768">
        <v>1171.3</v>
      </c>
      <c r="F1768">
        <v>71449.3</v>
      </c>
      <c r="G1768">
        <v>0</v>
      </c>
      <c r="H1768">
        <v>0</v>
      </c>
      <c r="I1768" s="2" t="s">
        <v>2020</v>
      </c>
      <c r="J1768" s="2" t="s">
        <v>2026</v>
      </c>
      <c r="K1768" s="2" t="s">
        <v>2760</v>
      </c>
      <c r="L1768" s="2" t="s">
        <v>4035</v>
      </c>
      <c r="M1768">
        <v>-1171.3</v>
      </c>
      <c r="N1768" s="2" t="s">
        <v>4044</v>
      </c>
      <c r="O1768">
        <v>61</v>
      </c>
      <c r="P1768">
        <v>-71449.3</v>
      </c>
      <c r="Q1768" t="b">
        <v>0</v>
      </c>
      <c r="R1768" t="b">
        <v>0</v>
      </c>
      <c r="S1768" t="b">
        <v>0</v>
      </c>
      <c r="T1768" t="b">
        <v>0</v>
      </c>
      <c r="U1768">
        <v>0</v>
      </c>
      <c r="V1768" t="s">
        <v>4073</v>
      </c>
    </row>
    <row r="1769" spans="1:22" hidden="1" x14ac:dyDescent="0.45">
      <c r="A1769" s="2" t="s">
        <v>1442</v>
      </c>
      <c r="B1769" s="11">
        <v>45663</v>
      </c>
      <c r="C1769" s="2" t="s">
        <v>2012</v>
      </c>
      <c r="D1769" s="2" t="s">
        <v>2017</v>
      </c>
      <c r="E1769">
        <v>875.44</v>
      </c>
      <c r="F1769">
        <v>71786.080000000002</v>
      </c>
      <c r="G1769">
        <v>0</v>
      </c>
      <c r="H1769">
        <v>0</v>
      </c>
      <c r="I1769" s="2" t="s">
        <v>2021</v>
      </c>
      <c r="J1769" s="2" t="s">
        <v>2026</v>
      </c>
      <c r="K1769" s="2" t="s">
        <v>3463</v>
      </c>
      <c r="L1769" s="2" t="s">
        <v>4034</v>
      </c>
      <c r="M1769">
        <v>-875.44</v>
      </c>
      <c r="N1769" s="2" t="s">
        <v>4044</v>
      </c>
      <c r="O1769">
        <v>82</v>
      </c>
      <c r="P1769">
        <v>-71786.080000000002</v>
      </c>
      <c r="Q1769" t="b">
        <v>0</v>
      </c>
      <c r="R1769" t="b">
        <v>0</v>
      </c>
      <c r="S1769" t="b">
        <v>0</v>
      </c>
      <c r="T1769" t="b">
        <v>0</v>
      </c>
      <c r="U1769">
        <v>0</v>
      </c>
      <c r="V1769" t="s">
        <v>4073</v>
      </c>
    </row>
    <row r="1770" spans="1:22" hidden="1" x14ac:dyDescent="0.45">
      <c r="A1770" s="2" t="s">
        <v>152</v>
      </c>
      <c r="B1770" s="11">
        <v>45147</v>
      </c>
      <c r="C1770" s="2" t="s">
        <v>2014</v>
      </c>
      <c r="D1770" s="2" t="s">
        <v>2019</v>
      </c>
      <c r="E1770">
        <v>0</v>
      </c>
      <c r="F1770">
        <v>0</v>
      </c>
      <c r="G1770">
        <v>1112.1600000000001</v>
      </c>
      <c r="H1770">
        <v>67841.760000000009</v>
      </c>
      <c r="I1770" s="2" t="s">
        <v>2024</v>
      </c>
      <c r="J1770" s="2" t="s">
        <v>2029</v>
      </c>
      <c r="K1770" s="2" t="s">
        <v>2173</v>
      </c>
      <c r="L1770" s="2" t="s">
        <v>4035</v>
      </c>
      <c r="M1770">
        <v>1112.1600000000001</v>
      </c>
      <c r="N1770" s="2" t="s">
        <v>4042</v>
      </c>
      <c r="O1770">
        <v>61</v>
      </c>
      <c r="P1770">
        <v>67841.760000000009</v>
      </c>
      <c r="Q1770" t="b">
        <v>0</v>
      </c>
      <c r="R1770" t="b">
        <v>0</v>
      </c>
      <c r="S1770" t="b">
        <v>0</v>
      </c>
      <c r="T1770" t="b">
        <v>0</v>
      </c>
      <c r="U1770">
        <v>0</v>
      </c>
      <c r="V1770" t="s">
        <v>4073</v>
      </c>
    </row>
    <row r="1771" spans="1:22" hidden="1" x14ac:dyDescent="0.45">
      <c r="A1771" s="2" t="s">
        <v>525</v>
      </c>
      <c r="B1771" s="11">
        <v>45554</v>
      </c>
      <c r="C1771" s="2" t="s">
        <v>2012</v>
      </c>
      <c r="D1771" s="2" t="s">
        <v>2017</v>
      </c>
      <c r="E1771">
        <v>1283.72</v>
      </c>
      <c r="F1771">
        <v>71888.320000000007</v>
      </c>
      <c r="G1771">
        <v>0</v>
      </c>
      <c r="H1771">
        <v>0</v>
      </c>
      <c r="I1771" s="2" t="s">
        <v>2020</v>
      </c>
      <c r="J1771" s="2" t="s">
        <v>2029</v>
      </c>
      <c r="K1771" s="2" t="s">
        <v>2546</v>
      </c>
      <c r="L1771" s="2" t="s">
        <v>4033</v>
      </c>
      <c r="M1771">
        <v>-1283.72</v>
      </c>
      <c r="N1771" s="2" t="s">
        <v>4044</v>
      </c>
      <c r="O1771">
        <v>56</v>
      </c>
      <c r="P1771">
        <v>-71888.320000000007</v>
      </c>
      <c r="Q1771" t="b">
        <v>0</v>
      </c>
      <c r="R1771" t="b">
        <v>0</v>
      </c>
      <c r="S1771" t="b">
        <v>0</v>
      </c>
      <c r="T1771" t="b">
        <v>0</v>
      </c>
      <c r="U1771">
        <v>0</v>
      </c>
      <c r="V1771" t="s">
        <v>4073</v>
      </c>
    </row>
    <row r="1772" spans="1:22" hidden="1" x14ac:dyDescent="0.45">
      <c r="A1772" s="2" t="s">
        <v>1204</v>
      </c>
      <c r="B1772" s="11">
        <v>45352</v>
      </c>
      <c r="C1772" s="2" t="s">
        <v>2012</v>
      </c>
      <c r="D1772" s="2" t="s">
        <v>2017</v>
      </c>
      <c r="E1772">
        <v>825.81</v>
      </c>
      <c r="F1772">
        <v>67716.42</v>
      </c>
      <c r="G1772">
        <v>0</v>
      </c>
      <c r="H1772">
        <v>0</v>
      </c>
      <c r="I1772" s="2" t="s">
        <v>2022</v>
      </c>
      <c r="J1772" s="2" t="s">
        <v>2030</v>
      </c>
      <c r="K1772" s="2" t="s">
        <v>3225</v>
      </c>
      <c r="L1772" s="2" t="s">
        <v>4034</v>
      </c>
      <c r="M1772">
        <v>-825.81</v>
      </c>
      <c r="N1772" s="2" t="s">
        <v>4044</v>
      </c>
      <c r="O1772">
        <v>82</v>
      </c>
      <c r="P1772">
        <v>-67716.42</v>
      </c>
      <c r="Q1772" t="b">
        <v>0</v>
      </c>
      <c r="R1772" t="b">
        <v>0</v>
      </c>
      <c r="S1772" t="b">
        <v>0</v>
      </c>
      <c r="T1772" t="b">
        <v>0</v>
      </c>
      <c r="U1772">
        <v>0</v>
      </c>
      <c r="V1772" t="s">
        <v>4073</v>
      </c>
    </row>
    <row r="1773" spans="1:22" hidden="1" x14ac:dyDescent="0.45">
      <c r="A1773" s="2" t="s">
        <v>1307</v>
      </c>
      <c r="B1773" s="11">
        <v>45418</v>
      </c>
      <c r="C1773" s="2" t="s">
        <v>2010</v>
      </c>
      <c r="D1773" s="2" t="s">
        <v>2015</v>
      </c>
      <c r="E1773">
        <v>0</v>
      </c>
      <c r="F1773">
        <v>0</v>
      </c>
      <c r="G1773">
        <v>763.55</v>
      </c>
      <c r="H1773">
        <v>67192.399999999994</v>
      </c>
      <c r="I1773" s="2" t="s">
        <v>2021</v>
      </c>
      <c r="J1773" s="2" t="s">
        <v>2026</v>
      </c>
      <c r="K1773" s="2" t="s">
        <v>3328</v>
      </c>
      <c r="L1773" s="2" t="s">
        <v>4032</v>
      </c>
      <c r="M1773">
        <v>763.55</v>
      </c>
      <c r="N1773" s="2" t="s">
        <v>4042</v>
      </c>
      <c r="O1773">
        <v>88</v>
      </c>
      <c r="P1773">
        <v>67192.399999999994</v>
      </c>
      <c r="Q1773" t="b">
        <v>0</v>
      </c>
      <c r="R1773" t="b">
        <v>0</v>
      </c>
      <c r="S1773" t="b">
        <v>0</v>
      </c>
      <c r="T1773" t="b">
        <v>0</v>
      </c>
      <c r="U1773">
        <v>0</v>
      </c>
      <c r="V1773" t="s">
        <v>4073</v>
      </c>
    </row>
    <row r="1774" spans="1:22" hidden="1" x14ac:dyDescent="0.45">
      <c r="A1774" s="2" t="s">
        <v>1850</v>
      </c>
      <c r="B1774" s="11">
        <v>45615</v>
      </c>
      <c r="C1774" s="2" t="s">
        <v>2013</v>
      </c>
      <c r="D1774" s="2" t="s">
        <v>2018</v>
      </c>
      <c r="E1774">
        <v>794.56</v>
      </c>
      <c r="F1774">
        <v>65153.919999999998</v>
      </c>
      <c r="G1774">
        <v>0</v>
      </c>
      <c r="H1774">
        <v>0</v>
      </c>
      <c r="I1774" s="2" t="s">
        <v>2025</v>
      </c>
      <c r="J1774" s="2" t="s">
        <v>2030</v>
      </c>
      <c r="K1774" s="2" t="s">
        <v>3871</v>
      </c>
      <c r="L1774" s="2" t="s">
        <v>4034</v>
      </c>
      <c r="M1774">
        <v>-794.56</v>
      </c>
      <c r="N1774" s="2" t="s">
        <v>4044</v>
      </c>
      <c r="O1774">
        <v>82</v>
      </c>
      <c r="P1774">
        <v>-65153.919999999998</v>
      </c>
      <c r="Q1774" t="b">
        <v>0</v>
      </c>
      <c r="R1774" t="b">
        <v>0</v>
      </c>
      <c r="S1774" t="b">
        <v>0</v>
      </c>
      <c r="T1774" t="b">
        <v>0</v>
      </c>
      <c r="U1774">
        <v>0</v>
      </c>
      <c r="V1774" t="s">
        <v>4073</v>
      </c>
    </row>
    <row r="1775" spans="1:22" hidden="1" x14ac:dyDescent="0.45">
      <c r="A1775" s="2" t="s">
        <v>1280</v>
      </c>
      <c r="B1775" s="11">
        <v>45517</v>
      </c>
      <c r="C1775" s="2" t="s">
        <v>2011</v>
      </c>
      <c r="D1775" s="2" t="s">
        <v>2016</v>
      </c>
      <c r="E1775">
        <v>1165.1300000000001</v>
      </c>
      <c r="F1775">
        <v>65247.280000000006</v>
      </c>
      <c r="G1775">
        <v>0</v>
      </c>
      <c r="H1775">
        <v>0</v>
      </c>
      <c r="I1775" s="2" t="s">
        <v>2022</v>
      </c>
      <c r="J1775" s="2" t="s">
        <v>2027</v>
      </c>
      <c r="K1775" s="2" t="s">
        <v>3301</v>
      </c>
      <c r="L1775" s="2" t="s">
        <v>4033</v>
      </c>
      <c r="M1775">
        <v>-1165.1300000000001</v>
      </c>
      <c r="N1775" s="2" t="s">
        <v>2016</v>
      </c>
      <c r="O1775">
        <v>56</v>
      </c>
      <c r="P1775">
        <v>-65247.280000000006</v>
      </c>
      <c r="Q1775" t="b">
        <v>0</v>
      </c>
      <c r="R1775" t="b">
        <v>0</v>
      </c>
      <c r="S1775" t="b">
        <v>0</v>
      </c>
      <c r="T1775" t="b">
        <v>0</v>
      </c>
      <c r="U1775">
        <v>0</v>
      </c>
      <c r="V1775" t="s">
        <v>4073</v>
      </c>
    </row>
    <row r="1776" spans="1:22" hidden="1" x14ac:dyDescent="0.45">
      <c r="A1776" s="2" t="s">
        <v>1648</v>
      </c>
      <c r="B1776" s="11">
        <v>45282</v>
      </c>
      <c r="C1776" s="2" t="s">
        <v>2011</v>
      </c>
      <c r="D1776" s="2" t="s">
        <v>2016</v>
      </c>
      <c r="E1776">
        <v>1165.1400000000001</v>
      </c>
      <c r="F1776">
        <v>65247.840000000004</v>
      </c>
      <c r="G1776">
        <v>0</v>
      </c>
      <c r="H1776">
        <v>0</v>
      </c>
      <c r="I1776" s="2" t="s">
        <v>2021</v>
      </c>
      <c r="J1776" s="2" t="s">
        <v>2030</v>
      </c>
      <c r="K1776" s="2" t="s">
        <v>3669</v>
      </c>
      <c r="L1776" s="2" t="s">
        <v>4033</v>
      </c>
      <c r="M1776">
        <v>-1165.1400000000001</v>
      </c>
      <c r="N1776" s="2" t="s">
        <v>2016</v>
      </c>
      <c r="O1776">
        <v>56</v>
      </c>
      <c r="P1776">
        <v>-65247.840000000004</v>
      </c>
      <c r="Q1776" t="b">
        <v>0</v>
      </c>
      <c r="R1776" t="b">
        <v>0</v>
      </c>
      <c r="S1776" t="b">
        <v>0</v>
      </c>
      <c r="T1776" t="b">
        <v>0</v>
      </c>
      <c r="U1776">
        <v>0</v>
      </c>
      <c r="V1776" t="s">
        <v>4073</v>
      </c>
    </row>
    <row r="1777" spans="1:22" hidden="1" x14ac:dyDescent="0.45">
      <c r="A1777" s="2" t="s">
        <v>1985</v>
      </c>
      <c r="B1777" s="11">
        <v>45484</v>
      </c>
      <c r="C1777" s="2" t="s">
        <v>2013</v>
      </c>
      <c r="D1777" s="2" t="s">
        <v>2018</v>
      </c>
      <c r="E1777">
        <v>1165.8499999999999</v>
      </c>
      <c r="F1777">
        <v>65287.599999999991</v>
      </c>
      <c r="G1777">
        <v>0</v>
      </c>
      <c r="H1777">
        <v>0</v>
      </c>
      <c r="I1777" s="2" t="s">
        <v>2021</v>
      </c>
      <c r="J1777" s="2" t="s">
        <v>2030</v>
      </c>
      <c r="K1777" s="2" t="s">
        <v>4006</v>
      </c>
      <c r="L1777" s="2" t="s">
        <v>4033</v>
      </c>
      <c r="M1777">
        <v>-1165.8499999999999</v>
      </c>
      <c r="N1777" s="2" t="s">
        <v>4044</v>
      </c>
      <c r="O1777">
        <v>56</v>
      </c>
      <c r="P1777">
        <v>-65287.599999999991</v>
      </c>
      <c r="Q1777" t="b">
        <v>0</v>
      </c>
      <c r="R1777" t="b">
        <v>0</v>
      </c>
      <c r="S1777" t="b">
        <v>0</v>
      </c>
      <c r="T1777" t="b">
        <v>0</v>
      </c>
      <c r="U1777">
        <v>0</v>
      </c>
      <c r="V1777" t="s">
        <v>4073</v>
      </c>
    </row>
    <row r="1778" spans="1:22" hidden="1" x14ac:dyDescent="0.45">
      <c r="A1778" s="2" t="s">
        <v>328</v>
      </c>
      <c r="B1778" s="11">
        <v>45301</v>
      </c>
      <c r="C1778" s="2" t="s">
        <v>2014</v>
      </c>
      <c r="D1778" s="2" t="s">
        <v>2019</v>
      </c>
      <c r="E1778">
        <v>0</v>
      </c>
      <c r="F1778">
        <v>0</v>
      </c>
      <c r="G1778">
        <v>1167.53</v>
      </c>
      <c r="H1778">
        <v>65381.68</v>
      </c>
      <c r="I1778" s="2" t="s">
        <v>2021</v>
      </c>
      <c r="J1778" s="2" t="s">
        <v>2027</v>
      </c>
      <c r="K1778" s="2" t="s">
        <v>2349</v>
      </c>
      <c r="L1778" s="2" t="s">
        <v>4033</v>
      </c>
      <c r="M1778">
        <v>1167.53</v>
      </c>
      <c r="N1778" s="2" t="s">
        <v>4042</v>
      </c>
      <c r="O1778">
        <v>56</v>
      </c>
      <c r="P1778">
        <v>65381.68</v>
      </c>
      <c r="Q1778" t="b">
        <v>0</v>
      </c>
      <c r="R1778" t="b">
        <v>0</v>
      </c>
      <c r="S1778" t="b">
        <v>0</v>
      </c>
      <c r="T1778" t="b">
        <v>0</v>
      </c>
      <c r="U1778">
        <v>0</v>
      </c>
      <c r="V1778" t="s">
        <v>4073</v>
      </c>
    </row>
    <row r="1779" spans="1:22" hidden="1" x14ac:dyDescent="0.45">
      <c r="A1779" s="2" t="s">
        <v>635</v>
      </c>
      <c r="B1779" s="11">
        <v>45338</v>
      </c>
      <c r="C1779" s="2" t="s">
        <v>2010</v>
      </c>
      <c r="D1779" s="2" t="s">
        <v>2015</v>
      </c>
      <c r="E1779">
        <v>0</v>
      </c>
      <c r="F1779">
        <v>0</v>
      </c>
      <c r="G1779">
        <v>1073.3499999999999</v>
      </c>
      <c r="H1779">
        <v>65474.349999999991</v>
      </c>
      <c r="I1779" s="2" t="s">
        <v>2021</v>
      </c>
      <c r="J1779" s="2" t="s">
        <v>2026</v>
      </c>
      <c r="K1779" s="2" t="s">
        <v>2656</v>
      </c>
      <c r="L1779" s="2" t="s">
        <v>4035</v>
      </c>
      <c r="M1779">
        <v>1073.3499999999999</v>
      </c>
      <c r="N1779" s="2" t="s">
        <v>4042</v>
      </c>
      <c r="O1779">
        <v>61</v>
      </c>
      <c r="P1779">
        <v>65474.349999999991</v>
      </c>
      <c r="Q1779" t="b">
        <v>0</v>
      </c>
      <c r="R1779" t="b">
        <v>0</v>
      </c>
      <c r="S1779" t="b">
        <v>0</v>
      </c>
      <c r="T1779" t="b">
        <v>0</v>
      </c>
      <c r="U1779">
        <v>0</v>
      </c>
      <c r="V1779" t="s">
        <v>4073</v>
      </c>
    </row>
    <row r="1780" spans="1:22" hidden="1" x14ac:dyDescent="0.45">
      <c r="A1780" s="2" t="s">
        <v>339</v>
      </c>
      <c r="B1780" s="11">
        <v>45783</v>
      </c>
      <c r="C1780" s="2" t="s">
        <v>2013</v>
      </c>
      <c r="D1780" s="2" t="s">
        <v>2018</v>
      </c>
      <c r="E1780">
        <v>745.46</v>
      </c>
      <c r="F1780">
        <v>65600.48000000001</v>
      </c>
      <c r="G1780">
        <v>0</v>
      </c>
      <c r="H1780">
        <v>0</v>
      </c>
      <c r="I1780" s="2" t="s">
        <v>2024</v>
      </c>
      <c r="J1780" s="2" t="s">
        <v>2026</v>
      </c>
      <c r="K1780" s="2" t="s">
        <v>2360</v>
      </c>
      <c r="L1780" s="2" t="s">
        <v>4032</v>
      </c>
      <c r="M1780">
        <v>-745.46</v>
      </c>
      <c r="N1780" s="2" t="s">
        <v>4044</v>
      </c>
      <c r="O1780">
        <v>88</v>
      </c>
      <c r="P1780">
        <v>-65600.48000000001</v>
      </c>
      <c r="Q1780" t="b">
        <v>0</v>
      </c>
      <c r="R1780" t="b">
        <v>0</v>
      </c>
      <c r="S1780" t="b">
        <v>0</v>
      </c>
      <c r="T1780" t="b">
        <v>0</v>
      </c>
      <c r="U1780">
        <v>0</v>
      </c>
      <c r="V1780" t="s">
        <v>4073</v>
      </c>
    </row>
    <row r="1781" spans="1:22" hidden="1" x14ac:dyDescent="0.45">
      <c r="A1781" s="2" t="s">
        <v>1914</v>
      </c>
      <c r="B1781" s="11">
        <v>45069</v>
      </c>
      <c r="C1781" s="2" t="s">
        <v>2011</v>
      </c>
      <c r="D1781" s="2" t="s">
        <v>2016</v>
      </c>
      <c r="E1781">
        <v>801.83</v>
      </c>
      <c r="F1781">
        <v>65750.06</v>
      </c>
      <c r="G1781">
        <v>0</v>
      </c>
      <c r="H1781">
        <v>0</v>
      </c>
      <c r="I1781" s="2" t="s">
        <v>2022</v>
      </c>
      <c r="J1781" s="2" t="s">
        <v>2028</v>
      </c>
      <c r="K1781" s="2" t="s">
        <v>3935</v>
      </c>
      <c r="L1781" s="2" t="s">
        <v>4034</v>
      </c>
      <c r="M1781">
        <v>-801.83</v>
      </c>
      <c r="N1781" s="2" t="s">
        <v>2016</v>
      </c>
      <c r="O1781">
        <v>82</v>
      </c>
      <c r="P1781">
        <v>-65750.06</v>
      </c>
      <c r="Q1781" t="b">
        <v>0</v>
      </c>
      <c r="R1781" t="b">
        <v>0</v>
      </c>
      <c r="S1781" t="b">
        <v>0</v>
      </c>
      <c r="T1781" t="b">
        <v>0</v>
      </c>
      <c r="U1781">
        <v>0</v>
      </c>
      <c r="V1781" t="s">
        <v>4073</v>
      </c>
    </row>
    <row r="1782" spans="1:22" hidden="1" x14ac:dyDescent="0.45">
      <c r="A1782" s="2" t="s">
        <v>179</v>
      </c>
      <c r="B1782" s="11">
        <v>44943</v>
      </c>
      <c r="C1782" s="2" t="s">
        <v>2012</v>
      </c>
      <c r="D1782" s="2" t="s">
        <v>2017</v>
      </c>
      <c r="E1782">
        <v>1174.4100000000001</v>
      </c>
      <c r="F1782">
        <v>65766.960000000006</v>
      </c>
      <c r="G1782">
        <v>0</v>
      </c>
      <c r="H1782">
        <v>0</v>
      </c>
      <c r="I1782" s="2" t="s">
        <v>2020</v>
      </c>
      <c r="J1782" s="2" t="s">
        <v>2026</v>
      </c>
      <c r="K1782" s="2" t="s">
        <v>2200</v>
      </c>
      <c r="L1782" s="2" t="s">
        <v>4033</v>
      </c>
      <c r="M1782">
        <v>-1174.4100000000001</v>
      </c>
      <c r="N1782" s="2" t="s">
        <v>4044</v>
      </c>
      <c r="O1782">
        <v>56</v>
      </c>
      <c r="P1782">
        <v>-65766.960000000006</v>
      </c>
      <c r="Q1782" t="b">
        <v>0</v>
      </c>
      <c r="R1782" t="b">
        <v>0</v>
      </c>
      <c r="S1782" t="b">
        <v>0</v>
      </c>
      <c r="T1782" t="b">
        <v>0</v>
      </c>
      <c r="U1782">
        <v>0</v>
      </c>
      <c r="V1782" t="s">
        <v>4073</v>
      </c>
    </row>
    <row r="1783" spans="1:22" hidden="1" x14ac:dyDescent="0.45">
      <c r="A1783" s="2" t="s">
        <v>12</v>
      </c>
      <c r="B1783" s="11">
        <v>45666</v>
      </c>
      <c r="C1783" s="2" t="s">
        <v>2011</v>
      </c>
      <c r="D1783" s="2" t="s">
        <v>2016</v>
      </c>
      <c r="E1783">
        <v>748.25</v>
      </c>
      <c r="F1783">
        <v>65846</v>
      </c>
      <c r="G1783">
        <v>0</v>
      </c>
      <c r="H1783">
        <v>0</v>
      </c>
      <c r="I1783" s="2" t="s">
        <v>2022</v>
      </c>
      <c r="J1783" s="2" t="s">
        <v>2027</v>
      </c>
      <c r="K1783" s="2" t="s">
        <v>2033</v>
      </c>
      <c r="L1783" s="2" t="s">
        <v>4032</v>
      </c>
      <c r="M1783">
        <v>-748.25</v>
      </c>
      <c r="N1783" s="2" t="s">
        <v>2016</v>
      </c>
      <c r="O1783">
        <v>88</v>
      </c>
      <c r="P1783">
        <v>-65846</v>
      </c>
      <c r="Q1783" t="b">
        <v>0</v>
      </c>
      <c r="R1783" t="b">
        <v>0</v>
      </c>
      <c r="S1783" t="b">
        <v>0</v>
      </c>
      <c r="T1783" t="b">
        <v>0</v>
      </c>
      <c r="U1783">
        <v>0</v>
      </c>
      <c r="V1783" t="s">
        <v>4073</v>
      </c>
    </row>
    <row r="1784" spans="1:22" hidden="1" x14ac:dyDescent="0.45">
      <c r="A1784" s="2" t="s">
        <v>1163</v>
      </c>
      <c r="B1784" s="11">
        <v>45405</v>
      </c>
      <c r="C1784" s="2" t="s">
        <v>2012</v>
      </c>
      <c r="D1784" s="2" t="s">
        <v>2017</v>
      </c>
      <c r="E1784">
        <v>1084.73</v>
      </c>
      <c r="F1784">
        <v>66168.53</v>
      </c>
      <c r="G1784">
        <v>0</v>
      </c>
      <c r="H1784">
        <v>0</v>
      </c>
      <c r="I1784" s="2" t="s">
        <v>2020</v>
      </c>
      <c r="J1784" s="2" t="s">
        <v>2030</v>
      </c>
      <c r="K1784" s="2" t="s">
        <v>3184</v>
      </c>
      <c r="L1784" s="2" t="s">
        <v>4035</v>
      </c>
      <c r="M1784">
        <v>-1084.73</v>
      </c>
      <c r="N1784" s="2" t="s">
        <v>4044</v>
      </c>
      <c r="O1784">
        <v>61</v>
      </c>
      <c r="P1784">
        <v>-66168.53</v>
      </c>
      <c r="Q1784" t="b">
        <v>0</v>
      </c>
      <c r="R1784" t="b">
        <v>0</v>
      </c>
      <c r="S1784" t="b">
        <v>0</v>
      </c>
      <c r="T1784" t="b">
        <v>0</v>
      </c>
      <c r="U1784">
        <v>0</v>
      </c>
      <c r="V1784" t="s">
        <v>4073</v>
      </c>
    </row>
    <row r="1785" spans="1:22" hidden="1" x14ac:dyDescent="0.45">
      <c r="A1785" s="2" t="s">
        <v>156</v>
      </c>
      <c r="B1785" s="11">
        <v>45068</v>
      </c>
      <c r="C1785" s="2" t="s">
        <v>2011</v>
      </c>
      <c r="D1785" s="2" t="s">
        <v>2016</v>
      </c>
      <c r="E1785">
        <v>1091.43</v>
      </c>
      <c r="F1785">
        <v>66577.23000000001</v>
      </c>
      <c r="G1785">
        <v>0</v>
      </c>
      <c r="H1785">
        <v>0</v>
      </c>
      <c r="I1785" s="2" t="s">
        <v>2022</v>
      </c>
      <c r="J1785" s="2" t="s">
        <v>2029</v>
      </c>
      <c r="K1785" s="2" t="s">
        <v>2177</v>
      </c>
      <c r="L1785" s="2" t="s">
        <v>4035</v>
      </c>
      <c r="M1785">
        <v>-1091.43</v>
      </c>
      <c r="N1785" s="2" t="s">
        <v>2016</v>
      </c>
      <c r="O1785">
        <v>61</v>
      </c>
      <c r="P1785">
        <v>-66577.23000000001</v>
      </c>
      <c r="Q1785" t="b">
        <v>0</v>
      </c>
      <c r="R1785" t="b">
        <v>0</v>
      </c>
      <c r="S1785" t="b">
        <v>0</v>
      </c>
      <c r="T1785" t="b">
        <v>0</v>
      </c>
      <c r="U1785">
        <v>0</v>
      </c>
      <c r="V1785" t="s">
        <v>4073</v>
      </c>
    </row>
    <row r="1786" spans="1:22" hidden="1" x14ac:dyDescent="0.45">
      <c r="A1786" s="2" t="s">
        <v>1707</v>
      </c>
      <c r="B1786" s="11">
        <v>45160</v>
      </c>
      <c r="C1786" s="2" t="s">
        <v>2010</v>
      </c>
      <c r="D1786" s="2" t="s">
        <v>2015</v>
      </c>
      <c r="E1786">
        <v>0</v>
      </c>
      <c r="F1786">
        <v>0</v>
      </c>
      <c r="G1786">
        <v>1092.32</v>
      </c>
      <c r="H1786">
        <v>66631.51999999999</v>
      </c>
      <c r="I1786" s="2" t="s">
        <v>2020</v>
      </c>
      <c r="J1786" s="2" t="s">
        <v>2028</v>
      </c>
      <c r="K1786" s="2" t="s">
        <v>3728</v>
      </c>
      <c r="L1786" s="2" t="s">
        <v>4035</v>
      </c>
      <c r="M1786">
        <v>1092.32</v>
      </c>
      <c r="N1786" s="2" t="s">
        <v>4042</v>
      </c>
      <c r="O1786">
        <v>61</v>
      </c>
      <c r="P1786">
        <v>66631.51999999999</v>
      </c>
      <c r="Q1786" t="b">
        <v>0</v>
      </c>
      <c r="R1786" t="b">
        <v>0</v>
      </c>
      <c r="S1786" t="b">
        <v>0</v>
      </c>
      <c r="T1786" t="b">
        <v>0</v>
      </c>
      <c r="U1786">
        <v>0</v>
      </c>
      <c r="V1786" t="s">
        <v>4073</v>
      </c>
    </row>
    <row r="1787" spans="1:22" hidden="1" x14ac:dyDescent="0.45">
      <c r="A1787" s="2" t="s">
        <v>617</v>
      </c>
      <c r="B1787" s="11">
        <v>45334</v>
      </c>
      <c r="C1787" s="2" t="s">
        <v>2012</v>
      </c>
      <c r="D1787" s="2" t="s">
        <v>2017</v>
      </c>
      <c r="E1787">
        <v>1093.48</v>
      </c>
      <c r="F1787">
        <v>66702.28</v>
      </c>
      <c r="G1787">
        <v>0</v>
      </c>
      <c r="H1787">
        <v>0</v>
      </c>
      <c r="I1787" s="2" t="s">
        <v>2024</v>
      </c>
      <c r="J1787" s="2" t="s">
        <v>2027</v>
      </c>
      <c r="K1787" s="2" t="s">
        <v>2638</v>
      </c>
      <c r="L1787" s="2" t="s">
        <v>4035</v>
      </c>
      <c r="M1787">
        <v>-1093.48</v>
      </c>
      <c r="N1787" s="2" t="s">
        <v>4044</v>
      </c>
      <c r="O1787">
        <v>61</v>
      </c>
      <c r="P1787">
        <v>-66702.28</v>
      </c>
      <c r="Q1787" t="b">
        <v>0</v>
      </c>
      <c r="R1787" t="b">
        <v>0</v>
      </c>
      <c r="S1787" t="b">
        <v>0</v>
      </c>
      <c r="T1787" t="b">
        <v>0</v>
      </c>
      <c r="U1787">
        <v>0</v>
      </c>
      <c r="V1787" t="s">
        <v>4073</v>
      </c>
    </row>
    <row r="1788" spans="1:22" hidden="1" x14ac:dyDescent="0.45">
      <c r="A1788" s="2" t="s">
        <v>974</v>
      </c>
      <c r="B1788" s="11">
        <v>45419</v>
      </c>
      <c r="C1788" s="2" t="s">
        <v>2012</v>
      </c>
      <c r="D1788" s="2" t="s">
        <v>2017</v>
      </c>
      <c r="E1788">
        <v>760.63</v>
      </c>
      <c r="F1788">
        <v>66935.44</v>
      </c>
      <c r="G1788">
        <v>0</v>
      </c>
      <c r="H1788">
        <v>0</v>
      </c>
      <c r="I1788" s="2" t="s">
        <v>2024</v>
      </c>
      <c r="J1788" s="2" t="s">
        <v>2030</v>
      </c>
      <c r="K1788" s="2" t="s">
        <v>2995</v>
      </c>
      <c r="L1788" s="2" t="s">
        <v>4032</v>
      </c>
      <c r="M1788">
        <v>-760.63</v>
      </c>
      <c r="N1788" s="2" t="s">
        <v>4044</v>
      </c>
      <c r="O1788">
        <v>88</v>
      </c>
      <c r="P1788">
        <v>-66935.44</v>
      </c>
      <c r="Q1788" t="b">
        <v>0</v>
      </c>
      <c r="R1788" t="b">
        <v>0</v>
      </c>
      <c r="S1788" t="b">
        <v>0</v>
      </c>
      <c r="T1788" t="b">
        <v>0</v>
      </c>
      <c r="U1788">
        <v>0</v>
      </c>
      <c r="V1788" t="s">
        <v>4073</v>
      </c>
    </row>
    <row r="1789" spans="1:22" hidden="1" x14ac:dyDescent="0.45">
      <c r="A1789" s="2" t="s">
        <v>401</v>
      </c>
      <c r="B1789" s="11">
        <v>45128</v>
      </c>
      <c r="C1789" s="2" t="s">
        <v>2011</v>
      </c>
      <c r="D1789" s="2" t="s">
        <v>2016</v>
      </c>
      <c r="E1789">
        <v>761.57</v>
      </c>
      <c r="F1789">
        <v>67018.16</v>
      </c>
      <c r="G1789">
        <v>0</v>
      </c>
      <c r="H1789">
        <v>0</v>
      </c>
      <c r="I1789" s="2" t="s">
        <v>2021</v>
      </c>
      <c r="J1789" s="2" t="s">
        <v>2026</v>
      </c>
      <c r="K1789" s="2" t="s">
        <v>2422</v>
      </c>
      <c r="L1789" s="2" t="s">
        <v>4032</v>
      </c>
      <c r="M1789">
        <v>-761.57</v>
      </c>
      <c r="N1789" s="2" t="s">
        <v>2016</v>
      </c>
      <c r="O1789">
        <v>88</v>
      </c>
      <c r="P1789">
        <v>-67018.16</v>
      </c>
      <c r="Q1789" t="b">
        <v>0</v>
      </c>
      <c r="R1789" t="b">
        <v>0</v>
      </c>
      <c r="S1789" t="b">
        <v>0</v>
      </c>
      <c r="T1789" t="b">
        <v>0</v>
      </c>
      <c r="U1789">
        <v>0</v>
      </c>
      <c r="V1789" t="s">
        <v>4073</v>
      </c>
    </row>
    <row r="1790" spans="1:22" hidden="1" x14ac:dyDescent="0.45">
      <c r="A1790" s="2" t="s">
        <v>183</v>
      </c>
      <c r="B1790" s="11">
        <v>45729</v>
      </c>
      <c r="C1790" s="2" t="s">
        <v>2013</v>
      </c>
      <c r="D1790" s="2" t="s">
        <v>2018</v>
      </c>
      <c r="E1790">
        <v>763.11</v>
      </c>
      <c r="F1790">
        <v>67153.680000000008</v>
      </c>
      <c r="G1790">
        <v>0</v>
      </c>
      <c r="H1790">
        <v>0</v>
      </c>
      <c r="I1790" s="2" t="s">
        <v>2024</v>
      </c>
      <c r="J1790" s="2" t="s">
        <v>2030</v>
      </c>
      <c r="K1790" s="2" t="s">
        <v>2204</v>
      </c>
      <c r="L1790" s="2" t="s">
        <v>4032</v>
      </c>
      <c r="M1790">
        <v>-763.11</v>
      </c>
      <c r="N1790" s="2" t="s">
        <v>4044</v>
      </c>
      <c r="O1790">
        <v>88</v>
      </c>
      <c r="P1790">
        <v>-67153.680000000008</v>
      </c>
      <c r="Q1790" t="b">
        <v>0</v>
      </c>
      <c r="R1790" t="b">
        <v>0</v>
      </c>
      <c r="S1790" t="b">
        <v>0</v>
      </c>
      <c r="T1790" t="b">
        <v>0</v>
      </c>
      <c r="U1790">
        <v>0</v>
      </c>
      <c r="V1790" t="s">
        <v>4073</v>
      </c>
    </row>
    <row r="1791" spans="1:22" hidden="1" x14ac:dyDescent="0.45">
      <c r="A1791" s="2" t="s">
        <v>917</v>
      </c>
      <c r="B1791" s="11">
        <v>45054</v>
      </c>
      <c r="C1791" s="2" t="s">
        <v>2012</v>
      </c>
      <c r="D1791" s="2" t="s">
        <v>2017</v>
      </c>
      <c r="E1791">
        <v>819.96</v>
      </c>
      <c r="F1791">
        <v>67236.72</v>
      </c>
      <c r="G1791">
        <v>0</v>
      </c>
      <c r="H1791">
        <v>0</v>
      </c>
      <c r="I1791" s="2" t="s">
        <v>2023</v>
      </c>
      <c r="J1791" s="2" t="s">
        <v>2027</v>
      </c>
      <c r="K1791" s="2" t="s">
        <v>2938</v>
      </c>
      <c r="L1791" s="2" t="s">
        <v>4034</v>
      </c>
      <c r="M1791">
        <v>-819.96</v>
      </c>
      <c r="N1791" s="2" t="s">
        <v>4044</v>
      </c>
      <c r="O1791">
        <v>82</v>
      </c>
      <c r="P1791">
        <v>-67236.72</v>
      </c>
      <c r="Q1791" t="b">
        <v>0</v>
      </c>
      <c r="R1791" t="b">
        <v>0</v>
      </c>
      <c r="S1791" t="b">
        <v>0</v>
      </c>
      <c r="T1791" t="b">
        <v>0</v>
      </c>
      <c r="U1791">
        <v>0</v>
      </c>
      <c r="V1791" t="s">
        <v>4073</v>
      </c>
    </row>
    <row r="1792" spans="1:22" hidden="1" x14ac:dyDescent="0.45">
      <c r="A1792" s="2" t="s">
        <v>234</v>
      </c>
      <c r="B1792" s="11">
        <v>45027</v>
      </c>
      <c r="C1792" s="2" t="s">
        <v>2012</v>
      </c>
      <c r="D1792" s="2" t="s">
        <v>2017</v>
      </c>
      <c r="E1792">
        <v>858.22</v>
      </c>
      <c r="F1792">
        <v>88396.66</v>
      </c>
      <c r="G1792">
        <v>0</v>
      </c>
      <c r="H1792">
        <v>0</v>
      </c>
      <c r="I1792" s="2" t="s">
        <v>2020</v>
      </c>
      <c r="J1792" s="2" t="s">
        <v>2027</v>
      </c>
      <c r="K1792" s="2" t="s">
        <v>2255</v>
      </c>
      <c r="L1792" s="2" t="s">
        <v>4031</v>
      </c>
      <c r="M1792">
        <v>-858.22</v>
      </c>
      <c r="N1792" s="2" t="s">
        <v>4044</v>
      </c>
      <c r="O1792">
        <v>103</v>
      </c>
      <c r="P1792">
        <v>-88396.66</v>
      </c>
      <c r="Q1792" t="b">
        <v>0</v>
      </c>
      <c r="R1792" t="b">
        <v>0</v>
      </c>
      <c r="S1792" t="b">
        <v>0</v>
      </c>
      <c r="T1792" t="b">
        <v>0</v>
      </c>
      <c r="U1792">
        <v>0</v>
      </c>
      <c r="V1792" t="s">
        <v>4073</v>
      </c>
    </row>
    <row r="1793" spans="1:22" hidden="1" x14ac:dyDescent="0.45">
      <c r="A1793" s="2" t="s">
        <v>1188</v>
      </c>
      <c r="B1793" s="11">
        <v>45244</v>
      </c>
      <c r="C1793" s="2" t="s">
        <v>2011</v>
      </c>
      <c r="D1793" s="2" t="s">
        <v>2016</v>
      </c>
      <c r="E1793">
        <v>820.59</v>
      </c>
      <c r="F1793">
        <v>72211.92</v>
      </c>
      <c r="G1793">
        <v>0</v>
      </c>
      <c r="H1793">
        <v>0</v>
      </c>
      <c r="I1793" s="2" t="s">
        <v>2025</v>
      </c>
      <c r="J1793" s="2" t="s">
        <v>2030</v>
      </c>
      <c r="K1793" s="2" t="s">
        <v>3209</v>
      </c>
      <c r="L1793" s="2" t="s">
        <v>4032</v>
      </c>
      <c r="M1793">
        <v>-820.59</v>
      </c>
      <c r="N1793" s="2" t="s">
        <v>2016</v>
      </c>
      <c r="O1793">
        <v>88</v>
      </c>
      <c r="P1793">
        <v>-72211.92</v>
      </c>
      <c r="Q1793" t="b">
        <v>0</v>
      </c>
      <c r="R1793" t="b">
        <v>0</v>
      </c>
      <c r="S1793" t="b">
        <v>0</v>
      </c>
      <c r="T1793" t="b">
        <v>0</v>
      </c>
      <c r="U1793">
        <v>0</v>
      </c>
      <c r="V1793" t="s">
        <v>4073</v>
      </c>
    </row>
    <row r="1794" spans="1:22" hidden="1" x14ac:dyDescent="0.45">
      <c r="A1794" s="2" t="s">
        <v>1042</v>
      </c>
      <c r="B1794" s="11">
        <v>44970</v>
      </c>
      <c r="C1794" s="2" t="s">
        <v>2014</v>
      </c>
      <c r="D1794" s="2" t="s">
        <v>2019</v>
      </c>
      <c r="E1794">
        <v>0</v>
      </c>
      <c r="F1794">
        <v>0</v>
      </c>
      <c r="G1794">
        <v>882.66</v>
      </c>
      <c r="H1794">
        <v>72378.12</v>
      </c>
      <c r="I1794" s="2" t="s">
        <v>2023</v>
      </c>
      <c r="J1794" s="2" t="s">
        <v>2028</v>
      </c>
      <c r="K1794" s="2" t="s">
        <v>3063</v>
      </c>
      <c r="L1794" s="2" t="s">
        <v>4034</v>
      </c>
      <c r="M1794">
        <v>882.66</v>
      </c>
      <c r="N1794" s="2" t="s">
        <v>4042</v>
      </c>
      <c r="O1794">
        <v>82</v>
      </c>
      <c r="P1794">
        <v>72378.12</v>
      </c>
      <c r="Q1794" t="b">
        <v>0</v>
      </c>
      <c r="R1794" t="b">
        <v>0</v>
      </c>
      <c r="S1794" t="b">
        <v>0</v>
      </c>
      <c r="T1794" t="b">
        <v>0</v>
      </c>
      <c r="U1794">
        <v>0</v>
      </c>
      <c r="V1794" t="s">
        <v>4073</v>
      </c>
    </row>
    <row r="1795" spans="1:22" hidden="1" x14ac:dyDescent="0.45">
      <c r="A1795" s="2" t="s">
        <v>1945</v>
      </c>
      <c r="B1795" s="11">
        <v>45253</v>
      </c>
      <c r="C1795" s="2" t="s">
        <v>2010</v>
      </c>
      <c r="D1795" s="2" t="s">
        <v>2015</v>
      </c>
      <c r="E1795">
        <v>0</v>
      </c>
      <c r="F1795">
        <v>0</v>
      </c>
      <c r="G1795">
        <v>1239.76</v>
      </c>
      <c r="H1795">
        <v>75625.36</v>
      </c>
      <c r="I1795" s="2" t="s">
        <v>2025</v>
      </c>
      <c r="J1795" s="2" t="s">
        <v>2028</v>
      </c>
      <c r="K1795" s="2" t="s">
        <v>3966</v>
      </c>
      <c r="L1795" s="2" t="s">
        <v>4035</v>
      </c>
      <c r="M1795">
        <v>1239.76</v>
      </c>
      <c r="N1795" s="2" t="s">
        <v>4042</v>
      </c>
      <c r="O1795">
        <v>61</v>
      </c>
      <c r="P1795">
        <v>75625.36</v>
      </c>
      <c r="Q1795" t="b">
        <v>0</v>
      </c>
      <c r="R1795" t="b">
        <v>0</v>
      </c>
      <c r="S1795" t="b">
        <v>0</v>
      </c>
      <c r="T1795" t="b">
        <v>0</v>
      </c>
      <c r="U1795">
        <v>0</v>
      </c>
      <c r="V1795" t="s">
        <v>4073</v>
      </c>
    </row>
    <row r="1796" spans="1:22" hidden="1" x14ac:dyDescent="0.45">
      <c r="A1796" s="2" t="s">
        <v>177</v>
      </c>
      <c r="B1796" s="11">
        <v>45418</v>
      </c>
      <c r="C1796" s="2" t="s">
        <v>2014</v>
      </c>
      <c r="D1796" s="2" t="s">
        <v>2019</v>
      </c>
      <c r="E1796">
        <v>0</v>
      </c>
      <c r="F1796">
        <v>0</v>
      </c>
      <c r="G1796">
        <v>859.97</v>
      </c>
      <c r="H1796">
        <v>75677.36</v>
      </c>
      <c r="I1796" s="2" t="s">
        <v>2020</v>
      </c>
      <c r="J1796" s="2" t="s">
        <v>2030</v>
      </c>
      <c r="K1796" s="2" t="s">
        <v>2198</v>
      </c>
      <c r="L1796" s="2" t="s">
        <v>4032</v>
      </c>
      <c r="M1796">
        <v>859.97</v>
      </c>
      <c r="N1796" s="2" t="s">
        <v>4042</v>
      </c>
      <c r="O1796">
        <v>88</v>
      </c>
      <c r="P1796">
        <v>75677.36</v>
      </c>
      <c r="Q1796" t="b">
        <v>0</v>
      </c>
      <c r="R1796" t="b">
        <v>0</v>
      </c>
      <c r="S1796" t="b">
        <v>0</v>
      </c>
      <c r="T1796" t="b">
        <v>0</v>
      </c>
      <c r="U1796">
        <v>0</v>
      </c>
      <c r="V1796" t="s">
        <v>4073</v>
      </c>
    </row>
    <row r="1797" spans="1:22" hidden="1" x14ac:dyDescent="0.45">
      <c r="A1797" s="2" t="s">
        <v>1276</v>
      </c>
      <c r="B1797" s="11">
        <v>45492</v>
      </c>
      <c r="C1797" s="2" t="s">
        <v>2011</v>
      </c>
      <c r="D1797" s="2" t="s">
        <v>2016</v>
      </c>
      <c r="E1797">
        <v>1249.06</v>
      </c>
      <c r="F1797">
        <v>76192.66</v>
      </c>
      <c r="G1797">
        <v>0</v>
      </c>
      <c r="H1797">
        <v>0</v>
      </c>
      <c r="I1797" s="2" t="s">
        <v>2021</v>
      </c>
      <c r="J1797" s="2" t="s">
        <v>2029</v>
      </c>
      <c r="K1797" s="2" t="s">
        <v>3297</v>
      </c>
      <c r="L1797" s="2" t="s">
        <v>4035</v>
      </c>
      <c r="M1797">
        <v>-1249.06</v>
      </c>
      <c r="N1797" s="2" t="s">
        <v>2016</v>
      </c>
      <c r="O1797">
        <v>61</v>
      </c>
      <c r="P1797">
        <v>-76192.66</v>
      </c>
      <c r="Q1797" t="b">
        <v>0</v>
      </c>
      <c r="R1797" t="b">
        <v>0</v>
      </c>
      <c r="S1797" t="b">
        <v>0</v>
      </c>
      <c r="T1797" t="b">
        <v>0</v>
      </c>
      <c r="U1797">
        <v>0</v>
      </c>
      <c r="V1797" t="s">
        <v>4073</v>
      </c>
    </row>
    <row r="1798" spans="1:22" hidden="1" x14ac:dyDescent="0.45">
      <c r="A1798" s="2" t="s">
        <v>580</v>
      </c>
      <c r="B1798" s="11">
        <v>45631</v>
      </c>
      <c r="C1798" s="2" t="s">
        <v>2013</v>
      </c>
      <c r="D1798" s="2" t="s">
        <v>2018</v>
      </c>
      <c r="E1798">
        <v>929.85</v>
      </c>
      <c r="F1798">
        <v>76247.7</v>
      </c>
      <c r="G1798">
        <v>0</v>
      </c>
      <c r="H1798">
        <v>0</v>
      </c>
      <c r="I1798" s="2" t="s">
        <v>2022</v>
      </c>
      <c r="J1798" s="2" t="s">
        <v>2028</v>
      </c>
      <c r="K1798" s="2" t="s">
        <v>2601</v>
      </c>
      <c r="L1798" s="2" t="s">
        <v>4034</v>
      </c>
      <c r="M1798">
        <v>-929.85</v>
      </c>
      <c r="N1798" s="2" t="s">
        <v>4044</v>
      </c>
      <c r="O1798">
        <v>82</v>
      </c>
      <c r="P1798">
        <v>-76247.7</v>
      </c>
      <c r="Q1798" t="b">
        <v>0</v>
      </c>
      <c r="R1798" t="b">
        <v>0</v>
      </c>
      <c r="S1798" t="b">
        <v>0</v>
      </c>
      <c r="T1798" t="b">
        <v>0</v>
      </c>
      <c r="U1798">
        <v>0</v>
      </c>
      <c r="V1798" t="s">
        <v>4073</v>
      </c>
    </row>
    <row r="1799" spans="1:22" hidden="1" x14ac:dyDescent="0.45">
      <c r="A1799" s="2" t="s">
        <v>845</v>
      </c>
      <c r="B1799" s="11">
        <v>45505</v>
      </c>
      <c r="C1799" s="2" t="s">
        <v>2012</v>
      </c>
      <c r="D1799" s="2" t="s">
        <v>2017</v>
      </c>
      <c r="E1799">
        <v>742.51</v>
      </c>
      <c r="F1799">
        <v>76478.53</v>
      </c>
      <c r="G1799">
        <v>0</v>
      </c>
      <c r="H1799">
        <v>0</v>
      </c>
      <c r="I1799" s="2" t="s">
        <v>2024</v>
      </c>
      <c r="J1799" s="2" t="s">
        <v>2028</v>
      </c>
      <c r="K1799" s="2" t="s">
        <v>2866</v>
      </c>
      <c r="L1799" s="2" t="s">
        <v>4031</v>
      </c>
      <c r="M1799">
        <v>-742.51</v>
      </c>
      <c r="N1799" s="2" t="s">
        <v>4044</v>
      </c>
      <c r="O1799">
        <v>103</v>
      </c>
      <c r="P1799">
        <v>-76478.53</v>
      </c>
      <c r="Q1799" t="b">
        <v>0</v>
      </c>
      <c r="R1799" t="b">
        <v>0</v>
      </c>
      <c r="S1799" t="b">
        <v>0</v>
      </c>
      <c r="T1799" t="b">
        <v>0</v>
      </c>
      <c r="U1799">
        <v>0</v>
      </c>
      <c r="V1799" t="s">
        <v>4073</v>
      </c>
    </row>
    <row r="1800" spans="1:22" hidden="1" x14ac:dyDescent="0.45">
      <c r="A1800" s="2" t="s">
        <v>914</v>
      </c>
      <c r="B1800" s="11">
        <v>45601</v>
      </c>
      <c r="C1800" s="2" t="s">
        <v>2011</v>
      </c>
      <c r="D1800" s="2" t="s">
        <v>2016</v>
      </c>
      <c r="E1800">
        <v>743.08</v>
      </c>
      <c r="F1800">
        <v>76537.240000000005</v>
      </c>
      <c r="G1800">
        <v>0</v>
      </c>
      <c r="H1800">
        <v>0</v>
      </c>
      <c r="I1800" s="2" t="s">
        <v>2024</v>
      </c>
      <c r="J1800" s="2" t="s">
        <v>2028</v>
      </c>
      <c r="K1800" s="2" t="s">
        <v>2935</v>
      </c>
      <c r="L1800" s="2" t="s">
        <v>4031</v>
      </c>
      <c r="M1800">
        <v>-743.08</v>
      </c>
      <c r="N1800" s="2" t="s">
        <v>2016</v>
      </c>
      <c r="O1800">
        <v>103</v>
      </c>
      <c r="P1800">
        <v>-76537.240000000005</v>
      </c>
      <c r="Q1800" t="b">
        <v>0</v>
      </c>
      <c r="R1800" t="b">
        <v>0</v>
      </c>
      <c r="S1800" t="b">
        <v>0</v>
      </c>
      <c r="T1800" t="b">
        <v>0</v>
      </c>
      <c r="U1800">
        <v>0</v>
      </c>
      <c r="V1800" t="s">
        <v>4073</v>
      </c>
    </row>
    <row r="1801" spans="1:22" hidden="1" x14ac:dyDescent="0.45">
      <c r="A1801" s="2" t="s">
        <v>751</v>
      </c>
      <c r="B1801" s="11">
        <v>45273</v>
      </c>
      <c r="C1801" s="2" t="s">
        <v>2013</v>
      </c>
      <c r="D1801" s="2" t="s">
        <v>2018</v>
      </c>
      <c r="E1801">
        <v>744.16</v>
      </c>
      <c r="F1801">
        <v>76648.479999999996</v>
      </c>
      <c r="G1801">
        <v>0</v>
      </c>
      <c r="H1801">
        <v>0</v>
      </c>
      <c r="I1801" s="2" t="s">
        <v>2021</v>
      </c>
      <c r="J1801" s="2" t="s">
        <v>2026</v>
      </c>
      <c r="K1801" s="2" t="s">
        <v>2772</v>
      </c>
      <c r="L1801" s="2" t="s">
        <v>4031</v>
      </c>
      <c r="M1801">
        <v>-744.16</v>
      </c>
      <c r="N1801" s="2" t="s">
        <v>4044</v>
      </c>
      <c r="O1801">
        <v>103</v>
      </c>
      <c r="P1801">
        <v>-76648.479999999996</v>
      </c>
      <c r="Q1801" t="b">
        <v>0</v>
      </c>
      <c r="R1801" t="b">
        <v>0</v>
      </c>
      <c r="S1801" t="b">
        <v>0</v>
      </c>
      <c r="T1801" t="b">
        <v>0</v>
      </c>
      <c r="U1801">
        <v>0</v>
      </c>
      <c r="V1801" t="s">
        <v>4073</v>
      </c>
    </row>
    <row r="1802" spans="1:22" hidden="1" x14ac:dyDescent="0.45">
      <c r="A1802" s="2" t="s">
        <v>1934</v>
      </c>
      <c r="B1802" s="11">
        <v>45055</v>
      </c>
      <c r="C1802" s="2" t="s">
        <v>2011</v>
      </c>
      <c r="D1802" s="2" t="s">
        <v>2016</v>
      </c>
      <c r="E1802">
        <v>1370.59</v>
      </c>
      <c r="F1802">
        <v>76753.039999999994</v>
      </c>
      <c r="G1802">
        <v>0</v>
      </c>
      <c r="H1802">
        <v>0</v>
      </c>
      <c r="I1802" s="2" t="s">
        <v>2020</v>
      </c>
      <c r="J1802" s="2" t="s">
        <v>2030</v>
      </c>
      <c r="K1802" s="2" t="s">
        <v>3955</v>
      </c>
      <c r="L1802" s="2" t="s">
        <v>4033</v>
      </c>
      <c r="M1802">
        <v>-1370.59</v>
      </c>
      <c r="N1802" s="2" t="s">
        <v>2016</v>
      </c>
      <c r="O1802">
        <v>56</v>
      </c>
      <c r="P1802">
        <v>-76753.039999999994</v>
      </c>
      <c r="Q1802" t="b">
        <v>0</v>
      </c>
      <c r="R1802" t="b">
        <v>0</v>
      </c>
      <c r="S1802" t="b">
        <v>0</v>
      </c>
      <c r="T1802" t="b">
        <v>0</v>
      </c>
      <c r="U1802">
        <v>0</v>
      </c>
      <c r="V1802" t="s">
        <v>4073</v>
      </c>
    </row>
    <row r="1803" spans="1:22" hidden="1" x14ac:dyDescent="0.45">
      <c r="A1803" s="2" t="s">
        <v>854</v>
      </c>
      <c r="B1803" s="11">
        <v>45538</v>
      </c>
      <c r="C1803" s="2" t="s">
        <v>2010</v>
      </c>
      <c r="D1803" s="2" t="s">
        <v>2015</v>
      </c>
      <c r="E1803">
        <v>0</v>
      </c>
      <c r="F1803">
        <v>0</v>
      </c>
      <c r="G1803">
        <v>1372.78</v>
      </c>
      <c r="H1803">
        <v>76875.679999999993</v>
      </c>
      <c r="I1803" s="2" t="s">
        <v>2021</v>
      </c>
      <c r="J1803" s="2" t="s">
        <v>2028</v>
      </c>
      <c r="K1803" s="2" t="s">
        <v>2875</v>
      </c>
      <c r="L1803" s="2" t="s">
        <v>4033</v>
      </c>
      <c r="M1803">
        <v>1372.78</v>
      </c>
      <c r="N1803" s="2" t="s">
        <v>4042</v>
      </c>
      <c r="O1803">
        <v>56</v>
      </c>
      <c r="P1803">
        <v>76875.679999999993</v>
      </c>
      <c r="Q1803" t="b">
        <v>0</v>
      </c>
      <c r="R1803" t="b">
        <v>0</v>
      </c>
      <c r="S1803" t="b">
        <v>0</v>
      </c>
      <c r="T1803" t="b">
        <v>0</v>
      </c>
      <c r="U1803">
        <v>0</v>
      </c>
      <c r="V1803" t="s">
        <v>4073</v>
      </c>
    </row>
    <row r="1804" spans="1:22" hidden="1" x14ac:dyDescent="0.45">
      <c r="A1804" s="2" t="s">
        <v>647</v>
      </c>
      <c r="B1804" s="11">
        <v>45523</v>
      </c>
      <c r="C1804" s="2" t="s">
        <v>2012</v>
      </c>
      <c r="D1804" s="2" t="s">
        <v>2017</v>
      </c>
      <c r="E1804">
        <v>1263.43</v>
      </c>
      <c r="F1804">
        <v>77069.23000000001</v>
      </c>
      <c r="G1804">
        <v>0</v>
      </c>
      <c r="H1804">
        <v>0</v>
      </c>
      <c r="I1804" s="2" t="s">
        <v>2024</v>
      </c>
      <c r="J1804" s="2" t="s">
        <v>2027</v>
      </c>
      <c r="K1804" s="2" t="s">
        <v>2668</v>
      </c>
      <c r="L1804" s="2" t="s">
        <v>4035</v>
      </c>
      <c r="M1804">
        <v>-1263.43</v>
      </c>
      <c r="N1804" s="2" t="s">
        <v>4044</v>
      </c>
      <c r="O1804">
        <v>61</v>
      </c>
      <c r="P1804">
        <v>-77069.23000000001</v>
      </c>
      <c r="Q1804" t="b">
        <v>0</v>
      </c>
      <c r="R1804" t="b">
        <v>0</v>
      </c>
      <c r="S1804" t="b">
        <v>0</v>
      </c>
      <c r="T1804" t="b">
        <v>0</v>
      </c>
      <c r="U1804">
        <v>0</v>
      </c>
      <c r="V1804" t="s">
        <v>4073</v>
      </c>
    </row>
    <row r="1805" spans="1:22" hidden="1" x14ac:dyDescent="0.45">
      <c r="A1805" s="2" t="s">
        <v>1046</v>
      </c>
      <c r="B1805" s="11">
        <v>45392</v>
      </c>
      <c r="C1805" s="2" t="s">
        <v>2010</v>
      </c>
      <c r="D1805" s="2" t="s">
        <v>2015</v>
      </c>
      <c r="E1805">
        <v>0</v>
      </c>
      <c r="F1805">
        <v>0</v>
      </c>
      <c r="G1805">
        <v>1378.62</v>
      </c>
      <c r="H1805">
        <v>77202.720000000001</v>
      </c>
      <c r="I1805" s="2" t="s">
        <v>2022</v>
      </c>
      <c r="J1805" s="2" t="s">
        <v>2026</v>
      </c>
      <c r="K1805" s="2" t="s">
        <v>3067</v>
      </c>
      <c r="L1805" s="2" t="s">
        <v>4033</v>
      </c>
      <c r="M1805">
        <v>1378.62</v>
      </c>
      <c r="N1805" s="2" t="s">
        <v>4042</v>
      </c>
      <c r="O1805">
        <v>56</v>
      </c>
      <c r="P1805">
        <v>77202.720000000001</v>
      </c>
      <c r="Q1805" t="b">
        <v>0</v>
      </c>
      <c r="R1805" t="b">
        <v>0</v>
      </c>
      <c r="S1805" t="b">
        <v>0</v>
      </c>
      <c r="T1805" t="b">
        <v>0</v>
      </c>
      <c r="U1805">
        <v>0</v>
      </c>
      <c r="V1805" t="s">
        <v>4073</v>
      </c>
    </row>
    <row r="1806" spans="1:22" hidden="1" x14ac:dyDescent="0.45">
      <c r="A1806" s="2" t="s">
        <v>1219</v>
      </c>
      <c r="B1806" s="11">
        <v>45476</v>
      </c>
      <c r="C1806" s="2" t="s">
        <v>2010</v>
      </c>
      <c r="D1806" s="2" t="s">
        <v>2015</v>
      </c>
      <c r="E1806">
        <v>0</v>
      </c>
      <c r="F1806">
        <v>0</v>
      </c>
      <c r="G1806">
        <v>1378.84</v>
      </c>
      <c r="H1806">
        <v>77215.039999999994</v>
      </c>
      <c r="I1806" s="2" t="s">
        <v>2024</v>
      </c>
      <c r="J1806" s="2" t="s">
        <v>2028</v>
      </c>
      <c r="K1806" s="2" t="s">
        <v>3240</v>
      </c>
      <c r="L1806" s="2" t="s">
        <v>4033</v>
      </c>
      <c r="M1806">
        <v>1378.84</v>
      </c>
      <c r="N1806" s="2" t="s">
        <v>4042</v>
      </c>
      <c r="O1806">
        <v>56</v>
      </c>
      <c r="P1806">
        <v>77215.039999999994</v>
      </c>
      <c r="Q1806" t="b">
        <v>0</v>
      </c>
      <c r="R1806" t="b">
        <v>0</v>
      </c>
      <c r="S1806" t="b">
        <v>0</v>
      </c>
      <c r="T1806" t="b">
        <v>0</v>
      </c>
      <c r="U1806">
        <v>0</v>
      </c>
      <c r="V1806" t="s">
        <v>4073</v>
      </c>
    </row>
    <row r="1807" spans="1:22" hidden="1" x14ac:dyDescent="0.45">
      <c r="A1807" s="2" t="s">
        <v>1159</v>
      </c>
      <c r="B1807" s="11">
        <v>45338</v>
      </c>
      <c r="C1807" s="2" t="s">
        <v>2010</v>
      </c>
      <c r="D1807" s="2" t="s">
        <v>2015</v>
      </c>
      <c r="E1807">
        <v>0</v>
      </c>
      <c r="F1807">
        <v>0</v>
      </c>
      <c r="G1807">
        <v>1266.3499999999999</v>
      </c>
      <c r="H1807">
        <v>77247.349999999991</v>
      </c>
      <c r="I1807" s="2" t="s">
        <v>2025</v>
      </c>
      <c r="J1807" s="2" t="s">
        <v>2027</v>
      </c>
      <c r="K1807" s="2" t="s">
        <v>3180</v>
      </c>
      <c r="L1807" s="2" t="s">
        <v>4035</v>
      </c>
      <c r="M1807">
        <v>1266.3499999999999</v>
      </c>
      <c r="N1807" s="2" t="s">
        <v>4042</v>
      </c>
      <c r="O1807">
        <v>61</v>
      </c>
      <c r="P1807">
        <v>77247.349999999991</v>
      </c>
      <c r="Q1807" t="b">
        <v>0</v>
      </c>
      <c r="R1807" t="b">
        <v>0</v>
      </c>
      <c r="S1807" t="b">
        <v>0</v>
      </c>
      <c r="T1807" t="b">
        <v>0</v>
      </c>
      <c r="U1807">
        <v>0</v>
      </c>
      <c r="V1807" t="s">
        <v>4073</v>
      </c>
    </row>
    <row r="1808" spans="1:22" hidden="1" x14ac:dyDescent="0.45">
      <c r="A1808" s="2" t="s">
        <v>426</v>
      </c>
      <c r="B1808" s="11">
        <v>45513</v>
      </c>
      <c r="C1808" s="2" t="s">
        <v>2011</v>
      </c>
      <c r="D1808" s="2" t="s">
        <v>2016</v>
      </c>
      <c r="E1808">
        <v>943.91</v>
      </c>
      <c r="F1808">
        <v>77400.62</v>
      </c>
      <c r="G1808">
        <v>0</v>
      </c>
      <c r="H1808">
        <v>0</v>
      </c>
      <c r="I1808" s="2" t="s">
        <v>2021</v>
      </c>
      <c r="J1808" s="2" t="s">
        <v>2029</v>
      </c>
      <c r="K1808" s="2" t="s">
        <v>2447</v>
      </c>
      <c r="L1808" s="2" t="s">
        <v>4034</v>
      </c>
      <c r="M1808">
        <v>-943.91</v>
      </c>
      <c r="N1808" s="2" t="s">
        <v>2016</v>
      </c>
      <c r="O1808">
        <v>82</v>
      </c>
      <c r="P1808">
        <v>-77400.62</v>
      </c>
      <c r="Q1808" t="b">
        <v>0</v>
      </c>
      <c r="R1808" t="b">
        <v>0</v>
      </c>
      <c r="S1808" t="b">
        <v>0</v>
      </c>
      <c r="T1808" t="b">
        <v>0</v>
      </c>
      <c r="U1808">
        <v>0</v>
      </c>
      <c r="V1808" t="s">
        <v>4073</v>
      </c>
    </row>
    <row r="1809" spans="1:22" hidden="1" x14ac:dyDescent="0.45">
      <c r="A1809" s="2" t="s">
        <v>1652</v>
      </c>
      <c r="B1809" s="11">
        <v>45464</v>
      </c>
      <c r="C1809" s="2" t="s">
        <v>2013</v>
      </c>
      <c r="D1809" s="2" t="s">
        <v>2018</v>
      </c>
      <c r="E1809">
        <v>1269.67</v>
      </c>
      <c r="F1809">
        <v>77449.87000000001</v>
      </c>
      <c r="G1809">
        <v>0</v>
      </c>
      <c r="H1809">
        <v>0</v>
      </c>
      <c r="I1809" s="2" t="s">
        <v>2022</v>
      </c>
      <c r="J1809" s="2" t="s">
        <v>2029</v>
      </c>
      <c r="K1809" s="2" t="s">
        <v>3673</v>
      </c>
      <c r="L1809" s="2" t="s">
        <v>4035</v>
      </c>
      <c r="M1809">
        <v>-1269.67</v>
      </c>
      <c r="N1809" s="2" t="s">
        <v>4044</v>
      </c>
      <c r="O1809">
        <v>61</v>
      </c>
      <c r="P1809">
        <v>-77449.87000000001</v>
      </c>
      <c r="Q1809" t="b">
        <v>0</v>
      </c>
      <c r="R1809" t="b">
        <v>0</v>
      </c>
      <c r="S1809" t="b">
        <v>0</v>
      </c>
      <c r="T1809" t="b">
        <v>0</v>
      </c>
      <c r="U1809">
        <v>0</v>
      </c>
      <c r="V1809" t="s">
        <v>4073</v>
      </c>
    </row>
    <row r="1810" spans="1:22" hidden="1" x14ac:dyDescent="0.45">
      <c r="A1810" s="2" t="s">
        <v>872</v>
      </c>
      <c r="B1810" s="11">
        <v>45387</v>
      </c>
      <c r="C1810" s="2" t="s">
        <v>2012</v>
      </c>
      <c r="D1810" s="2" t="s">
        <v>2017</v>
      </c>
      <c r="E1810">
        <v>1384.87</v>
      </c>
      <c r="F1810">
        <v>77552.72</v>
      </c>
      <c r="G1810">
        <v>0</v>
      </c>
      <c r="H1810">
        <v>0</v>
      </c>
      <c r="I1810" s="2" t="s">
        <v>2021</v>
      </c>
      <c r="J1810" s="2" t="s">
        <v>2029</v>
      </c>
      <c r="K1810" s="2" t="s">
        <v>2893</v>
      </c>
      <c r="L1810" s="2" t="s">
        <v>4033</v>
      </c>
      <c r="M1810">
        <v>-1384.87</v>
      </c>
      <c r="N1810" s="2" t="s">
        <v>4044</v>
      </c>
      <c r="O1810">
        <v>56</v>
      </c>
      <c r="P1810">
        <v>-77552.72</v>
      </c>
      <c r="Q1810" t="b">
        <v>0</v>
      </c>
      <c r="R1810" t="b">
        <v>0</v>
      </c>
      <c r="S1810" t="b">
        <v>0</v>
      </c>
      <c r="T1810" t="b">
        <v>0</v>
      </c>
      <c r="U1810">
        <v>0</v>
      </c>
      <c r="V1810" t="s">
        <v>4073</v>
      </c>
    </row>
    <row r="1811" spans="1:22" hidden="1" x14ac:dyDescent="0.45">
      <c r="A1811" s="2" t="s">
        <v>789</v>
      </c>
      <c r="B1811" s="11">
        <v>45386</v>
      </c>
      <c r="C1811" s="2" t="s">
        <v>2012</v>
      </c>
      <c r="D1811" s="2" t="s">
        <v>2017</v>
      </c>
      <c r="E1811">
        <v>1385.02</v>
      </c>
      <c r="F1811">
        <v>77561.119999999995</v>
      </c>
      <c r="G1811">
        <v>0</v>
      </c>
      <c r="H1811">
        <v>0</v>
      </c>
      <c r="I1811" s="2" t="s">
        <v>2023</v>
      </c>
      <c r="J1811" s="2" t="s">
        <v>2029</v>
      </c>
      <c r="K1811" s="2" t="s">
        <v>2810</v>
      </c>
      <c r="L1811" s="2" t="s">
        <v>4033</v>
      </c>
      <c r="M1811">
        <v>-1385.02</v>
      </c>
      <c r="N1811" s="2" t="s">
        <v>4044</v>
      </c>
      <c r="O1811">
        <v>56</v>
      </c>
      <c r="P1811">
        <v>-77561.119999999995</v>
      </c>
      <c r="Q1811" t="b">
        <v>0</v>
      </c>
      <c r="R1811" t="b">
        <v>0</v>
      </c>
      <c r="S1811" t="b">
        <v>0</v>
      </c>
      <c r="T1811" t="b">
        <v>0</v>
      </c>
      <c r="U1811">
        <v>0</v>
      </c>
      <c r="V1811" t="s">
        <v>4073</v>
      </c>
    </row>
    <row r="1812" spans="1:22" hidden="1" x14ac:dyDescent="0.45">
      <c r="A1812" s="2" t="s">
        <v>184</v>
      </c>
      <c r="B1812" s="11">
        <v>45526</v>
      </c>
      <c r="C1812" s="2" t="s">
        <v>2011</v>
      </c>
      <c r="D1812" s="2" t="s">
        <v>2016</v>
      </c>
      <c r="E1812">
        <v>858.91</v>
      </c>
      <c r="F1812">
        <v>75584.08</v>
      </c>
      <c r="G1812">
        <v>0</v>
      </c>
      <c r="H1812">
        <v>0</v>
      </c>
      <c r="I1812" s="2" t="s">
        <v>2023</v>
      </c>
      <c r="J1812" s="2" t="s">
        <v>2028</v>
      </c>
      <c r="K1812" s="2" t="s">
        <v>2205</v>
      </c>
      <c r="L1812" s="2" t="s">
        <v>4032</v>
      </c>
      <c r="M1812">
        <v>-858.91</v>
      </c>
      <c r="N1812" s="2" t="s">
        <v>2016</v>
      </c>
      <c r="O1812">
        <v>88</v>
      </c>
      <c r="P1812">
        <v>-75584.08</v>
      </c>
      <c r="Q1812" t="b">
        <v>0</v>
      </c>
      <c r="R1812" t="b">
        <v>0</v>
      </c>
      <c r="S1812" t="b">
        <v>0</v>
      </c>
      <c r="T1812" t="b">
        <v>0</v>
      </c>
      <c r="U1812">
        <v>0</v>
      </c>
      <c r="V1812" t="s">
        <v>4073</v>
      </c>
    </row>
    <row r="1813" spans="1:22" hidden="1" x14ac:dyDescent="0.45">
      <c r="A1813" s="2" t="s">
        <v>366</v>
      </c>
      <c r="B1813" s="11">
        <v>45293</v>
      </c>
      <c r="C1813" s="2" t="s">
        <v>2013</v>
      </c>
      <c r="D1813" s="2" t="s">
        <v>2018</v>
      </c>
      <c r="E1813">
        <v>1291.24</v>
      </c>
      <c r="F1813">
        <v>72309.440000000002</v>
      </c>
      <c r="G1813">
        <v>0</v>
      </c>
      <c r="H1813">
        <v>0</v>
      </c>
      <c r="I1813" s="2" t="s">
        <v>2024</v>
      </c>
      <c r="J1813" s="2" t="s">
        <v>2028</v>
      </c>
      <c r="K1813" s="2" t="s">
        <v>2387</v>
      </c>
      <c r="L1813" s="2" t="s">
        <v>4033</v>
      </c>
      <c r="M1813">
        <v>-1291.24</v>
      </c>
      <c r="N1813" s="2" t="s">
        <v>4044</v>
      </c>
      <c r="O1813">
        <v>56</v>
      </c>
      <c r="P1813">
        <v>-72309.440000000002</v>
      </c>
      <c r="Q1813" t="b">
        <v>0</v>
      </c>
      <c r="R1813" t="b">
        <v>0</v>
      </c>
      <c r="S1813" t="b">
        <v>0</v>
      </c>
      <c r="T1813" t="b">
        <v>0</v>
      </c>
      <c r="U1813">
        <v>0</v>
      </c>
      <c r="V1813" t="s">
        <v>4073</v>
      </c>
    </row>
    <row r="1814" spans="1:22" hidden="1" x14ac:dyDescent="0.45">
      <c r="A1814" s="2" t="s">
        <v>1989</v>
      </c>
      <c r="B1814" s="11">
        <v>45421</v>
      </c>
      <c r="C1814" s="2" t="s">
        <v>2011</v>
      </c>
      <c r="D1814" s="2" t="s">
        <v>2016</v>
      </c>
      <c r="E1814">
        <v>1234.21</v>
      </c>
      <c r="F1814">
        <v>75286.81</v>
      </c>
      <c r="G1814">
        <v>0</v>
      </c>
      <c r="H1814">
        <v>0</v>
      </c>
      <c r="I1814" s="2" t="s">
        <v>2024</v>
      </c>
      <c r="J1814" s="2" t="s">
        <v>2029</v>
      </c>
      <c r="K1814" s="2" t="s">
        <v>4010</v>
      </c>
      <c r="L1814" s="2" t="s">
        <v>4035</v>
      </c>
      <c r="M1814">
        <v>-1234.21</v>
      </c>
      <c r="N1814" s="2" t="s">
        <v>2016</v>
      </c>
      <c r="O1814">
        <v>61</v>
      </c>
      <c r="P1814">
        <v>-75286.81</v>
      </c>
      <c r="Q1814" t="b">
        <v>0</v>
      </c>
      <c r="R1814" t="b">
        <v>0</v>
      </c>
      <c r="S1814" t="b">
        <v>0</v>
      </c>
      <c r="T1814" t="b">
        <v>0</v>
      </c>
      <c r="U1814">
        <v>0</v>
      </c>
      <c r="V1814" t="s">
        <v>4073</v>
      </c>
    </row>
    <row r="1815" spans="1:22" hidden="1" x14ac:dyDescent="0.45">
      <c r="A1815" s="2" t="s">
        <v>1957</v>
      </c>
      <c r="B1815" s="11">
        <v>45161</v>
      </c>
      <c r="C1815" s="2" t="s">
        <v>2012</v>
      </c>
      <c r="D1815" s="2" t="s">
        <v>2017</v>
      </c>
      <c r="E1815">
        <v>845.04</v>
      </c>
      <c r="F1815">
        <v>74363.51999999999</v>
      </c>
      <c r="G1815">
        <v>0</v>
      </c>
      <c r="H1815">
        <v>0</v>
      </c>
      <c r="I1815" s="2" t="s">
        <v>2023</v>
      </c>
      <c r="J1815" s="2" t="s">
        <v>2027</v>
      </c>
      <c r="K1815" s="2" t="s">
        <v>3978</v>
      </c>
      <c r="L1815" s="2" t="s">
        <v>4032</v>
      </c>
      <c r="M1815">
        <v>-845.04</v>
      </c>
      <c r="N1815" s="2" t="s">
        <v>4044</v>
      </c>
      <c r="O1815">
        <v>88</v>
      </c>
      <c r="P1815">
        <v>-74363.51999999999</v>
      </c>
      <c r="Q1815" t="b">
        <v>0</v>
      </c>
      <c r="R1815" t="b">
        <v>0</v>
      </c>
      <c r="S1815" t="b">
        <v>0</v>
      </c>
      <c r="T1815" t="b">
        <v>0</v>
      </c>
      <c r="U1815">
        <v>0</v>
      </c>
      <c r="V1815" t="s">
        <v>4073</v>
      </c>
    </row>
    <row r="1816" spans="1:22" hidden="1" x14ac:dyDescent="0.45">
      <c r="A1816" s="2" t="s">
        <v>1668</v>
      </c>
      <c r="B1816" s="11">
        <v>45699</v>
      </c>
      <c r="C1816" s="2" t="s">
        <v>2010</v>
      </c>
      <c r="D1816" s="2" t="s">
        <v>2015</v>
      </c>
      <c r="E1816">
        <v>0</v>
      </c>
      <c r="F1816">
        <v>0</v>
      </c>
      <c r="G1816">
        <v>1300.21</v>
      </c>
      <c r="H1816">
        <v>72811.760000000009</v>
      </c>
      <c r="I1816" s="2" t="s">
        <v>2025</v>
      </c>
      <c r="J1816" s="2" t="s">
        <v>2028</v>
      </c>
      <c r="K1816" s="2" t="s">
        <v>3689</v>
      </c>
      <c r="L1816" s="2" t="s">
        <v>4033</v>
      </c>
      <c r="M1816">
        <v>1300.21</v>
      </c>
      <c r="N1816" s="2" t="s">
        <v>4042</v>
      </c>
      <c r="O1816">
        <v>56</v>
      </c>
      <c r="P1816">
        <v>72811.760000000009</v>
      </c>
      <c r="Q1816" t="b">
        <v>0</v>
      </c>
      <c r="R1816" t="b">
        <v>0</v>
      </c>
      <c r="S1816" t="b">
        <v>0</v>
      </c>
      <c r="T1816" t="b">
        <v>0</v>
      </c>
      <c r="U1816">
        <v>0</v>
      </c>
      <c r="V1816" t="s">
        <v>4073</v>
      </c>
    </row>
    <row r="1817" spans="1:22" hidden="1" x14ac:dyDescent="0.45">
      <c r="A1817" s="2" t="s">
        <v>364</v>
      </c>
      <c r="B1817" s="11">
        <v>45232</v>
      </c>
      <c r="C1817" s="2" t="s">
        <v>2013</v>
      </c>
      <c r="D1817" s="2" t="s">
        <v>2018</v>
      </c>
      <c r="E1817">
        <v>889.34</v>
      </c>
      <c r="F1817">
        <v>72925.88</v>
      </c>
      <c r="G1817">
        <v>0</v>
      </c>
      <c r="H1817">
        <v>0</v>
      </c>
      <c r="I1817" s="2" t="s">
        <v>2022</v>
      </c>
      <c r="J1817" s="2" t="s">
        <v>2026</v>
      </c>
      <c r="K1817" s="2" t="s">
        <v>2385</v>
      </c>
      <c r="L1817" s="2" t="s">
        <v>4034</v>
      </c>
      <c r="M1817">
        <v>-889.34</v>
      </c>
      <c r="N1817" s="2" t="s">
        <v>4044</v>
      </c>
      <c r="O1817">
        <v>82</v>
      </c>
      <c r="P1817">
        <v>-72925.88</v>
      </c>
      <c r="Q1817" t="b">
        <v>0</v>
      </c>
      <c r="R1817" t="b">
        <v>0</v>
      </c>
      <c r="S1817" t="b">
        <v>0</v>
      </c>
      <c r="T1817" t="b">
        <v>0</v>
      </c>
      <c r="U1817">
        <v>0</v>
      </c>
      <c r="V1817" t="s">
        <v>4073</v>
      </c>
    </row>
    <row r="1818" spans="1:22" hidden="1" x14ac:dyDescent="0.45">
      <c r="A1818" s="2" t="s">
        <v>1105</v>
      </c>
      <c r="B1818" s="11">
        <v>45497</v>
      </c>
      <c r="C1818" s="2" t="s">
        <v>2013</v>
      </c>
      <c r="D1818" s="2" t="s">
        <v>2018</v>
      </c>
      <c r="E1818">
        <v>1195.8599999999999</v>
      </c>
      <c r="F1818">
        <v>72947.459999999992</v>
      </c>
      <c r="G1818">
        <v>0</v>
      </c>
      <c r="H1818">
        <v>0</v>
      </c>
      <c r="I1818" s="2" t="s">
        <v>2025</v>
      </c>
      <c r="J1818" s="2" t="s">
        <v>2027</v>
      </c>
      <c r="K1818" s="2" t="s">
        <v>3126</v>
      </c>
      <c r="L1818" s="2" t="s">
        <v>4035</v>
      </c>
      <c r="M1818">
        <v>-1195.8599999999999</v>
      </c>
      <c r="N1818" s="2" t="s">
        <v>4044</v>
      </c>
      <c r="O1818">
        <v>61</v>
      </c>
      <c r="P1818">
        <v>-72947.459999999992</v>
      </c>
      <c r="Q1818" t="b">
        <v>0</v>
      </c>
      <c r="R1818" t="b">
        <v>0</v>
      </c>
      <c r="S1818" t="b">
        <v>0</v>
      </c>
      <c r="T1818" t="b">
        <v>0</v>
      </c>
      <c r="U1818">
        <v>0</v>
      </c>
      <c r="V1818" t="s">
        <v>4073</v>
      </c>
    </row>
    <row r="1819" spans="1:22" hidden="1" x14ac:dyDescent="0.45">
      <c r="A1819" s="2" t="s">
        <v>150</v>
      </c>
      <c r="B1819" s="11">
        <v>45832</v>
      </c>
      <c r="C1819" s="2" t="s">
        <v>2010</v>
      </c>
      <c r="D1819" s="2" t="s">
        <v>2015</v>
      </c>
      <c r="E1819">
        <v>0</v>
      </c>
      <c r="F1819">
        <v>0</v>
      </c>
      <c r="G1819">
        <v>708.58</v>
      </c>
      <c r="H1819">
        <v>72983.740000000005</v>
      </c>
      <c r="I1819" s="2" t="s">
        <v>2022</v>
      </c>
      <c r="J1819" s="2" t="s">
        <v>2029</v>
      </c>
      <c r="K1819" s="2" t="s">
        <v>2171</v>
      </c>
      <c r="L1819" s="2" t="s">
        <v>4031</v>
      </c>
      <c r="M1819">
        <v>708.58</v>
      </c>
      <c r="N1819" s="2" t="s">
        <v>4042</v>
      </c>
      <c r="O1819">
        <v>103</v>
      </c>
      <c r="P1819">
        <v>72983.740000000005</v>
      </c>
      <c r="Q1819" t="b">
        <v>0</v>
      </c>
      <c r="R1819" t="b">
        <v>0</v>
      </c>
      <c r="S1819" t="b">
        <v>0</v>
      </c>
      <c r="T1819" t="b">
        <v>0</v>
      </c>
      <c r="U1819">
        <v>0</v>
      </c>
      <c r="V1819" t="s">
        <v>4073</v>
      </c>
    </row>
    <row r="1820" spans="1:22" hidden="1" x14ac:dyDescent="0.45">
      <c r="A1820" s="2" t="s">
        <v>149</v>
      </c>
      <c r="B1820" s="11">
        <v>45558</v>
      </c>
      <c r="C1820" s="2" t="s">
        <v>2012</v>
      </c>
      <c r="D1820" s="2" t="s">
        <v>2017</v>
      </c>
      <c r="E1820">
        <v>1304.8399999999999</v>
      </c>
      <c r="F1820">
        <v>73071.039999999994</v>
      </c>
      <c r="G1820">
        <v>0</v>
      </c>
      <c r="H1820">
        <v>0</v>
      </c>
      <c r="I1820" s="2" t="s">
        <v>2021</v>
      </c>
      <c r="J1820" s="2" t="s">
        <v>2030</v>
      </c>
      <c r="K1820" s="2" t="s">
        <v>2170</v>
      </c>
      <c r="L1820" s="2" t="s">
        <v>4033</v>
      </c>
      <c r="M1820">
        <v>-1304.8399999999999</v>
      </c>
      <c r="N1820" s="2" t="s">
        <v>4044</v>
      </c>
      <c r="O1820">
        <v>56</v>
      </c>
      <c r="P1820">
        <v>-73071.039999999994</v>
      </c>
      <c r="Q1820" t="b">
        <v>0</v>
      </c>
      <c r="R1820" t="b">
        <v>0</v>
      </c>
      <c r="S1820" t="b">
        <v>0</v>
      </c>
      <c r="T1820" t="b">
        <v>0</v>
      </c>
      <c r="U1820">
        <v>0</v>
      </c>
      <c r="V1820" t="s">
        <v>4073</v>
      </c>
    </row>
    <row r="1821" spans="1:22" hidden="1" x14ac:dyDescent="0.45">
      <c r="A1821" s="2" t="s">
        <v>664</v>
      </c>
      <c r="B1821" s="11">
        <v>45638</v>
      </c>
      <c r="C1821" s="2" t="s">
        <v>2013</v>
      </c>
      <c r="D1821" s="2" t="s">
        <v>2018</v>
      </c>
      <c r="E1821">
        <v>1200.67</v>
      </c>
      <c r="F1821">
        <v>73240.87000000001</v>
      </c>
      <c r="G1821">
        <v>0</v>
      </c>
      <c r="H1821">
        <v>0</v>
      </c>
      <c r="I1821" s="2" t="s">
        <v>2025</v>
      </c>
      <c r="J1821" s="2" t="s">
        <v>2026</v>
      </c>
      <c r="K1821" s="2" t="s">
        <v>2685</v>
      </c>
      <c r="L1821" s="2" t="s">
        <v>4035</v>
      </c>
      <c r="M1821">
        <v>-1200.67</v>
      </c>
      <c r="N1821" s="2" t="s">
        <v>4044</v>
      </c>
      <c r="O1821">
        <v>61</v>
      </c>
      <c r="P1821">
        <v>-73240.87000000001</v>
      </c>
      <c r="Q1821" t="b">
        <v>0</v>
      </c>
      <c r="R1821" t="b">
        <v>0</v>
      </c>
      <c r="S1821" t="b">
        <v>0</v>
      </c>
      <c r="T1821" t="b">
        <v>0</v>
      </c>
      <c r="U1821">
        <v>0</v>
      </c>
      <c r="V1821" t="s">
        <v>4073</v>
      </c>
    </row>
    <row r="1822" spans="1:22" hidden="1" x14ac:dyDescent="0.45">
      <c r="A1822" s="2" t="s">
        <v>616</v>
      </c>
      <c r="B1822" s="11">
        <v>45006</v>
      </c>
      <c r="C1822" s="2" t="s">
        <v>2012</v>
      </c>
      <c r="D1822" s="2" t="s">
        <v>2017</v>
      </c>
      <c r="E1822">
        <v>895.07</v>
      </c>
      <c r="F1822">
        <v>73395.740000000005</v>
      </c>
      <c r="G1822">
        <v>0</v>
      </c>
      <c r="H1822">
        <v>0</v>
      </c>
      <c r="I1822" s="2" t="s">
        <v>2025</v>
      </c>
      <c r="J1822" s="2" t="s">
        <v>2029</v>
      </c>
      <c r="K1822" s="2" t="s">
        <v>2637</v>
      </c>
      <c r="L1822" s="2" t="s">
        <v>4034</v>
      </c>
      <c r="M1822">
        <v>-895.07</v>
      </c>
      <c r="N1822" s="2" t="s">
        <v>4044</v>
      </c>
      <c r="O1822">
        <v>82</v>
      </c>
      <c r="P1822">
        <v>-73395.740000000005</v>
      </c>
      <c r="Q1822" t="b">
        <v>0</v>
      </c>
      <c r="R1822" t="b">
        <v>0</v>
      </c>
      <c r="S1822" t="b">
        <v>0</v>
      </c>
      <c r="T1822" t="b">
        <v>0</v>
      </c>
      <c r="U1822">
        <v>0</v>
      </c>
      <c r="V1822" t="s">
        <v>4073</v>
      </c>
    </row>
    <row r="1823" spans="1:22" hidden="1" x14ac:dyDescent="0.45">
      <c r="A1823" s="2" t="s">
        <v>1953</v>
      </c>
      <c r="B1823" s="11">
        <v>45131</v>
      </c>
      <c r="C1823" s="2" t="s">
        <v>2011</v>
      </c>
      <c r="D1823" s="2" t="s">
        <v>2016</v>
      </c>
      <c r="E1823">
        <v>1311.61</v>
      </c>
      <c r="F1823">
        <v>73450.159999999989</v>
      </c>
      <c r="G1823">
        <v>0</v>
      </c>
      <c r="H1823">
        <v>0</v>
      </c>
      <c r="I1823" s="2" t="s">
        <v>2025</v>
      </c>
      <c r="J1823" s="2" t="s">
        <v>2030</v>
      </c>
      <c r="K1823" s="2" t="s">
        <v>3974</v>
      </c>
      <c r="L1823" s="2" t="s">
        <v>4033</v>
      </c>
      <c r="M1823">
        <v>-1311.61</v>
      </c>
      <c r="N1823" s="2" t="s">
        <v>2016</v>
      </c>
      <c r="O1823">
        <v>56</v>
      </c>
      <c r="P1823">
        <v>-73450.159999999989</v>
      </c>
      <c r="Q1823" t="b">
        <v>0</v>
      </c>
      <c r="R1823" t="b">
        <v>0</v>
      </c>
      <c r="S1823" t="b">
        <v>0</v>
      </c>
      <c r="T1823" t="b">
        <v>0</v>
      </c>
      <c r="U1823">
        <v>0</v>
      </c>
      <c r="V1823" t="s">
        <v>4073</v>
      </c>
    </row>
    <row r="1824" spans="1:22" hidden="1" x14ac:dyDescent="0.45">
      <c r="A1824" s="2" t="s">
        <v>903</v>
      </c>
      <c r="B1824" s="11">
        <v>45280</v>
      </c>
      <c r="C1824" s="2" t="s">
        <v>2013</v>
      </c>
      <c r="D1824" s="2" t="s">
        <v>2018</v>
      </c>
      <c r="E1824">
        <v>1204.8499999999999</v>
      </c>
      <c r="F1824">
        <v>73495.849999999991</v>
      </c>
      <c r="G1824">
        <v>0</v>
      </c>
      <c r="H1824">
        <v>0</v>
      </c>
      <c r="I1824" s="2" t="s">
        <v>2022</v>
      </c>
      <c r="J1824" s="2" t="s">
        <v>2027</v>
      </c>
      <c r="K1824" s="2" t="s">
        <v>2924</v>
      </c>
      <c r="L1824" s="2" t="s">
        <v>4035</v>
      </c>
      <c r="M1824">
        <v>-1204.8499999999999</v>
      </c>
      <c r="N1824" s="2" t="s">
        <v>4044</v>
      </c>
      <c r="O1824">
        <v>61</v>
      </c>
      <c r="P1824">
        <v>-73495.849999999991</v>
      </c>
      <c r="Q1824" t="b">
        <v>0</v>
      </c>
      <c r="R1824" t="b">
        <v>0</v>
      </c>
      <c r="S1824" t="b">
        <v>0</v>
      </c>
      <c r="T1824" t="b">
        <v>0</v>
      </c>
      <c r="U1824">
        <v>0</v>
      </c>
      <c r="V1824" t="s">
        <v>4073</v>
      </c>
    </row>
    <row r="1825" spans="1:22" hidden="1" x14ac:dyDescent="0.45">
      <c r="A1825" s="2" t="s">
        <v>1376</v>
      </c>
      <c r="B1825" s="11">
        <v>45268</v>
      </c>
      <c r="C1825" s="2" t="s">
        <v>2013</v>
      </c>
      <c r="D1825" s="2" t="s">
        <v>2018</v>
      </c>
      <c r="E1825">
        <v>714.9</v>
      </c>
      <c r="F1825">
        <v>73634.7</v>
      </c>
      <c r="G1825">
        <v>0</v>
      </c>
      <c r="H1825">
        <v>0</v>
      </c>
      <c r="I1825" s="2" t="s">
        <v>2020</v>
      </c>
      <c r="J1825" s="2" t="s">
        <v>2026</v>
      </c>
      <c r="K1825" s="2" t="s">
        <v>3397</v>
      </c>
      <c r="L1825" s="2" t="s">
        <v>4031</v>
      </c>
      <c r="M1825">
        <v>-714.9</v>
      </c>
      <c r="N1825" s="2" t="s">
        <v>4044</v>
      </c>
      <c r="O1825">
        <v>103</v>
      </c>
      <c r="P1825">
        <v>-73634.7</v>
      </c>
      <c r="Q1825" t="b">
        <v>0</v>
      </c>
      <c r="R1825" t="b">
        <v>0</v>
      </c>
      <c r="S1825" t="b">
        <v>0</v>
      </c>
      <c r="T1825" t="b">
        <v>0</v>
      </c>
      <c r="U1825">
        <v>0</v>
      </c>
      <c r="V1825" t="s">
        <v>4073</v>
      </c>
    </row>
    <row r="1826" spans="1:22" hidden="1" x14ac:dyDescent="0.45">
      <c r="A1826" s="2" t="s">
        <v>767</v>
      </c>
      <c r="B1826" s="11">
        <v>45202</v>
      </c>
      <c r="C1826" s="2" t="s">
        <v>2013</v>
      </c>
      <c r="D1826" s="2" t="s">
        <v>2018</v>
      </c>
      <c r="E1826">
        <v>837.65</v>
      </c>
      <c r="F1826">
        <v>73713.2</v>
      </c>
      <c r="G1826">
        <v>0</v>
      </c>
      <c r="H1826">
        <v>0</v>
      </c>
      <c r="I1826" s="2" t="s">
        <v>2021</v>
      </c>
      <c r="J1826" s="2" t="s">
        <v>2029</v>
      </c>
      <c r="K1826" s="2" t="s">
        <v>2788</v>
      </c>
      <c r="L1826" s="2" t="s">
        <v>4032</v>
      </c>
      <c r="M1826">
        <v>-837.65</v>
      </c>
      <c r="N1826" s="2" t="s">
        <v>4044</v>
      </c>
      <c r="O1826">
        <v>88</v>
      </c>
      <c r="P1826">
        <v>-73713.2</v>
      </c>
      <c r="Q1826" t="b">
        <v>0</v>
      </c>
      <c r="R1826" t="b">
        <v>0</v>
      </c>
      <c r="S1826" t="b">
        <v>0</v>
      </c>
      <c r="T1826" t="b">
        <v>0</v>
      </c>
      <c r="U1826">
        <v>0</v>
      </c>
      <c r="V1826" t="s">
        <v>4073</v>
      </c>
    </row>
    <row r="1827" spans="1:22" hidden="1" x14ac:dyDescent="0.45">
      <c r="A1827" s="2" t="s">
        <v>374</v>
      </c>
      <c r="B1827" s="11">
        <v>45635</v>
      </c>
      <c r="C1827" s="2" t="s">
        <v>2013</v>
      </c>
      <c r="D1827" s="2" t="s">
        <v>2018</v>
      </c>
      <c r="E1827">
        <v>837.89</v>
      </c>
      <c r="F1827">
        <v>73734.319999999992</v>
      </c>
      <c r="G1827">
        <v>0</v>
      </c>
      <c r="H1827">
        <v>0</v>
      </c>
      <c r="I1827" s="2" t="s">
        <v>2021</v>
      </c>
      <c r="J1827" s="2" t="s">
        <v>2028</v>
      </c>
      <c r="K1827" s="2" t="s">
        <v>2395</v>
      </c>
      <c r="L1827" s="2" t="s">
        <v>4032</v>
      </c>
      <c r="M1827">
        <v>-837.89</v>
      </c>
      <c r="N1827" s="2" t="s">
        <v>4044</v>
      </c>
      <c r="O1827">
        <v>88</v>
      </c>
      <c r="P1827">
        <v>-73734.319999999992</v>
      </c>
      <c r="Q1827" t="b">
        <v>0</v>
      </c>
      <c r="R1827" t="b">
        <v>0</v>
      </c>
      <c r="S1827" t="b">
        <v>0</v>
      </c>
      <c r="T1827" t="b">
        <v>0</v>
      </c>
      <c r="U1827">
        <v>0</v>
      </c>
      <c r="V1827" t="s">
        <v>4073</v>
      </c>
    </row>
    <row r="1828" spans="1:22" hidden="1" x14ac:dyDescent="0.45">
      <c r="A1828" s="2" t="s">
        <v>16</v>
      </c>
      <c r="B1828" s="11">
        <v>45142</v>
      </c>
      <c r="C1828" s="2" t="s">
        <v>2013</v>
      </c>
      <c r="D1828" s="2" t="s">
        <v>2018</v>
      </c>
      <c r="E1828">
        <v>899.55</v>
      </c>
      <c r="F1828">
        <v>73763.099999999991</v>
      </c>
      <c r="G1828">
        <v>0</v>
      </c>
      <c r="H1828">
        <v>0</v>
      </c>
      <c r="I1828" s="2" t="s">
        <v>2021</v>
      </c>
      <c r="J1828" s="2" t="s">
        <v>2029</v>
      </c>
      <c r="K1828" s="2" t="s">
        <v>2037</v>
      </c>
      <c r="L1828" s="2" t="s">
        <v>4034</v>
      </c>
      <c r="M1828">
        <v>-899.55</v>
      </c>
      <c r="N1828" s="2" t="s">
        <v>4044</v>
      </c>
      <c r="O1828">
        <v>82</v>
      </c>
      <c r="P1828">
        <v>-73763.099999999991</v>
      </c>
      <c r="Q1828" t="b">
        <v>0</v>
      </c>
      <c r="R1828" t="b">
        <v>0</v>
      </c>
      <c r="S1828" t="b">
        <v>0</v>
      </c>
      <c r="T1828" t="b">
        <v>0</v>
      </c>
      <c r="U1828">
        <v>0</v>
      </c>
      <c r="V1828" t="s">
        <v>4073</v>
      </c>
    </row>
    <row r="1829" spans="1:22" hidden="1" x14ac:dyDescent="0.45">
      <c r="A1829" s="2" t="s">
        <v>1359</v>
      </c>
      <c r="B1829" s="11">
        <v>45677</v>
      </c>
      <c r="C1829" s="2" t="s">
        <v>2013</v>
      </c>
      <c r="D1829" s="2" t="s">
        <v>2018</v>
      </c>
      <c r="E1829">
        <v>1318.81</v>
      </c>
      <c r="F1829">
        <v>73853.36</v>
      </c>
      <c r="G1829">
        <v>0</v>
      </c>
      <c r="H1829">
        <v>0</v>
      </c>
      <c r="I1829" s="2" t="s">
        <v>2023</v>
      </c>
      <c r="J1829" s="2" t="s">
        <v>2028</v>
      </c>
      <c r="K1829" s="2" t="s">
        <v>3380</v>
      </c>
      <c r="L1829" s="2" t="s">
        <v>4033</v>
      </c>
      <c r="M1829">
        <v>-1318.81</v>
      </c>
      <c r="N1829" s="2" t="s">
        <v>4044</v>
      </c>
      <c r="O1829">
        <v>56</v>
      </c>
      <c r="P1829">
        <v>-73853.36</v>
      </c>
      <c r="Q1829" t="b">
        <v>0</v>
      </c>
      <c r="R1829" t="b">
        <v>0</v>
      </c>
      <c r="S1829" t="b">
        <v>0</v>
      </c>
      <c r="T1829" t="b">
        <v>0</v>
      </c>
      <c r="U1829">
        <v>0</v>
      </c>
      <c r="V1829" t="s">
        <v>4073</v>
      </c>
    </row>
    <row r="1830" spans="1:22" hidden="1" x14ac:dyDescent="0.45">
      <c r="A1830" s="2" t="s">
        <v>1294</v>
      </c>
      <c r="B1830" s="11">
        <v>45405</v>
      </c>
      <c r="C1830" s="2" t="s">
        <v>2011</v>
      </c>
      <c r="D1830" s="2" t="s">
        <v>2016</v>
      </c>
      <c r="E1830">
        <v>1211.1500000000001</v>
      </c>
      <c r="F1830">
        <v>73880.150000000009</v>
      </c>
      <c r="G1830">
        <v>0</v>
      </c>
      <c r="H1830">
        <v>0</v>
      </c>
      <c r="I1830" s="2" t="s">
        <v>2025</v>
      </c>
      <c r="J1830" s="2" t="s">
        <v>2029</v>
      </c>
      <c r="K1830" s="2" t="s">
        <v>3315</v>
      </c>
      <c r="L1830" s="2" t="s">
        <v>4035</v>
      </c>
      <c r="M1830">
        <v>-1211.1500000000001</v>
      </c>
      <c r="N1830" s="2" t="s">
        <v>2016</v>
      </c>
      <c r="O1830">
        <v>61</v>
      </c>
      <c r="P1830">
        <v>-73880.150000000009</v>
      </c>
      <c r="Q1830" t="b">
        <v>0</v>
      </c>
      <c r="R1830" t="b">
        <v>0</v>
      </c>
      <c r="S1830" t="b">
        <v>0</v>
      </c>
      <c r="T1830" t="b">
        <v>0</v>
      </c>
      <c r="U1830">
        <v>0</v>
      </c>
      <c r="V1830" t="s">
        <v>4073</v>
      </c>
    </row>
    <row r="1831" spans="1:22" hidden="1" x14ac:dyDescent="0.45">
      <c r="A1831" s="2" t="s">
        <v>1195</v>
      </c>
      <c r="B1831" s="11">
        <v>45328</v>
      </c>
      <c r="C1831" s="2" t="s">
        <v>2014</v>
      </c>
      <c r="D1831" s="2" t="s">
        <v>2019</v>
      </c>
      <c r="E1831">
        <v>0</v>
      </c>
      <c r="F1831">
        <v>0</v>
      </c>
      <c r="G1831">
        <v>841.52</v>
      </c>
      <c r="H1831">
        <v>74053.759999999995</v>
      </c>
      <c r="I1831" s="2" t="s">
        <v>2021</v>
      </c>
      <c r="J1831" s="2" t="s">
        <v>2030</v>
      </c>
      <c r="K1831" s="2" t="s">
        <v>3216</v>
      </c>
      <c r="L1831" s="2" t="s">
        <v>4032</v>
      </c>
      <c r="M1831">
        <v>841.52</v>
      </c>
      <c r="N1831" s="2" t="s">
        <v>4042</v>
      </c>
      <c r="O1831">
        <v>88</v>
      </c>
      <c r="P1831">
        <v>74053.759999999995</v>
      </c>
      <c r="Q1831" t="b">
        <v>0</v>
      </c>
      <c r="R1831" t="b">
        <v>0</v>
      </c>
      <c r="S1831" t="b">
        <v>0</v>
      </c>
      <c r="T1831" t="b">
        <v>0</v>
      </c>
      <c r="U1831">
        <v>0</v>
      </c>
      <c r="V1831" t="s">
        <v>4073</v>
      </c>
    </row>
    <row r="1832" spans="1:22" hidden="1" x14ac:dyDescent="0.45">
      <c r="A1832" s="2" t="s">
        <v>1804</v>
      </c>
      <c r="B1832" s="11">
        <v>45358</v>
      </c>
      <c r="C1832" s="2" t="s">
        <v>2010</v>
      </c>
      <c r="D1832" s="2" t="s">
        <v>2015</v>
      </c>
      <c r="E1832">
        <v>0</v>
      </c>
      <c r="F1832">
        <v>0</v>
      </c>
      <c r="G1832">
        <v>1216.3499999999999</v>
      </c>
      <c r="H1832">
        <v>74197.349999999991</v>
      </c>
      <c r="I1832" s="2" t="s">
        <v>2024</v>
      </c>
      <c r="J1832" s="2" t="s">
        <v>2029</v>
      </c>
      <c r="K1832" s="2" t="s">
        <v>3825</v>
      </c>
      <c r="L1832" s="2" t="s">
        <v>4035</v>
      </c>
      <c r="M1832">
        <v>1216.3499999999999</v>
      </c>
      <c r="N1832" s="2" t="s">
        <v>4042</v>
      </c>
      <c r="O1832">
        <v>61</v>
      </c>
      <c r="P1832">
        <v>74197.349999999991</v>
      </c>
      <c r="Q1832" t="b">
        <v>0</v>
      </c>
      <c r="R1832" t="b">
        <v>0</v>
      </c>
      <c r="S1832" t="b">
        <v>0</v>
      </c>
      <c r="T1832" t="b">
        <v>0</v>
      </c>
      <c r="U1832">
        <v>0</v>
      </c>
      <c r="V1832" t="s">
        <v>4073</v>
      </c>
    </row>
    <row r="1833" spans="1:22" hidden="1" x14ac:dyDescent="0.45">
      <c r="A1833" s="2" t="s">
        <v>310</v>
      </c>
      <c r="B1833" s="11">
        <v>45209</v>
      </c>
      <c r="C1833" s="2" t="s">
        <v>2010</v>
      </c>
      <c r="D1833" s="2" t="s">
        <v>2015</v>
      </c>
      <c r="E1833">
        <v>0</v>
      </c>
      <c r="F1833">
        <v>0</v>
      </c>
      <c r="G1833">
        <v>1229.46</v>
      </c>
      <c r="H1833">
        <v>74997.06</v>
      </c>
      <c r="I1833" s="2" t="s">
        <v>2023</v>
      </c>
      <c r="J1833" s="2" t="s">
        <v>2026</v>
      </c>
      <c r="K1833" s="2" t="s">
        <v>2331</v>
      </c>
      <c r="L1833" s="2" t="s">
        <v>4035</v>
      </c>
      <c r="M1833">
        <v>1229.46</v>
      </c>
      <c r="N1833" s="2" t="s">
        <v>4042</v>
      </c>
      <c r="O1833">
        <v>61</v>
      </c>
      <c r="P1833">
        <v>74997.06</v>
      </c>
      <c r="Q1833" t="b">
        <v>0</v>
      </c>
      <c r="R1833" t="b">
        <v>0</v>
      </c>
      <c r="S1833" t="b">
        <v>0</v>
      </c>
      <c r="T1833" t="b">
        <v>0</v>
      </c>
      <c r="U1833">
        <v>0</v>
      </c>
      <c r="V1833" t="s">
        <v>4073</v>
      </c>
    </row>
    <row r="1834" spans="1:22" hidden="1" x14ac:dyDescent="0.45">
      <c r="A1834" s="2" t="s">
        <v>1016</v>
      </c>
      <c r="B1834" s="11">
        <v>45615</v>
      </c>
      <c r="C1834" s="2" t="s">
        <v>2011</v>
      </c>
      <c r="D1834" s="2" t="s">
        <v>2016</v>
      </c>
      <c r="E1834">
        <v>1309.5</v>
      </c>
      <c r="F1834">
        <v>115236</v>
      </c>
      <c r="G1834">
        <v>0</v>
      </c>
      <c r="H1834">
        <v>0</v>
      </c>
      <c r="I1834" s="2" t="s">
        <v>2024</v>
      </c>
      <c r="J1834" s="2" t="s">
        <v>2027</v>
      </c>
      <c r="K1834" s="2" t="s">
        <v>3037</v>
      </c>
      <c r="L1834" s="2" t="s">
        <v>4032</v>
      </c>
      <c r="M1834">
        <v>-1309.5</v>
      </c>
      <c r="N1834" s="2" t="s">
        <v>2016</v>
      </c>
      <c r="O1834">
        <v>88</v>
      </c>
      <c r="P1834">
        <v>-115236</v>
      </c>
      <c r="Q1834" t="b">
        <v>0</v>
      </c>
      <c r="R1834" t="b">
        <v>0</v>
      </c>
      <c r="S1834" t="b">
        <v>0</v>
      </c>
      <c r="T1834" t="b">
        <v>0</v>
      </c>
      <c r="U1834">
        <v>0</v>
      </c>
      <c r="V1834" t="s">
        <v>4073</v>
      </c>
    </row>
    <row r="1835" spans="1:22" hidden="1" x14ac:dyDescent="0.45">
      <c r="A1835" s="2" t="s">
        <v>361</v>
      </c>
      <c r="B1835" s="11">
        <v>45582</v>
      </c>
      <c r="C1835" s="2" t="s">
        <v>2013</v>
      </c>
      <c r="D1835" s="2" t="s">
        <v>2018</v>
      </c>
      <c r="E1835">
        <v>1580.47</v>
      </c>
      <c r="F1835">
        <v>88506.32</v>
      </c>
      <c r="G1835">
        <v>0</v>
      </c>
      <c r="H1835">
        <v>0</v>
      </c>
      <c r="I1835" s="2" t="s">
        <v>2024</v>
      </c>
      <c r="J1835" s="2" t="s">
        <v>2030</v>
      </c>
      <c r="K1835" s="2" t="s">
        <v>2382</v>
      </c>
      <c r="L1835" s="2" t="s">
        <v>4033</v>
      </c>
      <c r="M1835">
        <v>-1580.47</v>
      </c>
      <c r="N1835" s="2" t="s">
        <v>4044</v>
      </c>
      <c r="O1835">
        <v>56</v>
      </c>
      <c r="P1835">
        <v>-88506.32</v>
      </c>
      <c r="Q1835" t="b">
        <v>0</v>
      </c>
      <c r="R1835" t="b">
        <v>0</v>
      </c>
      <c r="S1835" t="b">
        <v>0</v>
      </c>
      <c r="T1835" t="b">
        <v>0</v>
      </c>
      <c r="U1835">
        <v>0</v>
      </c>
      <c r="V1835" t="s">
        <v>4073</v>
      </c>
    </row>
    <row r="1836" spans="1:22" hidden="1" x14ac:dyDescent="0.45">
      <c r="A1836" s="2" t="s">
        <v>19</v>
      </c>
      <c r="B1836" s="11">
        <v>45029</v>
      </c>
      <c r="C1836" s="2" t="s">
        <v>2011</v>
      </c>
      <c r="D1836" s="2" t="s">
        <v>2016</v>
      </c>
      <c r="E1836">
        <v>1093.72</v>
      </c>
      <c r="F1836">
        <v>89685.040000000008</v>
      </c>
      <c r="G1836">
        <v>0</v>
      </c>
      <c r="H1836">
        <v>0</v>
      </c>
      <c r="I1836" s="2" t="s">
        <v>2021</v>
      </c>
      <c r="J1836" s="2" t="s">
        <v>2028</v>
      </c>
      <c r="K1836" s="2" t="s">
        <v>2040</v>
      </c>
      <c r="L1836" s="2" t="s">
        <v>4034</v>
      </c>
      <c r="M1836">
        <v>-1093.72</v>
      </c>
      <c r="N1836" s="2" t="s">
        <v>2016</v>
      </c>
      <c r="O1836">
        <v>82</v>
      </c>
      <c r="P1836">
        <v>-89685.040000000008</v>
      </c>
      <c r="Q1836" t="b">
        <v>0</v>
      </c>
      <c r="R1836" t="b">
        <v>0</v>
      </c>
      <c r="S1836" t="b">
        <v>0</v>
      </c>
      <c r="T1836" t="b">
        <v>0</v>
      </c>
      <c r="U1836">
        <v>0</v>
      </c>
      <c r="V1836" t="s">
        <v>4073</v>
      </c>
    </row>
    <row r="1837" spans="1:22" hidden="1" x14ac:dyDescent="0.45">
      <c r="A1837" s="2" t="s">
        <v>348</v>
      </c>
      <c r="B1837" s="11">
        <v>45554</v>
      </c>
      <c r="C1837" s="2" t="s">
        <v>2013</v>
      </c>
      <c r="D1837" s="2" t="s">
        <v>2018</v>
      </c>
      <c r="E1837">
        <v>1898.13</v>
      </c>
      <c r="F1837">
        <v>106295.28</v>
      </c>
      <c r="G1837">
        <v>0</v>
      </c>
      <c r="H1837">
        <v>0</v>
      </c>
      <c r="I1837" s="2" t="s">
        <v>2025</v>
      </c>
      <c r="J1837" s="2" t="s">
        <v>2029</v>
      </c>
      <c r="K1837" s="2" t="s">
        <v>2369</v>
      </c>
      <c r="L1837" s="2" t="s">
        <v>4033</v>
      </c>
      <c r="M1837">
        <v>-1898.13</v>
      </c>
      <c r="N1837" s="2" t="s">
        <v>4044</v>
      </c>
      <c r="O1837">
        <v>56</v>
      </c>
      <c r="P1837">
        <v>-106295.28</v>
      </c>
      <c r="Q1837" t="b">
        <v>0</v>
      </c>
      <c r="R1837" t="b">
        <v>0</v>
      </c>
      <c r="S1837" t="b">
        <v>0</v>
      </c>
      <c r="T1837" t="b">
        <v>0</v>
      </c>
      <c r="U1837">
        <v>0</v>
      </c>
      <c r="V1837" t="s">
        <v>4073</v>
      </c>
    </row>
    <row r="1838" spans="1:22" hidden="1" x14ac:dyDescent="0.45">
      <c r="A1838" s="2" t="s">
        <v>247</v>
      </c>
      <c r="B1838" s="11">
        <v>44950</v>
      </c>
      <c r="C1838" s="2" t="s">
        <v>2014</v>
      </c>
      <c r="D1838" s="2" t="s">
        <v>2019</v>
      </c>
      <c r="E1838">
        <v>0</v>
      </c>
      <c r="F1838">
        <v>0</v>
      </c>
      <c r="G1838">
        <v>1299.3699999999999</v>
      </c>
      <c r="H1838">
        <v>106548.34</v>
      </c>
      <c r="I1838" s="2" t="s">
        <v>2023</v>
      </c>
      <c r="J1838" s="2" t="s">
        <v>2027</v>
      </c>
      <c r="K1838" s="2" t="s">
        <v>2268</v>
      </c>
      <c r="L1838" s="2" t="s">
        <v>4034</v>
      </c>
      <c r="M1838">
        <v>1299.3699999999999</v>
      </c>
      <c r="N1838" s="2" t="s">
        <v>4042</v>
      </c>
      <c r="O1838">
        <v>82</v>
      </c>
      <c r="P1838">
        <v>106548.34</v>
      </c>
      <c r="Q1838" t="b">
        <v>0</v>
      </c>
      <c r="R1838" t="b">
        <v>0</v>
      </c>
      <c r="S1838" t="b">
        <v>0</v>
      </c>
      <c r="T1838" t="b">
        <v>0</v>
      </c>
      <c r="U1838">
        <v>0</v>
      </c>
      <c r="V1838" t="s">
        <v>4073</v>
      </c>
    </row>
    <row r="1839" spans="1:22" hidden="1" x14ac:dyDescent="0.45">
      <c r="A1839" s="2" t="s">
        <v>1434</v>
      </c>
      <c r="B1839" s="11">
        <v>45019</v>
      </c>
      <c r="C1839" s="2" t="s">
        <v>2013</v>
      </c>
      <c r="D1839" s="2" t="s">
        <v>2018</v>
      </c>
      <c r="E1839">
        <v>1752.32</v>
      </c>
      <c r="F1839">
        <v>106891.51999999999</v>
      </c>
      <c r="G1839">
        <v>0</v>
      </c>
      <c r="H1839">
        <v>0</v>
      </c>
      <c r="I1839" s="2" t="s">
        <v>2020</v>
      </c>
      <c r="J1839" s="2" t="s">
        <v>2028</v>
      </c>
      <c r="K1839" s="2" t="s">
        <v>3455</v>
      </c>
      <c r="L1839" s="2" t="s">
        <v>4035</v>
      </c>
      <c r="M1839">
        <v>-1752.32</v>
      </c>
      <c r="N1839" s="2" t="s">
        <v>4044</v>
      </c>
      <c r="O1839">
        <v>61</v>
      </c>
      <c r="P1839">
        <v>-106891.51999999999</v>
      </c>
      <c r="Q1839" t="b">
        <v>0</v>
      </c>
      <c r="R1839" t="b">
        <v>0</v>
      </c>
      <c r="S1839" t="b">
        <v>0</v>
      </c>
      <c r="T1839" t="b">
        <v>0</v>
      </c>
      <c r="U1839">
        <v>0</v>
      </c>
      <c r="V1839" t="s">
        <v>4073</v>
      </c>
    </row>
    <row r="1840" spans="1:22" hidden="1" x14ac:dyDescent="0.45">
      <c r="A1840" s="2" t="s">
        <v>591</v>
      </c>
      <c r="B1840" s="11">
        <v>45587</v>
      </c>
      <c r="C1840" s="2" t="s">
        <v>2011</v>
      </c>
      <c r="D1840" s="2" t="s">
        <v>2016</v>
      </c>
      <c r="E1840">
        <v>1752.75</v>
      </c>
      <c r="F1840">
        <v>106917.75</v>
      </c>
      <c r="G1840">
        <v>0</v>
      </c>
      <c r="H1840">
        <v>0</v>
      </c>
      <c r="I1840" s="2" t="s">
        <v>2021</v>
      </c>
      <c r="J1840" s="2" t="s">
        <v>2026</v>
      </c>
      <c r="K1840" s="2" t="s">
        <v>2612</v>
      </c>
      <c r="L1840" s="2" t="s">
        <v>4035</v>
      </c>
      <c r="M1840">
        <v>-1752.75</v>
      </c>
      <c r="N1840" s="2" t="s">
        <v>2016</v>
      </c>
      <c r="O1840">
        <v>61</v>
      </c>
      <c r="P1840">
        <v>-106917.75</v>
      </c>
      <c r="Q1840" t="b">
        <v>0</v>
      </c>
      <c r="R1840" t="b">
        <v>0</v>
      </c>
      <c r="S1840" t="b">
        <v>0</v>
      </c>
      <c r="T1840" t="b">
        <v>0</v>
      </c>
      <c r="U1840">
        <v>0</v>
      </c>
      <c r="V1840" t="s">
        <v>4073</v>
      </c>
    </row>
    <row r="1841" spans="1:22" hidden="1" x14ac:dyDescent="0.45">
      <c r="A1841" s="2" t="s">
        <v>141</v>
      </c>
      <c r="B1841" s="11">
        <v>45478</v>
      </c>
      <c r="C1841" s="2" t="s">
        <v>2011</v>
      </c>
      <c r="D1841" s="2" t="s">
        <v>2016</v>
      </c>
      <c r="E1841">
        <v>1304.32</v>
      </c>
      <c r="F1841">
        <v>106954.23999999999</v>
      </c>
      <c r="G1841">
        <v>0</v>
      </c>
      <c r="H1841">
        <v>0</v>
      </c>
      <c r="I1841" s="2" t="s">
        <v>2025</v>
      </c>
      <c r="J1841" s="2" t="s">
        <v>2028</v>
      </c>
      <c r="K1841" s="2" t="s">
        <v>2162</v>
      </c>
      <c r="L1841" s="2" t="s">
        <v>4034</v>
      </c>
      <c r="M1841">
        <v>-1304.32</v>
      </c>
      <c r="N1841" s="2" t="s">
        <v>2016</v>
      </c>
      <c r="O1841">
        <v>82</v>
      </c>
      <c r="P1841">
        <v>-106954.23999999999</v>
      </c>
      <c r="Q1841" t="b">
        <v>0</v>
      </c>
      <c r="R1841" t="b">
        <v>0</v>
      </c>
      <c r="S1841" t="b">
        <v>0</v>
      </c>
      <c r="T1841" t="b">
        <v>0</v>
      </c>
      <c r="U1841">
        <v>0</v>
      </c>
      <c r="V1841" t="s">
        <v>4073</v>
      </c>
    </row>
    <row r="1842" spans="1:22" hidden="1" x14ac:dyDescent="0.45">
      <c r="A1842" s="2" t="s">
        <v>575</v>
      </c>
      <c r="B1842" s="11">
        <v>45573</v>
      </c>
      <c r="C1842" s="2" t="s">
        <v>2013</v>
      </c>
      <c r="D1842" s="2" t="s">
        <v>2018</v>
      </c>
      <c r="E1842">
        <v>1040.76</v>
      </c>
      <c r="F1842">
        <v>107198.28</v>
      </c>
      <c r="G1842">
        <v>0</v>
      </c>
      <c r="H1842">
        <v>0</v>
      </c>
      <c r="I1842" s="2" t="s">
        <v>2024</v>
      </c>
      <c r="J1842" s="2" t="s">
        <v>2028</v>
      </c>
      <c r="K1842" s="2" t="s">
        <v>2596</v>
      </c>
      <c r="L1842" s="2" t="s">
        <v>4031</v>
      </c>
      <c r="M1842">
        <v>-1040.76</v>
      </c>
      <c r="N1842" s="2" t="s">
        <v>4044</v>
      </c>
      <c r="O1842">
        <v>103</v>
      </c>
      <c r="P1842">
        <v>-107198.28</v>
      </c>
      <c r="Q1842" t="b">
        <v>0</v>
      </c>
      <c r="R1842" t="b">
        <v>0</v>
      </c>
      <c r="S1842" t="b">
        <v>0</v>
      </c>
      <c r="T1842" t="b">
        <v>0</v>
      </c>
      <c r="U1842">
        <v>0</v>
      </c>
      <c r="V1842" t="s">
        <v>4073</v>
      </c>
    </row>
    <row r="1843" spans="1:22" hidden="1" x14ac:dyDescent="0.45">
      <c r="A1843" s="2" t="s">
        <v>476</v>
      </c>
      <c r="B1843" s="11">
        <v>44974</v>
      </c>
      <c r="C1843" s="2" t="s">
        <v>2010</v>
      </c>
      <c r="D1843" s="2" t="s">
        <v>2015</v>
      </c>
      <c r="E1843">
        <v>0</v>
      </c>
      <c r="F1843">
        <v>0</v>
      </c>
      <c r="G1843">
        <v>1225.02</v>
      </c>
      <c r="H1843">
        <v>107801.76</v>
      </c>
      <c r="I1843" s="2" t="s">
        <v>2025</v>
      </c>
      <c r="J1843" s="2" t="s">
        <v>2029</v>
      </c>
      <c r="K1843" s="2" t="s">
        <v>2497</v>
      </c>
      <c r="L1843" s="2" t="s">
        <v>4032</v>
      </c>
      <c r="M1843">
        <v>1225.02</v>
      </c>
      <c r="N1843" s="2" t="s">
        <v>4042</v>
      </c>
      <c r="O1843">
        <v>88</v>
      </c>
      <c r="P1843">
        <v>107801.76</v>
      </c>
      <c r="Q1843" t="b">
        <v>0</v>
      </c>
      <c r="R1843" t="b">
        <v>0</v>
      </c>
      <c r="S1843" t="b">
        <v>0</v>
      </c>
      <c r="T1843" t="b">
        <v>0</v>
      </c>
      <c r="U1843">
        <v>0</v>
      </c>
      <c r="V1843" t="s">
        <v>4073</v>
      </c>
    </row>
    <row r="1844" spans="1:22" hidden="1" x14ac:dyDescent="0.45">
      <c r="A1844" s="2" t="s">
        <v>1408</v>
      </c>
      <c r="B1844" s="11">
        <v>45352</v>
      </c>
      <c r="C1844" s="2" t="s">
        <v>2012</v>
      </c>
      <c r="D1844" s="2" t="s">
        <v>2017</v>
      </c>
      <c r="E1844">
        <v>1204.07</v>
      </c>
      <c r="F1844">
        <v>105958.15999999999</v>
      </c>
      <c r="G1844">
        <v>0</v>
      </c>
      <c r="H1844">
        <v>0</v>
      </c>
      <c r="I1844" s="2" t="s">
        <v>2021</v>
      </c>
      <c r="J1844" s="2" t="s">
        <v>2029</v>
      </c>
      <c r="K1844" s="2" t="s">
        <v>3429</v>
      </c>
      <c r="L1844" s="2" t="s">
        <v>4032</v>
      </c>
      <c r="M1844">
        <v>-1204.07</v>
      </c>
      <c r="N1844" s="2" t="s">
        <v>4044</v>
      </c>
      <c r="O1844">
        <v>88</v>
      </c>
      <c r="P1844">
        <v>-105958.15999999999</v>
      </c>
      <c r="Q1844" t="b">
        <v>0</v>
      </c>
      <c r="R1844" t="b">
        <v>0</v>
      </c>
      <c r="S1844" t="b">
        <v>0</v>
      </c>
      <c r="T1844" t="b">
        <v>0</v>
      </c>
      <c r="U1844">
        <v>0</v>
      </c>
      <c r="V1844" t="s">
        <v>4073</v>
      </c>
    </row>
    <row r="1845" spans="1:22" hidden="1" x14ac:dyDescent="0.45">
      <c r="A1845" s="2" t="s">
        <v>1176</v>
      </c>
      <c r="B1845" s="11">
        <v>45261</v>
      </c>
      <c r="C1845" s="2" t="s">
        <v>2013</v>
      </c>
      <c r="D1845" s="2" t="s">
        <v>2018</v>
      </c>
      <c r="E1845">
        <v>1772.72</v>
      </c>
      <c r="F1845">
        <v>108135.92</v>
      </c>
      <c r="G1845">
        <v>0</v>
      </c>
      <c r="H1845">
        <v>0</v>
      </c>
      <c r="I1845" s="2" t="s">
        <v>2023</v>
      </c>
      <c r="J1845" s="2" t="s">
        <v>2026</v>
      </c>
      <c r="K1845" s="2" t="s">
        <v>3197</v>
      </c>
      <c r="L1845" s="2" t="s">
        <v>4035</v>
      </c>
      <c r="M1845">
        <v>-1772.72</v>
      </c>
      <c r="N1845" s="2" t="s">
        <v>4044</v>
      </c>
      <c r="O1845">
        <v>61</v>
      </c>
      <c r="P1845">
        <v>-108135.92</v>
      </c>
      <c r="Q1845" t="b">
        <v>0</v>
      </c>
      <c r="R1845" t="b">
        <v>0</v>
      </c>
      <c r="S1845" t="b">
        <v>0</v>
      </c>
      <c r="T1845" t="b">
        <v>0</v>
      </c>
      <c r="U1845">
        <v>0</v>
      </c>
      <c r="V1845" t="s">
        <v>4073</v>
      </c>
    </row>
    <row r="1846" spans="1:22" hidden="1" x14ac:dyDescent="0.45">
      <c r="A1846" s="2" t="s">
        <v>669</v>
      </c>
      <c r="B1846" s="11">
        <v>45463</v>
      </c>
      <c r="C1846" s="2" t="s">
        <v>2012</v>
      </c>
      <c r="D1846" s="2" t="s">
        <v>2017</v>
      </c>
      <c r="E1846">
        <v>1781.01</v>
      </c>
      <c r="F1846">
        <v>108641.61</v>
      </c>
      <c r="G1846">
        <v>0</v>
      </c>
      <c r="H1846">
        <v>0</v>
      </c>
      <c r="I1846" s="2" t="s">
        <v>2020</v>
      </c>
      <c r="J1846" s="2" t="s">
        <v>2030</v>
      </c>
      <c r="K1846" s="2" t="s">
        <v>2690</v>
      </c>
      <c r="L1846" s="2" t="s">
        <v>4035</v>
      </c>
      <c r="M1846">
        <v>-1781.01</v>
      </c>
      <c r="N1846" s="2" t="s">
        <v>4044</v>
      </c>
      <c r="O1846">
        <v>61</v>
      </c>
      <c r="P1846">
        <v>-108641.61</v>
      </c>
      <c r="Q1846" t="b">
        <v>0</v>
      </c>
      <c r="R1846" t="b">
        <v>0</v>
      </c>
      <c r="S1846" t="b">
        <v>0</v>
      </c>
      <c r="T1846" t="b">
        <v>0</v>
      </c>
      <c r="U1846">
        <v>0</v>
      </c>
      <c r="V1846" t="s">
        <v>4073</v>
      </c>
    </row>
    <row r="1847" spans="1:22" hidden="1" x14ac:dyDescent="0.45">
      <c r="A1847" s="2" t="s">
        <v>972</v>
      </c>
      <c r="B1847" s="11">
        <v>44935</v>
      </c>
      <c r="C1847" s="2" t="s">
        <v>2012</v>
      </c>
      <c r="D1847" s="2" t="s">
        <v>2017</v>
      </c>
      <c r="E1847">
        <v>1782.36</v>
      </c>
      <c r="F1847">
        <v>108723.95999999999</v>
      </c>
      <c r="G1847">
        <v>0</v>
      </c>
      <c r="H1847">
        <v>0</v>
      </c>
      <c r="I1847" s="2" t="s">
        <v>2021</v>
      </c>
      <c r="J1847" s="2" t="s">
        <v>2029</v>
      </c>
      <c r="K1847" s="2" t="s">
        <v>2993</v>
      </c>
      <c r="L1847" s="2" t="s">
        <v>4035</v>
      </c>
      <c r="M1847">
        <v>-1782.36</v>
      </c>
      <c r="N1847" s="2" t="s">
        <v>4044</v>
      </c>
      <c r="O1847">
        <v>61</v>
      </c>
      <c r="P1847">
        <v>-108723.95999999999</v>
      </c>
      <c r="Q1847" t="b">
        <v>0</v>
      </c>
      <c r="R1847" t="b">
        <v>0</v>
      </c>
      <c r="S1847" t="b">
        <v>0</v>
      </c>
      <c r="T1847" t="b">
        <v>0</v>
      </c>
      <c r="U1847">
        <v>0</v>
      </c>
      <c r="V1847" t="s">
        <v>4073</v>
      </c>
    </row>
    <row r="1848" spans="1:22" hidden="1" x14ac:dyDescent="0.45">
      <c r="A1848" s="2" t="s">
        <v>1669</v>
      </c>
      <c r="B1848" s="11">
        <v>45093</v>
      </c>
      <c r="C1848" s="2" t="s">
        <v>2011</v>
      </c>
      <c r="D1848" s="2" t="s">
        <v>2016</v>
      </c>
      <c r="E1848">
        <v>1326.8</v>
      </c>
      <c r="F1848">
        <v>108797.59999999999</v>
      </c>
      <c r="G1848">
        <v>0</v>
      </c>
      <c r="H1848">
        <v>0</v>
      </c>
      <c r="I1848" s="2" t="s">
        <v>2025</v>
      </c>
      <c r="J1848" s="2" t="s">
        <v>2026</v>
      </c>
      <c r="K1848" s="2" t="s">
        <v>3690</v>
      </c>
      <c r="L1848" s="2" t="s">
        <v>4034</v>
      </c>
      <c r="M1848">
        <v>-1326.8</v>
      </c>
      <c r="N1848" s="2" t="s">
        <v>2016</v>
      </c>
      <c r="O1848">
        <v>82</v>
      </c>
      <c r="P1848">
        <v>-108797.59999999999</v>
      </c>
      <c r="Q1848" t="b">
        <v>0</v>
      </c>
      <c r="R1848" t="b">
        <v>0</v>
      </c>
      <c r="S1848" t="b">
        <v>0</v>
      </c>
      <c r="T1848" t="b">
        <v>0</v>
      </c>
      <c r="U1848">
        <v>0</v>
      </c>
      <c r="V1848" t="s">
        <v>4073</v>
      </c>
    </row>
    <row r="1849" spans="1:22" hidden="1" x14ac:dyDescent="0.45">
      <c r="A1849" s="2" t="s">
        <v>500</v>
      </c>
      <c r="B1849" s="11">
        <v>45036</v>
      </c>
      <c r="C1849" s="2" t="s">
        <v>2011</v>
      </c>
      <c r="D1849" s="2" t="s">
        <v>2016</v>
      </c>
      <c r="E1849">
        <v>1943.87</v>
      </c>
      <c r="F1849">
        <v>108856.72</v>
      </c>
      <c r="G1849">
        <v>0</v>
      </c>
      <c r="H1849">
        <v>0</v>
      </c>
      <c r="I1849" s="2" t="s">
        <v>2023</v>
      </c>
      <c r="J1849" s="2" t="s">
        <v>2030</v>
      </c>
      <c r="K1849" s="2" t="s">
        <v>2521</v>
      </c>
      <c r="L1849" s="2" t="s">
        <v>4033</v>
      </c>
      <c r="M1849">
        <v>-1943.87</v>
      </c>
      <c r="N1849" s="2" t="s">
        <v>2016</v>
      </c>
      <c r="O1849">
        <v>56</v>
      </c>
      <c r="P1849">
        <v>-108856.72</v>
      </c>
      <c r="Q1849" t="b">
        <v>0</v>
      </c>
      <c r="R1849" t="b">
        <v>0</v>
      </c>
      <c r="S1849" t="b">
        <v>0</v>
      </c>
      <c r="T1849" t="b">
        <v>0</v>
      </c>
      <c r="U1849">
        <v>0</v>
      </c>
      <c r="V1849" t="s">
        <v>4073</v>
      </c>
    </row>
    <row r="1850" spans="1:22" hidden="1" x14ac:dyDescent="0.45">
      <c r="A1850" s="2" t="s">
        <v>185</v>
      </c>
      <c r="B1850" s="11">
        <v>45330</v>
      </c>
      <c r="C1850" s="2" t="s">
        <v>2013</v>
      </c>
      <c r="D1850" s="2" t="s">
        <v>2018</v>
      </c>
      <c r="E1850">
        <v>1330.42</v>
      </c>
      <c r="F1850">
        <v>109094.44</v>
      </c>
      <c r="G1850">
        <v>0</v>
      </c>
      <c r="H1850">
        <v>0</v>
      </c>
      <c r="I1850" s="2" t="s">
        <v>2020</v>
      </c>
      <c r="J1850" s="2" t="s">
        <v>2027</v>
      </c>
      <c r="K1850" s="2" t="s">
        <v>2206</v>
      </c>
      <c r="L1850" s="2" t="s">
        <v>4034</v>
      </c>
      <c r="M1850">
        <v>-1330.42</v>
      </c>
      <c r="N1850" s="2" t="s">
        <v>4044</v>
      </c>
      <c r="O1850">
        <v>82</v>
      </c>
      <c r="P1850">
        <v>-109094.44</v>
      </c>
      <c r="Q1850" t="b">
        <v>0</v>
      </c>
      <c r="R1850" t="b">
        <v>0</v>
      </c>
      <c r="S1850" t="b">
        <v>0</v>
      </c>
      <c r="T1850" t="b">
        <v>0</v>
      </c>
      <c r="U1850">
        <v>0</v>
      </c>
      <c r="V1850" t="s">
        <v>4073</v>
      </c>
    </row>
    <row r="1851" spans="1:22" hidden="1" x14ac:dyDescent="0.45">
      <c r="A1851" s="2" t="s">
        <v>839</v>
      </c>
      <c r="B1851" s="11">
        <v>45730</v>
      </c>
      <c r="C1851" s="2" t="s">
        <v>2012</v>
      </c>
      <c r="D1851" s="2" t="s">
        <v>2017</v>
      </c>
      <c r="E1851">
        <v>1331.39</v>
      </c>
      <c r="F1851">
        <v>109173.98000000001</v>
      </c>
      <c r="G1851">
        <v>0</v>
      </c>
      <c r="H1851">
        <v>0</v>
      </c>
      <c r="I1851" s="2" t="s">
        <v>2020</v>
      </c>
      <c r="J1851" s="2" t="s">
        <v>2026</v>
      </c>
      <c r="K1851" s="2" t="s">
        <v>2860</v>
      </c>
      <c r="L1851" s="2" t="s">
        <v>4034</v>
      </c>
      <c r="M1851">
        <v>-1331.39</v>
      </c>
      <c r="N1851" s="2" t="s">
        <v>4044</v>
      </c>
      <c r="O1851">
        <v>82</v>
      </c>
      <c r="P1851">
        <v>-109173.98000000001</v>
      </c>
      <c r="Q1851" t="b">
        <v>0</v>
      </c>
      <c r="R1851" t="b">
        <v>0</v>
      </c>
      <c r="S1851" t="b">
        <v>0</v>
      </c>
      <c r="T1851" t="b">
        <v>0</v>
      </c>
      <c r="U1851">
        <v>0</v>
      </c>
      <c r="V1851" t="s">
        <v>4073</v>
      </c>
    </row>
    <row r="1852" spans="1:22" hidden="1" x14ac:dyDescent="0.45">
      <c r="A1852" s="2" t="s">
        <v>68</v>
      </c>
      <c r="B1852" s="11">
        <v>45546</v>
      </c>
      <c r="C1852" s="2" t="s">
        <v>2014</v>
      </c>
      <c r="D1852" s="2" t="s">
        <v>2019</v>
      </c>
      <c r="E1852">
        <v>0</v>
      </c>
      <c r="F1852">
        <v>0</v>
      </c>
      <c r="G1852">
        <v>1790.31</v>
      </c>
      <c r="H1852">
        <v>109208.91</v>
      </c>
      <c r="I1852" s="2" t="s">
        <v>2024</v>
      </c>
      <c r="J1852" s="2" t="s">
        <v>2026</v>
      </c>
      <c r="K1852" s="2" t="s">
        <v>2089</v>
      </c>
      <c r="L1852" s="2" t="s">
        <v>4035</v>
      </c>
      <c r="M1852">
        <v>1790.31</v>
      </c>
      <c r="N1852" s="2" t="s">
        <v>4042</v>
      </c>
      <c r="O1852">
        <v>61</v>
      </c>
      <c r="P1852">
        <v>109208.91</v>
      </c>
      <c r="Q1852" t="b">
        <v>0</v>
      </c>
      <c r="R1852" t="b">
        <v>0</v>
      </c>
      <c r="S1852" t="b">
        <v>0</v>
      </c>
      <c r="T1852" t="b">
        <v>0</v>
      </c>
      <c r="U1852">
        <v>0</v>
      </c>
      <c r="V1852" t="s">
        <v>4073</v>
      </c>
    </row>
    <row r="1853" spans="1:22" hidden="1" x14ac:dyDescent="0.45">
      <c r="A1853" s="2" t="s">
        <v>1967</v>
      </c>
      <c r="B1853" s="11">
        <v>45695</v>
      </c>
      <c r="C1853" s="2" t="s">
        <v>2011</v>
      </c>
      <c r="D1853" s="2" t="s">
        <v>2016</v>
      </c>
      <c r="E1853">
        <v>1051.1600000000001</v>
      </c>
      <c r="F1853">
        <v>108269.48000000001</v>
      </c>
      <c r="G1853">
        <v>0</v>
      </c>
      <c r="H1853">
        <v>0</v>
      </c>
      <c r="I1853" s="2" t="s">
        <v>2020</v>
      </c>
      <c r="J1853" s="2" t="s">
        <v>2027</v>
      </c>
      <c r="K1853" s="2" t="s">
        <v>3988</v>
      </c>
      <c r="L1853" s="2" t="s">
        <v>4031</v>
      </c>
      <c r="M1853">
        <v>-1051.1600000000001</v>
      </c>
      <c r="N1853" s="2" t="s">
        <v>2016</v>
      </c>
      <c r="O1853">
        <v>103</v>
      </c>
      <c r="P1853">
        <v>-108269.48000000001</v>
      </c>
      <c r="Q1853" t="b">
        <v>0</v>
      </c>
      <c r="R1853" t="b">
        <v>0</v>
      </c>
      <c r="S1853" t="b">
        <v>0</v>
      </c>
      <c r="T1853" t="b">
        <v>0</v>
      </c>
      <c r="U1853">
        <v>0</v>
      </c>
      <c r="V1853" t="s">
        <v>4073</v>
      </c>
    </row>
    <row r="1854" spans="1:22" hidden="1" x14ac:dyDescent="0.45">
      <c r="A1854" s="2" t="s">
        <v>971</v>
      </c>
      <c r="B1854" s="11">
        <v>45523</v>
      </c>
      <c r="C1854" s="2" t="s">
        <v>2011</v>
      </c>
      <c r="D1854" s="2" t="s">
        <v>2016</v>
      </c>
      <c r="E1854">
        <v>1735.24</v>
      </c>
      <c r="F1854">
        <v>105849.64</v>
      </c>
      <c r="G1854">
        <v>0</v>
      </c>
      <c r="H1854">
        <v>0</v>
      </c>
      <c r="I1854" s="2" t="s">
        <v>2020</v>
      </c>
      <c r="J1854" s="2" t="s">
        <v>2029</v>
      </c>
      <c r="K1854" s="2" t="s">
        <v>2992</v>
      </c>
      <c r="L1854" s="2" t="s">
        <v>4035</v>
      </c>
      <c r="M1854">
        <v>-1735.24</v>
      </c>
      <c r="N1854" s="2" t="s">
        <v>2016</v>
      </c>
      <c r="O1854">
        <v>61</v>
      </c>
      <c r="P1854">
        <v>-105849.64</v>
      </c>
      <c r="Q1854" t="b">
        <v>0</v>
      </c>
      <c r="R1854" t="b">
        <v>0</v>
      </c>
      <c r="S1854" t="b">
        <v>0</v>
      </c>
      <c r="T1854" t="b">
        <v>0</v>
      </c>
      <c r="U1854">
        <v>0</v>
      </c>
      <c r="V1854" t="s">
        <v>4073</v>
      </c>
    </row>
    <row r="1855" spans="1:22" hidden="1" x14ac:dyDescent="0.45">
      <c r="A1855" s="2" t="s">
        <v>641</v>
      </c>
      <c r="B1855" s="11">
        <v>44979</v>
      </c>
      <c r="C1855" s="2" t="s">
        <v>2013</v>
      </c>
      <c r="D1855" s="2" t="s">
        <v>2018</v>
      </c>
      <c r="E1855">
        <v>1732.79</v>
      </c>
      <c r="F1855">
        <v>105700.19</v>
      </c>
      <c r="G1855">
        <v>0</v>
      </c>
      <c r="H1855">
        <v>0</v>
      </c>
      <c r="I1855" s="2" t="s">
        <v>2021</v>
      </c>
      <c r="J1855" s="2" t="s">
        <v>2028</v>
      </c>
      <c r="K1855" s="2" t="s">
        <v>2662</v>
      </c>
      <c r="L1855" s="2" t="s">
        <v>4035</v>
      </c>
      <c r="M1855">
        <v>-1732.79</v>
      </c>
      <c r="N1855" s="2" t="s">
        <v>4044</v>
      </c>
      <c r="O1855">
        <v>61</v>
      </c>
      <c r="P1855">
        <v>-105700.19</v>
      </c>
      <c r="Q1855" t="b">
        <v>0</v>
      </c>
      <c r="R1855" t="b">
        <v>0</v>
      </c>
      <c r="S1855" t="b">
        <v>0</v>
      </c>
      <c r="T1855" t="b">
        <v>0</v>
      </c>
      <c r="U1855">
        <v>0</v>
      </c>
      <c r="V1855" t="s">
        <v>4073</v>
      </c>
    </row>
    <row r="1856" spans="1:22" hidden="1" x14ac:dyDescent="0.45">
      <c r="A1856" s="2" t="s">
        <v>419</v>
      </c>
      <c r="B1856" s="11">
        <v>45433</v>
      </c>
      <c r="C1856" s="2" t="s">
        <v>2014</v>
      </c>
      <c r="D1856" s="2" t="s">
        <v>2019</v>
      </c>
      <c r="E1856">
        <v>0</v>
      </c>
      <c r="F1856">
        <v>0</v>
      </c>
      <c r="G1856">
        <v>1025.56</v>
      </c>
      <c r="H1856">
        <v>105632.68</v>
      </c>
      <c r="I1856" s="2" t="s">
        <v>2021</v>
      </c>
      <c r="J1856" s="2" t="s">
        <v>2026</v>
      </c>
      <c r="K1856" s="2" t="s">
        <v>2440</v>
      </c>
      <c r="L1856" s="2" t="s">
        <v>4031</v>
      </c>
      <c r="M1856">
        <v>1025.56</v>
      </c>
      <c r="N1856" s="2" t="s">
        <v>4042</v>
      </c>
      <c r="O1856">
        <v>103</v>
      </c>
      <c r="P1856">
        <v>105632.68</v>
      </c>
      <c r="Q1856" t="b">
        <v>0</v>
      </c>
      <c r="R1856" t="b">
        <v>0</v>
      </c>
      <c r="S1856" t="b">
        <v>0</v>
      </c>
      <c r="T1856" t="b">
        <v>0</v>
      </c>
      <c r="U1856">
        <v>0</v>
      </c>
      <c r="V1856" t="s">
        <v>4073</v>
      </c>
    </row>
    <row r="1857" spans="1:22" hidden="1" x14ac:dyDescent="0.45">
      <c r="A1857" s="2" t="s">
        <v>1150</v>
      </c>
      <c r="B1857" s="11">
        <v>45251</v>
      </c>
      <c r="C1857" s="2" t="s">
        <v>2012</v>
      </c>
      <c r="D1857" s="2" t="s">
        <v>2017</v>
      </c>
      <c r="E1857">
        <v>1692.4</v>
      </c>
      <c r="F1857">
        <v>103236.40000000001</v>
      </c>
      <c r="G1857">
        <v>0</v>
      </c>
      <c r="H1857">
        <v>0</v>
      </c>
      <c r="I1857" s="2" t="s">
        <v>2022</v>
      </c>
      <c r="J1857" s="2" t="s">
        <v>2029</v>
      </c>
      <c r="K1857" s="2" t="s">
        <v>3171</v>
      </c>
      <c r="L1857" s="2" t="s">
        <v>4035</v>
      </c>
      <c r="M1857">
        <v>-1692.4</v>
      </c>
      <c r="N1857" s="2" t="s">
        <v>4044</v>
      </c>
      <c r="O1857">
        <v>61</v>
      </c>
      <c r="P1857">
        <v>-103236.40000000001</v>
      </c>
      <c r="Q1857" t="b">
        <v>0</v>
      </c>
      <c r="R1857" t="b">
        <v>0</v>
      </c>
      <c r="S1857" t="b">
        <v>0</v>
      </c>
      <c r="T1857" t="b">
        <v>0</v>
      </c>
      <c r="U1857">
        <v>0</v>
      </c>
      <c r="V1857" t="s">
        <v>4073</v>
      </c>
    </row>
    <row r="1858" spans="1:22" hidden="1" x14ac:dyDescent="0.45">
      <c r="A1858" s="2" t="s">
        <v>84</v>
      </c>
      <c r="B1858" s="11">
        <v>45551</v>
      </c>
      <c r="C1858" s="2" t="s">
        <v>2013</v>
      </c>
      <c r="D1858" s="2" t="s">
        <v>2018</v>
      </c>
      <c r="E1858">
        <v>1844.88</v>
      </c>
      <c r="F1858">
        <v>103313.28</v>
      </c>
      <c r="G1858">
        <v>0</v>
      </c>
      <c r="H1858">
        <v>0</v>
      </c>
      <c r="I1858" s="2" t="s">
        <v>2020</v>
      </c>
      <c r="J1858" s="2" t="s">
        <v>2030</v>
      </c>
      <c r="K1858" s="2" t="s">
        <v>2105</v>
      </c>
      <c r="L1858" s="2" t="s">
        <v>4033</v>
      </c>
      <c r="M1858">
        <v>-1844.88</v>
      </c>
      <c r="N1858" s="2" t="s">
        <v>4044</v>
      </c>
      <c r="O1858">
        <v>56</v>
      </c>
      <c r="P1858">
        <v>-103313.28</v>
      </c>
      <c r="Q1858" t="b">
        <v>0</v>
      </c>
      <c r="R1858" t="b">
        <v>0</v>
      </c>
      <c r="S1858" t="b">
        <v>0</v>
      </c>
      <c r="T1858" t="b">
        <v>0</v>
      </c>
      <c r="U1858">
        <v>0</v>
      </c>
      <c r="V1858" t="s">
        <v>4073</v>
      </c>
    </row>
    <row r="1859" spans="1:22" hidden="1" x14ac:dyDescent="0.45">
      <c r="A1859" s="2" t="s">
        <v>1782</v>
      </c>
      <c r="B1859" s="11">
        <v>45069</v>
      </c>
      <c r="C1859" s="2" t="s">
        <v>2011</v>
      </c>
      <c r="D1859" s="2" t="s">
        <v>2016</v>
      </c>
      <c r="E1859">
        <v>1700.66</v>
      </c>
      <c r="F1859">
        <v>103740.26000000001</v>
      </c>
      <c r="G1859">
        <v>0</v>
      </c>
      <c r="H1859">
        <v>0</v>
      </c>
      <c r="I1859" s="2" t="s">
        <v>2020</v>
      </c>
      <c r="J1859" s="2" t="s">
        <v>2026</v>
      </c>
      <c r="K1859" s="2" t="s">
        <v>3803</v>
      </c>
      <c r="L1859" s="2" t="s">
        <v>4035</v>
      </c>
      <c r="M1859">
        <v>-1700.66</v>
      </c>
      <c r="N1859" s="2" t="s">
        <v>2016</v>
      </c>
      <c r="O1859">
        <v>61</v>
      </c>
      <c r="P1859">
        <v>-103740.26000000001</v>
      </c>
      <c r="Q1859" t="b">
        <v>0</v>
      </c>
      <c r="R1859" t="b">
        <v>0</v>
      </c>
      <c r="S1859" t="b">
        <v>0</v>
      </c>
      <c r="T1859" t="b">
        <v>0</v>
      </c>
      <c r="U1859">
        <v>0</v>
      </c>
      <c r="V1859" t="s">
        <v>4073</v>
      </c>
    </row>
    <row r="1860" spans="1:22" hidden="1" x14ac:dyDescent="0.45">
      <c r="A1860" s="2" t="s">
        <v>732</v>
      </c>
      <c r="B1860" s="11">
        <v>45632</v>
      </c>
      <c r="C1860" s="2" t="s">
        <v>2013</v>
      </c>
      <c r="D1860" s="2" t="s">
        <v>2018</v>
      </c>
      <c r="E1860">
        <v>1182.72</v>
      </c>
      <c r="F1860">
        <v>104079.36</v>
      </c>
      <c r="G1860">
        <v>0</v>
      </c>
      <c r="H1860">
        <v>0</v>
      </c>
      <c r="I1860" s="2" t="s">
        <v>2024</v>
      </c>
      <c r="J1860" s="2" t="s">
        <v>2030</v>
      </c>
      <c r="K1860" s="2" t="s">
        <v>2753</v>
      </c>
      <c r="L1860" s="2" t="s">
        <v>4032</v>
      </c>
      <c r="M1860">
        <v>-1182.72</v>
      </c>
      <c r="N1860" s="2" t="s">
        <v>4044</v>
      </c>
      <c r="O1860">
        <v>88</v>
      </c>
      <c r="P1860">
        <v>-104079.36</v>
      </c>
      <c r="Q1860" t="b">
        <v>0</v>
      </c>
      <c r="R1860" t="b">
        <v>0</v>
      </c>
      <c r="S1860" t="b">
        <v>0</v>
      </c>
      <c r="T1860" t="b">
        <v>0</v>
      </c>
      <c r="U1860">
        <v>0</v>
      </c>
      <c r="V1860" t="s">
        <v>4073</v>
      </c>
    </row>
    <row r="1861" spans="1:22" hidden="1" x14ac:dyDescent="0.45">
      <c r="A1861" s="2" t="s">
        <v>457</v>
      </c>
      <c r="B1861" s="11">
        <v>45552</v>
      </c>
      <c r="C1861" s="2" t="s">
        <v>2012</v>
      </c>
      <c r="D1861" s="2" t="s">
        <v>2017</v>
      </c>
      <c r="E1861">
        <v>1182.8</v>
      </c>
      <c r="F1861">
        <v>104086.39999999999</v>
      </c>
      <c r="G1861">
        <v>0</v>
      </c>
      <c r="H1861">
        <v>0</v>
      </c>
      <c r="I1861" s="2" t="s">
        <v>2021</v>
      </c>
      <c r="J1861" s="2" t="s">
        <v>2029</v>
      </c>
      <c r="K1861" s="2" t="s">
        <v>2478</v>
      </c>
      <c r="L1861" s="2" t="s">
        <v>4032</v>
      </c>
      <c r="M1861">
        <v>-1182.8</v>
      </c>
      <c r="N1861" s="2" t="s">
        <v>4044</v>
      </c>
      <c r="O1861">
        <v>88</v>
      </c>
      <c r="P1861">
        <v>-104086.39999999999</v>
      </c>
      <c r="Q1861" t="b">
        <v>0</v>
      </c>
      <c r="R1861" t="b">
        <v>0</v>
      </c>
      <c r="S1861" t="b">
        <v>0</v>
      </c>
      <c r="T1861" t="b">
        <v>0</v>
      </c>
      <c r="U1861">
        <v>0</v>
      </c>
      <c r="V1861" t="s">
        <v>4073</v>
      </c>
    </row>
    <row r="1862" spans="1:22" hidden="1" x14ac:dyDescent="0.45">
      <c r="A1862" s="2" t="s">
        <v>1785</v>
      </c>
      <c r="B1862" s="11">
        <v>45141</v>
      </c>
      <c r="C1862" s="2" t="s">
        <v>2011</v>
      </c>
      <c r="D1862" s="2" t="s">
        <v>2016</v>
      </c>
      <c r="E1862">
        <v>1859.77</v>
      </c>
      <c r="F1862">
        <v>104147.12</v>
      </c>
      <c r="G1862">
        <v>0</v>
      </c>
      <c r="H1862">
        <v>0</v>
      </c>
      <c r="I1862" s="2" t="s">
        <v>2025</v>
      </c>
      <c r="J1862" s="2" t="s">
        <v>2030</v>
      </c>
      <c r="K1862" s="2" t="s">
        <v>3806</v>
      </c>
      <c r="L1862" s="2" t="s">
        <v>4033</v>
      </c>
      <c r="M1862">
        <v>-1859.77</v>
      </c>
      <c r="N1862" s="2" t="s">
        <v>2016</v>
      </c>
      <c r="O1862">
        <v>56</v>
      </c>
      <c r="P1862">
        <v>-104147.12</v>
      </c>
      <c r="Q1862" t="b">
        <v>0</v>
      </c>
      <c r="R1862" t="b">
        <v>0</v>
      </c>
      <c r="S1862" t="b">
        <v>0</v>
      </c>
      <c r="T1862" t="b">
        <v>0</v>
      </c>
      <c r="U1862">
        <v>0</v>
      </c>
      <c r="V1862" t="s">
        <v>4073</v>
      </c>
    </row>
    <row r="1863" spans="1:22" hidden="1" x14ac:dyDescent="0.45">
      <c r="A1863" s="2" t="s">
        <v>983</v>
      </c>
      <c r="B1863" s="11">
        <v>45722</v>
      </c>
      <c r="C1863" s="2" t="s">
        <v>2013</v>
      </c>
      <c r="D1863" s="2" t="s">
        <v>2018</v>
      </c>
      <c r="E1863">
        <v>1708.86</v>
      </c>
      <c r="F1863">
        <v>104240.45999999999</v>
      </c>
      <c r="G1863">
        <v>0</v>
      </c>
      <c r="H1863">
        <v>0</v>
      </c>
      <c r="I1863" s="2" t="s">
        <v>2021</v>
      </c>
      <c r="J1863" s="2" t="s">
        <v>2029</v>
      </c>
      <c r="K1863" s="2" t="s">
        <v>3004</v>
      </c>
      <c r="L1863" s="2" t="s">
        <v>4035</v>
      </c>
      <c r="M1863">
        <v>-1708.86</v>
      </c>
      <c r="N1863" s="2" t="s">
        <v>4044</v>
      </c>
      <c r="O1863">
        <v>61</v>
      </c>
      <c r="P1863">
        <v>-104240.45999999999</v>
      </c>
      <c r="Q1863" t="b">
        <v>0</v>
      </c>
      <c r="R1863" t="b">
        <v>0</v>
      </c>
      <c r="S1863" t="b">
        <v>0</v>
      </c>
      <c r="T1863" t="b">
        <v>0</v>
      </c>
      <c r="U1863">
        <v>0</v>
      </c>
      <c r="V1863" t="s">
        <v>4073</v>
      </c>
    </row>
    <row r="1864" spans="1:22" hidden="1" x14ac:dyDescent="0.45">
      <c r="A1864" s="2" t="s">
        <v>1454</v>
      </c>
      <c r="B1864" s="11">
        <v>45680</v>
      </c>
      <c r="C1864" s="2" t="s">
        <v>2013</v>
      </c>
      <c r="D1864" s="2" t="s">
        <v>2018</v>
      </c>
      <c r="E1864">
        <v>1709.33</v>
      </c>
      <c r="F1864">
        <v>104269.12999999999</v>
      </c>
      <c r="G1864">
        <v>0</v>
      </c>
      <c r="H1864">
        <v>0</v>
      </c>
      <c r="I1864" s="2" t="s">
        <v>2022</v>
      </c>
      <c r="J1864" s="2" t="s">
        <v>2027</v>
      </c>
      <c r="K1864" s="2" t="s">
        <v>3475</v>
      </c>
      <c r="L1864" s="2" t="s">
        <v>4035</v>
      </c>
      <c r="M1864">
        <v>-1709.33</v>
      </c>
      <c r="N1864" s="2" t="s">
        <v>4044</v>
      </c>
      <c r="O1864">
        <v>61</v>
      </c>
      <c r="P1864">
        <v>-104269.12999999999</v>
      </c>
      <c r="Q1864" t="b">
        <v>0</v>
      </c>
      <c r="R1864" t="b">
        <v>0</v>
      </c>
      <c r="S1864" t="b">
        <v>0</v>
      </c>
      <c r="T1864" t="b">
        <v>0</v>
      </c>
      <c r="U1864">
        <v>0</v>
      </c>
      <c r="V1864" t="s">
        <v>4073</v>
      </c>
    </row>
    <row r="1865" spans="1:22" hidden="1" x14ac:dyDescent="0.45">
      <c r="A1865" s="2" t="s">
        <v>1252</v>
      </c>
      <c r="B1865" s="11">
        <v>45797</v>
      </c>
      <c r="C1865" s="2" t="s">
        <v>2010</v>
      </c>
      <c r="D1865" s="2" t="s">
        <v>2015</v>
      </c>
      <c r="E1865">
        <v>0</v>
      </c>
      <c r="F1865">
        <v>0</v>
      </c>
      <c r="G1865">
        <v>1866.82</v>
      </c>
      <c r="H1865">
        <v>104541.92</v>
      </c>
      <c r="I1865" s="2" t="s">
        <v>2022</v>
      </c>
      <c r="J1865" s="2" t="s">
        <v>2026</v>
      </c>
      <c r="K1865" s="2" t="s">
        <v>3273</v>
      </c>
      <c r="L1865" s="2" t="s">
        <v>4033</v>
      </c>
      <c r="M1865">
        <v>1866.82</v>
      </c>
      <c r="N1865" s="2" t="s">
        <v>4042</v>
      </c>
      <c r="O1865">
        <v>56</v>
      </c>
      <c r="P1865">
        <v>104541.92</v>
      </c>
      <c r="Q1865" t="b">
        <v>0</v>
      </c>
      <c r="R1865" t="b">
        <v>0</v>
      </c>
      <c r="S1865" t="b">
        <v>0</v>
      </c>
      <c r="T1865" t="b">
        <v>0</v>
      </c>
      <c r="U1865">
        <v>0</v>
      </c>
      <c r="V1865" t="s">
        <v>4073</v>
      </c>
    </row>
    <row r="1866" spans="1:22" hidden="1" x14ac:dyDescent="0.45">
      <c r="A1866" s="2" t="s">
        <v>1530</v>
      </c>
      <c r="B1866" s="11">
        <v>45047</v>
      </c>
      <c r="C1866" s="2" t="s">
        <v>2013</v>
      </c>
      <c r="D1866" s="2" t="s">
        <v>2018</v>
      </c>
      <c r="E1866">
        <v>1276.22</v>
      </c>
      <c r="F1866">
        <v>104650.04000000001</v>
      </c>
      <c r="G1866">
        <v>0</v>
      </c>
      <c r="H1866">
        <v>0</v>
      </c>
      <c r="I1866" s="2" t="s">
        <v>2020</v>
      </c>
      <c r="J1866" s="2" t="s">
        <v>2026</v>
      </c>
      <c r="K1866" s="2" t="s">
        <v>3551</v>
      </c>
      <c r="L1866" s="2" t="s">
        <v>4034</v>
      </c>
      <c r="M1866">
        <v>-1276.22</v>
      </c>
      <c r="N1866" s="2" t="s">
        <v>4044</v>
      </c>
      <c r="O1866">
        <v>82</v>
      </c>
      <c r="P1866">
        <v>-104650.04000000001</v>
      </c>
      <c r="Q1866" t="b">
        <v>0</v>
      </c>
      <c r="R1866" t="b">
        <v>0</v>
      </c>
      <c r="S1866" t="b">
        <v>0</v>
      </c>
      <c r="T1866" t="b">
        <v>0</v>
      </c>
      <c r="U1866">
        <v>0</v>
      </c>
      <c r="V1866" t="s">
        <v>4073</v>
      </c>
    </row>
    <row r="1867" spans="1:22" hidden="1" x14ac:dyDescent="0.45">
      <c r="A1867" s="2" t="s">
        <v>205</v>
      </c>
      <c r="B1867" s="11">
        <v>44970</v>
      </c>
      <c r="C1867" s="2" t="s">
        <v>2012</v>
      </c>
      <c r="D1867" s="2" t="s">
        <v>2017</v>
      </c>
      <c r="E1867">
        <v>1869.71</v>
      </c>
      <c r="F1867">
        <v>104703.76000000001</v>
      </c>
      <c r="G1867">
        <v>0</v>
      </c>
      <c r="H1867">
        <v>0</v>
      </c>
      <c r="I1867" s="2" t="s">
        <v>2021</v>
      </c>
      <c r="J1867" s="2" t="s">
        <v>2028</v>
      </c>
      <c r="K1867" s="2" t="s">
        <v>2226</v>
      </c>
      <c r="L1867" s="2" t="s">
        <v>4033</v>
      </c>
      <c r="M1867">
        <v>-1869.71</v>
      </c>
      <c r="N1867" s="2" t="s">
        <v>4044</v>
      </c>
      <c r="O1867">
        <v>56</v>
      </c>
      <c r="P1867">
        <v>-104703.76000000001</v>
      </c>
      <c r="Q1867" t="b">
        <v>0</v>
      </c>
      <c r="R1867" t="b">
        <v>0</v>
      </c>
      <c r="S1867" t="b">
        <v>0</v>
      </c>
      <c r="T1867" t="b">
        <v>0</v>
      </c>
      <c r="U1867">
        <v>0</v>
      </c>
      <c r="V1867" t="s">
        <v>4073</v>
      </c>
    </row>
    <row r="1868" spans="1:22" hidden="1" x14ac:dyDescent="0.45">
      <c r="A1868" s="2" t="s">
        <v>1949</v>
      </c>
      <c r="B1868" s="11">
        <v>45265</v>
      </c>
      <c r="C1868" s="2" t="s">
        <v>2012</v>
      </c>
      <c r="D1868" s="2" t="s">
        <v>2017</v>
      </c>
      <c r="E1868">
        <v>1023.13</v>
      </c>
      <c r="F1868">
        <v>105382.39</v>
      </c>
      <c r="G1868">
        <v>0</v>
      </c>
      <c r="H1868">
        <v>0</v>
      </c>
      <c r="I1868" s="2" t="s">
        <v>2023</v>
      </c>
      <c r="J1868" s="2" t="s">
        <v>2030</v>
      </c>
      <c r="K1868" s="2" t="s">
        <v>3970</v>
      </c>
      <c r="L1868" s="2" t="s">
        <v>4031</v>
      </c>
      <c r="M1868">
        <v>-1023.13</v>
      </c>
      <c r="N1868" s="2" t="s">
        <v>4044</v>
      </c>
      <c r="O1868">
        <v>103</v>
      </c>
      <c r="P1868">
        <v>-105382.39</v>
      </c>
      <c r="Q1868" t="b">
        <v>0</v>
      </c>
      <c r="R1868" t="b">
        <v>0</v>
      </c>
      <c r="S1868" t="b">
        <v>0</v>
      </c>
      <c r="T1868" t="b">
        <v>0</v>
      </c>
      <c r="U1868">
        <v>0</v>
      </c>
      <c r="V1868" t="s">
        <v>4073</v>
      </c>
    </row>
    <row r="1869" spans="1:22" hidden="1" x14ac:dyDescent="0.45">
      <c r="A1869" s="2" t="s">
        <v>797</v>
      </c>
      <c r="B1869" s="11">
        <v>45597</v>
      </c>
      <c r="C1869" s="2" t="s">
        <v>2012</v>
      </c>
      <c r="D1869" s="2" t="s">
        <v>2017</v>
      </c>
      <c r="E1869">
        <v>1023.17</v>
      </c>
      <c r="F1869">
        <v>105386.51</v>
      </c>
      <c r="G1869">
        <v>0</v>
      </c>
      <c r="H1869">
        <v>0</v>
      </c>
      <c r="I1869" s="2" t="s">
        <v>2025</v>
      </c>
      <c r="J1869" s="2" t="s">
        <v>2029</v>
      </c>
      <c r="K1869" s="2" t="s">
        <v>2818</v>
      </c>
      <c r="L1869" s="2" t="s">
        <v>4031</v>
      </c>
      <c r="M1869">
        <v>-1023.17</v>
      </c>
      <c r="N1869" s="2" t="s">
        <v>4044</v>
      </c>
      <c r="O1869">
        <v>103</v>
      </c>
      <c r="P1869">
        <v>-105386.51</v>
      </c>
      <c r="Q1869" t="b">
        <v>0</v>
      </c>
      <c r="R1869" t="b">
        <v>0</v>
      </c>
      <c r="S1869" t="b">
        <v>0</v>
      </c>
      <c r="T1869" t="b">
        <v>0</v>
      </c>
      <c r="U1869">
        <v>0</v>
      </c>
      <c r="V1869" t="s">
        <v>4073</v>
      </c>
    </row>
    <row r="1870" spans="1:22" hidden="1" x14ac:dyDescent="0.45">
      <c r="A1870" s="2" t="s">
        <v>1394</v>
      </c>
      <c r="B1870" s="11">
        <v>45091</v>
      </c>
      <c r="C1870" s="2" t="s">
        <v>2012</v>
      </c>
      <c r="D1870" s="2" t="s">
        <v>2017</v>
      </c>
      <c r="E1870">
        <v>1023.61</v>
      </c>
      <c r="F1870">
        <v>105431.83</v>
      </c>
      <c r="G1870">
        <v>0</v>
      </c>
      <c r="H1870">
        <v>0</v>
      </c>
      <c r="I1870" s="2" t="s">
        <v>2020</v>
      </c>
      <c r="J1870" s="2" t="s">
        <v>2027</v>
      </c>
      <c r="K1870" s="2" t="s">
        <v>3415</v>
      </c>
      <c r="L1870" s="2" t="s">
        <v>4031</v>
      </c>
      <c r="M1870">
        <v>-1023.61</v>
      </c>
      <c r="N1870" s="2" t="s">
        <v>4044</v>
      </c>
      <c r="O1870">
        <v>103</v>
      </c>
      <c r="P1870">
        <v>-105431.83</v>
      </c>
      <c r="Q1870" t="b">
        <v>0</v>
      </c>
      <c r="R1870" t="b">
        <v>0</v>
      </c>
      <c r="S1870" t="b">
        <v>0</v>
      </c>
      <c r="T1870" t="b">
        <v>0</v>
      </c>
      <c r="U1870">
        <v>0</v>
      </c>
      <c r="V1870" t="s">
        <v>4073</v>
      </c>
    </row>
    <row r="1871" spans="1:22" hidden="1" x14ac:dyDescent="0.45">
      <c r="A1871" s="2" t="s">
        <v>1494</v>
      </c>
      <c r="B1871" s="11">
        <v>45461</v>
      </c>
      <c r="C1871" s="2" t="s">
        <v>2011</v>
      </c>
      <c r="D1871" s="2" t="s">
        <v>2016</v>
      </c>
      <c r="E1871">
        <v>1883.44</v>
      </c>
      <c r="F1871">
        <v>105472.64</v>
      </c>
      <c r="G1871">
        <v>0</v>
      </c>
      <c r="H1871">
        <v>0</v>
      </c>
      <c r="I1871" s="2" t="s">
        <v>2024</v>
      </c>
      <c r="J1871" s="2" t="s">
        <v>2030</v>
      </c>
      <c r="K1871" s="2" t="s">
        <v>3515</v>
      </c>
      <c r="L1871" s="2" t="s">
        <v>4033</v>
      </c>
      <c r="M1871">
        <v>-1883.44</v>
      </c>
      <c r="N1871" s="2" t="s">
        <v>2016</v>
      </c>
      <c r="O1871">
        <v>56</v>
      </c>
      <c r="P1871">
        <v>-105472.64</v>
      </c>
      <c r="Q1871" t="b">
        <v>0</v>
      </c>
      <c r="R1871" t="b">
        <v>0</v>
      </c>
      <c r="S1871" t="b">
        <v>0</v>
      </c>
      <c r="T1871" t="b">
        <v>0</v>
      </c>
      <c r="U1871">
        <v>0</v>
      </c>
      <c r="V1871" t="s">
        <v>4073</v>
      </c>
    </row>
    <row r="1872" spans="1:22" hidden="1" x14ac:dyDescent="0.45">
      <c r="A1872" s="2" t="s">
        <v>825</v>
      </c>
      <c r="B1872" s="11">
        <v>45170</v>
      </c>
      <c r="C1872" s="2" t="s">
        <v>2013</v>
      </c>
      <c r="D1872" s="2" t="s">
        <v>2018</v>
      </c>
      <c r="E1872">
        <v>1024.68</v>
      </c>
      <c r="F1872">
        <v>105542.04000000001</v>
      </c>
      <c r="G1872">
        <v>0</v>
      </c>
      <c r="H1872">
        <v>0</v>
      </c>
      <c r="I1872" s="2" t="s">
        <v>2021</v>
      </c>
      <c r="J1872" s="2" t="s">
        <v>2026</v>
      </c>
      <c r="K1872" s="2" t="s">
        <v>2846</v>
      </c>
      <c r="L1872" s="2" t="s">
        <v>4031</v>
      </c>
      <c r="M1872">
        <v>-1024.68</v>
      </c>
      <c r="N1872" s="2" t="s">
        <v>4044</v>
      </c>
      <c r="O1872">
        <v>103</v>
      </c>
      <c r="P1872">
        <v>-105542.04000000001</v>
      </c>
      <c r="Q1872" t="b">
        <v>0</v>
      </c>
      <c r="R1872" t="b">
        <v>0</v>
      </c>
      <c r="S1872" t="b">
        <v>0</v>
      </c>
      <c r="T1872" t="b">
        <v>0</v>
      </c>
      <c r="U1872">
        <v>0</v>
      </c>
      <c r="V1872" t="s">
        <v>4073</v>
      </c>
    </row>
    <row r="1873" spans="1:22" hidden="1" x14ac:dyDescent="0.45">
      <c r="A1873" s="2" t="s">
        <v>1271</v>
      </c>
      <c r="B1873" s="11">
        <v>44928</v>
      </c>
      <c r="C1873" s="2" t="s">
        <v>2013</v>
      </c>
      <c r="D1873" s="2" t="s">
        <v>2018</v>
      </c>
      <c r="E1873">
        <v>1199.5999999999999</v>
      </c>
      <c r="F1873">
        <v>105564.79999999999</v>
      </c>
      <c r="G1873">
        <v>0</v>
      </c>
      <c r="H1873">
        <v>0</v>
      </c>
      <c r="I1873" s="2" t="s">
        <v>2022</v>
      </c>
      <c r="J1873" s="2" t="s">
        <v>2028</v>
      </c>
      <c r="K1873" s="2" t="s">
        <v>3292</v>
      </c>
      <c r="L1873" s="2" t="s">
        <v>4032</v>
      </c>
      <c r="M1873">
        <v>-1199.5999999999999</v>
      </c>
      <c r="N1873" s="2" t="s">
        <v>4044</v>
      </c>
      <c r="O1873">
        <v>88</v>
      </c>
      <c r="P1873">
        <v>-105564.79999999999</v>
      </c>
      <c r="Q1873" t="b">
        <v>0</v>
      </c>
      <c r="R1873" t="b">
        <v>0</v>
      </c>
      <c r="S1873" t="b">
        <v>0</v>
      </c>
      <c r="T1873" t="b">
        <v>0</v>
      </c>
      <c r="U1873">
        <v>0</v>
      </c>
      <c r="V1873" t="s">
        <v>4073</v>
      </c>
    </row>
    <row r="1874" spans="1:22" hidden="1" x14ac:dyDescent="0.45">
      <c r="A1874" s="2" t="s">
        <v>952</v>
      </c>
      <c r="B1874" s="11">
        <v>45006</v>
      </c>
      <c r="C1874" s="2" t="s">
        <v>2014</v>
      </c>
      <c r="D1874" s="2" t="s">
        <v>2019</v>
      </c>
      <c r="E1874">
        <v>0</v>
      </c>
      <c r="F1874">
        <v>0</v>
      </c>
      <c r="G1874">
        <v>1951.17</v>
      </c>
      <c r="H1874">
        <v>109265.52</v>
      </c>
      <c r="I1874" s="2" t="s">
        <v>2020</v>
      </c>
      <c r="J1874" s="2" t="s">
        <v>2028</v>
      </c>
      <c r="K1874" s="2" t="s">
        <v>2973</v>
      </c>
      <c r="L1874" s="2" t="s">
        <v>4033</v>
      </c>
      <c r="M1874">
        <v>1951.17</v>
      </c>
      <c r="N1874" s="2" t="s">
        <v>4042</v>
      </c>
      <c r="O1874">
        <v>56</v>
      </c>
      <c r="P1874">
        <v>109265.52</v>
      </c>
      <c r="Q1874" t="b">
        <v>0</v>
      </c>
      <c r="R1874" t="b">
        <v>0</v>
      </c>
      <c r="S1874" t="b">
        <v>0</v>
      </c>
      <c r="T1874" t="b">
        <v>0</v>
      </c>
      <c r="U1874">
        <v>0</v>
      </c>
      <c r="V1874" t="s">
        <v>4073</v>
      </c>
    </row>
    <row r="1875" spans="1:22" hidden="1" x14ac:dyDescent="0.45">
      <c r="A1875" s="2" t="s">
        <v>1010</v>
      </c>
      <c r="B1875" s="11">
        <v>45701</v>
      </c>
      <c r="C1875" s="2" t="s">
        <v>2011</v>
      </c>
      <c r="D1875" s="2" t="s">
        <v>2016</v>
      </c>
      <c r="E1875">
        <v>1959.72</v>
      </c>
      <c r="F1875">
        <v>109744.32000000001</v>
      </c>
      <c r="G1875">
        <v>0</v>
      </c>
      <c r="H1875">
        <v>0</v>
      </c>
      <c r="I1875" s="2" t="s">
        <v>2020</v>
      </c>
      <c r="J1875" s="2" t="s">
        <v>2029</v>
      </c>
      <c r="K1875" s="2" t="s">
        <v>3031</v>
      </c>
      <c r="L1875" s="2" t="s">
        <v>4033</v>
      </c>
      <c r="M1875">
        <v>-1959.72</v>
      </c>
      <c r="N1875" s="2" t="s">
        <v>2016</v>
      </c>
      <c r="O1875">
        <v>56</v>
      </c>
      <c r="P1875">
        <v>-109744.32000000001</v>
      </c>
      <c r="Q1875" t="b">
        <v>0</v>
      </c>
      <c r="R1875" t="b">
        <v>0</v>
      </c>
      <c r="S1875" t="b">
        <v>0</v>
      </c>
      <c r="T1875" t="b">
        <v>0</v>
      </c>
      <c r="U1875">
        <v>0</v>
      </c>
      <c r="V1875" t="s">
        <v>4073</v>
      </c>
    </row>
    <row r="1876" spans="1:22" hidden="1" x14ac:dyDescent="0.45">
      <c r="A1876" s="2" t="s">
        <v>263</v>
      </c>
      <c r="B1876" s="11">
        <v>45768</v>
      </c>
      <c r="C1876" s="2" t="s">
        <v>2012</v>
      </c>
      <c r="D1876" s="2" t="s">
        <v>2017</v>
      </c>
      <c r="E1876">
        <v>1799.36</v>
      </c>
      <c r="F1876">
        <v>109760.95999999999</v>
      </c>
      <c r="G1876">
        <v>0</v>
      </c>
      <c r="H1876">
        <v>0</v>
      </c>
      <c r="I1876" s="2" t="s">
        <v>2024</v>
      </c>
      <c r="J1876" s="2" t="s">
        <v>2028</v>
      </c>
      <c r="K1876" s="2" t="s">
        <v>2284</v>
      </c>
      <c r="L1876" s="2" t="s">
        <v>4035</v>
      </c>
      <c r="M1876">
        <v>-1799.36</v>
      </c>
      <c r="N1876" s="2" t="s">
        <v>4044</v>
      </c>
      <c r="O1876">
        <v>61</v>
      </c>
      <c r="P1876">
        <v>-109760.95999999999</v>
      </c>
      <c r="Q1876" t="b">
        <v>0</v>
      </c>
      <c r="R1876" t="b">
        <v>0</v>
      </c>
      <c r="S1876" t="b">
        <v>0</v>
      </c>
      <c r="T1876" t="b">
        <v>0</v>
      </c>
      <c r="U1876">
        <v>0</v>
      </c>
      <c r="V1876" t="s">
        <v>4073</v>
      </c>
    </row>
    <row r="1877" spans="1:22" hidden="1" x14ac:dyDescent="0.45">
      <c r="A1877" s="2" t="s">
        <v>636</v>
      </c>
      <c r="B1877" s="11">
        <v>45709</v>
      </c>
      <c r="C1877" s="2" t="s">
        <v>2012</v>
      </c>
      <c r="D1877" s="2" t="s">
        <v>2017</v>
      </c>
      <c r="E1877">
        <v>1340.18</v>
      </c>
      <c r="F1877">
        <v>109894.76000000001</v>
      </c>
      <c r="G1877">
        <v>0</v>
      </c>
      <c r="H1877">
        <v>0</v>
      </c>
      <c r="I1877" s="2" t="s">
        <v>2020</v>
      </c>
      <c r="J1877" s="2" t="s">
        <v>2026</v>
      </c>
      <c r="K1877" s="2" t="s">
        <v>2657</v>
      </c>
      <c r="L1877" s="2" t="s">
        <v>4034</v>
      </c>
      <c r="M1877">
        <v>-1340.18</v>
      </c>
      <c r="N1877" s="2" t="s">
        <v>4044</v>
      </c>
      <c r="O1877">
        <v>82</v>
      </c>
      <c r="P1877">
        <v>-109894.76000000001</v>
      </c>
      <c r="Q1877" t="b">
        <v>0</v>
      </c>
      <c r="R1877" t="b">
        <v>0</v>
      </c>
      <c r="S1877" t="b">
        <v>0</v>
      </c>
      <c r="T1877" t="b">
        <v>0</v>
      </c>
      <c r="U1877">
        <v>0</v>
      </c>
      <c r="V1877" t="s">
        <v>4073</v>
      </c>
    </row>
    <row r="1878" spans="1:22" hidden="1" x14ac:dyDescent="0.45">
      <c r="A1878" s="2" t="s">
        <v>475</v>
      </c>
      <c r="B1878" s="11">
        <v>45798</v>
      </c>
      <c r="C1878" s="2" t="s">
        <v>2011</v>
      </c>
      <c r="D1878" s="2" t="s">
        <v>2016</v>
      </c>
      <c r="E1878">
        <v>1832.61</v>
      </c>
      <c r="F1878">
        <v>111789.20999999999</v>
      </c>
      <c r="G1878">
        <v>0</v>
      </c>
      <c r="H1878">
        <v>0</v>
      </c>
      <c r="I1878" s="2" t="s">
        <v>2023</v>
      </c>
      <c r="J1878" s="2" t="s">
        <v>2026</v>
      </c>
      <c r="K1878" s="2" t="s">
        <v>2496</v>
      </c>
      <c r="L1878" s="2" t="s">
        <v>4035</v>
      </c>
      <c r="M1878">
        <v>-1832.61</v>
      </c>
      <c r="N1878" s="2" t="s">
        <v>2016</v>
      </c>
      <c r="O1878">
        <v>61</v>
      </c>
      <c r="P1878">
        <v>-111789.20999999999</v>
      </c>
      <c r="Q1878" t="b">
        <v>0</v>
      </c>
      <c r="R1878" t="b">
        <v>0</v>
      </c>
      <c r="S1878" t="b">
        <v>0</v>
      </c>
      <c r="T1878" t="b">
        <v>0</v>
      </c>
      <c r="U1878">
        <v>0</v>
      </c>
      <c r="V1878" t="s">
        <v>4073</v>
      </c>
    </row>
    <row r="1879" spans="1:22" hidden="1" x14ac:dyDescent="0.45">
      <c r="A1879" s="2" t="s">
        <v>544</v>
      </c>
      <c r="B1879" s="11">
        <v>45786</v>
      </c>
      <c r="C1879" s="2" t="s">
        <v>2010</v>
      </c>
      <c r="D1879" s="2" t="s">
        <v>2015</v>
      </c>
      <c r="E1879">
        <v>0</v>
      </c>
      <c r="F1879">
        <v>0</v>
      </c>
      <c r="G1879">
        <v>1273.25</v>
      </c>
      <c r="H1879">
        <v>112046</v>
      </c>
      <c r="I1879" s="2" t="s">
        <v>2023</v>
      </c>
      <c r="J1879" s="2" t="s">
        <v>2029</v>
      </c>
      <c r="K1879" s="2" t="s">
        <v>2565</v>
      </c>
      <c r="L1879" s="2" t="s">
        <v>4032</v>
      </c>
      <c r="M1879">
        <v>1273.25</v>
      </c>
      <c r="N1879" s="2" t="s">
        <v>4042</v>
      </c>
      <c r="O1879">
        <v>88</v>
      </c>
      <c r="P1879">
        <v>112046</v>
      </c>
      <c r="Q1879" t="b">
        <v>0</v>
      </c>
      <c r="R1879" t="b">
        <v>0</v>
      </c>
      <c r="S1879" t="b">
        <v>0</v>
      </c>
      <c r="T1879" t="b">
        <v>0</v>
      </c>
      <c r="U1879">
        <v>0</v>
      </c>
      <c r="V1879" t="s">
        <v>4073</v>
      </c>
    </row>
    <row r="1880" spans="1:22" hidden="1" x14ac:dyDescent="0.45">
      <c r="A1880" s="2" t="s">
        <v>1283</v>
      </c>
      <c r="B1880" s="11">
        <v>45784</v>
      </c>
      <c r="C1880" s="2" t="s">
        <v>2010</v>
      </c>
      <c r="D1880" s="2" t="s">
        <v>2015</v>
      </c>
      <c r="E1880">
        <v>0</v>
      </c>
      <c r="F1880">
        <v>0</v>
      </c>
      <c r="G1880">
        <v>1841.13</v>
      </c>
      <c r="H1880">
        <v>112308.93000000001</v>
      </c>
      <c r="I1880" s="2" t="s">
        <v>2024</v>
      </c>
      <c r="J1880" s="2" t="s">
        <v>2028</v>
      </c>
      <c r="K1880" s="2" t="s">
        <v>3304</v>
      </c>
      <c r="L1880" s="2" t="s">
        <v>4035</v>
      </c>
      <c r="M1880">
        <v>1841.13</v>
      </c>
      <c r="N1880" s="2" t="s">
        <v>4042</v>
      </c>
      <c r="O1880">
        <v>61</v>
      </c>
      <c r="P1880">
        <v>112308.93000000001</v>
      </c>
      <c r="Q1880" t="b">
        <v>0</v>
      </c>
      <c r="R1880" t="b">
        <v>0</v>
      </c>
      <c r="S1880" t="b">
        <v>0</v>
      </c>
      <c r="T1880" t="b">
        <v>0</v>
      </c>
      <c r="U1880">
        <v>0</v>
      </c>
      <c r="V1880" t="s">
        <v>4073</v>
      </c>
    </row>
    <row r="1881" spans="1:22" hidden="1" x14ac:dyDescent="0.45">
      <c r="A1881" s="2" t="s">
        <v>178</v>
      </c>
      <c r="B1881" s="11">
        <v>45182</v>
      </c>
      <c r="C1881" s="2" t="s">
        <v>2011</v>
      </c>
      <c r="D1881" s="2" t="s">
        <v>2016</v>
      </c>
      <c r="E1881">
        <v>1369.63</v>
      </c>
      <c r="F1881">
        <v>112309.66</v>
      </c>
      <c r="G1881">
        <v>0</v>
      </c>
      <c r="H1881">
        <v>0</v>
      </c>
      <c r="I1881" s="2" t="s">
        <v>2020</v>
      </c>
      <c r="J1881" s="2" t="s">
        <v>2030</v>
      </c>
      <c r="K1881" s="2" t="s">
        <v>2199</v>
      </c>
      <c r="L1881" s="2" t="s">
        <v>4034</v>
      </c>
      <c r="M1881">
        <v>-1369.63</v>
      </c>
      <c r="N1881" s="2" t="s">
        <v>2016</v>
      </c>
      <c r="O1881">
        <v>82</v>
      </c>
      <c r="P1881">
        <v>-112309.66</v>
      </c>
      <c r="Q1881" t="b">
        <v>0</v>
      </c>
      <c r="R1881" t="b">
        <v>0</v>
      </c>
      <c r="S1881" t="b">
        <v>0</v>
      </c>
      <c r="T1881" t="b">
        <v>0</v>
      </c>
      <c r="U1881">
        <v>0</v>
      </c>
      <c r="V1881" t="s">
        <v>4073</v>
      </c>
    </row>
    <row r="1882" spans="1:22" hidden="1" x14ac:dyDescent="0.45">
      <c r="A1882" s="2" t="s">
        <v>431</v>
      </c>
      <c r="B1882" s="11">
        <v>45114</v>
      </c>
      <c r="C1882" s="2" t="s">
        <v>2011</v>
      </c>
      <c r="D1882" s="2" t="s">
        <v>2016</v>
      </c>
      <c r="E1882">
        <v>1277.92</v>
      </c>
      <c r="F1882">
        <v>112456.96000000001</v>
      </c>
      <c r="G1882">
        <v>0</v>
      </c>
      <c r="H1882">
        <v>0</v>
      </c>
      <c r="I1882" s="2" t="s">
        <v>2021</v>
      </c>
      <c r="J1882" s="2" t="s">
        <v>2030</v>
      </c>
      <c r="K1882" s="2" t="s">
        <v>2452</v>
      </c>
      <c r="L1882" s="2" t="s">
        <v>4032</v>
      </c>
      <c r="M1882">
        <v>-1277.92</v>
      </c>
      <c r="N1882" s="2" t="s">
        <v>2016</v>
      </c>
      <c r="O1882">
        <v>88</v>
      </c>
      <c r="P1882">
        <v>-112456.96000000001</v>
      </c>
      <c r="Q1882" t="b">
        <v>0</v>
      </c>
      <c r="R1882" t="b">
        <v>0</v>
      </c>
      <c r="S1882" t="b">
        <v>0</v>
      </c>
      <c r="T1882" t="b">
        <v>0</v>
      </c>
      <c r="U1882">
        <v>0</v>
      </c>
      <c r="V1882" t="s">
        <v>4073</v>
      </c>
    </row>
    <row r="1883" spans="1:22" hidden="1" x14ac:dyDescent="0.45">
      <c r="A1883" s="2" t="s">
        <v>1118</v>
      </c>
      <c r="B1883" s="11">
        <v>45359</v>
      </c>
      <c r="C1883" s="2" t="s">
        <v>2012</v>
      </c>
      <c r="D1883" s="2" t="s">
        <v>2017</v>
      </c>
      <c r="E1883">
        <v>1278.3800000000001</v>
      </c>
      <c r="F1883">
        <v>112497.44</v>
      </c>
      <c r="G1883">
        <v>0</v>
      </c>
      <c r="H1883">
        <v>0</v>
      </c>
      <c r="I1883" s="2" t="s">
        <v>2021</v>
      </c>
      <c r="J1883" s="2" t="s">
        <v>2029</v>
      </c>
      <c r="K1883" s="2" t="s">
        <v>3139</v>
      </c>
      <c r="L1883" s="2" t="s">
        <v>4032</v>
      </c>
      <c r="M1883">
        <v>-1278.3800000000001</v>
      </c>
      <c r="N1883" s="2" t="s">
        <v>4044</v>
      </c>
      <c r="O1883">
        <v>88</v>
      </c>
      <c r="P1883">
        <v>-112497.44</v>
      </c>
      <c r="Q1883" t="b">
        <v>0</v>
      </c>
      <c r="R1883" t="b">
        <v>0</v>
      </c>
      <c r="S1883" t="b">
        <v>0</v>
      </c>
      <c r="T1883" t="b">
        <v>0</v>
      </c>
      <c r="U1883">
        <v>0</v>
      </c>
      <c r="V1883" t="s">
        <v>4073</v>
      </c>
    </row>
    <row r="1884" spans="1:22" hidden="1" x14ac:dyDescent="0.45">
      <c r="A1884" s="2" t="s">
        <v>956</v>
      </c>
      <c r="B1884" s="11">
        <v>45343</v>
      </c>
      <c r="C1884" s="2" t="s">
        <v>2012</v>
      </c>
      <c r="D1884" s="2" t="s">
        <v>2017</v>
      </c>
      <c r="E1884">
        <v>1844.72</v>
      </c>
      <c r="F1884">
        <v>112527.92</v>
      </c>
      <c r="G1884">
        <v>0</v>
      </c>
      <c r="H1884">
        <v>0</v>
      </c>
      <c r="I1884" s="2" t="s">
        <v>2023</v>
      </c>
      <c r="J1884" s="2" t="s">
        <v>2026</v>
      </c>
      <c r="K1884" s="2" t="s">
        <v>2977</v>
      </c>
      <c r="L1884" s="2" t="s">
        <v>4035</v>
      </c>
      <c r="M1884">
        <v>-1844.72</v>
      </c>
      <c r="N1884" s="2" t="s">
        <v>4044</v>
      </c>
      <c r="O1884">
        <v>61</v>
      </c>
      <c r="P1884">
        <v>-112527.92</v>
      </c>
      <c r="Q1884" t="b">
        <v>0</v>
      </c>
      <c r="R1884" t="b">
        <v>0</v>
      </c>
      <c r="S1884" t="b">
        <v>0</v>
      </c>
      <c r="T1884" t="b">
        <v>0</v>
      </c>
      <c r="U1884">
        <v>0</v>
      </c>
      <c r="V1884" t="s">
        <v>4073</v>
      </c>
    </row>
    <row r="1885" spans="1:22" hidden="1" x14ac:dyDescent="0.45">
      <c r="A1885" s="2" t="s">
        <v>733</v>
      </c>
      <c r="B1885" s="11">
        <v>45756</v>
      </c>
      <c r="C1885" s="2" t="s">
        <v>2012</v>
      </c>
      <c r="D1885" s="2" t="s">
        <v>2017</v>
      </c>
      <c r="E1885">
        <v>1094.9100000000001</v>
      </c>
      <c r="F1885">
        <v>112775.73000000001</v>
      </c>
      <c r="G1885">
        <v>0</v>
      </c>
      <c r="H1885">
        <v>0</v>
      </c>
      <c r="I1885" s="2" t="s">
        <v>2021</v>
      </c>
      <c r="J1885" s="2" t="s">
        <v>2028</v>
      </c>
      <c r="K1885" s="2" t="s">
        <v>2754</v>
      </c>
      <c r="L1885" s="2" t="s">
        <v>4031</v>
      </c>
      <c r="M1885">
        <v>-1094.9100000000001</v>
      </c>
      <c r="N1885" s="2" t="s">
        <v>4044</v>
      </c>
      <c r="O1885">
        <v>103</v>
      </c>
      <c r="P1885">
        <v>-112775.73000000001</v>
      </c>
      <c r="Q1885" t="b">
        <v>0</v>
      </c>
      <c r="R1885" t="b">
        <v>0</v>
      </c>
      <c r="S1885" t="b">
        <v>0</v>
      </c>
      <c r="T1885" t="b">
        <v>0</v>
      </c>
      <c r="U1885">
        <v>0</v>
      </c>
      <c r="V1885" t="s">
        <v>4073</v>
      </c>
    </row>
    <row r="1886" spans="1:22" hidden="1" x14ac:dyDescent="0.45">
      <c r="A1886" s="2" t="s">
        <v>1117</v>
      </c>
      <c r="B1886" s="11">
        <v>45338</v>
      </c>
      <c r="C1886" s="2" t="s">
        <v>2010</v>
      </c>
      <c r="D1886" s="2" t="s">
        <v>2015</v>
      </c>
      <c r="E1886">
        <v>0</v>
      </c>
      <c r="F1886">
        <v>0</v>
      </c>
      <c r="G1886">
        <v>2019.11</v>
      </c>
      <c r="H1886">
        <v>113070.15999999999</v>
      </c>
      <c r="I1886" s="2" t="s">
        <v>2021</v>
      </c>
      <c r="J1886" s="2" t="s">
        <v>2027</v>
      </c>
      <c r="K1886" s="2" t="s">
        <v>3138</v>
      </c>
      <c r="L1886" s="2" t="s">
        <v>4033</v>
      </c>
      <c r="M1886">
        <v>2019.11</v>
      </c>
      <c r="N1886" s="2" t="s">
        <v>4042</v>
      </c>
      <c r="O1886">
        <v>56</v>
      </c>
      <c r="P1886">
        <v>113070.15999999999</v>
      </c>
      <c r="Q1886" t="b">
        <v>0</v>
      </c>
      <c r="R1886" t="b">
        <v>0</v>
      </c>
      <c r="S1886" t="b">
        <v>0</v>
      </c>
      <c r="T1886" t="b">
        <v>0</v>
      </c>
      <c r="U1886">
        <v>0</v>
      </c>
      <c r="V1886" t="s">
        <v>4073</v>
      </c>
    </row>
    <row r="1887" spans="1:22" hidden="1" x14ac:dyDescent="0.45">
      <c r="A1887" s="2" t="s">
        <v>160</v>
      </c>
      <c r="B1887" s="11">
        <v>45706</v>
      </c>
      <c r="C1887" s="2" t="s">
        <v>2011</v>
      </c>
      <c r="D1887" s="2" t="s">
        <v>2016</v>
      </c>
      <c r="E1887">
        <v>1379.51</v>
      </c>
      <c r="F1887">
        <v>113119.81999999999</v>
      </c>
      <c r="G1887">
        <v>0</v>
      </c>
      <c r="H1887">
        <v>0</v>
      </c>
      <c r="I1887" s="2" t="s">
        <v>2021</v>
      </c>
      <c r="J1887" s="2" t="s">
        <v>2028</v>
      </c>
      <c r="K1887" s="2" t="s">
        <v>2181</v>
      </c>
      <c r="L1887" s="2" t="s">
        <v>4034</v>
      </c>
      <c r="M1887">
        <v>-1379.51</v>
      </c>
      <c r="N1887" s="2" t="s">
        <v>2016</v>
      </c>
      <c r="O1887">
        <v>82</v>
      </c>
      <c r="P1887">
        <v>-113119.81999999999</v>
      </c>
      <c r="Q1887" t="b">
        <v>0</v>
      </c>
      <c r="R1887" t="b">
        <v>0</v>
      </c>
      <c r="S1887" t="b">
        <v>0</v>
      </c>
      <c r="T1887" t="b">
        <v>0</v>
      </c>
      <c r="U1887">
        <v>0</v>
      </c>
      <c r="V1887" t="s">
        <v>4073</v>
      </c>
    </row>
    <row r="1888" spans="1:22" hidden="1" x14ac:dyDescent="0.45">
      <c r="A1888" s="2" t="s">
        <v>858</v>
      </c>
      <c r="B1888" s="11">
        <v>45754</v>
      </c>
      <c r="C1888" s="2" t="s">
        <v>2012</v>
      </c>
      <c r="D1888" s="2" t="s">
        <v>2017</v>
      </c>
      <c r="E1888">
        <v>1288.25</v>
      </c>
      <c r="F1888">
        <v>113366</v>
      </c>
      <c r="G1888">
        <v>0</v>
      </c>
      <c r="H1888">
        <v>0</v>
      </c>
      <c r="I1888" s="2" t="s">
        <v>2022</v>
      </c>
      <c r="J1888" s="2" t="s">
        <v>2027</v>
      </c>
      <c r="K1888" s="2" t="s">
        <v>2879</v>
      </c>
      <c r="L1888" s="2" t="s">
        <v>4032</v>
      </c>
      <c r="M1888">
        <v>-1288.25</v>
      </c>
      <c r="N1888" s="2" t="s">
        <v>4044</v>
      </c>
      <c r="O1888">
        <v>88</v>
      </c>
      <c r="P1888">
        <v>-113366</v>
      </c>
      <c r="Q1888" t="b">
        <v>0</v>
      </c>
      <c r="R1888" t="b">
        <v>0</v>
      </c>
      <c r="S1888" t="b">
        <v>0</v>
      </c>
      <c r="T1888" t="b">
        <v>0</v>
      </c>
      <c r="U1888">
        <v>0</v>
      </c>
      <c r="V1888" t="s">
        <v>4073</v>
      </c>
    </row>
    <row r="1889" spans="1:22" hidden="1" x14ac:dyDescent="0.45">
      <c r="A1889" s="2" t="s">
        <v>106</v>
      </c>
      <c r="B1889" s="11">
        <v>45211</v>
      </c>
      <c r="C1889" s="2" t="s">
        <v>2012</v>
      </c>
      <c r="D1889" s="2" t="s">
        <v>2017</v>
      </c>
      <c r="E1889">
        <v>1101.33</v>
      </c>
      <c r="F1889">
        <v>113436.98999999999</v>
      </c>
      <c r="G1889">
        <v>0</v>
      </c>
      <c r="H1889">
        <v>0</v>
      </c>
      <c r="I1889" s="2" t="s">
        <v>2020</v>
      </c>
      <c r="J1889" s="2" t="s">
        <v>2026</v>
      </c>
      <c r="K1889" s="2" t="s">
        <v>2127</v>
      </c>
      <c r="L1889" s="2" t="s">
        <v>4031</v>
      </c>
      <c r="M1889">
        <v>-1101.33</v>
      </c>
      <c r="N1889" s="2" t="s">
        <v>4044</v>
      </c>
      <c r="O1889">
        <v>103</v>
      </c>
      <c r="P1889">
        <v>-113436.98999999999</v>
      </c>
      <c r="Q1889" t="b">
        <v>0</v>
      </c>
      <c r="R1889" t="b">
        <v>0</v>
      </c>
      <c r="S1889" t="b">
        <v>0</v>
      </c>
      <c r="T1889" t="b">
        <v>0</v>
      </c>
      <c r="U1889">
        <v>0</v>
      </c>
      <c r="V1889" t="s">
        <v>4073</v>
      </c>
    </row>
    <row r="1890" spans="1:22" hidden="1" x14ac:dyDescent="0.45">
      <c r="A1890" s="2" t="s">
        <v>227</v>
      </c>
      <c r="B1890" s="11">
        <v>45231</v>
      </c>
      <c r="C1890" s="2" t="s">
        <v>2011</v>
      </c>
      <c r="D1890" s="2" t="s">
        <v>2016</v>
      </c>
      <c r="E1890">
        <v>1386.6</v>
      </c>
      <c r="F1890">
        <v>113701.2</v>
      </c>
      <c r="G1890">
        <v>0</v>
      </c>
      <c r="H1890">
        <v>0</v>
      </c>
      <c r="I1890" s="2" t="s">
        <v>2022</v>
      </c>
      <c r="J1890" s="2" t="s">
        <v>2030</v>
      </c>
      <c r="K1890" s="2" t="s">
        <v>2248</v>
      </c>
      <c r="L1890" s="2" t="s">
        <v>4034</v>
      </c>
      <c r="M1890">
        <v>-1386.6</v>
      </c>
      <c r="N1890" s="2" t="s">
        <v>2016</v>
      </c>
      <c r="O1890">
        <v>82</v>
      </c>
      <c r="P1890">
        <v>-113701.2</v>
      </c>
      <c r="Q1890" t="b">
        <v>0</v>
      </c>
      <c r="R1890" t="b">
        <v>0</v>
      </c>
      <c r="S1890" t="b">
        <v>0</v>
      </c>
      <c r="T1890" t="b">
        <v>0</v>
      </c>
      <c r="U1890">
        <v>0</v>
      </c>
      <c r="V1890" t="s">
        <v>4073</v>
      </c>
    </row>
    <row r="1891" spans="1:22" hidden="1" x14ac:dyDescent="0.45">
      <c r="A1891" s="2" t="s">
        <v>1688</v>
      </c>
      <c r="B1891" s="11">
        <v>45023</v>
      </c>
      <c r="C1891" s="2" t="s">
        <v>2013</v>
      </c>
      <c r="D1891" s="2" t="s">
        <v>2018</v>
      </c>
      <c r="E1891">
        <v>1292.8800000000001</v>
      </c>
      <c r="F1891">
        <v>113773.44</v>
      </c>
      <c r="G1891">
        <v>0</v>
      </c>
      <c r="H1891">
        <v>0</v>
      </c>
      <c r="I1891" s="2" t="s">
        <v>2025</v>
      </c>
      <c r="J1891" s="2" t="s">
        <v>2029</v>
      </c>
      <c r="K1891" s="2" t="s">
        <v>3709</v>
      </c>
      <c r="L1891" s="2" t="s">
        <v>4032</v>
      </c>
      <c r="M1891">
        <v>-1292.8800000000001</v>
      </c>
      <c r="N1891" s="2" t="s">
        <v>4044</v>
      </c>
      <c r="O1891">
        <v>88</v>
      </c>
      <c r="P1891">
        <v>-113773.44</v>
      </c>
      <c r="Q1891" t="b">
        <v>0</v>
      </c>
      <c r="R1891" t="b">
        <v>0</v>
      </c>
      <c r="S1891" t="b">
        <v>0</v>
      </c>
      <c r="T1891" t="b">
        <v>0</v>
      </c>
      <c r="U1891">
        <v>0</v>
      </c>
      <c r="V1891" t="s">
        <v>4073</v>
      </c>
    </row>
    <row r="1892" spans="1:22" hidden="1" x14ac:dyDescent="0.45">
      <c r="A1892" s="2" t="s">
        <v>1239</v>
      </c>
      <c r="B1892" s="11">
        <v>45735</v>
      </c>
      <c r="C1892" s="2" t="s">
        <v>2014</v>
      </c>
      <c r="D1892" s="2" t="s">
        <v>2019</v>
      </c>
      <c r="E1892">
        <v>0</v>
      </c>
      <c r="F1892">
        <v>0</v>
      </c>
      <c r="G1892">
        <v>1391.91</v>
      </c>
      <c r="H1892">
        <v>114136.62000000001</v>
      </c>
      <c r="I1892" s="2" t="s">
        <v>2022</v>
      </c>
      <c r="J1892" s="2" t="s">
        <v>2029</v>
      </c>
      <c r="K1892" s="2" t="s">
        <v>3260</v>
      </c>
      <c r="L1892" s="2" t="s">
        <v>4034</v>
      </c>
      <c r="M1892">
        <v>1391.91</v>
      </c>
      <c r="N1892" s="2" t="s">
        <v>4042</v>
      </c>
      <c r="O1892">
        <v>82</v>
      </c>
      <c r="P1892">
        <v>114136.62000000001</v>
      </c>
      <c r="Q1892" t="b">
        <v>0</v>
      </c>
      <c r="R1892" t="b">
        <v>0</v>
      </c>
      <c r="S1892" t="b">
        <v>0</v>
      </c>
      <c r="T1892" t="b">
        <v>0</v>
      </c>
      <c r="U1892">
        <v>0</v>
      </c>
      <c r="V1892" t="s">
        <v>4073</v>
      </c>
    </row>
    <row r="1893" spans="1:22" hidden="1" x14ac:dyDescent="0.45">
      <c r="A1893" s="2" t="s">
        <v>1062</v>
      </c>
      <c r="B1893" s="11">
        <v>45813</v>
      </c>
      <c r="C1893" s="2" t="s">
        <v>2012</v>
      </c>
      <c r="D1893" s="2" t="s">
        <v>2017</v>
      </c>
      <c r="E1893">
        <v>1873.98</v>
      </c>
      <c r="F1893">
        <v>114312.78</v>
      </c>
      <c r="G1893">
        <v>0</v>
      </c>
      <c r="H1893">
        <v>0</v>
      </c>
      <c r="I1893" s="2" t="s">
        <v>2022</v>
      </c>
      <c r="J1893" s="2" t="s">
        <v>2026</v>
      </c>
      <c r="K1893" s="2" t="s">
        <v>3083</v>
      </c>
      <c r="L1893" s="2" t="s">
        <v>4035</v>
      </c>
      <c r="M1893">
        <v>-1873.98</v>
      </c>
      <c r="N1893" s="2" t="s">
        <v>4044</v>
      </c>
      <c r="O1893">
        <v>61</v>
      </c>
      <c r="P1893">
        <v>-114312.78</v>
      </c>
      <c r="Q1893" t="b">
        <v>0</v>
      </c>
      <c r="R1893" t="b">
        <v>0</v>
      </c>
      <c r="S1893" t="b">
        <v>0</v>
      </c>
      <c r="T1893" t="b">
        <v>0</v>
      </c>
      <c r="U1893">
        <v>0</v>
      </c>
      <c r="V1893" t="s">
        <v>4073</v>
      </c>
    </row>
    <row r="1894" spans="1:22" hidden="1" x14ac:dyDescent="0.45">
      <c r="A1894" s="2" t="s">
        <v>96</v>
      </c>
      <c r="B1894" s="11">
        <v>45709</v>
      </c>
      <c r="C1894" s="2" t="s">
        <v>2013</v>
      </c>
      <c r="D1894" s="2" t="s">
        <v>2018</v>
      </c>
      <c r="E1894">
        <v>1395.59</v>
      </c>
      <c r="F1894">
        <v>114438.37999999999</v>
      </c>
      <c r="G1894">
        <v>0</v>
      </c>
      <c r="H1894">
        <v>0</v>
      </c>
      <c r="I1894" s="2" t="s">
        <v>2021</v>
      </c>
      <c r="J1894" s="2" t="s">
        <v>2030</v>
      </c>
      <c r="K1894" s="2" t="s">
        <v>2117</v>
      </c>
      <c r="L1894" s="2" t="s">
        <v>4034</v>
      </c>
      <c r="M1894">
        <v>-1395.59</v>
      </c>
      <c r="N1894" s="2" t="s">
        <v>4044</v>
      </c>
      <c r="O1894">
        <v>82</v>
      </c>
      <c r="P1894">
        <v>-114438.37999999999</v>
      </c>
      <c r="Q1894" t="b">
        <v>0</v>
      </c>
      <c r="R1894" t="b">
        <v>0</v>
      </c>
      <c r="S1894" t="b">
        <v>0</v>
      </c>
      <c r="T1894" t="b">
        <v>0</v>
      </c>
      <c r="U1894">
        <v>0</v>
      </c>
      <c r="V1894" t="s">
        <v>4073</v>
      </c>
    </row>
    <row r="1895" spans="1:22" hidden="1" x14ac:dyDescent="0.45">
      <c r="A1895" s="2" t="s">
        <v>770</v>
      </c>
      <c r="B1895" s="11">
        <v>44929</v>
      </c>
      <c r="C1895" s="2" t="s">
        <v>2013</v>
      </c>
      <c r="D1895" s="2" t="s">
        <v>2018</v>
      </c>
      <c r="E1895">
        <v>1362.52</v>
      </c>
      <c r="F1895">
        <v>111726.64</v>
      </c>
      <c r="G1895">
        <v>0</v>
      </c>
      <c r="H1895">
        <v>0</v>
      </c>
      <c r="I1895" s="2" t="s">
        <v>2023</v>
      </c>
      <c r="J1895" s="2" t="s">
        <v>2026</v>
      </c>
      <c r="K1895" s="2" t="s">
        <v>2791</v>
      </c>
      <c r="L1895" s="2" t="s">
        <v>4034</v>
      </c>
      <c r="M1895">
        <v>-1362.52</v>
      </c>
      <c r="N1895" s="2" t="s">
        <v>4044</v>
      </c>
      <c r="O1895">
        <v>82</v>
      </c>
      <c r="P1895">
        <v>-111726.64</v>
      </c>
      <c r="Q1895" t="b">
        <v>0</v>
      </c>
      <c r="R1895" t="b">
        <v>0</v>
      </c>
      <c r="S1895" t="b">
        <v>0</v>
      </c>
      <c r="T1895" t="b">
        <v>0</v>
      </c>
      <c r="U1895">
        <v>0</v>
      </c>
      <c r="V1895" t="s">
        <v>4073</v>
      </c>
    </row>
    <row r="1896" spans="1:22" hidden="1" x14ac:dyDescent="0.45">
      <c r="A1896" s="2" t="s">
        <v>1525</v>
      </c>
      <c r="B1896" s="11">
        <v>45496</v>
      </c>
      <c r="C1896" s="2" t="s">
        <v>2013</v>
      </c>
      <c r="D1896" s="2" t="s">
        <v>2018</v>
      </c>
      <c r="E1896">
        <v>1842.13</v>
      </c>
      <c r="F1896">
        <v>103159.28</v>
      </c>
      <c r="G1896">
        <v>0</v>
      </c>
      <c r="H1896">
        <v>0</v>
      </c>
      <c r="I1896" s="2" t="s">
        <v>2022</v>
      </c>
      <c r="J1896" s="2" t="s">
        <v>2029</v>
      </c>
      <c r="K1896" s="2" t="s">
        <v>3546</v>
      </c>
      <c r="L1896" s="2" t="s">
        <v>4033</v>
      </c>
      <c r="M1896">
        <v>-1842.13</v>
      </c>
      <c r="N1896" s="2" t="s">
        <v>4044</v>
      </c>
      <c r="O1896">
        <v>56</v>
      </c>
      <c r="P1896">
        <v>-103159.28</v>
      </c>
      <c r="Q1896" t="b">
        <v>0</v>
      </c>
      <c r="R1896" t="b">
        <v>0</v>
      </c>
      <c r="S1896" t="b">
        <v>0</v>
      </c>
      <c r="T1896" t="b">
        <v>0</v>
      </c>
      <c r="U1896">
        <v>0</v>
      </c>
      <c r="V1896" t="s">
        <v>4073</v>
      </c>
    </row>
    <row r="1897" spans="1:22" hidden="1" x14ac:dyDescent="0.45">
      <c r="A1897" s="2" t="s">
        <v>638</v>
      </c>
      <c r="B1897" s="11">
        <v>45681</v>
      </c>
      <c r="C1897" s="2" t="s">
        <v>2011</v>
      </c>
      <c r="D1897" s="2" t="s">
        <v>2016</v>
      </c>
      <c r="E1897">
        <v>1084.3800000000001</v>
      </c>
      <c r="F1897">
        <v>111691.14000000001</v>
      </c>
      <c r="G1897">
        <v>0</v>
      </c>
      <c r="H1897">
        <v>0</v>
      </c>
      <c r="I1897" s="2" t="s">
        <v>2025</v>
      </c>
      <c r="J1897" s="2" t="s">
        <v>2026</v>
      </c>
      <c r="K1897" s="2" t="s">
        <v>2659</v>
      </c>
      <c r="L1897" s="2" t="s">
        <v>4031</v>
      </c>
      <c r="M1897">
        <v>-1084.3800000000001</v>
      </c>
      <c r="N1897" s="2" t="s">
        <v>2016</v>
      </c>
      <c r="O1897">
        <v>103</v>
      </c>
      <c r="P1897">
        <v>-111691.14000000001</v>
      </c>
      <c r="Q1897" t="b">
        <v>0</v>
      </c>
      <c r="R1897" t="b">
        <v>0</v>
      </c>
      <c r="S1897" t="b">
        <v>0</v>
      </c>
      <c r="T1897" t="b">
        <v>0</v>
      </c>
      <c r="U1897">
        <v>0</v>
      </c>
      <c r="V1897" t="s">
        <v>4073</v>
      </c>
    </row>
    <row r="1898" spans="1:22" hidden="1" x14ac:dyDescent="0.45">
      <c r="A1898" s="2" t="s">
        <v>1694</v>
      </c>
      <c r="B1898" s="11">
        <v>45552</v>
      </c>
      <c r="C1898" s="2" t="s">
        <v>2011</v>
      </c>
      <c r="D1898" s="2" t="s">
        <v>2016</v>
      </c>
      <c r="E1898">
        <v>1830.4</v>
      </c>
      <c r="F1898">
        <v>111654.40000000001</v>
      </c>
      <c r="G1898">
        <v>0</v>
      </c>
      <c r="H1898">
        <v>0</v>
      </c>
      <c r="I1898" s="2" t="s">
        <v>2021</v>
      </c>
      <c r="J1898" s="2" t="s">
        <v>2028</v>
      </c>
      <c r="K1898" s="2" t="s">
        <v>3715</v>
      </c>
      <c r="L1898" s="2" t="s">
        <v>4035</v>
      </c>
      <c r="M1898">
        <v>-1830.4</v>
      </c>
      <c r="N1898" s="2" t="s">
        <v>2016</v>
      </c>
      <c r="O1898">
        <v>61</v>
      </c>
      <c r="P1898">
        <v>-111654.40000000001</v>
      </c>
      <c r="Q1898" t="b">
        <v>0</v>
      </c>
      <c r="R1898" t="b">
        <v>0</v>
      </c>
      <c r="S1898" t="b">
        <v>0</v>
      </c>
      <c r="T1898" t="b">
        <v>0</v>
      </c>
      <c r="U1898">
        <v>0</v>
      </c>
      <c r="V1898" t="s">
        <v>4073</v>
      </c>
    </row>
    <row r="1899" spans="1:22" hidden="1" x14ac:dyDescent="0.45">
      <c r="A1899" s="2" t="s">
        <v>1904</v>
      </c>
      <c r="B1899" s="11">
        <v>45483</v>
      </c>
      <c r="C1899" s="2" t="s">
        <v>2014</v>
      </c>
      <c r="D1899" s="2" t="s">
        <v>2019</v>
      </c>
      <c r="E1899">
        <v>0</v>
      </c>
      <c r="F1899">
        <v>0</v>
      </c>
      <c r="G1899">
        <v>1964.79</v>
      </c>
      <c r="H1899">
        <v>110028.23999999999</v>
      </c>
      <c r="I1899" s="2" t="s">
        <v>2025</v>
      </c>
      <c r="J1899" s="2" t="s">
        <v>2027</v>
      </c>
      <c r="K1899" s="2" t="s">
        <v>3925</v>
      </c>
      <c r="L1899" s="2" t="s">
        <v>4033</v>
      </c>
      <c r="M1899">
        <v>1964.79</v>
      </c>
      <c r="N1899" s="2" t="s">
        <v>4042</v>
      </c>
      <c r="O1899">
        <v>56</v>
      </c>
      <c r="P1899">
        <v>110028.23999999999</v>
      </c>
      <c r="Q1899" t="b">
        <v>0</v>
      </c>
      <c r="R1899" t="b">
        <v>0</v>
      </c>
      <c r="S1899" t="b">
        <v>0</v>
      </c>
      <c r="T1899" t="b">
        <v>0</v>
      </c>
      <c r="U1899">
        <v>0</v>
      </c>
      <c r="V1899" t="s">
        <v>4073</v>
      </c>
    </row>
    <row r="1900" spans="1:22" hidden="1" x14ac:dyDescent="0.45">
      <c r="A1900" s="2" t="s">
        <v>1742</v>
      </c>
      <c r="B1900" s="11">
        <v>45008</v>
      </c>
      <c r="C1900" s="2" t="s">
        <v>2013</v>
      </c>
      <c r="D1900" s="2" t="s">
        <v>2018</v>
      </c>
      <c r="E1900">
        <v>1253</v>
      </c>
      <c r="F1900">
        <v>110264</v>
      </c>
      <c r="G1900">
        <v>0</v>
      </c>
      <c r="H1900">
        <v>0</v>
      </c>
      <c r="I1900" s="2" t="s">
        <v>2020</v>
      </c>
      <c r="J1900" s="2" t="s">
        <v>2026</v>
      </c>
      <c r="K1900" s="2" t="s">
        <v>3763</v>
      </c>
      <c r="L1900" s="2" t="s">
        <v>4032</v>
      </c>
      <c r="M1900">
        <v>-1253</v>
      </c>
      <c r="N1900" s="2" t="s">
        <v>4044</v>
      </c>
      <c r="O1900">
        <v>88</v>
      </c>
      <c r="P1900">
        <v>-110264</v>
      </c>
      <c r="Q1900" t="b">
        <v>0</v>
      </c>
      <c r="R1900" t="b">
        <v>0</v>
      </c>
      <c r="S1900" t="b">
        <v>0</v>
      </c>
      <c r="T1900" t="b">
        <v>0</v>
      </c>
      <c r="U1900">
        <v>0</v>
      </c>
      <c r="V1900" t="s">
        <v>4073</v>
      </c>
    </row>
    <row r="1901" spans="1:22" hidden="1" x14ac:dyDescent="0.45">
      <c r="A1901" s="2" t="s">
        <v>526</v>
      </c>
      <c r="B1901" s="11">
        <v>45785</v>
      </c>
      <c r="C1901" s="2" t="s">
        <v>2012</v>
      </c>
      <c r="D1901" s="2" t="s">
        <v>2017</v>
      </c>
      <c r="E1901">
        <v>1809.13</v>
      </c>
      <c r="F1901">
        <v>110356.93000000001</v>
      </c>
      <c r="G1901">
        <v>0</v>
      </c>
      <c r="H1901">
        <v>0</v>
      </c>
      <c r="I1901" s="2" t="s">
        <v>2023</v>
      </c>
      <c r="J1901" s="2" t="s">
        <v>2030</v>
      </c>
      <c r="K1901" s="2" t="s">
        <v>2547</v>
      </c>
      <c r="L1901" s="2" t="s">
        <v>4035</v>
      </c>
      <c r="M1901">
        <v>-1809.13</v>
      </c>
      <c r="N1901" s="2" t="s">
        <v>4044</v>
      </c>
      <c r="O1901">
        <v>61</v>
      </c>
      <c r="P1901">
        <v>-110356.93000000001</v>
      </c>
      <c r="Q1901" t="b">
        <v>0</v>
      </c>
      <c r="R1901" t="b">
        <v>0</v>
      </c>
      <c r="S1901" t="b">
        <v>0</v>
      </c>
      <c r="T1901" t="b">
        <v>0</v>
      </c>
      <c r="U1901">
        <v>0</v>
      </c>
      <c r="V1901" t="s">
        <v>4073</v>
      </c>
    </row>
    <row r="1902" spans="1:22" hidden="1" x14ac:dyDescent="0.45">
      <c r="A1902" s="2" t="s">
        <v>110</v>
      </c>
      <c r="B1902" s="11">
        <v>45667</v>
      </c>
      <c r="C1902" s="2" t="s">
        <v>2014</v>
      </c>
      <c r="D1902" s="2" t="s">
        <v>2019</v>
      </c>
      <c r="E1902">
        <v>0</v>
      </c>
      <c r="F1902">
        <v>0</v>
      </c>
      <c r="G1902">
        <v>1346.1</v>
      </c>
      <c r="H1902">
        <v>110380.2</v>
      </c>
      <c r="I1902" s="2" t="s">
        <v>2021</v>
      </c>
      <c r="J1902" s="2" t="s">
        <v>2027</v>
      </c>
      <c r="K1902" s="2" t="s">
        <v>2131</v>
      </c>
      <c r="L1902" s="2" t="s">
        <v>4034</v>
      </c>
      <c r="M1902">
        <v>1346.1</v>
      </c>
      <c r="N1902" s="2" t="s">
        <v>4042</v>
      </c>
      <c r="O1902">
        <v>82</v>
      </c>
      <c r="P1902">
        <v>110380.2</v>
      </c>
      <c r="Q1902" t="b">
        <v>0</v>
      </c>
      <c r="R1902" t="b">
        <v>0</v>
      </c>
      <c r="S1902" t="b">
        <v>0</v>
      </c>
      <c r="T1902" t="b">
        <v>0</v>
      </c>
      <c r="U1902">
        <v>0</v>
      </c>
      <c r="V1902" t="s">
        <v>4073</v>
      </c>
    </row>
    <row r="1903" spans="1:22" hidden="1" x14ac:dyDescent="0.45">
      <c r="A1903" s="2" t="s">
        <v>1728</v>
      </c>
      <c r="B1903" s="11">
        <v>45148</v>
      </c>
      <c r="C1903" s="2" t="s">
        <v>2012</v>
      </c>
      <c r="D1903" s="2" t="s">
        <v>2017</v>
      </c>
      <c r="E1903">
        <v>1255.1099999999999</v>
      </c>
      <c r="F1903">
        <v>110449.68</v>
      </c>
      <c r="G1903">
        <v>0</v>
      </c>
      <c r="H1903">
        <v>0</v>
      </c>
      <c r="I1903" s="2" t="s">
        <v>2025</v>
      </c>
      <c r="J1903" s="2" t="s">
        <v>2027</v>
      </c>
      <c r="K1903" s="2" t="s">
        <v>3749</v>
      </c>
      <c r="L1903" s="2" t="s">
        <v>4032</v>
      </c>
      <c r="M1903">
        <v>-1255.1099999999999</v>
      </c>
      <c r="N1903" s="2" t="s">
        <v>4044</v>
      </c>
      <c r="O1903">
        <v>88</v>
      </c>
      <c r="P1903">
        <v>-110449.68</v>
      </c>
      <c r="Q1903" t="b">
        <v>0</v>
      </c>
      <c r="R1903" t="b">
        <v>0</v>
      </c>
      <c r="S1903" t="b">
        <v>0</v>
      </c>
      <c r="T1903" t="b">
        <v>0</v>
      </c>
      <c r="U1903">
        <v>0</v>
      </c>
      <c r="V1903" t="s">
        <v>4073</v>
      </c>
    </row>
    <row r="1904" spans="1:22" hidden="1" x14ac:dyDescent="0.45">
      <c r="A1904" s="2" t="s">
        <v>896</v>
      </c>
      <c r="B1904" s="11">
        <v>45572</v>
      </c>
      <c r="C1904" s="2" t="s">
        <v>2012</v>
      </c>
      <c r="D1904" s="2" t="s">
        <v>2017</v>
      </c>
      <c r="E1904">
        <v>1072.33</v>
      </c>
      <c r="F1904">
        <v>110449.98999999999</v>
      </c>
      <c r="G1904">
        <v>0</v>
      </c>
      <c r="H1904">
        <v>0</v>
      </c>
      <c r="I1904" s="2" t="s">
        <v>2025</v>
      </c>
      <c r="J1904" s="2" t="s">
        <v>2030</v>
      </c>
      <c r="K1904" s="2" t="s">
        <v>2917</v>
      </c>
      <c r="L1904" s="2" t="s">
        <v>4031</v>
      </c>
      <c r="M1904">
        <v>-1072.33</v>
      </c>
      <c r="N1904" s="2" t="s">
        <v>4044</v>
      </c>
      <c r="O1904">
        <v>103</v>
      </c>
      <c r="P1904">
        <v>-110449.98999999999</v>
      </c>
      <c r="Q1904" t="b">
        <v>0</v>
      </c>
      <c r="R1904" t="b">
        <v>0</v>
      </c>
      <c r="S1904" t="b">
        <v>0</v>
      </c>
      <c r="T1904" t="b">
        <v>0</v>
      </c>
      <c r="U1904">
        <v>0</v>
      </c>
      <c r="V1904" t="s">
        <v>4073</v>
      </c>
    </row>
    <row r="1905" spans="1:22" hidden="1" x14ac:dyDescent="0.45">
      <c r="A1905" s="2" t="s">
        <v>919</v>
      </c>
      <c r="B1905" s="11">
        <v>45754</v>
      </c>
      <c r="C1905" s="2" t="s">
        <v>2012</v>
      </c>
      <c r="D1905" s="2" t="s">
        <v>2017</v>
      </c>
      <c r="E1905">
        <v>1255.8499999999999</v>
      </c>
      <c r="F1905">
        <v>110514.79999999999</v>
      </c>
      <c r="G1905">
        <v>0</v>
      </c>
      <c r="H1905">
        <v>0</v>
      </c>
      <c r="I1905" s="2" t="s">
        <v>2022</v>
      </c>
      <c r="J1905" s="2" t="s">
        <v>2030</v>
      </c>
      <c r="K1905" s="2" t="s">
        <v>2940</v>
      </c>
      <c r="L1905" s="2" t="s">
        <v>4032</v>
      </c>
      <c r="M1905">
        <v>-1255.8499999999999</v>
      </c>
      <c r="N1905" s="2" t="s">
        <v>4044</v>
      </c>
      <c r="O1905">
        <v>88</v>
      </c>
      <c r="P1905">
        <v>-110514.79999999999</v>
      </c>
      <c r="Q1905" t="b">
        <v>0</v>
      </c>
      <c r="R1905" t="b">
        <v>0</v>
      </c>
      <c r="S1905" t="b">
        <v>0</v>
      </c>
      <c r="T1905" t="b">
        <v>0</v>
      </c>
      <c r="U1905">
        <v>0</v>
      </c>
      <c r="V1905" t="s">
        <v>4073</v>
      </c>
    </row>
    <row r="1906" spans="1:22" hidden="1" x14ac:dyDescent="0.45">
      <c r="A1906" s="2" t="s">
        <v>206</v>
      </c>
      <c r="B1906" s="11">
        <v>45306</v>
      </c>
      <c r="C1906" s="2" t="s">
        <v>2011</v>
      </c>
      <c r="D1906" s="2" t="s">
        <v>2016</v>
      </c>
      <c r="E1906">
        <v>1812.22</v>
      </c>
      <c r="F1906">
        <v>110545.42</v>
      </c>
      <c r="G1906">
        <v>0</v>
      </c>
      <c r="H1906">
        <v>0</v>
      </c>
      <c r="I1906" s="2" t="s">
        <v>2023</v>
      </c>
      <c r="J1906" s="2" t="s">
        <v>2029</v>
      </c>
      <c r="K1906" s="2" t="s">
        <v>2227</v>
      </c>
      <c r="L1906" s="2" t="s">
        <v>4035</v>
      </c>
      <c r="M1906">
        <v>-1812.22</v>
      </c>
      <c r="N1906" s="2" t="s">
        <v>2016</v>
      </c>
      <c r="O1906">
        <v>61</v>
      </c>
      <c r="P1906">
        <v>-110545.42</v>
      </c>
      <c r="Q1906" t="b">
        <v>0</v>
      </c>
      <c r="R1906" t="b">
        <v>0</v>
      </c>
      <c r="S1906" t="b">
        <v>0</v>
      </c>
      <c r="T1906" t="b">
        <v>0</v>
      </c>
      <c r="U1906">
        <v>0</v>
      </c>
      <c r="V1906" t="s">
        <v>4073</v>
      </c>
    </row>
    <row r="1907" spans="1:22" hidden="1" x14ac:dyDescent="0.45">
      <c r="A1907" s="2" t="s">
        <v>712</v>
      </c>
      <c r="B1907" s="11">
        <v>45474</v>
      </c>
      <c r="C1907" s="2" t="s">
        <v>2012</v>
      </c>
      <c r="D1907" s="2" t="s">
        <v>2017</v>
      </c>
      <c r="E1907">
        <v>1350.68</v>
      </c>
      <c r="F1907">
        <v>110755.76000000001</v>
      </c>
      <c r="G1907">
        <v>0</v>
      </c>
      <c r="H1907">
        <v>0</v>
      </c>
      <c r="I1907" s="2" t="s">
        <v>2020</v>
      </c>
      <c r="J1907" s="2" t="s">
        <v>2029</v>
      </c>
      <c r="K1907" s="2" t="s">
        <v>2733</v>
      </c>
      <c r="L1907" s="2" t="s">
        <v>4034</v>
      </c>
      <c r="M1907">
        <v>-1350.68</v>
      </c>
      <c r="N1907" s="2" t="s">
        <v>4044</v>
      </c>
      <c r="O1907">
        <v>82</v>
      </c>
      <c r="P1907">
        <v>-110755.76000000001</v>
      </c>
      <c r="Q1907" t="b">
        <v>0</v>
      </c>
      <c r="R1907" t="b">
        <v>0</v>
      </c>
      <c r="S1907" t="b">
        <v>0</v>
      </c>
      <c r="T1907" t="b">
        <v>0</v>
      </c>
      <c r="U1907">
        <v>0</v>
      </c>
      <c r="V1907" t="s">
        <v>4073</v>
      </c>
    </row>
    <row r="1908" spans="1:22" hidden="1" x14ac:dyDescent="0.45">
      <c r="A1908" s="2" t="s">
        <v>1930</v>
      </c>
      <c r="B1908" s="11">
        <v>45720</v>
      </c>
      <c r="C1908" s="2" t="s">
        <v>2012</v>
      </c>
      <c r="D1908" s="2" t="s">
        <v>2017</v>
      </c>
      <c r="E1908">
        <v>1818.32</v>
      </c>
      <c r="F1908">
        <v>110917.51999999999</v>
      </c>
      <c r="G1908">
        <v>0</v>
      </c>
      <c r="H1908">
        <v>0</v>
      </c>
      <c r="I1908" s="2" t="s">
        <v>2024</v>
      </c>
      <c r="J1908" s="2" t="s">
        <v>2027</v>
      </c>
      <c r="K1908" s="2" t="s">
        <v>3951</v>
      </c>
      <c r="L1908" s="2" t="s">
        <v>4035</v>
      </c>
      <c r="M1908">
        <v>-1818.32</v>
      </c>
      <c r="N1908" s="2" t="s">
        <v>4044</v>
      </c>
      <c r="O1908">
        <v>61</v>
      </c>
      <c r="P1908">
        <v>-110917.51999999999</v>
      </c>
      <c r="Q1908" t="b">
        <v>0</v>
      </c>
      <c r="R1908" t="b">
        <v>0</v>
      </c>
      <c r="S1908" t="b">
        <v>0</v>
      </c>
      <c r="T1908" t="b">
        <v>0</v>
      </c>
      <c r="U1908">
        <v>0</v>
      </c>
      <c r="V1908" t="s">
        <v>4073</v>
      </c>
    </row>
    <row r="1909" spans="1:22" hidden="1" x14ac:dyDescent="0.45">
      <c r="A1909" s="2" t="s">
        <v>1685</v>
      </c>
      <c r="B1909" s="11">
        <v>45147</v>
      </c>
      <c r="C1909" s="2" t="s">
        <v>2014</v>
      </c>
      <c r="D1909" s="2" t="s">
        <v>2019</v>
      </c>
      <c r="E1909">
        <v>0</v>
      </c>
      <c r="F1909">
        <v>0</v>
      </c>
      <c r="G1909">
        <v>1263.17</v>
      </c>
      <c r="H1909">
        <v>111158.96</v>
      </c>
      <c r="I1909" s="2" t="s">
        <v>2021</v>
      </c>
      <c r="J1909" s="2" t="s">
        <v>2030</v>
      </c>
      <c r="K1909" s="2" t="s">
        <v>3706</v>
      </c>
      <c r="L1909" s="2" t="s">
        <v>4032</v>
      </c>
      <c r="M1909">
        <v>1263.17</v>
      </c>
      <c r="N1909" s="2" t="s">
        <v>4042</v>
      </c>
      <c r="O1909">
        <v>88</v>
      </c>
      <c r="P1909">
        <v>111158.96</v>
      </c>
      <c r="Q1909" t="b">
        <v>0</v>
      </c>
      <c r="R1909" t="b">
        <v>0</v>
      </c>
      <c r="S1909" t="b">
        <v>0</v>
      </c>
      <c r="T1909" t="b">
        <v>0</v>
      </c>
      <c r="U1909">
        <v>0</v>
      </c>
      <c r="V1909" t="s">
        <v>4073</v>
      </c>
    </row>
    <row r="1910" spans="1:22" hidden="1" x14ac:dyDescent="0.45">
      <c r="A1910" s="2" t="s">
        <v>1566</v>
      </c>
      <c r="B1910" s="11">
        <v>45765</v>
      </c>
      <c r="C1910" s="2" t="s">
        <v>2012</v>
      </c>
      <c r="D1910" s="2" t="s">
        <v>2017</v>
      </c>
      <c r="E1910">
        <v>1985.74</v>
      </c>
      <c r="F1910">
        <v>111201.44</v>
      </c>
      <c r="G1910">
        <v>0</v>
      </c>
      <c r="H1910">
        <v>0</v>
      </c>
      <c r="I1910" s="2" t="s">
        <v>2020</v>
      </c>
      <c r="J1910" s="2" t="s">
        <v>2027</v>
      </c>
      <c r="K1910" s="2" t="s">
        <v>3587</v>
      </c>
      <c r="L1910" s="2" t="s">
        <v>4033</v>
      </c>
      <c r="M1910">
        <v>-1985.74</v>
      </c>
      <c r="N1910" s="2" t="s">
        <v>4044</v>
      </c>
      <c r="O1910">
        <v>56</v>
      </c>
      <c r="P1910">
        <v>-111201.44</v>
      </c>
      <c r="Q1910" t="b">
        <v>0</v>
      </c>
      <c r="R1910" t="b">
        <v>0</v>
      </c>
      <c r="S1910" t="b">
        <v>0</v>
      </c>
      <c r="T1910" t="b">
        <v>0</v>
      </c>
      <c r="U1910">
        <v>0</v>
      </c>
      <c r="V1910" t="s">
        <v>4073</v>
      </c>
    </row>
    <row r="1911" spans="1:22" hidden="1" x14ac:dyDescent="0.45">
      <c r="A1911" s="2" t="s">
        <v>1755</v>
      </c>
      <c r="B1911" s="11">
        <v>45385</v>
      </c>
      <c r="C1911" s="2" t="s">
        <v>2012</v>
      </c>
      <c r="D1911" s="2" t="s">
        <v>2017</v>
      </c>
      <c r="E1911">
        <v>1357.35</v>
      </c>
      <c r="F1911">
        <v>111302.7</v>
      </c>
      <c r="G1911">
        <v>0</v>
      </c>
      <c r="H1911">
        <v>0</v>
      </c>
      <c r="I1911" s="2" t="s">
        <v>2023</v>
      </c>
      <c r="J1911" s="2" t="s">
        <v>2027</v>
      </c>
      <c r="K1911" s="2" t="s">
        <v>3776</v>
      </c>
      <c r="L1911" s="2" t="s">
        <v>4034</v>
      </c>
      <c r="M1911">
        <v>-1357.35</v>
      </c>
      <c r="N1911" s="2" t="s">
        <v>4044</v>
      </c>
      <c r="O1911">
        <v>82</v>
      </c>
      <c r="P1911">
        <v>-111302.7</v>
      </c>
      <c r="Q1911" t="b">
        <v>0</v>
      </c>
      <c r="R1911" t="b">
        <v>0</v>
      </c>
      <c r="S1911" t="b">
        <v>0</v>
      </c>
      <c r="T1911" t="b">
        <v>0</v>
      </c>
      <c r="U1911">
        <v>0</v>
      </c>
      <c r="V1911" t="s">
        <v>4073</v>
      </c>
    </row>
    <row r="1912" spans="1:22" hidden="1" x14ac:dyDescent="0.45">
      <c r="A1912" s="2" t="s">
        <v>1230</v>
      </c>
      <c r="B1912" s="11">
        <v>45091</v>
      </c>
      <c r="C1912" s="2" t="s">
        <v>2010</v>
      </c>
      <c r="D1912" s="2" t="s">
        <v>2015</v>
      </c>
      <c r="E1912">
        <v>0</v>
      </c>
      <c r="F1912">
        <v>0</v>
      </c>
      <c r="G1912">
        <v>1358.12</v>
      </c>
      <c r="H1912">
        <v>111365.84</v>
      </c>
      <c r="I1912" s="2" t="s">
        <v>2024</v>
      </c>
      <c r="J1912" s="2" t="s">
        <v>2027</v>
      </c>
      <c r="K1912" s="2" t="s">
        <v>3251</v>
      </c>
      <c r="L1912" s="2" t="s">
        <v>4034</v>
      </c>
      <c r="M1912">
        <v>1358.12</v>
      </c>
      <c r="N1912" s="2" t="s">
        <v>4042</v>
      </c>
      <c r="O1912">
        <v>82</v>
      </c>
      <c r="P1912">
        <v>111365.84</v>
      </c>
      <c r="Q1912" t="b">
        <v>0</v>
      </c>
      <c r="R1912" t="b">
        <v>0</v>
      </c>
      <c r="S1912" t="b">
        <v>0</v>
      </c>
      <c r="T1912" t="b">
        <v>0</v>
      </c>
      <c r="U1912">
        <v>0</v>
      </c>
      <c r="V1912" t="s">
        <v>4073</v>
      </c>
    </row>
    <row r="1913" spans="1:22" hidden="1" x14ac:dyDescent="0.45">
      <c r="A1913" s="2" t="s">
        <v>853</v>
      </c>
      <c r="B1913" s="11">
        <v>45082</v>
      </c>
      <c r="C1913" s="2" t="s">
        <v>2013</v>
      </c>
      <c r="D1913" s="2" t="s">
        <v>2018</v>
      </c>
      <c r="E1913">
        <v>1990.94</v>
      </c>
      <c r="F1913">
        <v>111492.64</v>
      </c>
      <c r="G1913">
        <v>0</v>
      </c>
      <c r="H1913">
        <v>0</v>
      </c>
      <c r="I1913" s="2" t="s">
        <v>2023</v>
      </c>
      <c r="J1913" s="2" t="s">
        <v>2030</v>
      </c>
      <c r="K1913" s="2" t="s">
        <v>2874</v>
      </c>
      <c r="L1913" s="2" t="s">
        <v>4033</v>
      </c>
      <c r="M1913">
        <v>-1990.94</v>
      </c>
      <c r="N1913" s="2" t="s">
        <v>4044</v>
      </c>
      <c r="O1913">
        <v>56</v>
      </c>
      <c r="P1913">
        <v>-111492.64</v>
      </c>
      <c r="Q1913" t="b">
        <v>0</v>
      </c>
      <c r="R1913" t="b">
        <v>0</v>
      </c>
      <c r="S1913" t="b">
        <v>0</v>
      </c>
      <c r="T1913" t="b">
        <v>0</v>
      </c>
      <c r="U1913">
        <v>0</v>
      </c>
      <c r="V1913" t="s">
        <v>4073</v>
      </c>
    </row>
    <row r="1914" spans="1:22" hidden="1" x14ac:dyDescent="0.45">
      <c r="A1914" s="2" t="s">
        <v>174</v>
      </c>
      <c r="B1914" s="11">
        <v>45490</v>
      </c>
      <c r="C1914" s="2" t="s">
        <v>2014</v>
      </c>
      <c r="D1914" s="2" t="s">
        <v>2019</v>
      </c>
      <c r="E1914">
        <v>0</v>
      </c>
      <c r="F1914">
        <v>0</v>
      </c>
      <c r="G1914">
        <v>1829.98</v>
      </c>
      <c r="H1914">
        <v>111628.78</v>
      </c>
      <c r="I1914" s="2" t="s">
        <v>2021</v>
      </c>
      <c r="J1914" s="2" t="s">
        <v>2030</v>
      </c>
      <c r="K1914" s="2" t="s">
        <v>2195</v>
      </c>
      <c r="L1914" s="2" t="s">
        <v>4035</v>
      </c>
      <c r="M1914">
        <v>1829.98</v>
      </c>
      <c r="N1914" s="2" t="s">
        <v>4042</v>
      </c>
      <c r="O1914">
        <v>61</v>
      </c>
      <c r="P1914">
        <v>111628.78</v>
      </c>
      <c r="Q1914" t="b">
        <v>0</v>
      </c>
      <c r="R1914" t="b">
        <v>0</v>
      </c>
      <c r="S1914" t="b">
        <v>0</v>
      </c>
      <c r="T1914" t="b">
        <v>0</v>
      </c>
      <c r="U1914">
        <v>0</v>
      </c>
      <c r="V1914" t="s">
        <v>4073</v>
      </c>
    </row>
    <row r="1915" spans="1:22" hidden="1" x14ac:dyDescent="0.45">
      <c r="A1915" s="2" t="s">
        <v>1781</v>
      </c>
      <c r="B1915" s="11">
        <v>45098</v>
      </c>
      <c r="C1915" s="2" t="s">
        <v>2013</v>
      </c>
      <c r="D1915" s="2" t="s">
        <v>2018</v>
      </c>
      <c r="E1915">
        <v>1268.68</v>
      </c>
      <c r="F1915">
        <v>111643.84000000001</v>
      </c>
      <c r="G1915">
        <v>0</v>
      </c>
      <c r="H1915">
        <v>0</v>
      </c>
      <c r="I1915" s="2" t="s">
        <v>2021</v>
      </c>
      <c r="J1915" s="2" t="s">
        <v>2026</v>
      </c>
      <c r="K1915" s="2" t="s">
        <v>3802</v>
      </c>
      <c r="L1915" s="2" t="s">
        <v>4032</v>
      </c>
      <c r="M1915">
        <v>-1268.68</v>
      </c>
      <c r="N1915" s="2" t="s">
        <v>4044</v>
      </c>
      <c r="O1915">
        <v>88</v>
      </c>
      <c r="P1915">
        <v>-111643.84000000001</v>
      </c>
      <c r="Q1915" t="b">
        <v>0</v>
      </c>
      <c r="R1915" t="b">
        <v>0</v>
      </c>
      <c r="S1915" t="b">
        <v>0</v>
      </c>
      <c r="T1915" t="b">
        <v>0</v>
      </c>
      <c r="U1915">
        <v>0</v>
      </c>
      <c r="V1915" t="s">
        <v>4073</v>
      </c>
    </row>
    <row r="1916" spans="1:22" hidden="1" x14ac:dyDescent="0.45">
      <c r="A1916" s="2" t="s">
        <v>1146</v>
      </c>
      <c r="B1916" s="11">
        <v>45280</v>
      </c>
      <c r="C1916" s="2" t="s">
        <v>2011</v>
      </c>
      <c r="D1916" s="2" t="s">
        <v>2016</v>
      </c>
      <c r="E1916">
        <v>1994.11</v>
      </c>
      <c r="F1916">
        <v>111670.15999999999</v>
      </c>
      <c r="G1916">
        <v>0</v>
      </c>
      <c r="H1916">
        <v>0</v>
      </c>
      <c r="I1916" s="2" t="s">
        <v>2025</v>
      </c>
      <c r="J1916" s="2" t="s">
        <v>2028</v>
      </c>
      <c r="K1916" s="2" t="s">
        <v>3167</v>
      </c>
      <c r="L1916" s="2" t="s">
        <v>4033</v>
      </c>
      <c r="M1916">
        <v>-1994.11</v>
      </c>
      <c r="N1916" s="2" t="s">
        <v>2016</v>
      </c>
      <c r="O1916">
        <v>56</v>
      </c>
      <c r="P1916">
        <v>-111670.15999999999</v>
      </c>
      <c r="Q1916" t="b">
        <v>0</v>
      </c>
      <c r="R1916" t="b">
        <v>0</v>
      </c>
      <c r="S1916" t="b">
        <v>0</v>
      </c>
      <c r="T1916" t="b">
        <v>0</v>
      </c>
      <c r="U1916">
        <v>0</v>
      </c>
      <c r="V1916" t="s">
        <v>4073</v>
      </c>
    </row>
    <row r="1917" spans="1:22" hidden="1" x14ac:dyDescent="0.45">
      <c r="A1917" s="2" t="s">
        <v>1912</v>
      </c>
      <c r="B1917" s="11">
        <v>45545</v>
      </c>
      <c r="C1917" s="2" t="s">
        <v>2013</v>
      </c>
      <c r="D1917" s="2" t="s">
        <v>2018</v>
      </c>
      <c r="E1917">
        <v>1838.96</v>
      </c>
      <c r="F1917">
        <v>102981.76000000001</v>
      </c>
      <c r="G1917">
        <v>0</v>
      </c>
      <c r="H1917">
        <v>0</v>
      </c>
      <c r="I1917" s="2" t="s">
        <v>2025</v>
      </c>
      <c r="J1917" s="2" t="s">
        <v>2029</v>
      </c>
      <c r="K1917" s="2" t="s">
        <v>3933</v>
      </c>
      <c r="L1917" s="2" t="s">
        <v>4033</v>
      </c>
      <c r="M1917">
        <v>-1838.96</v>
      </c>
      <c r="N1917" s="2" t="s">
        <v>4044</v>
      </c>
      <c r="O1917">
        <v>56</v>
      </c>
      <c r="P1917">
        <v>-102981.76000000001</v>
      </c>
      <c r="Q1917" t="b">
        <v>0</v>
      </c>
      <c r="R1917" t="b">
        <v>0</v>
      </c>
      <c r="S1917" t="b">
        <v>0</v>
      </c>
      <c r="T1917" t="b">
        <v>0</v>
      </c>
      <c r="U1917">
        <v>0</v>
      </c>
      <c r="V1917" t="s">
        <v>4073</v>
      </c>
    </row>
    <row r="1918" spans="1:22" hidden="1" x14ac:dyDescent="0.45">
      <c r="A1918" s="2" t="s">
        <v>1767</v>
      </c>
      <c r="B1918" s="11">
        <v>45429</v>
      </c>
      <c r="C1918" s="2" t="s">
        <v>2013</v>
      </c>
      <c r="D1918" s="2" t="s">
        <v>2018</v>
      </c>
      <c r="E1918">
        <v>1687.77</v>
      </c>
      <c r="F1918">
        <v>102953.97</v>
      </c>
      <c r="G1918">
        <v>0</v>
      </c>
      <c r="H1918">
        <v>0</v>
      </c>
      <c r="I1918" s="2" t="s">
        <v>2023</v>
      </c>
      <c r="J1918" s="2" t="s">
        <v>2029</v>
      </c>
      <c r="K1918" s="2" t="s">
        <v>3788</v>
      </c>
      <c r="L1918" s="2" t="s">
        <v>4035</v>
      </c>
      <c r="M1918">
        <v>-1687.77</v>
      </c>
      <c r="N1918" s="2" t="s">
        <v>4044</v>
      </c>
      <c r="O1918">
        <v>61</v>
      </c>
      <c r="P1918">
        <v>-102953.97</v>
      </c>
      <c r="Q1918" t="b">
        <v>0</v>
      </c>
      <c r="R1918" t="b">
        <v>0</v>
      </c>
      <c r="S1918" t="b">
        <v>0</v>
      </c>
      <c r="T1918" t="b">
        <v>0</v>
      </c>
      <c r="U1918">
        <v>0</v>
      </c>
      <c r="V1918" t="s">
        <v>4073</v>
      </c>
    </row>
    <row r="1919" spans="1:22" hidden="1" x14ac:dyDescent="0.45">
      <c r="A1919" s="2" t="s">
        <v>1617</v>
      </c>
      <c r="B1919" s="11">
        <v>45306</v>
      </c>
      <c r="C1919" s="2" t="s">
        <v>2011</v>
      </c>
      <c r="D1919" s="2" t="s">
        <v>2016</v>
      </c>
      <c r="E1919">
        <v>1834.84</v>
      </c>
      <c r="F1919">
        <v>102751.03999999999</v>
      </c>
      <c r="G1919">
        <v>0</v>
      </c>
      <c r="H1919">
        <v>0</v>
      </c>
      <c r="I1919" s="2" t="s">
        <v>2022</v>
      </c>
      <c r="J1919" s="2" t="s">
        <v>2026</v>
      </c>
      <c r="K1919" s="2" t="s">
        <v>3638</v>
      </c>
      <c r="L1919" s="2" t="s">
        <v>4033</v>
      </c>
      <c r="M1919">
        <v>-1834.84</v>
      </c>
      <c r="N1919" s="2" t="s">
        <v>2016</v>
      </c>
      <c r="O1919">
        <v>56</v>
      </c>
      <c r="P1919">
        <v>-102751.03999999999</v>
      </c>
      <c r="Q1919" t="b">
        <v>0</v>
      </c>
      <c r="R1919" t="b">
        <v>0</v>
      </c>
      <c r="S1919" t="b">
        <v>0</v>
      </c>
      <c r="T1919" t="b">
        <v>0</v>
      </c>
      <c r="U1919">
        <v>0</v>
      </c>
      <c r="V1919" t="s">
        <v>4073</v>
      </c>
    </row>
    <row r="1920" spans="1:22" hidden="1" x14ac:dyDescent="0.45">
      <c r="A1920" s="2" t="s">
        <v>228</v>
      </c>
      <c r="B1920" s="11">
        <v>45334</v>
      </c>
      <c r="C1920" s="2" t="s">
        <v>2013</v>
      </c>
      <c r="D1920" s="2" t="s">
        <v>2018</v>
      </c>
      <c r="E1920">
        <v>1060.0999999999999</v>
      </c>
      <c r="F1920">
        <v>93288.799999999988</v>
      </c>
      <c r="G1920">
        <v>0</v>
      </c>
      <c r="H1920">
        <v>0</v>
      </c>
      <c r="I1920" s="2" t="s">
        <v>2025</v>
      </c>
      <c r="J1920" s="2" t="s">
        <v>2030</v>
      </c>
      <c r="K1920" s="2" t="s">
        <v>2249</v>
      </c>
      <c r="L1920" s="2" t="s">
        <v>4032</v>
      </c>
      <c r="M1920">
        <v>-1060.0999999999999</v>
      </c>
      <c r="N1920" s="2" t="s">
        <v>4044</v>
      </c>
      <c r="O1920">
        <v>88</v>
      </c>
      <c r="P1920">
        <v>-93288.799999999988</v>
      </c>
      <c r="Q1920" t="b">
        <v>0</v>
      </c>
      <c r="R1920" t="b">
        <v>0</v>
      </c>
      <c r="S1920" t="b">
        <v>0</v>
      </c>
      <c r="T1920" t="b">
        <v>0</v>
      </c>
      <c r="U1920">
        <v>0</v>
      </c>
      <c r="V1920" t="s">
        <v>4073</v>
      </c>
    </row>
    <row r="1921" spans="1:22" hidden="1" x14ac:dyDescent="0.45">
      <c r="A1921" s="2" t="s">
        <v>1038</v>
      </c>
      <c r="B1921" s="11">
        <v>45510</v>
      </c>
      <c r="C1921" s="2" t="s">
        <v>2013</v>
      </c>
      <c r="D1921" s="2" t="s">
        <v>2018</v>
      </c>
      <c r="E1921">
        <v>910.93</v>
      </c>
      <c r="F1921">
        <v>93825.79</v>
      </c>
      <c r="G1921">
        <v>0</v>
      </c>
      <c r="H1921">
        <v>0</v>
      </c>
      <c r="I1921" s="2" t="s">
        <v>2023</v>
      </c>
      <c r="J1921" s="2" t="s">
        <v>2027</v>
      </c>
      <c r="K1921" s="2" t="s">
        <v>3059</v>
      </c>
      <c r="L1921" s="2" t="s">
        <v>4031</v>
      </c>
      <c r="M1921">
        <v>-910.93</v>
      </c>
      <c r="N1921" s="2" t="s">
        <v>4044</v>
      </c>
      <c r="O1921">
        <v>103</v>
      </c>
      <c r="P1921">
        <v>-93825.79</v>
      </c>
      <c r="Q1921" t="b">
        <v>0</v>
      </c>
      <c r="R1921" t="b">
        <v>0</v>
      </c>
      <c r="S1921" t="b">
        <v>0</v>
      </c>
      <c r="T1921" t="b">
        <v>0</v>
      </c>
      <c r="U1921">
        <v>0</v>
      </c>
      <c r="V1921" t="s">
        <v>4073</v>
      </c>
    </row>
    <row r="1922" spans="1:22" hidden="1" x14ac:dyDescent="0.45">
      <c r="A1922" s="2" t="s">
        <v>453</v>
      </c>
      <c r="B1922" s="11">
        <v>45574</v>
      </c>
      <c r="C1922" s="2" t="s">
        <v>2013</v>
      </c>
      <c r="D1922" s="2" t="s">
        <v>2018</v>
      </c>
      <c r="E1922">
        <v>1541.66</v>
      </c>
      <c r="F1922">
        <v>94041.260000000009</v>
      </c>
      <c r="G1922">
        <v>0</v>
      </c>
      <c r="H1922">
        <v>0</v>
      </c>
      <c r="I1922" s="2" t="s">
        <v>2022</v>
      </c>
      <c r="J1922" s="2" t="s">
        <v>2028</v>
      </c>
      <c r="K1922" s="2" t="s">
        <v>2474</v>
      </c>
      <c r="L1922" s="2" t="s">
        <v>4035</v>
      </c>
      <c r="M1922">
        <v>-1541.66</v>
      </c>
      <c r="N1922" s="2" t="s">
        <v>4044</v>
      </c>
      <c r="O1922">
        <v>61</v>
      </c>
      <c r="P1922">
        <v>-94041.260000000009</v>
      </c>
      <c r="Q1922" t="b">
        <v>0</v>
      </c>
      <c r="R1922" t="b">
        <v>0</v>
      </c>
      <c r="S1922" t="b">
        <v>0</v>
      </c>
      <c r="T1922" t="b">
        <v>0</v>
      </c>
      <c r="U1922">
        <v>0</v>
      </c>
      <c r="V1922" t="s">
        <v>4073</v>
      </c>
    </row>
    <row r="1923" spans="1:22" hidden="1" x14ac:dyDescent="0.45">
      <c r="A1923" s="2" t="s">
        <v>547</v>
      </c>
      <c r="B1923" s="11">
        <v>45730</v>
      </c>
      <c r="C1923" s="2" t="s">
        <v>2011</v>
      </c>
      <c r="D1923" s="2" t="s">
        <v>2016</v>
      </c>
      <c r="E1923">
        <v>1683.82</v>
      </c>
      <c r="F1923">
        <v>94293.92</v>
      </c>
      <c r="G1923">
        <v>0</v>
      </c>
      <c r="H1923">
        <v>0</v>
      </c>
      <c r="I1923" s="2" t="s">
        <v>2023</v>
      </c>
      <c r="J1923" s="2" t="s">
        <v>2028</v>
      </c>
      <c r="K1923" s="2" t="s">
        <v>2568</v>
      </c>
      <c r="L1923" s="2" t="s">
        <v>4033</v>
      </c>
      <c r="M1923">
        <v>-1683.82</v>
      </c>
      <c r="N1923" s="2" t="s">
        <v>2016</v>
      </c>
      <c r="O1923">
        <v>56</v>
      </c>
      <c r="P1923">
        <v>-94293.92</v>
      </c>
      <c r="Q1923" t="b">
        <v>0</v>
      </c>
      <c r="R1923" t="b">
        <v>0</v>
      </c>
      <c r="S1923" t="b">
        <v>0</v>
      </c>
      <c r="T1923" t="b">
        <v>0</v>
      </c>
      <c r="U1923">
        <v>0</v>
      </c>
      <c r="V1923" t="s">
        <v>4073</v>
      </c>
    </row>
    <row r="1924" spans="1:22" hidden="1" x14ac:dyDescent="0.45">
      <c r="A1924" s="2" t="s">
        <v>1077</v>
      </c>
      <c r="B1924" s="11">
        <v>45033</v>
      </c>
      <c r="C1924" s="2" t="s">
        <v>2012</v>
      </c>
      <c r="D1924" s="2" t="s">
        <v>2017</v>
      </c>
      <c r="E1924">
        <v>916.19</v>
      </c>
      <c r="F1924">
        <v>94367.57</v>
      </c>
      <c r="G1924">
        <v>0</v>
      </c>
      <c r="H1924">
        <v>0</v>
      </c>
      <c r="I1924" s="2" t="s">
        <v>2025</v>
      </c>
      <c r="J1924" s="2" t="s">
        <v>2029</v>
      </c>
      <c r="K1924" s="2" t="s">
        <v>3098</v>
      </c>
      <c r="L1924" s="2" t="s">
        <v>4031</v>
      </c>
      <c r="M1924">
        <v>-916.19</v>
      </c>
      <c r="N1924" s="2" t="s">
        <v>4044</v>
      </c>
      <c r="O1924">
        <v>103</v>
      </c>
      <c r="P1924">
        <v>-94367.57</v>
      </c>
      <c r="Q1924" t="b">
        <v>0</v>
      </c>
      <c r="R1924" t="b">
        <v>0</v>
      </c>
      <c r="S1924" t="b">
        <v>0</v>
      </c>
      <c r="T1924" t="b">
        <v>0</v>
      </c>
      <c r="U1924">
        <v>0</v>
      </c>
      <c r="V1924" t="s">
        <v>4073</v>
      </c>
    </row>
    <row r="1925" spans="1:22" hidden="1" x14ac:dyDescent="0.45">
      <c r="A1925" s="2" t="s">
        <v>418</v>
      </c>
      <c r="B1925" s="11">
        <v>45390</v>
      </c>
      <c r="C1925" s="2" t="s">
        <v>2013</v>
      </c>
      <c r="D1925" s="2" t="s">
        <v>2018</v>
      </c>
      <c r="E1925">
        <v>1074.77</v>
      </c>
      <c r="F1925">
        <v>94579.76</v>
      </c>
      <c r="G1925">
        <v>0</v>
      </c>
      <c r="H1925">
        <v>0</v>
      </c>
      <c r="I1925" s="2" t="s">
        <v>2021</v>
      </c>
      <c r="J1925" s="2" t="s">
        <v>2029</v>
      </c>
      <c r="K1925" s="2" t="s">
        <v>2439</v>
      </c>
      <c r="L1925" s="2" t="s">
        <v>4032</v>
      </c>
      <c r="M1925">
        <v>-1074.77</v>
      </c>
      <c r="N1925" s="2" t="s">
        <v>4044</v>
      </c>
      <c r="O1925">
        <v>88</v>
      </c>
      <c r="P1925">
        <v>-94579.76</v>
      </c>
      <c r="Q1925" t="b">
        <v>0</v>
      </c>
      <c r="R1925" t="b">
        <v>0</v>
      </c>
      <c r="S1925" t="b">
        <v>0</v>
      </c>
      <c r="T1925" t="b">
        <v>0</v>
      </c>
      <c r="U1925">
        <v>0</v>
      </c>
      <c r="V1925" t="s">
        <v>4073</v>
      </c>
    </row>
    <row r="1926" spans="1:22" hidden="1" x14ac:dyDescent="0.45">
      <c r="A1926" s="2" t="s">
        <v>1533</v>
      </c>
      <c r="B1926" s="11">
        <v>45177</v>
      </c>
      <c r="C1926" s="2" t="s">
        <v>2011</v>
      </c>
      <c r="D1926" s="2" t="s">
        <v>2016</v>
      </c>
      <c r="E1926">
        <v>1158.8</v>
      </c>
      <c r="F1926">
        <v>95021.599999999991</v>
      </c>
      <c r="G1926">
        <v>0</v>
      </c>
      <c r="H1926">
        <v>0</v>
      </c>
      <c r="I1926" s="2" t="s">
        <v>2025</v>
      </c>
      <c r="J1926" s="2" t="s">
        <v>2027</v>
      </c>
      <c r="K1926" s="2" t="s">
        <v>3554</v>
      </c>
      <c r="L1926" s="2" t="s">
        <v>4034</v>
      </c>
      <c r="M1926">
        <v>-1158.8</v>
      </c>
      <c r="N1926" s="2" t="s">
        <v>2016</v>
      </c>
      <c r="O1926">
        <v>82</v>
      </c>
      <c r="P1926">
        <v>-95021.599999999991</v>
      </c>
      <c r="Q1926" t="b">
        <v>0</v>
      </c>
      <c r="R1926" t="b">
        <v>0</v>
      </c>
      <c r="S1926" t="b">
        <v>0</v>
      </c>
      <c r="T1926" t="b">
        <v>0</v>
      </c>
      <c r="U1926">
        <v>0</v>
      </c>
      <c r="V1926" t="s">
        <v>4073</v>
      </c>
    </row>
    <row r="1927" spans="1:22" hidden="1" x14ac:dyDescent="0.45">
      <c r="A1927" s="2" t="s">
        <v>1422</v>
      </c>
      <c r="B1927" s="11">
        <v>45022</v>
      </c>
      <c r="C1927" s="2" t="s">
        <v>2014</v>
      </c>
      <c r="D1927" s="2" t="s">
        <v>2019</v>
      </c>
      <c r="E1927">
        <v>0</v>
      </c>
      <c r="F1927">
        <v>0</v>
      </c>
      <c r="G1927">
        <v>1164.68</v>
      </c>
      <c r="H1927">
        <v>95503.760000000009</v>
      </c>
      <c r="I1927" s="2" t="s">
        <v>2020</v>
      </c>
      <c r="J1927" s="2" t="s">
        <v>2029</v>
      </c>
      <c r="K1927" s="2" t="s">
        <v>3443</v>
      </c>
      <c r="L1927" s="2" t="s">
        <v>4034</v>
      </c>
      <c r="M1927">
        <v>1164.68</v>
      </c>
      <c r="N1927" s="2" t="s">
        <v>4042</v>
      </c>
      <c r="O1927">
        <v>82</v>
      </c>
      <c r="P1927">
        <v>95503.760000000009</v>
      </c>
      <c r="Q1927" t="b">
        <v>0</v>
      </c>
      <c r="R1927" t="b">
        <v>0</v>
      </c>
      <c r="S1927" t="b">
        <v>0</v>
      </c>
      <c r="T1927" t="b">
        <v>0</v>
      </c>
      <c r="U1927">
        <v>0</v>
      </c>
      <c r="V1927" t="s">
        <v>4073</v>
      </c>
    </row>
    <row r="1928" spans="1:22" hidden="1" x14ac:dyDescent="0.45">
      <c r="A1928" s="2" t="s">
        <v>740</v>
      </c>
      <c r="B1928" s="11">
        <v>45540</v>
      </c>
      <c r="C1928" s="2" t="s">
        <v>2013</v>
      </c>
      <c r="D1928" s="2" t="s">
        <v>2018</v>
      </c>
      <c r="E1928">
        <v>930.25</v>
      </c>
      <c r="F1928">
        <v>95815.75</v>
      </c>
      <c r="G1928">
        <v>0</v>
      </c>
      <c r="H1928">
        <v>0</v>
      </c>
      <c r="I1928" s="2" t="s">
        <v>2022</v>
      </c>
      <c r="J1928" s="2" t="s">
        <v>2026</v>
      </c>
      <c r="K1928" s="2" t="s">
        <v>2761</v>
      </c>
      <c r="L1928" s="2" t="s">
        <v>4031</v>
      </c>
      <c r="M1928">
        <v>-930.25</v>
      </c>
      <c r="N1928" s="2" t="s">
        <v>4044</v>
      </c>
      <c r="O1928">
        <v>103</v>
      </c>
      <c r="P1928">
        <v>-95815.75</v>
      </c>
      <c r="Q1928" t="b">
        <v>0</v>
      </c>
      <c r="R1928" t="b">
        <v>0</v>
      </c>
      <c r="S1928" t="b">
        <v>0</v>
      </c>
      <c r="T1928" t="b">
        <v>0</v>
      </c>
      <c r="U1928">
        <v>0</v>
      </c>
      <c r="V1928" t="s">
        <v>4073</v>
      </c>
    </row>
    <row r="1929" spans="1:22" hidden="1" x14ac:dyDescent="0.45">
      <c r="A1929" s="2" t="s">
        <v>987</v>
      </c>
      <c r="B1929" s="11">
        <v>45540</v>
      </c>
      <c r="C1929" s="2" t="s">
        <v>2013</v>
      </c>
      <c r="D1929" s="2" t="s">
        <v>2018</v>
      </c>
      <c r="E1929">
        <v>1571.91</v>
      </c>
      <c r="F1929">
        <v>95886.510000000009</v>
      </c>
      <c r="G1929">
        <v>0</v>
      </c>
      <c r="H1929">
        <v>0</v>
      </c>
      <c r="I1929" s="2" t="s">
        <v>2022</v>
      </c>
      <c r="J1929" s="2" t="s">
        <v>2030</v>
      </c>
      <c r="K1929" s="2" t="s">
        <v>3008</v>
      </c>
      <c r="L1929" s="2" t="s">
        <v>4035</v>
      </c>
      <c r="M1929">
        <v>-1571.91</v>
      </c>
      <c r="N1929" s="2" t="s">
        <v>4044</v>
      </c>
      <c r="O1929">
        <v>61</v>
      </c>
      <c r="P1929">
        <v>-95886.510000000009</v>
      </c>
      <c r="Q1929" t="b">
        <v>0</v>
      </c>
      <c r="R1929" t="b">
        <v>0</v>
      </c>
      <c r="S1929" t="b">
        <v>0</v>
      </c>
      <c r="T1929" t="b">
        <v>0</v>
      </c>
      <c r="U1929">
        <v>0</v>
      </c>
      <c r="V1929" t="s">
        <v>4073</v>
      </c>
    </row>
    <row r="1930" spans="1:22" hidden="1" x14ac:dyDescent="0.45">
      <c r="A1930" s="2" t="s">
        <v>439</v>
      </c>
      <c r="B1930" s="11">
        <v>45001</v>
      </c>
      <c r="C1930" s="2" t="s">
        <v>2013</v>
      </c>
      <c r="D1930" s="2" t="s">
        <v>2018</v>
      </c>
      <c r="E1930">
        <v>931.96</v>
      </c>
      <c r="F1930">
        <v>95991.88</v>
      </c>
      <c r="G1930">
        <v>0</v>
      </c>
      <c r="H1930">
        <v>0</v>
      </c>
      <c r="I1930" s="2" t="s">
        <v>2023</v>
      </c>
      <c r="J1930" s="2" t="s">
        <v>2030</v>
      </c>
      <c r="K1930" s="2" t="s">
        <v>2460</v>
      </c>
      <c r="L1930" s="2" t="s">
        <v>4031</v>
      </c>
      <c r="M1930">
        <v>-931.96</v>
      </c>
      <c r="N1930" s="2" t="s">
        <v>4044</v>
      </c>
      <c r="O1930">
        <v>103</v>
      </c>
      <c r="P1930">
        <v>-95991.88</v>
      </c>
      <c r="Q1930" t="b">
        <v>0</v>
      </c>
      <c r="R1930" t="b">
        <v>0</v>
      </c>
      <c r="S1930" t="b">
        <v>0</v>
      </c>
      <c r="T1930" t="b">
        <v>0</v>
      </c>
      <c r="U1930">
        <v>0</v>
      </c>
      <c r="V1930" t="s">
        <v>4073</v>
      </c>
    </row>
    <row r="1931" spans="1:22" hidden="1" x14ac:dyDescent="0.45">
      <c r="A1931" s="2" t="s">
        <v>873</v>
      </c>
      <c r="B1931" s="11">
        <v>45446</v>
      </c>
      <c r="C1931" s="2" t="s">
        <v>2012</v>
      </c>
      <c r="D1931" s="2" t="s">
        <v>2017</v>
      </c>
      <c r="E1931">
        <v>932.11</v>
      </c>
      <c r="F1931">
        <v>96007.33</v>
      </c>
      <c r="G1931">
        <v>0</v>
      </c>
      <c r="H1931">
        <v>0</v>
      </c>
      <c r="I1931" s="2" t="s">
        <v>2022</v>
      </c>
      <c r="J1931" s="2" t="s">
        <v>2026</v>
      </c>
      <c r="K1931" s="2" t="s">
        <v>2894</v>
      </c>
      <c r="L1931" s="2" t="s">
        <v>4031</v>
      </c>
      <c r="M1931">
        <v>-932.11</v>
      </c>
      <c r="N1931" s="2" t="s">
        <v>4044</v>
      </c>
      <c r="O1931">
        <v>103</v>
      </c>
      <c r="P1931">
        <v>-96007.33</v>
      </c>
      <c r="Q1931" t="b">
        <v>0</v>
      </c>
      <c r="R1931" t="b">
        <v>0</v>
      </c>
      <c r="S1931" t="b">
        <v>0</v>
      </c>
      <c r="T1931" t="b">
        <v>0</v>
      </c>
      <c r="U1931">
        <v>0</v>
      </c>
      <c r="V1931" t="s">
        <v>4073</v>
      </c>
    </row>
    <row r="1932" spans="1:22" hidden="1" x14ac:dyDescent="0.45">
      <c r="A1932" s="2" t="s">
        <v>921</v>
      </c>
      <c r="B1932" s="11">
        <v>45792</v>
      </c>
      <c r="C1932" s="2" t="s">
        <v>2011</v>
      </c>
      <c r="D1932" s="2" t="s">
        <v>2016</v>
      </c>
      <c r="E1932">
        <v>50.19</v>
      </c>
      <c r="F1932">
        <v>4416.7199999999993</v>
      </c>
      <c r="G1932">
        <v>0</v>
      </c>
      <c r="H1932">
        <v>0</v>
      </c>
      <c r="I1932" s="2" t="s">
        <v>2024</v>
      </c>
      <c r="J1932" s="2" t="s">
        <v>2027</v>
      </c>
      <c r="K1932" s="2" t="s">
        <v>2942</v>
      </c>
      <c r="L1932" s="2" t="s">
        <v>4032</v>
      </c>
      <c r="M1932">
        <v>-50.19</v>
      </c>
      <c r="N1932" s="2" t="s">
        <v>2016</v>
      </c>
      <c r="O1932">
        <v>88</v>
      </c>
      <c r="P1932">
        <v>-4416.7199999999993</v>
      </c>
      <c r="Q1932" t="b">
        <v>0</v>
      </c>
      <c r="R1932" t="b">
        <v>0</v>
      </c>
      <c r="S1932" t="b">
        <v>0</v>
      </c>
      <c r="T1932" t="b">
        <v>0</v>
      </c>
      <c r="U1932">
        <v>0</v>
      </c>
      <c r="V1932" t="s">
        <v>4073</v>
      </c>
    </row>
    <row r="1933" spans="1:22" hidden="1" x14ac:dyDescent="0.45">
      <c r="A1933" s="2" t="s">
        <v>1186</v>
      </c>
      <c r="B1933" s="11">
        <v>45155</v>
      </c>
      <c r="C1933" s="2" t="s">
        <v>2013</v>
      </c>
      <c r="D1933" s="2" t="s">
        <v>2018</v>
      </c>
      <c r="E1933">
        <v>1718.84</v>
      </c>
      <c r="F1933">
        <v>96255.039999999994</v>
      </c>
      <c r="G1933">
        <v>0</v>
      </c>
      <c r="H1933">
        <v>0</v>
      </c>
      <c r="I1933" s="2" t="s">
        <v>2022</v>
      </c>
      <c r="J1933" s="2" t="s">
        <v>2029</v>
      </c>
      <c r="K1933" s="2" t="s">
        <v>3207</v>
      </c>
      <c r="L1933" s="2" t="s">
        <v>4033</v>
      </c>
      <c r="M1933">
        <v>-1718.84</v>
      </c>
      <c r="N1933" s="2" t="s">
        <v>4044</v>
      </c>
      <c r="O1933">
        <v>56</v>
      </c>
      <c r="P1933">
        <v>-96255.039999999994</v>
      </c>
      <c r="Q1933" t="b">
        <v>0</v>
      </c>
      <c r="R1933" t="b">
        <v>0</v>
      </c>
      <c r="S1933" t="b">
        <v>0</v>
      </c>
      <c r="T1933" t="b">
        <v>0</v>
      </c>
      <c r="U1933">
        <v>0</v>
      </c>
      <c r="V1933" t="s">
        <v>4073</v>
      </c>
    </row>
    <row r="1934" spans="1:22" hidden="1" x14ac:dyDescent="0.45">
      <c r="A1934" s="2" t="s">
        <v>1874</v>
      </c>
      <c r="B1934" s="11">
        <v>45617</v>
      </c>
      <c r="C1934" s="2" t="s">
        <v>2011</v>
      </c>
      <c r="D1934" s="2" t="s">
        <v>2016</v>
      </c>
      <c r="E1934">
        <v>1723.01</v>
      </c>
      <c r="F1934">
        <v>96488.56</v>
      </c>
      <c r="G1934">
        <v>0</v>
      </c>
      <c r="H1934">
        <v>0</v>
      </c>
      <c r="I1934" s="2" t="s">
        <v>2022</v>
      </c>
      <c r="J1934" s="2" t="s">
        <v>2030</v>
      </c>
      <c r="K1934" s="2" t="s">
        <v>3895</v>
      </c>
      <c r="L1934" s="2" t="s">
        <v>4033</v>
      </c>
      <c r="M1934">
        <v>-1723.01</v>
      </c>
      <c r="N1934" s="2" t="s">
        <v>2016</v>
      </c>
      <c r="O1934">
        <v>56</v>
      </c>
      <c r="P1934">
        <v>-96488.56</v>
      </c>
      <c r="Q1934" t="b">
        <v>0</v>
      </c>
      <c r="R1934" t="b">
        <v>0</v>
      </c>
      <c r="S1934" t="b">
        <v>0</v>
      </c>
      <c r="T1934" t="b">
        <v>0</v>
      </c>
      <c r="U1934">
        <v>0</v>
      </c>
      <c r="V1934" t="s">
        <v>4073</v>
      </c>
    </row>
    <row r="1935" spans="1:22" hidden="1" x14ac:dyDescent="0.45">
      <c r="A1935" s="2" t="s">
        <v>1549</v>
      </c>
      <c r="B1935" s="11">
        <v>45785</v>
      </c>
      <c r="C1935" s="2" t="s">
        <v>2013</v>
      </c>
      <c r="D1935" s="2" t="s">
        <v>2018</v>
      </c>
      <c r="E1935">
        <v>1582.13</v>
      </c>
      <c r="F1935">
        <v>96509.930000000008</v>
      </c>
      <c r="G1935">
        <v>0</v>
      </c>
      <c r="H1935">
        <v>0</v>
      </c>
      <c r="I1935" s="2" t="s">
        <v>2022</v>
      </c>
      <c r="J1935" s="2" t="s">
        <v>2029</v>
      </c>
      <c r="K1935" s="2" t="s">
        <v>3570</v>
      </c>
      <c r="L1935" s="2" t="s">
        <v>4035</v>
      </c>
      <c r="M1935">
        <v>-1582.13</v>
      </c>
      <c r="N1935" s="2" t="s">
        <v>4044</v>
      </c>
      <c r="O1935">
        <v>61</v>
      </c>
      <c r="P1935">
        <v>-96509.930000000008</v>
      </c>
      <c r="Q1935" t="b">
        <v>0</v>
      </c>
      <c r="R1935" t="b">
        <v>0</v>
      </c>
      <c r="S1935" t="b">
        <v>0</v>
      </c>
      <c r="T1935" t="b">
        <v>0</v>
      </c>
      <c r="U1935">
        <v>0</v>
      </c>
      <c r="V1935" t="s">
        <v>4073</v>
      </c>
    </row>
    <row r="1936" spans="1:22" hidden="1" x14ac:dyDescent="0.45">
      <c r="A1936" s="2" t="s">
        <v>1416</v>
      </c>
      <c r="B1936" s="11">
        <v>45784</v>
      </c>
      <c r="C1936" s="2" t="s">
        <v>2011</v>
      </c>
      <c r="D1936" s="2" t="s">
        <v>2016</v>
      </c>
      <c r="E1936">
        <v>1097.98</v>
      </c>
      <c r="F1936">
        <v>96622.24</v>
      </c>
      <c r="G1936">
        <v>0</v>
      </c>
      <c r="H1936">
        <v>0</v>
      </c>
      <c r="I1936" s="2" t="s">
        <v>2025</v>
      </c>
      <c r="J1936" s="2" t="s">
        <v>2030</v>
      </c>
      <c r="K1936" s="2" t="s">
        <v>3437</v>
      </c>
      <c r="L1936" s="2" t="s">
        <v>4032</v>
      </c>
      <c r="M1936">
        <v>-1097.98</v>
      </c>
      <c r="N1936" s="2" t="s">
        <v>2016</v>
      </c>
      <c r="O1936">
        <v>88</v>
      </c>
      <c r="P1936">
        <v>-96622.24</v>
      </c>
      <c r="Q1936" t="b">
        <v>0</v>
      </c>
      <c r="R1936" t="b">
        <v>0</v>
      </c>
      <c r="S1936" t="b">
        <v>0</v>
      </c>
      <c r="T1936" t="b">
        <v>0</v>
      </c>
      <c r="U1936">
        <v>0</v>
      </c>
      <c r="V1936" t="s">
        <v>4073</v>
      </c>
    </row>
    <row r="1937" spans="1:22" hidden="1" x14ac:dyDescent="0.45">
      <c r="A1937" s="2" t="s">
        <v>1747</v>
      </c>
      <c r="B1937" s="11">
        <v>45055</v>
      </c>
      <c r="C1937" s="2" t="s">
        <v>2012</v>
      </c>
      <c r="D1937" s="2" t="s">
        <v>2017</v>
      </c>
      <c r="E1937">
        <v>1136.96</v>
      </c>
      <c r="F1937">
        <v>93230.720000000001</v>
      </c>
      <c r="G1937">
        <v>0</v>
      </c>
      <c r="H1937">
        <v>0</v>
      </c>
      <c r="I1937" s="2" t="s">
        <v>2025</v>
      </c>
      <c r="J1937" s="2" t="s">
        <v>2029</v>
      </c>
      <c r="K1937" s="2" t="s">
        <v>3768</v>
      </c>
      <c r="L1937" s="2" t="s">
        <v>4034</v>
      </c>
      <c r="M1937">
        <v>-1136.96</v>
      </c>
      <c r="N1937" s="2" t="s">
        <v>4044</v>
      </c>
      <c r="O1937">
        <v>82</v>
      </c>
      <c r="P1937">
        <v>-93230.720000000001</v>
      </c>
      <c r="Q1937" t="b">
        <v>0</v>
      </c>
      <c r="R1937" t="b">
        <v>0</v>
      </c>
      <c r="S1937" t="b">
        <v>0</v>
      </c>
      <c r="T1937" t="b">
        <v>0</v>
      </c>
      <c r="U1937">
        <v>0</v>
      </c>
      <c r="V1937" t="s">
        <v>4073</v>
      </c>
    </row>
    <row r="1938" spans="1:22" hidden="1" x14ac:dyDescent="0.45">
      <c r="A1938" s="2" t="s">
        <v>356</v>
      </c>
      <c r="B1938" s="11">
        <v>45173</v>
      </c>
      <c r="C1938" s="2" t="s">
        <v>2013</v>
      </c>
      <c r="D1938" s="2" t="s">
        <v>2018</v>
      </c>
      <c r="E1938">
        <v>938.21</v>
      </c>
      <c r="F1938">
        <v>96635.63</v>
      </c>
      <c r="G1938">
        <v>0</v>
      </c>
      <c r="H1938">
        <v>0</v>
      </c>
      <c r="I1938" s="2" t="s">
        <v>2021</v>
      </c>
      <c r="J1938" s="2" t="s">
        <v>2030</v>
      </c>
      <c r="K1938" s="2" t="s">
        <v>2377</v>
      </c>
      <c r="L1938" s="2" t="s">
        <v>4031</v>
      </c>
      <c r="M1938">
        <v>-938.21</v>
      </c>
      <c r="N1938" s="2" t="s">
        <v>4044</v>
      </c>
      <c r="O1938">
        <v>103</v>
      </c>
      <c r="P1938">
        <v>-96635.63</v>
      </c>
      <c r="Q1938" t="b">
        <v>0</v>
      </c>
      <c r="R1938" t="b">
        <v>0</v>
      </c>
      <c r="S1938" t="b">
        <v>0</v>
      </c>
      <c r="T1938" t="b">
        <v>0</v>
      </c>
      <c r="U1938">
        <v>0</v>
      </c>
      <c r="V1938" t="s">
        <v>4073</v>
      </c>
    </row>
    <row r="1939" spans="1:22" hidden="1" x14ac:dyDescent="0.45">
      <c r="A1939" s="2" t="s">
        <v>1238</v>
      </c>
      <c r="B1939" s="11">
        <v>45489</v>
      </c>
      <c r="C1939" s="2" t="s">
        <v>2014</v>
      </c>
      <c r="D1939" s="2" t="s">
        <v>2019</v>
      </c>
      <c r="E1939">
        <v>0</v>
      </c>
      <c r="F1939">
        <v>0</v>
      </c>
      <c r="G1939">
        <v>1524.63</v>
      </c>
      <c r="H1939">
        <v>93002.430000000008</v>
      </c>
      <c r="I1939" s="2" t="s">
        <v>2025</v>
      </c>
      <c r="J1939" s="2" t="s">
        <v>2029</v>
      </c>
      <c r="K1939" s="2" t="s">
        <v>3259</v>
      </c>
      <c r="L1939" s="2" t="s">
        <v>4035</v>
      </c>
      <c r="M1939">
        <v>1524.63</v>
      </c>
      <c r="N1939" s="2" t="s">
        <v>4042</v>
      </c>
      <c r="O1939">
        <v>61</v>
      </c>
      <c r="P1939">
        <v>93002.430000000008</v>
      </c>
      <c r="Q1939" t="b">
        <v>0</v>
      </c>
      <c r="R1939" t="b">
        <v>0</v>
      </c>
      <c r="S1939" t="b">
        <v>0</v>
      </c>
      <c r="T1939" t="b">
        <v>0</v>
      </c>
      <c r="U1939">
        <v>0</v>
      </c>
      <c r="V1939" t="s">
        <v>4073</v>
      </c>
    </row>
    <row r="1940" spans="1:22" hidden="1" x14ac:dyDescent="0.45">
      <c r="A1940" s="2" t="s">
        <v>607</v>
      </c>
      <c r="B1940" s="11">
        <v>44988</v>
      </c>
      <c r="C1940" s="2" t="s">
        <v>2012</v>
      </c>
      <c r="D1940" s="2" t="s">
        <v>2017</v>
      </c>
      <c r="E1940">
        <v>1657.7</v>
      </c>
      <c r="F1940">
        <v>92831.2</v>
      </c>
      <c r="G1940">
        <v>0</v>
      </c>
      <c r="H1940">
        <v>0</v>
      </c>
      <c r="I1940" s="2" t="s">
        <v>2020</v>
      </c>
      <c r="J1940" s="2" t="s">
        <v>2027</v>
      </c>
      <c r="K1940" s="2" t="s">
        <v>2628</v>
      </c>
      <c r="L1940" s="2" t="s">
        <v>4033</v>
      </c>
      <c r="M1940">
        <v>-1657.7</v>
      </c>
      <c r="N1940" s="2" t="s">
        <v>4044</v>
      </c>
      <c r="O1940">
        <v>56</v>
      </c>
      <c r="P1940">
        <v>-92831.2</v>
      </c>
      <c r="Q1940" t="b">
        <v>0</v>
      </c>
      <c r="R1940" t="b">
        <v>0</v>
      </c>
      <c r="S1940" t="b">
        <v>0</v>
      </c>
      <c r="T1940" t="b">
        <v>0</v>
      </c>
      <c r="U1940">
        <v>0</v>
      </c>
      <c r="V1940" t="s">
        <v>4073</v>
      </c>
    </row>
    <row r="1941" spans="1:22" hidden="1" x14ac:dyDescent="0.45">
      <c r="A1941" s="2" t="s">
        <v>1143</v>
      </c>
      <c r="B1941" s="11">
        <v>45490</v>
      </c>
      <c r="C1941" s="2" t="s">
        <v>2014</v>
      </c>
      <c r="D1941" s="2" t="s">
        <v>2019</v>
      </c>
      <c r="E1941">
        <v>0</v>
      </c>
      <c r="F1941">
        <v>0</v>
      </c>
      <c r="G1941">
        <v>1093.95</v>
      </c>
      <c r="H1941">
        <v>89703.900000000009</v>
      </c>
      <c r="I1941" s="2" t="s">
        <v>2024</v>
      </c>
      <c r="J1941" s="2" t="s">
        <v>2030</v>
      </c>
      <c r="K1941" s="2" t="s">
        <v>3164</v>
      </c>
      <c r="L1941" s="2" t="s">
        <v>4034</v>
      </c>
      <c r="M1941">
        <v>1093.95</v>
      </c>
      <c r="N1941" s="2" t="s">
        <v>4042</v>
      </c>
      <c r="O1941">
        <v>82</v>
      </c>
      <c r="P1941">
        <v>89703.900000000009</v>
      </c>
      <c r="Q1941" t="b">
        <v>0</v>
      </c>
      <c r="R1941" t="b">
        <v>0</v>
      </c>
      <c r="S1941" t="b">
        <v>0</v>
      </c>
      <c r="T1941" t="b">
        <v>0</v>
      </c>
      <c r="U1941">
        <v>0</v>
      </c>
      <c r="V1941" t="s">
        <v>4073</v>
      </c>
    </row>
    <row r="1942" spans="1:22" hidden="1" x14ac:dyDescent="0.45">
      <c r="A1942" s="2" t="s">
        <v>1851</v>
      </c>
      <c r="B1942" s="11">
        <v>44993</v>
      </c>
      <c r="C1942" s="2" t="s">
        <v>2010</v>
      </c>
      <c r="D1942" s="2" t="s">
        <v>2015</v>
      </c>
      <c r="E1942">
        <v>0</v>
      </c>
      <c r="F1942">
        <v>0</v>
      </c>
      <c r="G1942">
        <v>1094.51</v>
      </c>
      <c r="H1942">
        <v>89749.819999999992</v>
      </c>
      <c r="I1942" s="2" t="s">
        <v>2021</v>
      </c>
      <c r="J1942" s="2" t="s">
        <v>2028</v>
      </c>
      <c r="K1942" s="2" t="s">
        <v>3872</v>
      </c>
      <c r="L1942" s="2" t="s">
        <v>4034</v>
      </c>
      <c r="M1942">
        <v>1094.51</v>
      </c>
      <c r="N1942" s="2" t="s">
        <v>4042</v>
      </c>
      <c r="O1942">
        <v>82</v>
      </c>
      <c r="P1942">
        <v>89749.819999999992</v>
      </c>
      <c r="Q1942" t="b">
        <v>0</v>
      </c>
      <c r="R1942" t="b">
        <v>0</v>
      </c>
      <c r="S1942" t="b">
        <v>0</v>
      </c>
      <c r="T1942" t="b">
        <v>0</v>
      </c>
      <c r="U1942">
        <v>0</v>
      </c>
      <c r="V1942" t="s">
        <v>4073</v>
      </c>
    </row>
    <row r="1943" spans="1:22" hidden="1" x14ac:dyDescent="0.45">
      <c r="A1943" s="2" t="s">
        <v>1354</v>
      </c>
      <c r="B1943" s="11">
        <v>45495</v>
      </c>
      <c r="C1943" s="2" t="s">
        <v>2014</v>
      </c>
      <c r="D1943" s="2" t="s">
        <v>2019</v>
      </c>
      <c r="E1943">
        <v>0</v>
      </c>
      <c r="F1943">
        <v>0</v>
      </c>
      <c r="G1943">
        <v>872.03</v>
      </c>
      <c r="H1943">
        <v>89819.09</v>
      </c>
      <c r="I1943" s="2" t="s">
        <v>2025</v>
      </c>
      <c r="J1943" s="2" t="s">
        <v>2028</v>
      </c>
      <c r="K1943" s="2" t="s">
        <v>3375</v>
      </c>
      <c r="L1943" s="2" t="s">
        <v>4031</v>
      </c>
      <c r="M1943">
        <v>872.03</v>
      </c>
      <c r="N1943" s="2" t="s">
        <v>4042</v>
      </c>
      <c r="O1943">
        <v>103</v>
      </c>
      <c r="P1943">
        <v>89819.09</v>
      </c>
      <c r="Q1943" t="b">
        <v>0</v>
      </c>
      <c r="R1943" t="b">
        <v>0</v>
      </c>
      <c r="S1943" t="b">
        <v>0</v>
      </c>
      <c r="T1943" t="b">
        <v>0</v>
      </c>
      <c r="U1943">
        <v>0</v>
      </c>
      <c r="V1943" t="s">
        <v>4073</v>
      </c>
    </row>
    <row r="1944" spans="1:22" hidden="1" x14ac:dyDescent="0.45">
      <c r="A1944" s="2" t="s">
        <v>1678</v>
      </c>
      <c r="B1944" s="11">
        <v>45026</v>
      </c>
      <c r="C1944" s="2" t="s">
        <v>2013</v>
      </c>
      <c r="D1944" s="2" t="s">
        <v>2018</v>
      </c>
      <c r="E1944">
        <v>1472.53</v>
      </c>
      <c r="F1944">
        <v>89824.33</v>
      </c>
      <c r="G1944">
        <v>0</v>
      </c>
      <c r="H1944">
        <v>0</v>
      </c>
      <c r="I1944" s="2" t="s">
        <v>2021</v>
      </c>
      <c r="J1944" s="2" t="s">
        <v>2029</v>
      </c>
      <c r="K1944" s="2" t="s">
        <v>3699</v>
      </c>
      <c r="L1944" s="2" t="s">
        <v>4035</v>
      </c>
      <c r="M1944">
        <v>-1472.53</v>
      </c>
      <c r="N1944" s="2" t="s">
        <v>4044</v>
      </c>
      <c r="O1944">
        <v>61</v>
      </c>
      <c r="P1944">
        <v>-89824.33</v>
      </c>
      <c r="Q1944" t="b">
        <v>0</v>
      </c>
      <c r="R1944" t="b">
        <v>0</v>
      </c>
      <c r="S1944" t="b">
        <v>0</v>
      </c>
      <c r="T1944" t="b">
        <v>0</v>
      </c>
      <c r="U1944">
        <v>0</v>
      </c>
      <c r="V1944" t="s">
        <v>4073</v>
      </c>
    </row>
    <row r="1945" spans="1:22" hidden="1" x14ac:dyDescent="0.45">
      <c r="A1945" s="2" t="s">
        <v>1321</v>
      </c>
      <c r="B1945" s="11">
        <v>44943</v>
      </c>
      <c r="C1945" s="2" t="s">
        <v>2012</v>
      </c>
      <c r="D1945" s="2" t="s">
        <v>2017</v>
      </c>
      <c r="E1945">
        <v>874.3</v>
      </c>
      <c r="F1945">
        <v>90052.9</v>
      </c>
      <c r="G1945">
        <v>0</v>
      </c>
      <c r="H1945">
        <v>0</v>
      </c>
      <c r="I1945" s="2" t="s">
        <v>2020</v>
      </c>
      <c r="J1945" s="2" t="s">
        <v>2027</v>
      </c>
      <c r="K1945" s="2" t="s">
        <v>3342</v>
      </c>
      <c r="L1945" s="2" t="s">
        <v>4031</v>
      </c>
      <c r="M1945">
        <v>-874.3</v>
      </c>
      <c r="N1945" s="2" t="s">
        <v>4044</v>
      </c>
      <c r="O1945">
        <v>103</v>
      </c>
      <c r="P1945">
        <v>-90052.9</v>
      </c>
      <c r="Q1945" t="b">
        <v>0</v>
      </c>
      <c r="R1945" t="b">
        <v>0</v>
      </c>
      <c r="S1945" t="b">
        <v>0</v>
      </c>
      <c r="T1945" t="b">
        <v>0</v>
      </c>
      <c r="U1945">
        <v>0</v>
      </c>
      <c r="V1945" t="s">
        <v>4073</v>
      </c>
    </row>
    <row r="1946" spans="1:22" hidden="1" x14ac:dyDescent="0.45">
      <c r="A1946" s="2" t="s">
        <v>226</v>
      </c>
      <c r="B1946" s="11">
        <v>45418</v>
      </c>
      <c r="C1946" s="2" t="s">
        <v>2013</v>
      </c>
      <c r="D1946" s="2" t="s">
        <v>2018</v>
      </c>
      <c r="E1946">
        <v>1612.68</v>
      </c>
      <c r="F1946">
        <v>90310.080000000002</v>
      </c>
      <c r="G1946">
        <v>0</v>
      </c>
      <c r="H1946">
        <v>0</v>
      </c>
      <c r="I1946" s="2" t="s">
        <v>2020</v>
      </c>
      <c r="J1946" s="2" t="s">
        <v>2026</v>
      </c>
      <c r="K1946" s="2" t="s">
        <v>2247</v>
      </c>
      <c r="L1946" s="2" t="s">
        <v>4033</v>
      </c>
      <c r="M1946">
        <v>-1612.68</v>
      </c>
      <c r="N1946" s="2" t="s">
        <v>4044</v>
      </c>
      <c r="O1946">
        <v>56</v>
      </c>
      <c r="P1946">
        <v>-90310.080000000002</v>
      </c>
      <c r="Q1946" t="b">
        <v>0</v>
      </c>
      <c r="R1946" t="b">
        <v>0</v>
      </c>
      <c r="S1946" t="b">
        <v>0</v>
      </c>
      <c r="T1946" t="b">
        <v>0</v>
      </c>
      <c r="U1946">
        <v>0</v>
      </c>
      <c r="V1946" t="s">
        <v>4073</v>
      </c>
    </row>
    <row r="1947" spans="1:22" hidden="1" x14ac:dyDescent="0.45">
      <c r="A1947" s="2" t="s">
        <v>1049</v>
      </c>
      <c r="B1947" s="11">
        <v>45093</v>
      </c>
      <c r="C1947" s="2" t="s">
        <v>2012</v>
      </c>
      <c r="D1947" s="2" t="s">
        <v>2017</v>
      </c>
      <c r="E1947">
        <v>1030.76</v>
      </c>
      <c r="F1947">
        <v>90706.880000000005</v>
      </c>
      <c r="G1947">
        <v>0</v>
      </c>
      <c r="H1947">
        <v>0</v>
      </c>
      <c r="I1947" s="2" t="s">
        <v>2022</v>
      </c>
      <c r="J1947" s="2" t="s">
        <v>2026</v>
      </c>
      <c r="K1947" s="2" t="s">
        <v>3070</v>
      </c>
      <c r="L1947" s="2" t="s">
        <v>4032</v>
      </c>
      <c r="M1947">
        <v>-1030.76</v>
      </c>
      <c r="N1947" s="2" t="s">
        <v>4044</v>
      </c>
      <c r="O1947">
        <v>88</v>
      </c>
      <c r="P1947">
        <v>-90706.880000000005</v>
      </c>
      <c r="Q1947" t="b">
        <v>0</v>
      </c>
      <c r="R1947" t="b">
        <v>0</v>
      </c>
      <c r="S1947" t="b">
        <v>0</v>
      </c>
      <c r="T1947" t="b">
        <v>0</v>
      </c>
      <c r="U1947">
        <v>0</v>
      </c>
      <c r="V1947" t="s">
        <v>4073</v>
      </c>
    </row>
    <row r="1948" spans="1:22" hidden="1" x14ac:dyDescent="0.45">
      <c r="A1948" s="2" t="s">
        <v>1655</v>
      </c>
      <c r="B1948" s="11">
        <v>45069</v>
      </c>
      <c r="C1948" s="2" t="s">
        <v>2013</v>
      </c>
      <c r="D1948" s="2" t="s">
        <v>2018</v>
      </c>
      <c r="E1948">
        <v>1106.24</v>
      </c>
      <c r="F1948">
        <v>90711.680000000008</v>
      </c>
      <c r="G1948">
        <v>0</v>
      </c>
      <c r="H1948">
        <v>0</v>
      </c>
      <c r="I1948" s="2" t="s">
        <v>2024</v>
      </c>
      <c r="J1948" s="2" t="s">
        <v>2030</v>
      </c>
      <c r="K1948" s="2" t="s">
        <v>3676</v>
      </c>
      <c r="L1948" s="2" t="s">
        <v>4034</v>
      </c>
      <c r="M1948">
        <v>-1106.24</v>
      </c>
      <c r="N1948" s="2" t="s">
        <v>4044</v>
      </c>
      <c r="O1948">
        <v>82</v>
      </c>
      <c r="P1948">
        <v>-90711.680000000008</v>
      </c>
      <c r="Q1948" t="b">
        <v>0</v>
      </c>
      <c r="R1948" t="b">
        <v>0</v>
      </c>
      <c r="S1948" t="b">
        <v>0</v>
      </c>
      <c r="T1948" t="b">
        <v>0</v>
      </c>
      <c r="U1948">
        <v>0</v>
      </c>
      <c r="V1948" t="s">
        <v>4073</v>
      </c>
    </row>
    <row r="1949" spans="1:22" hidden="1" x14ac:dyDescent="0.45">
      <c r="A1949" s="2" t="s">
        <v>1045</v>
      </c>
      <c r="B1949" s="11">
        <v>45117</v>
      </c>
      <c r="C1949" s="2" t="s">
        <v>2012</v>
      </c>
      <c r="D1949" s="2" t="s">
        <v>2017</v>
      </c>
      <c r="E1949">
        <v>880.83</v>
      </c>
      <c r="F1949">
        <v>90725.49</v>
      </c>
      <c r="G1949">
        <v>0</v>
      </c>
      <c r="H1949">
        <v>0</v>
      </c>
      <c r="I1949" s="2" t="s">
        <v>2023</v>
      </c>
      <c r="J1949" s="2" t="s">
        <v>2026</v>
      </c>
      <c r="K1949" s="2" t="s">
        <v>3066</v>
      </c>
      <c r="L1949" s="2" t="s">
        <v>4031</v>
      </c>
      <c r="M1949">
        <v>-880.83</v>
      </c>
      <c r="N1949" s="2" t="s">
        <v>4044</v>
      </c>
      <c r="O1949">
        <v>103</v>
      </c>
      <c r="P1949">
        <v>-90725.49</v>
      </c>
      <c r="Q1949" t="b">
        <v>0</v>
      </c>
      <c r="R1949" t="b">
        <v>0</v>
      </c>
      <c r="S1949" t="b">
        <v>0</v>
      </c>
      <c r="T1949" t="b">
        <v>0</v>
      </c>
      <c r="U1949">
        <v>0</v>
      </c>
      <c r="V1949" t="s">
        <v>4073</v>
      </c>
    </row>
    <row r="1950" spans="1:22" hidden="1" x14ac:dyDescent="0.45">
      <c r="A1950" s="2" t="s">
        <v>395</v>
      </c>
      <c r="B1950" s="11">
        <v>45792</v>
      </c>
      <c r="C1950" s="2" t="s">
        <v>2013</v>
      </c>
      <c r="D1950" s="2" t="s">
        <v>2018</v>
      </c>
      <c r="E1950">
        <v>1490.61</v>
      </c>
      <c r="F1950">
        <v>90927.209999999992</v>
      </c>
      <c r="G1950">
        <v>0</v>
      </c>
      <c r="H1950">
        <v>0</v>
      </c>
      <c r="I1950" s="2" t="s">
        <v>2025</v>
      </c>
      <c r="J1950" s="2" t="s">
        <v>2026</v>
      </c>
      <c r="K1950" s="2" t="s">
        <v>2416</v>
      </c>
      <c r="L1950" s="2" t="s">
        <v>4035</v>
      </c>
      <c r="M1950">
        <v>-1490.61</v>
      </c>
      <c r="N1950" s="2" t="s">
        <v>4044</v>
      </c>
      <c r="O1950">
        <v>61</v>
      </c>
      <c r="P1950">
        <v>-90927.209999999992</v>
      </c>
      <c r="Q1950" t="b">
        <v>0</v>
      </c>
      <c r="R1950" t="b">
        <v>0</v>
      </c>
      <c r="S1950" t="b">
        <v>0</v>
      </c>
      <c r="T1950" t="b">
        <v>0</v>
      </c>
      <c r="U1950">
        <v>0</v>
      </c>
      <c r="V1950" t="s">
        <v>4073</v>
      </c>
    </row>
    <row r="1951" spans="1:22" hidden="1" x14ac:dyDescent="0.45">
      <c r="A1951" s="2" t="s">
        <v>385</v>
      </c>
      <c r="B1951" s="11">
        <v>45363</v>
      </c>
      <c r="C1951" s="2" t="s">
        <v>2011</v>
      </c>
      <c r="D1951" s="2" t="s">
        <v>2016</v>
      </c>
      <c r="E1951">
        <v>1037.05</v>
      </c>
      <c r="F1951">
        <v>91260.4</v>
      </c>
      <c r="G1951">
        <v>0</v>
      </c>
      <c r="H1951">
        <v>0</v>
      </c>
      <c r="I1951" s="2" t="s">
        <v>2020</v>
      </c>
      <c r="J1951" s="2" t="s">
        <v>2026</v>
      </c>
      <c r="K1951" s="2" t="s">
        <v>2406</v>
      </c>
      <c r="L1951" s="2" t="s">
        <v>4032</v>
      </c>
      <c r="M1951">
        <v>-1037.05</v>
      </c>
      <c r="N1951" s="2" t="s">
        <v>2016</v>
      </c>
      <c r="O1951">
        <v>88</v>
      </c>
      <c r="P1951">
        <v>-91260.4</v>
      </c>
      <c r="Q1951" t="b">
        <v>0</v>
      </c>
      <c r="R1951" t="b">
        <v>0</v>
      </c>
      <c r="S1951" t="b">
        <v>0</v>
      </c>
      <c r="T1951" t="b">
        <v>0</v>
      </c>
      <c r="U1951">
        <v>0</v>
      </c>
      <c r="V1951" t="s">
        <v>4073</v>
      </c>
    </row>
    <row r="1952" spans="1:22" hidden="1" x14ac:dyDescent="0.45">
      <c r="A1952" s="2" t="s">
        <v>713</v>
      </c>
      <c r="B1952" s="11">
        <v>45264</v>
      </c>
      <c r="C1952" s="2" t="s">
        <v>2012</v>
      </c>
      <c r="D1952" s="2" t="s">
        <v>2017</v>
      </c>
      <c r="E1952">
        <v>1038.71</v>
      </c>
      <c r="F1952">
        <v>91406.48000000001</v>
      </c>
      <c r="G1952">
        <v>0</v>
      </c>
      <c r="H1952">
        <v>0</v>
      </c>
      <c r="I1952" s="2" t="s">
        <v>2022</v>
      </c>
      <c r="J1952" s="2" t="s">
        <v>2027</v>
      </c>
      <c r="K1952" s="2" t="s">
        <v>2734</v>
      </c>
      <c r="L1952" s="2" t="s">
        <v>4032</v>
      </c>
      <c r="M1952">
        <v>-1038.71</v>
      </c>
      <c r="N1952" s="2" t="s">
        <v>4044</v>
      </c>
      <c r="O1952">
        <v>88</v>
      </c>
      <c r="P1952">
        <v>-91406.48000000001</v>
      </c>
      <c r="Q1952" t="b">
        <v>0</v>
      </c>
      <c r="R1952" t="b">
        <v>0</v>
      </c>
      <c r="S1952" t="b">
        <v>0</v>
      </c>
      <c r="T1952" t="b">
        <v>0</v>
      </c>
      <c r="U1952">
        <v>0</v>
      </c>
      <c r="V1952" t="s">
        <v>4073</v>
      </c>
    </row>
    <row r="1953" spans="1:22" hidden="1" x14ac:dyDescent="0.45">
      <c r="A1953" s="2" t="s">
        <v>1357</v>
      </c>
      <c r="B1953" s="11">
        <v>45698</v>
      </c>
      <c r="C1953" s="2" t="s">
        <v>2014</v>
      </c>
      <c r="D1953" s="2" t="s">
        <v>2019</v>
      </c>
      <c r="E1953">
        <v>0</v>
      </c>
      <c r="F1953">
        <v>0</v>
      </c>
      <c r="G1953">
        <v>1039.28</v>
      </c>
      <c r="H1953">
        <v>91456.639999999999</v>
      </c>
      <c r="I1953" s="2" t="s">
        <v>2025</v>
      </c>
      <c r="J1953" s="2" t="s">
        <v>2030</v>
      </c>
      <c r="K1953" s="2" t="s">
        <v>3378</v>
      </c>
      <c r="L1953" s="2" t="s">
        <v>4032</v>
      </c>
      <c r="M1953">
        <v>1039.28</v>
      </c>
      <c r="N1953" s="2" t="s">
        <v>4042</v>
      </c>
      <c r="O1953">
        <v>88</v>
      </c>
      <c r="P1953">
        <v>91456.639999999999</v>
      </c>
      <c r="Q1953" t="b">
        <v>0</v>
      </c>
      <c r="R1953" t="b">
        <v>0</v>
      </c>
      <c r="S1953" t="b">
        <v>0</v>
      </c>
      <c r="T1953" t="b">
        <v>0</v>
      </c>
      <c r="U1953">
        <v>0</v>
      </c>
      <c r="V1953" t="s">
        <v>4073</v>
      </c>
    </row>
    <row r="1954" spans="1:22" hidden="1" x14ac:dyDescent="0.45">
      <c r="A1954" s="2" t="s">
        <v>734</v>
      </c>
      <c r="B1954" s="11">
        <v>45821</v>
      </c>
      <c r="C1954" s="2" t="s">
        <v>2013</v>
      </c>
      <c r="D1954" s="2" t="s">
        <v>2018</v>
      </c>
      <c r="E1954">
        <v>889.16</v>
      </c>
      <c r="F1954">
        <v>91583.48</v>
      </c>
      <c r="G1954">
        <v>0</v>
      </c>
      <c r="H1954">
        <v>0</v>
      </c>
      <c r="I1954" s="2" t="s">
        <v>2021</v>
      </c>
      <c r="J1954" s="2" t="s">
        <v>2030</v>
      </c>
      <c r="K1954" s="2" t="s">
        <v>2755</v>
      </c>
      <c r="L1954" s="2" t="s">
        <v>4031</v>
      </c>
      <c r="M1954">
        <v>-889.16</v>
      </c>
      <c r="N1954" s="2" t="s">
        <v>4044</v>
      </c>
      <c r="O1954">
        <v>103</v>
      </c>
      <c r="P1954">
        <v>-91583.48</v>
      </c>
      <c r="Q1954" t="b">
        <v>0</v>
      </c>
      <c r="R1954" t="b">
        <v>0</v>
      </c>
      <c r="S1954" t="b">
        <v>0</v>
      </c>
      <c r="T1954" t="b">
        <v>0</v>
      </c>
      <c r="U1954">
        <v>0</v>
      </c>
      <c r="V1954" t="s">
        <v>4073</v>
      </c>
    </row>
    <row r="1955" spans="1:22" hidden="1" x14ac:dyDescent="0.45">
      <c r="A1955" s="2" t="s">
        <v>312</v>
      </c>
      <c r="B1955" s="11">
        <v>45567</v>
      </c>
      <c r="C1955" s="2" t="s">
        <v>2011</v>
      </c>
      <c r="D1955" s="2" t="s">
        <v>2016</v>
      </c>
      <c r="E1955">
        <v>1637.96</v>
      </c>
      <c r="F1955">
        <v>91725.760000000009</v>
      </c>
      <c r="G1955">
        <v>0</v>
      </c>
      <c r="H1955">
        <v>0</v>
      </c>
      <c r="I1955" s="2" t="s">
        <v>2021</v>
      </c>
      <c r="J1955" s="2" t="s">
        <v>2026</v>
      </c>
      <c r="K1955" s="2" t="s">
        <v>2333</v>
      </c>
      <c r="L1955" s="2" t="s">
        <v>4033</v>
      </c>
      <c r="M1955">
        <v>-1637.96</v>
      </c>
      <c r="N1955" s="2" t="s">
        <v>2016</v>
      </c>
      <c r="O1955">
        <v>56</v>
      </c>
      <c r="P1955">
        <v>-91725.760000000009</v>
      </c>
      <c r="Q1955" t="b">
        <v>0</v>
      </c>
      <c r="R1955" t="b">
        <v>0</v>
      </c>
      <c r="S1955" t="b">
        <v>0</v>
      </c>
      <c r="T1955" t="b">
        <v>0</v>
      </c>
      <c r="U1955">
        <v>0</v>
      </c>
      <c r="V1955" t="s">
        <v>4073</v>
      </c>
    </row>
    <row r="1956" spans="1:22" hidden="1" x14ac:dyDescent="0.45">
      <c r="A1956" s="2" t="s">
        <v>1320</v>
      </c>
      <c r="B1956" s="11">
        <v>44935</v>
      </c>
      <c r="C1956" s="2" t="s">
        <v>2013</v>
      </c>
      <c r="D1956" s="2" t="s">
        <v>2018</v>
      </c>
      <c r="E1956">
        <v>1506.71</v>
      </c>
      <c r="F1956">
        <v>91909.31</v>
      </c>
      <c r="G1956">
        <v>0</v>
      </c>
      <c r="H1956">
        <v>0</v>
      </c>
      <c r="I1956" s="2" t="s">
        <v>2022</v>
      </c>
      <c r="J1956" s="2" t="s">
        <v>2027</v>
      </c>
      <c r="K1956" s="2" t="s">
        <v>3341</v>
      </c>
      <c r="L1956" s="2" t="s">
        <v>4035</v>
      </c>
      <c r="M1956">
        <v>-1506.71</v>
      </c>
      <c r="N1956" s="2" t="s">
        <v>4044</v>
      </c>
      <c r="O1956">
        <v>61</v>
      </c>
      <c r="P1956">
        <v>-91909.31</v>
      </c>
      <c r="Q1956" t="b">
        <v>0</v>
      </c>
      <c r="R1956" t="b">
        <v>0</v>
      </c>
      <c r="S1956" t="b">
        <v>0</v>
      </c>
      <c r="T1956" t="b">
        <v>0</v>
      </c>
      <c r="U1956">
        <v>0</v>
      </c>
      <c r="V1956" t="s">
        <v>4073</v>
      </c>
    </row>
    <row r="1957" spans="1:22" hidden="1" x14ac:dyDescent="0.45">
      <c r="A1957" s="2" t="s">
        <v>930</v>
      </c>
      <c r="B1957" s="11">
        <v>45604</v>
      </c>
      <c r="C1957" s="2" t="s">
        <v>2011</v>
      </c>
      <c r="D1957" s="2" t="s">
        <v>2016</v>
      </c>
      <c r="E1957">
        <v>1657.23</v>
      </c>
      <c r="F1957">
        <v>92804.88</v>
      </c>
      <c r="G1957">
        <v>0</v>
      </c>
      <c r="H1957">
        <v>0</v>
      </c>
      <c r="I1957" s="2" t="s">
        <v>2020</v>
      </c>
      <c r="J1957" s="2" t="s">
        <v>2029</v>
      </c>
      <c r="K1957" s="2" t="s">
        <v>2951</v>
      </c>
      <c r="L1957" s="2" t="s">
        <v>4033</v>
      </c>
      <c r="M1957">
        <v>-1657.23</v>
      </c>
      <c r="N1957" s="2" t="s">
        <v>2016</v>
      </c>
      <c r="O1957">
        <v>56</v>
      </c>
      <c r="P1957">
        <v>-92804.88</v>
      </c>
      <c r="Q1957" t="b">
        <v>0</v>
      </c>
      <c r="R1957" t="b">
        <v>0</v>
      </c>
      <c r="S1957" t="b">
        <v>0</v>
      </c>
      <c r="T1957" t="b">
        <v>0</v>
      </c>
      <c r="U1957">
        <v>0</v>
      </c>
      <c r="V1957" t="s">
        <v>4073</v>
      </c>
    </row>
    <row r="1958" spans="1:22" hidden="1" x14ac:dyDescent="0.45">
      <c r="A1958" s="2" t="s">
        <v>1709</v>
      </c>
      <c r="B1958" s="11">
        <v>45331</v>
      </c>
      <c r="C1958" s="2" t="s">
        <v>2014</v>
      </c>
      <c r="D1958" s="2" t="s">
        <v>2019</v>
      </c>
      <c r="E1958">
        <v>0</v>
      </c>
      <c r="F1958">
        <v>0</v>
      </c>
      <c r="G1958">
        <v>902.75</v>
      </c>
      <c r="H1958">
        <v>92983.25</v>
      </c>
      <c r="I1958" s="2" t="s">
        <v>2024</v>
      </c>
      <c r="J1958" s="2" t="s">
        <v>2027</v>
      </c>
      <c r="K1958" s="2" t="s">
        <v>3730</v>
      </c>
      <c r="L1958" s="2" t="s">
        <v>4031</v>
      </c>
      <c r="M1958">
        <v>902.75</v>
      </c>
      <c r="N1958" s="2" t="s">
        <v>4042</v>
      </c>
      <c r="O1958">
        <v>103</v>
      </c>
      <c r="P1958">
        <v>92983.25</v>
      </c>
      <c r="Q1958" t="b">
        <v>0</v>
      </c>
      <c r="R1958" t="b">
        <v>0</v>
      </c>
      <c r="S1958" t="b">
        <v>0</v>
      </c>
      <c r="T1958" t="b">
        <v>0</v>
      </c>
      <c r="U1958">
        <v>0</v>
      </c>
      <c r="V1958" t="s">
        <v>4073</v>
      </c>
    </row>
    <row r="1959" spans="1:22" hidden="1" x14ac:dyDescent="0.45">
      <c r="A1959" s="2" t="s">
        <v>883</v>
      </c>
      <c r="B1959" s="11">
        <v>45771</v>
      </c>
      <c r="C1959" s="2" t="s">
        <v>2012</v>
      </c>
      <c r="D1959" s="2" t="s">
        <v>2017</v>
      </c>
      <c r="E1959">
        <v>1587.23</v>
      </c>
      <c r="F1959">
        <v>88884.88</v>
      </c>
      <c r="G1959">
        <v>0</v>
      </c>
      <c r="H1959">
        <v>0</v>
      </c>
      <c r="I1959" s="2" t="s">
        <v>2024</v>
      </c>
      <c r="J1959" s="2" t="s">
        <v>2029</v>
      </c>
      <c r="K1959" s="2" t="s">
        <v>2904</v>
      </c>
      <c r="L1959" s="2" t="s">
        <v>4033</v>
      </c>
      <c r="M1959">
        <v>-1587.23</v>
      </c>
      <c r="N1959" s="2" t="s">
        <v>4044</v>
      </c>
      <c r="O1959">
        <v>56</v>
      </c>
      <c r="P1959">
        <v>-88884.88</v>
      </c>
      <c r="Q1959" t="b">
        <v>0</v>
      </c>
      <c r="R1959" t="b">
        <v>0</v>
      </c>
      <c r="S1959" t="b">
        <v>0</v>
      </c>
      <c r="T1959" t="b">
        <v>0</v>
      </c>
      <c r="U1959">
        <v>0</v>
      </c>
      <c r="V1959" t="s">
        <v>4073</v>
      </c>
    </row>
    <row r="1960" spans="1:22" hidden="1" x14ac:dyDescent="0.45">
      <c r="A1960" s="2" t="s">
        <v>1769</v>
      </c>
      <c r="B1960" s="11">
        <v>45022</v>
      </c>
      <c r="C1960" s="2" t="s">
        <v>2013</v>
      </c>
      <c r="D1960" s="2" t="s">
        <v>2018</v>
      </c>
      <c r="E1960">
        <v>1726.93</v>
      </c>
      <c r="F1960">
        <v>96708.08</v>
      </c>
      <c r="G1960">
        <v>0</v>
      </c>
      <c r="H1960">
        <v>0</v>
      </c>
      <c r="I1960" s="2" t="s">
        <v>2024</v>
      </c>
      <c r="J1960" s="2" t="s">
        <v>2028</v>
      </c>
      <c r="K1960" s="2" t="s">
        <v>3790</v>
      </c>
      <c r="L1960" s="2" t="s">
        <v>4033</v>
      </c>
      <c r="M1960">
        <v>-1726.93</v>
      </c>
      <c r="N1960" s="2" t="s">
        <v>4044</v>
      </c>
      <c r="O1960">
        <v>56</v>
      </c>
      <c r="P1960">
        <v>-96708.08</v>
      </c>
      <c r="Q1960" t="b">
        <v>0</v>
      </c>
      <c r="R1960" t="b">
        <v>0</v>
      </c>
      <c r="S1960" t="b">
        <v>0</v>
      </c>
      <c r="T1960" t="b">
        <v>0</v>
      </c>
      <c r="U1960">
        <v>0</v>
      </c>
      <c r="V1960" t="s">
        <v>4073</v>
      </c>
    </row>
    <row r="1961" spans="1:22" hidden="1" x14ac:dyDescent="0.45">
      <c r="A1961" s="2" t="s">
        <v>1057</v>
      </c>
      <c r="B1961" s="11">
        <v>45478</v>
      </c>
      <c r="C1961" s="2" t="s">
        <v>2013</v>
      </c>
      <c r="D1961" s="2" t="s">
        <v>2018</v>
      </c>
      <c r="E1961">
        <v>1586.3</v>
      </c>
      <c r="F1961">
        <v>96764.3</v>
      </c>
      <c r="G1961">
        <v>0</v>
      </c>
      <c r="H1961">
        <v>0</v>
      </c>
      <c r="I1961" s="2" t="s">
        <v>2025</v>
      </c>
      <c r="J1961" s="2" t="s">
        <v>2028</v>
      </c>
      <c r="K1961" s="2" t="s">
        <v>3078</v>
      </c>
      <c r="L1961" s="2" t="s">
        <v>4035</v>
      </c>
      <c r="M1961">
        <v>-1586.3</v>
      </c>
      <c r="N1961" s="2" t="s">
        <v>4044</v>
      </c>
      <c r="O1961">
        <v>61</v>
      </c>
      <c r="P1961">
        <v>-96764.3</v>
      </c>
      <c r="Q1961" t="b">
        <v>0</v>
      </c>
      <c r="R1961" t="b">
        <v>0</v>
      </c>
      <c r="S1961" t="b">
        <v>0</v>
      </c>
      <c r="T1961" t="b">
        <v>0</v>
      </c>
      <c r="U1961">
        <v>0</v>
      </c>
      <c r="V1961" t="s">
        <v>4073</v>
      </c>
    </row>
    <row r="1962" spans="1:22" hidden="1" x14ac:dyDescent="0.45">
      <c r="A1962" s="2" t="s">
        <v>104</v>
      </c>
      <c r="B1962" s="11">
        <v>45215</v>
      </c>
      <c r="C1962" s="2" t="s">
        <v>2011</v>
      </c>
      <c r="D1962" s="2" t="s">
        <v>2016</v>
      </c>
      <c r="E1962">
        <v>1782.21</v>
      </c>
      <c r="F1962">
        <v>99803.760000000009</v>
      </c>
      <c r="G1962">
        <v>0</v>
      </c>
      <c r="H1962">
        <v>0</v>
      </c>
      <c r="I1962" s="2" t="s">
        <v>2025</v>
      </c>
      <c r="J1962" s="2" t="s">
        <v>2026</v>
      </c>
      <c r="K1962" s="2" t="s">
        <v>2125</v>
      </c>
      <c r="L1962" s="2" t="s">
        <v>4033</v>
      </c>
      <c r="M1962">
        <v>-1782.21</v>
      </c>
      <c r="N1962" s="2" t="s">
        <v>2016</v>
      </c>
      <c r="O1962">
        <v>56</v>
      </c>
      <c r="P1962">
        <v>-99803.760000000009</v>
      </c>
      <c r="Q1962" t="b">
        <v>0</v>
      </c>
      <c r="R1962" t="b">
        <v>0</v>
      </c>
      <c r="S1962" t="b">
        <v>0</v>
      </c>
      <c r="T1962" t="b">
        <v>0</v>
      </c>
      <c r="U1962">
        <v>0</v>
      </c>
      <c r="V1962" t="s">
        <v>4073</v>
      </c>
    </row>
    <row r="1963" spans="1:22" hidden="1" x14ac:dyDescent="0.45">
      <c r="A1963" s="2" t="s">
        <v>469</v>
      </c>
      <c r="B1963" s="11">
        <v>45182</v>
      </c>
      <c r="C1963" s="2" t="s">
        <v>2011</v>
      </c>
      <c r="D1963" s="2" t="s">
        <v>2016</v>
      </c>
      <c r="E1963">
        <v>1218.8900000000001</v>
      </c>
      <c r="F1963">
        <v>99948.98000000001</v>
      </c>
      <c r="G1963">
        <v>0</v>
      </c>
      <c r="H1963">
        <v>0</v>
      </c>
      <c r="I1963" s="2" t="s">
        <v>2023</v>
      </c>
      <c r="J1963" s="2" t="s">
        <v>2029</v>
      </c>
      <c r="K1963" s="2" t="s">
        <v>2490</v>
      </c>
      <c r="L1963" s="2" t="s">
        <v>4034</v>
      </c>
      <c r="M1963">
        <v>-1218.8900000000001</v>
      </c>
      <c r="N1963" s="2" t="s">
        <v>2016</v>
      </c>
      <c r="O1963">
        <v>82</v>
      </c>
      <c r="P1963">
        <v>-99948.98000000001</v>
      </c>
      <c r="Q1963" t="b">
        <v>0</v>
      </c>
      <c r="R1963" t="b">
        <v>0</v>
      </c>
      <c r="S1963" t="b">
        <v>0</v>
      </c>
      <c r="T1963" t="b">
        <v>0</v>
      </c>
      <c r="U1963">
        <v>0</v>
      </c>
      <c r="V1963" t="s">
        <v>4073</v>
      </c>
    </row>
    <row r="1964" spans="1:22" hidden="1" x14ac:dyDescent="0.45">
      <c r="A1964" s="2" t="s">
        <v>1923</v>
      </c>
      <c r="B1964" s="11">
        <v>45035</v>
      </c>
      <c r="C1964" s="2" t="s">
        <v>2010</v>
      </c>
      <c r="D1964" s="2" t="s">
        <v>2015</v>
      </c>
      <c r="E1964">
        <v>0</v>
      </c>
      <c r="F1964">
        <v>0</v>
      </c>
      <c r="G1964">
        <v>1137.06</v>
      </c>
      <c r="H1964">
        <v>100061.28</v>
      </c>
      <c r="I1964" s="2" t="s">
        <v>2022</v>
      </c>
      <c r="J1964" s="2" t="s">
        <v>2029</v>
      </c>
      <c r="K1964" s="2" t="s">
        <v>3944</v>
      </c>
      <c r="L1964" s="2" t="s">
        <v>4032</v>
      </c>
      <c r="M1964">
        <v>1137.06</v>
      </c>
      <c r="N1964" s="2" t="s">
        <v>4042</v>
      </c>
      <c r="O1964">
        <v>88</v>
      </c>
      <c r="P1964">
        <v>100061.28</v>
      </c>
      <c r="Q1964" t="b">
        <v>0</v>
      </c>
      <c r="R1964" t="b">
        <v>0</v>
      </c>
      <c r="S1964" t="b">
        <v>0</v>
      </c>
      <c r="T1964" t="b">
        <v>0</v>
      </c>
      <c r="U1964">
        <v>0</v>
      </c>
      <c r="V1964" t="s">
        <v>4073</v>
      </c>
    </row>
    <row r="1965" spans="1:22" hidden="1" x14ac:dyDescent="0.45">
      <c r="A1965" s="2" t="s">
        <v>760</v>
      </c>
      <c r="B1965" s="11">
        <v>45268</v>
      </c>
      <c r="C1965" s="2" t="s">
        <v>2010</v>
      </c>
      <c r="D1965" s="2" t="s">
        <v>2015</v>
      </c>
      <c r="E1965">
        <v>0</v>
      </c>
      <c r="F1965">
        <v>0</v>
      </c>
      <c r="G1965">
        <v>1222.08</v>
      </c>
      <c r="H1965">
        <v>100210.56</v>
      </c>
      <c r="I1965" s="2" t="s">
        <v>2021</v>
      </c>
      <c r="J1965" s="2" t="s">
        <v>2026</v>
      </c>
      <c r="K1965" s="2" t="s">
        <v>2781</v>
      </c>
      <c r="L1965" s="2" t="s">
        <v>4034</v>
      </c>
      <c r="M1965">
        <v>1222.08</v>
      </c>
      <c r="N1965" s="2" t="s">
        <v>4042</v>
      </c>
      <c r="O1965">
        <v>82</v>
      </c>
      <c r="P1965">
        <v>100210.56</v>
      </c>
      <c r="Q1965" t="b">
        <v>0</v>
      </c>
      <c r="R1965" t="b">
        <v>0</v>
      </c>
      <c r="S1965" t="b">
        <v>0</v>
      </c>
      <c r="T1965" t="b">
        <v>0</v>
      </c>
      <c r="U1965">
        <v>0</v>
      </c>
      <c r="V1965" t="s">
        <v>4073</v>
      </c>
    </row>
    <row r="1966" spans="1:22" hidden="1" x14ac:dyDescent="0.45">
      <c r="A1966" s="2" t="s">
        <v>776</v>
      </c>
      <c r="B1966" s="11">
        <v>45800</v>
      </c>
      <c r="C1966" s="2" t="s">
        <v>2011</v>
      </c>
      <c r="D1966" s="2" t="s">
        <v>2016</v>
      </c>
      <c r="E1966">
        <v>1789.76</v>
      </c>
      <c r="F1966">
        <v>100226.56</v>
      </c>
      <c r="G1966">
        <v>0</v>
      </c>
      <c r="H1966">
        <v>0</v>
      </c>
      <c r="I1966" s="2" t="s">
        <v>2022</v>
      </c>
      <c r="J1966" s="2" t="s">
        <v>2028</v>
      </c>
      <c r="K1966" s="2" t="s">
        <v>2797</v>
      </c>
      <c r="L1966" s="2" t="s">
        <v>4033</v>
      </c>
      <c r="M1966">
        <v>-1789.76</v>
      </c>
      <c r="N1966" s="2" t="s">
        <v>2016</v>
      </c>
      <c r="O1966">
        <v>56</v>
      </c>
      <c r="P1966">
        <v>-100226.56</v>
      </c>
      <c r="Q1966" t="b">
        <v>0</v>
      </c>
      <c r="R1966" t="b">
        <v>0</v>
      </c>
      <c r="S1966" t="b">
        <v>0</v>
      </c>
      <c r="T1966" t="b">
        <v>0</v>
      </c>
      <c r="U1966">
        <v>0</v>
      </c>
      <c r="V1966" t="s">
        <v>4073</v>
      </c>
    </row>
    <row r="1967" spans="1:22" hidden="1" x14ac:dyDescent="0.45">
      <c r="A1967" s="2" t="s">
        <v>1039</v>
      </c>
      <c r="B1967" s="11">
        <v>45574</v>
      </c>
      <c r="C1967" s="2" t="s">
        <v>2012</v>
      </c>
      <c r="D1967" s="2" t="s">
        <v>2017</v>
      </c>
      <c r="E1967">
        <v>973.12</v>
      </c>
      <c r="F1967">
        <v>100231.36</v>
      </c>
      <c r="G1967">
        <v>0</v>
      </c>
      <c r="H1967">
        <v>0</v>
      </c>
      <c r="I1967" s="2" t="s">
        <v>2022</v>
      </c>
      <c r="J1967" s="2" t="s">
        <v>2030</v>
      </c>
      <c r="K1967" s="2" t="s">
        <v>3060</v>
      </c>
      <c r="L1967" s="2" t="s">
        <v>4031</v>
      </c>
      <c r="M1967">
        <v>-973.12</v>
      </c>
      <c r="N1967" s="2" t="s">
        <v>4044</v>
      </c>
      <c r="O1967">
        <v>103</v>
      </c>
      <c r="P1967">
        <v>-100231.36</v>
      </c>
      <c r="Q1967" t="b">
        <v>0</v>
      </c>
      <c r="R1967" t="b">
        <v>0</v>
      </c>
      <c r="S1967" t="b">
        <v>0</v>
      </c>
      <c r="T1967" t="b">
        <v>0</v>
      </c>
      <c r="U1967">
        <v>0</v>
      </c>
      <c r="V1967" t="s">
        <v>4073</v>
      </c>
    </row>
    <row r="1968" spans="1:22" hidden="1" x14ac:dyDescent="0.45">
      <c r="A1968" s="2" t="s">
        <v>477</v>
      </c>
      <c r="B1968" s="11">
        <v>45583</v>
      </c>
      <c r="C1968" s="2" t="s">
        <v>2011</v>
      </c>
      <c r="D1968" s="2" t="s">
        <v>2016</v>
      </c>
      <c r="E1968">
        <v>973.97</v>
      </c>
      <c r="F1968">
        <v>100318.91</v>
      </c>
      <c r="G1968">
        <v>0</v>
      </c>
      <c r="H1968">
        <v>0</v>
      </c>
      <c r="I1968" s="2" t="s">
        <v>2024</v>
      </c>
      <c r="J1968" s="2" t="s">
        <v>2026</v>
      </c>
      <c r="K1968" s="2" t="s">
        <v>2498</v>
      </c>
      <c r="L1968" s="2" t="s">
        <v>4031</v>
      </c>
      <c r="M1968">
        <v>-973.97</v>
      </c>
      <c r="N1968" s="2" t="s">
        <v>2016</v>
      </c>
      <c r="O1968">
        <v>103</v>
      </c>
      <c r="P1968">
        <v>-100318.91</v>
      </c>
      <c r="Q1968" t="b">
        <v>0</v>
      </c>
      <c r="R1968" t="b">
        <v>0</v>
      </c>
      <c r="S1968" t="b">
        <v>0</v>
      </c>
      <c r="T1968" t="b">
        <v>0</v>
      </c>
      <c r="U1968">
        <v>0</v>
      </c>
      <c r="V1968" t="s">
        <v>4073</v>
      </c>
    </row>
    <row r="1969" spans="1:22" hidden="1" x14ac:dyDescent="0.45">
      <c r="A1969" s="2" t="s">
        <v>541</v>
      </c>
      <c r="B1969" s="11">
        <v>45644</v>
      </c>
      <c r="C1969" s="2" t="s">
        <v>2013</v>
      </c>
      <c r="D1969" s="2" t="s">
        <v>2018</v>
      </c>
      <c r="E1969">
        <v>1793.92</v>
      </c>
      <c r="F1969">
        <v>100459.52</v>
      </c>
      <c r="G1969">
        <v>0</v>
      </c>
      <c r="H1969">
        <v>0</v>
      </c>
      <c r="I1969" s="2" t="s">
        <v>2024</v>
      </c>
      <c r="J1969" s="2" t="s">
        <v>2030</v>
      </c>
      <c r="K1969" s="2" t="s">
        <v>2562</v>
      </c>
      <c r="L1969" s="2" t="s">
        <v>4033</v>
      </c>
      <c r="M1969">
        <v>-1793.92</v>
      </c>
      <c r="N1969" s="2" t="s">
        <v>4044</v>
      </c>
      <c r="O1969">
        <v>56</v>
      </c>
      <c r="P1969">
        <v>-100459.52</v>
      </c>
      <c r="Q1969" t="b">
        <v>0</v>
      </c>
      <c r="R1969" t="b">
        <v>0</v>
      </c>
      <c r="S1969" t="b">
        <v>0</v>
      </c>
      <c r="T1969" t="b">
        <v>0</v>
      </c>
      <c r="U1969">
        <v>0</v>
      </c>
      <c r="V1969" t="s">
        <v>4073</v>
      </c>
    </row>
    <row r="1970" spans="1:22" hidden="1" x14ac:dyDescent="0.45">
      <c r="A1970" s="2" t="s">
        <v>953</v>
      </c>
      <c r="B1970" s="11">
        <v>45761</v>
      </c>
      <c r="C1970" s="2" t="s">
        <v>2011</v>
      </c>
      <c r="D1970" s="2" t="s">
        <v>2016</v>
      </c>
      <c r="E1970">
        <v>1649.25</v>
      </c>
      <c r="F1970">
        <v>100604.25</v>
      </c>
      <c r="G1970">
        <v>0</v>
      </c>
      <c r="H1970">
        <v>0</v>
      </c>
      <c r="I1970" s="2" t="s">
        <v>2024</v>
      </c>
      <c r="J1970" s="2" t="s">
        <v>2029</v>
      </c>
      <c r="K1970" s="2" t="s">
        <v>2974</v>
      </c>
      <c r="L1970" s="2" t="s">
        <v>4035</v>
      </c>
      <c r="M1970">
        <v>-1649.25</v>
      </c>
      <c r="N1970" s="2" t="s">
        <v>2016</v>
      </c>
      <c r="O1970">
        <v>61</v>
      </c>
      <c r="P1970">
        <v>-100604.25</v>
      </c>
      <c r="Q1970" t="b">
        <v>0</v>
      </c>
      <c r="R1970" t="b">
        <v>0</v>
      </c>
      <c r="S1970" t="b">
        <v>0</v>
      </c>
      <c r="T1970" t="b">
        <v>0</v>
      </c>
      <c r="U1970">
        <v>0</v>
      </c>
      <c r="V1970" t="s">
        <v>4073</v>
      </c>
    </row>
    <row r="1971" spans="1:22" hidden="1" x14ac:dyDescent="0.45">
      <c r="A1971" s="2" t="s">
        <v>325</v>
      </c>
      <c r="B1971" s="11">
        <v>45118</v>
      </c>
      <c r="C1971" s="2" t="s">
        <v>2013</v>
      </c>
      <c r="D1971" s="2" t="s">
        <v>2018</v>
      </c>
      <c r="E1971">
        <v>1233.1600000000001</v>
      </c>
      <c r="F1971">
        <v>101119.12000000001</v>
      </c>
      <c r="G1971">
        <v>0</v>
      </c>
      <c r="H1971">
        <v>0</v>
      </c>
      <c r="I1971" s="2" t="s">
        <v>2020</v>
      </c>
      <c r="J1971" s="2" t="s">
        <v>2030</v>
      </c>
      <c r="K1971" s="2" t="s">
        <v>2346</v>
      </c>
      <c r="L1971" s="2" t="s">
        <v>4034</v>
      </c>
      <c r="M1971">
        <v>-1233.1600000000001</v>
      </c>
      <c r="N1971" s="2" t="s">
        <v>4044</v>
      </c>
      <c r="O1971">
        <v>82</v>
      </c>
      <c r="P1971">
        <v>-101119.12000000001</v>
      </c>
      <c r="Q1971" t="b">
        <v>0</v>
      </c>
      <c r="R1971" t="b">
        <v>0</v>
      </c>
      <c r="S1971" t="b">
        <v>0</v>
      </c>
      <c r="T1971" t="b">
        <v>0</v>
      </c>
      <c r="U1971">
        <v>0</v>
      </c>
      <c r="V1971" t="s">
        <v>4073</v>
      </c>
    </row>
    <row r="1972" spans="1:22" hidden="1" x14ac:dyDescent="0.45">
      <c r="A1972" s="2" t="s">
        <v>540</v>
      </c>
      <c r="B1972" s="11">
        <v>45435</v>
      </c>
      <c r="C1972" s="2" t="s">
        <v>2012</v>
      </c>
      <c r="D1972" s="2" t="s">
        <v>2017</v>
      </c>
      <c r="E1972">
        <v>1152.7</v>
      </c>
      <c r="F1972">
        <v>101437.6</v>
      </c>
      <c r="G1972">
        <v>0</v>
      </c>
      <c r="H1972">
        <v>0</v>
      </c>
      <c r="I1972" s="2" t="s">
        <v>2020</v>
      </c>
      <c r="J1972" s="2" t="s">
        <v>2027</v>
      </c>
      <c r="K1972" s="2" t="s">
        <v>2561</v>
      </c>
      <c r="L1972" s="2" t="s">
        <v>4032</v>
      </c>
      <c r="M1972">
        <v>-1152.7</v>
      </c>
      <c r="N1972" s="2" t="s">
        <v>4044</v>
      </c>
      <c r="O1972">
        <v>88</v>
      </c>
      <c r="P1972">
        <v>-101437.6</v>
      </c>
      <c r="Q1972" t="b">
        <v>0</v>
      </c>
      <c r="R1972" t="b">
        <v>0</v>
      </c>
      <c r="S1972" t="b">
        <v>0</v>
      </c>
      <c r="T1972" t="b">
        <v>0</v>
      </c>
      <c r="U1972">
        <v>0</v>
      </c>
      <c r="V1972" t="s">
        <v>4073</v>
      </c>
    </row>
    <row r="1973" spans="1:22" hidden="1" x14ac:dyDescent="0.45">
      <c r="A1973" s="2" t="s">
        <v>1974</v>
      </c>
      <c r="B1973" s="11">
        <v>45755</v>
      </c>
      <c r="C1973" s="2" t="s">
        <v>2011</v>
      </c>
      <c r="D1973" s="2" t="s">
        <v>2016</v>
      </c>
      <c r="E1973">
        <v>1813.3</v>
      </c>
      <c r="F1973">
        <v>101544.8</v>
      </c>
      <c r="G1973">
        <v>0</v>
      </c>
      <c r="H1973">
        <v>0</v>
      </c>
      <c r="I1973" s="2" t="s">
        <v>2025</v>
      </c>
      <c r="J1973" s="2" t="s">
        <v>2028</v>
      </c>
      <c r="K1973" s="2" t="s">
        <v>3995</v>
      </c>
      <c r="L1973" s="2" t="s">
        <v>4033</v>
      </c>
      <c r="M1973">
        <v>-1813.3</v>
      </c>
      <c r="N1973" s="2" t="s">
        <v>2016</v>
      </c>
      <c r="O1973">
        <v>56</v>
      </c>
      <c r="P1973">
        <v>-101544.8</v>
      </c>
      <c r="Q1973" t="b">
        <v>0</v>
      </c>
      <c r="R1973" t="b">
        <v>0</v>
      </c>
      <c r="S1973" t="b">
        <v>0</v>
      </c>
      <c r="T1973" t="b">
        <v>0</v>
      </c>
      <c r="U1973">
        <v>0</v>
      </c>
      <c r="V1973" t="s">
        <v>4073</v>
      </c>
    </row>
    <row r="1974" spans="1:22" hidden="1" x14ac:dyDescent="0.45">
      <c r="A1974" s="2" t="s">
        <v>693</v>
      </c>
      <c r="B1974" s="11">
        <v>45149</v>
      </c>
      <c r="C1974" s="2" t="s">
        <v>2014</v>
      </c>
      <c r="D1974" s="2" t="s">
        <v>2019</v>
      </c>
      <c r="E1974">
        <v>0</v>
      </c>
      <c r="F1974">
        <v>0</v>
      </c>
      <c r="G1974">
        <v>1246.53</v>
      </c>
      <c r="H1974">
        <v>102215.45999999999</v>
      </c>
      <c r="I1974" s="2" t="s">
        <v>2022</v>
      </c>
      <c r="J1974" s="2" t="s">
        <v>2028</v>
      </c>
      <c r="K1974" s="2" t="s">
        <v>2714</v>
      </c>
      <c r="L1974" s="2" t="s">
        <v>4034</v>
      </c>
      <c r="M1974">
        <v>1246.53</v>
      </c>
      <c r="N1974" s="2" t="s">
        <v>4042</v>
      </c>
      <c r="O1974">
        <v>82</v>
      </c>
      <c r="P1974">
        <v>102215.45999999999</v>
      </c>
      <c r="Q1974" t="b">
        <v>0</v>
      </c>
      <c r="R1974" t="b">
        <v>0</v>
      </c>
      <c r="S1974" t="b">
        <v>0</v>
      </c>
      <c r="T1974" t="b">
        <v>0</v>
      </c>
      <c r="U1974">
        <v>0</v>
      </c>
      <c r="V1974" t="s">
        <v>4073</v>
      </c>
    </row>
    <row r="1975" spans="1:22" hidden="1" x14ac:dyDescent="0.45">
      <c r="A1975" s="2" t="s">
        <v>175</v>
      </c>
      <c r="B1975" s="11">
        <v>45447</v>
      </c>
      <c r="C1975" s="2" t="s">
        <v>2010</v>
      </c>
      <c r="D1975" s="2" t="s">
        <v>2015</v>
      </c>
      <c r="E1975">
        <v>0</v>
      </c>
      <c r="F1975">
        <v>0</v>
      </c>
      <c r="G1975">
        <v>1161.94</v>
      </c>
      <c r="H1975">
        <v>102250.72</v>
      </c>
      <c r="I1975" s="2" t="s">
        <v>2024</v>
      </c>
      <c r="J1975" s="2" t="s">
        <v>2027</v>
      </c>
      <c r="K1975" s="2" t="s">
        <v>2196</v>
      </c>
      <c r="L1975" s="2" t="s">
        <v>4032</v>
      </c>
      <c r="M1975">
        <v>1161.94</v>
      </c>
      <c r="N1975" s="2" t="s">
        <v>4042</v>
      </c>
      <c r="O1975">
        <v>88</v>
      </c>
      <c r="P1975">
        <v>102250.72</v>
      </c>
      <c r="Q1975" t="b">
        <v>0</v>
      </c>
      <c r="R1975" t="b">
        <v>0</v>
      </c>
      <c r="S1975" t="b">
        <v>0</v>
      </c>
      <c r="T1975" t="b">
        <v>0</v>
      </c>
      <c r="U1975">
        <v>0</v>
      </c>
      <c r="V1975" t="s">
        <v>4073</v>
      </c>
    </row>
    <row r="1976" spans="1:22" hidden="1" x14ac:dyDescent="0.45">
      <c r="A1976" s="2" t="s">
        <v>123</v>
      </c>
      <c r="B1976" s="11">
        <v>45545</v>
      </c>
      <c r="C1976" s="2" t="s">
        <v>2010</v>
      </c>
      <c r="D1976" s="2" t="s">
        <v>2015</v>
      </c>
      <c r="E1976">
        <v>0</v>
      </c>
      <c r="F1976">
        <v>0</v>
      </c>
      <c r="G1976">
        <v>1826.98</v>
      </c>
      <c r="H1976">
        <v>102310.88</v>
      </c>
      <c r="I1976" s="2" t="s">
        <v>2024</v>
      </c>
      <c r="J1976" s="2" t="s">
        <v>2029</v>
      </c>
      <c r="K1976" s="2" t="s">
        <v>2144</v>
      </c>
      <c r="L1976" s="2" t="s">
        <v>4033</v>
      </c>
      <c r="M1976">
        <v>1826.98</v>
      </c>
      <c r="N1976" s="2" t="s">
        <v>4042</v>
      </c>
      <c r="O1976">
        <v>56</v>
      </c>
      <c r="P1976">
        <v>102310.88</v>
      </c>
      <c r="Q1976" t="b">
        <v>0</v>
      </c>
      <c r="R1976" t="b">
        <v>0</v>
      </c>
      <c r="S1976" t="b">
        <v>0</v>
      </c>
      <c r="T1976" t="b">
        <v>0</v>
      </c>
      <c r="U1976">
        <v>0</v>
      </c>
      <c r="V1976" t="s">
        <v>4073</v>
      </c>
    </row>
    <row r="1977" spans="1:22" hidden="1" x14ac:dyDescent="0.45">
      <c r="A1977" s="2" t="s">
        <v>754</v>
      </c>
      <c r="B1977" s="11">
        <v>45663</v>
      </c>
      <c r="C1977" s="2" t="s">
        <v>2011</v>
      </c>
      <c r="D1977" s="2" t="s">
        <v>2016</v>
      </c>
      <c r="E1977">
        <v>1164.26</v>
      </c>
      <c r="F1977">
        <v>102454.88</v>
      </c>
      <c r="G1977">
        <v>0</v>
      </c>
      <c r="H1977">
        <v>0</v>
      </c>
      <c r="I1977" s="2" t="s">
        <v>2021</v>
      </c>
      <c r="J1977" s="2" t="s">
        <v>2028</v>
      </c>
      <c r="K1977" s="2" t="s">
        <v>2775</v>
      </c>
      <c r="L1977" s="2" t="s">
        <v>4032</v>
      </c>
      <c r="M1977">
        <v>-1164.26</v>
      </c>
      <c r="N1977" s="2" t="s">
        <v>2016</v>
      </c>
      <c r="O1977">
        <v>88</v>
      </c>
      <c r="P1977">
        <v>-102454.88</v>
      </c>
      <c r="Q1977" t="b">
        <v>0</v>
      </c>
      <c r="R1977" t="b">
        <v>0</v>
      </c>
      <c r="S1977" t="b">
        <v>0</v>
      </c>
      <c r="T1977" t="b">
        <v>0</v>
      </c>
      <c r="U1977">
        <v>0</v>
      </c>
      <c r="V1977" t="s">
        <v>4073</v>
      </c>
    </row>
    <row r="1978" spans="1:22" hidden="1" x14ac:dyDescent="0.45">
      <c r="A1978" s="2" t="s">
        <v>1896</v>
      </c>
      <c r="B1978" s="11">
        <v>45201</v>
      </c>
      <c r="C1978" s="2" t="s">
        <v>2012</v>
      </c>
      <c r="D1978" s="2" t="s">
        <v>2017</v>
      </c>
      <c r="E1978">
        <v>1252.73</v>
      </c>
      <c r="F1978">
        <v>102723.86</v>
      </c>
      <c r="G1978">
        <v>0</v>
      </c>
      <c r="H1978">
        <v>0</v>
      </c>
      <c r="I1978" s="2" t="s">
        <v>2024</v>
      </c>
      <c r="J1978" s="2" t="s">
        <v>2029</v>
      </c>
      <c r="K1978" s="2" t="s">
        <v>3917</v>
      </c>
      <c r="L1978" s="2" t="s">
        <v>4034</v>
      </c>
      <c r="M1978">
        <v>-1252.73</v>
      </c>
      <c r="N1978" s="2" t="s">
        <v>4044</v>
      </c>
      <c r="O1978">
        <v>82</v>
      </c>
      <c r="P1978">
        <v>-102723.86</v>
      </c>
      <c r="Q1978" t="b">
        <v>0</v>
      </c>
      <c r="R1978" t="b">
        <v>0</v>
      </c>
      <c r="S1978" t="b">
        <v>0</v>
      </c>
      <c r="T1978" t="b">
        <v>0</v>
      </c>
      <c r="U1978">
        <v>0</v>
      </c>
      <c r="V1978" t="s">
        <v>4073</v>
      </c>
    </row>
    <row r="1979" spans="1:22" hidden="1" x14ac:dyDescent="0.45">
      <c r="A1979" s="2" t="s">
        <v>69</v>
      </c>
      <c r="B1979" s="11">
        <v>45324</v>
      </c>
      <c r="C1979" s="2" t="s">
        <v>2013</v>
      </c>
      <c r="D1979" s="2" t="s">
        <v>2018</v>
      </c>
      <c r="E1979">
        <v>1635.65</v>
      </c>
      <c r="F1979">
        <v>99774.650000000009</v>
      </c>
      <c r="G1979">
        <v>0</v>
      </c>
      <c r="H1979">
        <v>0</v>
      </c>
      <c r="I1979" s="2" t="s">
        <v>2021</v>
      </c>
      <c r="J1979" s="2" t="s">
        <v>2028</v>
      </c>
      <c r="K1979" s="2" t="s">
        <v>2090</v>
      </c>
      <c r="L1979" s="2" t="s">
        <v>4035</v>
      </c>
      <c r="M1979">
        <v>-1635.65</v>
      </c>
      <c r="N1979" s="2" t="s">
        <v>4044</v>
      </c>
      <c r="O1979">
        <v>61</v>
      </c>
      <c r="P1979">
        <v>-99774.650000000009</v>
      </c>
      <c r="Q1979" t="b">
        <v>0</v>
      </c>
      <c r="R1979" t="b">
        <v>0</v>
      </c>
      <c r="S1979" t="b">
        <v>0</v>
      </c>
      <c r="T1979" t="b">
        <v>0</v>
      </c>
      <c r="U1979">
        <v>0</v>
      </c>
      <c r="V1979" t="s">
        <v>4073</v>
      </c>
    </row>
    <row r="1980" spans="1:22" hidden="1" x14ac:dyDescent="0.45">
      <c r="A1980" s="2" t="s">
        <v>1157</v>
      </c>
      <c r="B1980" s="11">
        <v>45800</v>
      </c>
      <c r="C1980" s="2" t="s">
        <v>2012</v>
      </c>
      <c r="D1980" s="2" t="s">
        <v>2017</v>
      </c>
      <c r="E1980">
        <v>1727.08</v>
      </c>
      <c r="F1980">
        <v>96716.479999999996</v>
      </c>
      <c r="G1980">
        <v>0</v>
      </c>
      <c r="H1980">
        <v>0</v>
      </c>
      <c r="I1980" s="2" t="s">
        <v>2022</v>
      </c>
      <c r="J1980" s="2" t="s">
        <v>2027</v>
      </c>
      <c r="K1980" s="2" t="s">
        <v>3178</v>
      </c>
      <c r="L1980" s="2" t="s">
        <v>4033</v>
      </c>
      <c r="M1980">
        <v>-1727.08</v>
      </c>
      <c r="N1980" s="2" t="s">
        <v>4044</v>
      </c>
      <c r="O1980">
        <v>56</v>
      </c>
      <c r="P1980">
        <v>-96716.479999999996</v>
      </c>
      <c r="Q1980" t="b">
        <v>0</v>
      </c>
      <c r="R1980" t="b">
        <v>0</v>
      </c>
      <c r="S1980" t="b">
        <v>0</v>
      </c>
      <c r="T1980" t="b">
        <v>0</v>
      </c>
      <c r="U1980">
        <v>0</v>
      </c>
      <c r="V1980" t="s">
        <v>4073</v>
      </c>
    </row>
    <row r="1981" spans="1:22" hidden="1" x14ac:dyDescent="0.45">
      <c r="A1981" s="2" t="s">
        <v>899</v>
      </c>
      <c r="B1981" s="11">
        <v>45821</v>
      </c>
      <c r="C1981" s="2" t="s">
        <v>2011</v>
      </c>
      <c r="D1981" s="2" t="s">
        <v>2016</v>
      </c>
      <c r="E1981">
        <v>1632.24</v>
      </c>
      <c r="F1981">
        <v>99566.64</v>
      </c>
      <c r="G1981">
        <v>0</v>
      </c>
      <c r="H1981">
        <v>0</v>
      </c>
      <c r="I1981" s="2" t="s">
        <v>2025</v>
      </c>
      <c r="J1981" s="2" t="s">
        <v>2028</v>
      </c>
      <c r="K1981" s="2" t="s">
        <v>2920</v>
      </c>
      <c r="L1981" s="2" t="s">
        <v>4035</v>
      </c>
      <c r="M1981">
        <v>-1632.24</v>
      </c>
      <c r="N1981" s="2" t="s">
        <v>2016</v>
      </c>
      <c r="O1981">
        <v>61</v>
      </c>
      <c r="P1981">
        <v>-99566.64</v>
      </c>
      <c r="Q1981" t="b">
        <v>0</v>
      </c>
      <c r="R1981" t="b">
        <v>0</v>
      </c>
      <c r="S1981" t="b">
        <v>0</v>
      </c>
      <c r="T1981" t="b">
        <v>0</v>
      </c>
      <c r="U1981">
        <v>0</v>
      </c>
      <c r="V1981" t="s">
        <v>4073</v>
      </c>
    </row>
    <row r="1982" spans="1:22" hidden="1" x14ac:dyDescent="0.45">
      <c r="A1982" s="2" t="s">
        <v>859</v>
      </c>
      <c r="B1982" s="11">
        <v>45495</v>
      </c>
      <c r="C1982" s="2" t="s">
        <v>2013</v>
      </c>
      <c r="D1982" s="2" t="s">
        <v>2018</v>
      </c>
      <c r="E1982">
        <v>1629.27</v>
      </c>
      <c r="F1982">
        <v>99385.47</v>
      </c>
      <c r="G1982">
        <v>0</v>
      </c>
      <c r="H1982">
        <v>0</v>
      </c>
      <c r="I1982" s="2" t="s">
        <v>2025</v>
      </c>
      <c r="J1982" s="2" t="s">
        <v>2029</v>
      </c>
      <c r="K1982" s="2" t="s">
        <v>2880</v>
      </c>
      <c r="L1982" s="2" t="s">
        <v>4035</v>
      </c>
      <c r="M1982">
        <v>-1629.27</v>
      </c>
      <c r="N1982" s="2" t="s">
        <v>4044</v>
      </c>
      <c r="O1982">
        <v>61</v>
      </c>
      <c r="P1982">
        <v>-99385.47</v>
      </c>
      <c r="Q1982" t="b">
        <v>0</v>
      </c>
      <c r="R1982" t="b">
        <v>0</v>
      </c>
      <c r="S1982" t="b">
        <v>0</v>
      </c>
      <c r="T1982" t="b">
        <v>0</v>
      </c>
      <c r="U1982">
        <v>0</v>
      </c>
      <c r="V1982" t="s">
        <v>4073</v>
      </c>
    </row>
    <row r="1983" spans="1:22" hidden="1" x14ac:dyDescent="0.45">
      <c r="A1983" s="2" t="s">
        <v>548</v>
      </c>
      <c r="B1983" s="11">
        <v>45190</v>
      </c>
      <c r="C1983" s="2" t="s">
        <v>2013</v>
      </c>
      <c r="D1983" s="2" t="s">
        <v>2018</v>
      </c>
      <c r="E1983">
        <v>1735.98</v>
      </c>
      <c r="F1983">
        <v>97214.88</v>
      </c>
      <c r="G1983">
        <v>0</v>
      </c>
      <c r="H1983">
        <v>0</v>
      </c>
      <c r="I1983" s="2" t="s">
        <v>2020</v>
      </c>
      <c r="J1983" s="2" t="s">
        <v>2026</v>
      </c>
      <c r="K1983" s="2" t="s">
        <v>2569</v>
      </c>
      <c r="L1983" s="2" t="s">
        <v>4033</v>
      </c>
      <c r="M1983">
        <v>-1735.98</v>
      </c>
      <c r="N1983" s="2" t="s">
        <v>4044</v>
      </c>
      <c r="O1983">
        <v>56</v>
      </c>
      <c r="P1983">
        <v>-97214.88</v>
      </c>
      <c r="Q1983" t="b">
        <v>0</v>
      </c>
      <c r="R1983" t="b">
        <v>0</v>
      </c>
      <c r="S1983" t="b">
        <v>0</v>
      </c>
      <c r="T1983" t="b">
        <v>0</v>
      </c>
      <c r="U1983">
        <v>0</v>
      </c>
      <c r="V1983" t="s">
        <v>4073</v>
      </c>
    </row>
    <row r="1984" spans="1:22" hidden="1" x14ac:dyDescent="0.45">
      <c r="A1984" s="2" t="s">
        <v>267</v>
      </c>
      <c r="B1984" s="11">
        <v>45414</v>
      </c>
      <c r="C1984" s="2" t="s">
        <v>2012</v>
      </c>
      <c r="D1984" s="2" t="s">
        <v>2017</v>
      </c>
      <c r="E1984">
        <v>1186.77</v>
      </c>
      <c r="F1984">
        <v>97315.14</v>
      </c>
      <c r="G1984">
        <v>0</v>
      </c>
      <c r="H1984">
        <v>0</v>
      </c>
      <c r="I1984" s="2" t="s">
        <v>2021</v>
      </c>
      <c r="J1984" s="2" t="s">
        <v>2029</v>
      </c>
      <c r="K1984" s="2" t="s">
        <v>2288</v>
      </c>
      <c r="L1984" s="2" t="s">
        <v>4034</v>
      </c>
      <c r="M1984">
        <v>-1186.77</v>
      </c>
      <c r="N1984" s="2" t="s">
        <v>4044</v>
      </c>
      <c r="O1984">
        <v>82</v>
      </c>
      <c r="P1984">
        <v>-97315.14</v>
      </c>
      <c r="Q1984" t="b">
        <v>0</v>
      </c>
      <c r="R1984" t="b">
        <v>0</v>
      </c>
      <c r="S1984" t="b">
        <v>0</v>
      </c>
      <c r="T1984" t="b">
        <v>0</v>
      </c>
      <c r="U1984">
        <v>0</v>
      </c>
      <c r="V1984" t="s">
        <v>4073</v>
      </c>
    </row>
    <row r="1985" spans="1:22" hidden="1" x14ac:dyDescent="0.45">
      <c r="A1985" s="2" t="s">
        <v>194</v>
      </c>
      <c r="B1985" s="11">
        <v>45187</v>
      </c>
      <c r="C1985" s="2" t="s">
        <v>2012</v>
      </c>
      <c r="D1985" s="2" t="s">
        <v>2017</v>
      </c>
      <c r="E1985">
        <v>1740.12</v>
      </c>
      <c r="F1985">
        <v>97446.720000000001</v>
      </c>
      <c r="G1985">
        <v>0</v>
      </c>
      <c r="H1985">
        <v>0</v>
      </c>
      <c r="I1985" s="2" t="s">
        <v>2023</v>
      </c>
      <c r="J1985" s="2" t="s">
        <v>2030</v>
      </c>
      <c r="K1985" s="2" t="s">
        <v>2215</v>
      </c>
      <c r="L1985" s="2" t="s">
        <v>4033</v>
      </c>
      <c r="M1985">
        <v>-1740.12</v>
      </c>
      <c r="N1985" s="2" t="s">
        <v>4044</v>
      </c>
      <c r="O1985">
        <v>56</v>
      </c>
      <c r="P1985">
        <v>-97446.720000000001</v>
      </c>
      <c r="Q1985" t="b">
        <v>0</v>
      </c>
      <c r="R1985" t="b">
        <v>0</v>
      </c>
      <c r="S1985" t="b">
        <v>0</v>
      </c>
      <c r="T1985" t="b">
        <v>0</v>
      </c>
      <c r="U1985">
        <v>0</v>
      </c>
      <c r="V1985" t="s">
        <v>4073</v>
      </c>
    </row>
    <row r="1986" spans="1:22" hidden="1" x14ac:dyDescent="0.45">
      <c r="A1986" s="2" t="s">
        <v>649</v>
      </c>
      <c r="B1986" s="11">
        <v>45589</v>
      </c>
      <c r="C1986" s="2" t="s">
        <v>2011</v>
      </c>
      <c r="D1986" s="2" t="s">
        <v>2016</v>
      </c>
      <c r="E1986">
        <v>1600.99</v>
      </c>
      <c r="F1986">
        <v>97660.39</v>
      </c>
      <c r="G1986">
        <v>0</v>
      </c>
      <c r="H1986">
        <v>0</v>
      </c>
      <c r="I1986" s="2" t="s">
        <v>2024</v>
      </c>
      <c r="J1986" s="2" t="s">
        <v>2030</v>
      </c>
      <c r="K1986" s="2" t="s">
        <v>2670</v>
      </c>
      <c r="L1986" s="2" t="s">
        <v>4035</v>
      </c>
      <c r="M1986">
        <v>-1600.99</v>
      </c>
      <c r="N1986" s="2" t="s">
        <v>2016</v>
      </c>
      <c r="O1986">
        <v>61</v>
      </c>
      <c r="P1986">
        <v>-97660.39</v>
      </c>
      <c r="Q1986" t="b">
        <v>0</v>
      </c>
      <c r="R1986" t="b">
        <v>0</v>
      </c>
      <c r="S1986" t="b">
        <v>0</v>
      </c>
      <c r="T1986" t="b">
        <v>0</v>
      </c>
      <c r="U1986">
        <v>0</v>
      </c>
      <c r="V1986" t="s">
        <v>4073</v>
      </c>
    </row>
    <row r="1987" spans="1:22" hidden="1" x14ac:dyDescent="0.45">
      <c r="A1987" s="2" t="s">
        <v>596</v>
      </c>
      <c r="B1987" s="11">
        <v>45205</v>
      </c>
      <c r="C1987" s="2" t="s">
        <v>2013</v>
      </c>
      <c r="D1987" s="2" t="s">
        <v>2018</v>
      </c>
      <c r="E1987">
        <v>1109.8599999999999</v>
      </c>
      <c r="F1987">
        <v>97667.68</v>
      </c>
      <c r="G1987">
        <v>0</v>
      </c>
      <c r="H1987">
        <v>0</v>
      </c>
      <c r="I1987" s="2" t="s">
        <v>2025</v>
      </c>
      <c r="J1987" s="2" t="s">
        <v>2026</v>
      </c>
      <c r="K1987" s="2" t="s">
        <v>2617</v>
      </c>
      <c r="L1987" s="2" t="s">
        <v>4032</v>
      </c>
      <c r="M1987">
        <v>-1109.8599999999999</v>
      </c>
      <c r="N1987" s="2" t="s">
        <v>4044</v>
      </c>
      <c r="O1987">
        <v>88</v>
      </c>
      <c r="P1987">
        <v>-97667.68</v>
      </c>
      <c r="Q1987" t="b">
        <v>0</v>
      </c>
      <c r="R1987" t="b">
        <v>0</v>
      </c>
      <c r="S1987" t="b">
        <v>0</v>
      </c>
      <c r="T1987" t="b">
        <v>0</v>
      </c>
      <c r="U1987">
        <v>0</v>
      </c>
      <c r="V1987" t="s">
        <v>4073</v>
      </c>
    </row>
    <row r="1988" spans="1:22" hidden="1" x14ac:dyDescent="0.45">
      <c r="A1988" s="2" t="s">
        <v>316</v>
      </c>
      <c r="B1988" s="11">
        <v>45152</v>
      </c>
      <c r="C1988" s="2" t="s">
        <v>2014</v>
      </c>
      <c r="D1988" s="2" t="s">
        <v>2019</v>
      </c>
      <c r="E1988">
        <v>0</v>
      </c>
      <c r="F1988">
        <v>0</v>
      </c>
      <c r="G1988">
        <v>951.38</v>
      </c>
      <c r="H1988">
        <v>97992.14</v>
      </c>
      <c r="I1988" s="2" t="s">
        <v>2020</v>
      </c>
      <c r="J1988" s="2" t="s">
        <v>2026</v>
      </c>
      <c r="K1988" s="2" t="s">
        <v>2337</v>
      </c>
      <c r="L1988" s="2" t="s">
        <v>4031</v>
      </c>
      <c r="M1988">
        <v>951.38</v>
      </c>
      <c r="N1988" s="2" t="s">
        <v>4042</v>
      </c>
      <c r="O1988">
        <v>103</v>
      </c>
      <c r="P1988">
        <v>97992.14</v>
      </c>
      <c r="Q1988" t="b">
        <v>0</v>
      </c>
      <c r="R1988" t="b">
        <v>0</v>
      </c>
      <c r="S1988" t="b">
        <v>0</v>
      </c>
      <c r="T1988" t="b">
        <v>0</v>
      </c>
      <c r="U1988">
        <v>0</v>
      </c>
      <c r="V1988" t="s">
        <v>4073</v>
      </c>
    </row>
    <row r="1989" spans="1:22" hidden="1" x14ac:dyDescent="0.45">
      <c r="A1989" s="2" t="s">
        <v>176</v>
      </c>
      <c r="B1989" s="11">
        <v>45252</v>
      </c>
      <c r="C1989" s="2" t="s">
        <v>2012</v>
      </c>
      <c r="D1989" s="2" t="s">
        <v>2017</v>
      </c>
      <c r="E1989">
        <v>1114.08</v>
      </c>
      <c r="F1989">
        <v>98039.039999999994</v>
      </c>
      <c r="G1989">
        <v>0</v>
      </c>
      <c r="H1989">
        <v>0</v>
      </c>
      <c r="I1989" s="2" t="s">
        <v>2020</v>
      </c>
      <c r="J1989" s="2" t="s">
        <v>2030</v>
      </c>
      <c r="K1989" s="2" t="s">
        <v>2197</v>
      </c>
      <c r="L1989" s="2" t="s">
        <v>4032</v>
      </c>
      <c r="M1989">
        <v>-1114.08</v>
      </c>
      <c r="N1989" s="2" t="s">
        <v>4044</v>
      </c>
      <c r="O1989">
        <v>88</v>
      </c>
      <c r="P1989">
        <v>-98039.039999999994</v>
      </c>
      <c r="Q1989" t="b">
        <v>0</v>
      </c>
      <c r="R1989" t="b">
        <v>0</v>
      </c>
      <c r="S1989" t="b">
        <v>0</v>
      </c>
      <c r="T1989" t="b">
        <v>0</v>
      </c>
      <c r="U1989">
        <v>0</v>
      </c>
      <c r="V1989" t="s">
        <v>4073</v>
      </c>
    </row>
    <row r="1990" spans="1:22" hidden="1" x14ac:dyDescent="0.45">
      <c r="A1990" s="2" t="s">
        <v>409</v>
      </c>
      <c r="B1990" s="11">
        <v>45526</v>
      </c>
      <c r="C1990" s="2" t="s">
        <v>2014</v>
      </c>
      <c r="D1990" s="2" t="s">
        <v>2019</v>
      </c>
      <c r="E1990">
        <v>0</v>
      </c>
      <c r="F1990">
        <v>0</v>
      </c>
      <c r="G1990">
        <v>952.59</v>
      </c>
      <c r="H1990">
        <v>98116.77</v>
      </c>
      <c r="I1990" s="2" t="s">
        <v>2021</v>
      </c>
      <c r="J1990" s="2" t="s">
        <v>2027</v>
      </c>
      <c r="K1990" s="2" t="s">
        <v>2430</v>
      </c>
      <c r="L1990" s="2" t="s">
        <v>4031</v>
      </c>
      <c r="M1990">
        <v>952.59</v>
      </c>
      <c r="N1990" s="2" t="s">
        <v>4042</v>
      </c>
      <c r="O1990">
        <v>103</v>
      </c>
      <c r="P1990">
        <v>98116.77</v>
      </c>
      <c r="Q1990" t="b">
        <v>0</v>
      </c>
      <c r="R1990" t="b">
        <v>0</v>
      </c>
      <c r="S1990" t="b">
        <v>0</v>
      </c>
      <c r="T1990" t="b">
        <v>0</v>
      </c>
      <c r="U1990">
        <v>0</v>
      </c>
      <c r="V1990" t="s">
        <v>4073</v>
      </c>
    </row>
    <row r="1991" spans="1:22" hidden="1" x14ac:dyDescent="0.45">
      <c r="A1991" s="2" t="s">
        <v>864</v>
      </c>
      <c r="B1991" s="11">
        <v>45033</v>
      </c>
      <c r="C1991" s="2" t="s">
        <v>2013</v>
      </c>
      <c r="D1991" s="2" t="s">
        <v>2018</v>
      </c>
      <c r="E1991">
        <v>1753.87</v>
      </c>
      <c r="F1991">
        <v>98216.72</v>
      </c>
      <c r="G1991">
        <v>0</v>
      </c>
      <c r="H1991">
        <v>0</v>
      </c>
      <c r="I1991" s="2" t="s">
        <v>2025</v>
      </c>
      <c r="J1991" s="2" t="s">
        <v>2028</v>
      </c>
      <c r="K1991" s="2" t="s">
        <v>2885</v>
      </c>
      <c r="L1991" s="2" t="s">
        <v>4033</v>
      </c>
      <c r="M1991">
        <v>-1753.87</v>
      </c>
      <c r="N1991" s="2" t="s">
        <v>4044</v>
      </c>
      <c r="O1991">
        <v>56</v>
      </c>
      <c r="P1991">
        <v>-98216.72</v>
      </c>
      <c r="Q1991" t="b">
        <v>0</v>
      </c>
      <c r="R1991" t="b">
        <v>0</v>
      </c>
      <c r="S1991" t="b">
        <v>0</v>
      </c>
      <c r="T1991" t="b">
        <v>0</v>
      </c>
      <c r="U1991">
        <v>0</v>
      </c>
      <c r="V1991" t="s">
        <v>4073</v>
      </c>
    </row>
    <row r="1992" spans="1:22" hidden="1" x14ac:dyDescent="0.45">
      <c r="A1992" s="2" t="s">
        <v>1446</v>
      </c>
      <c r="B1992" s="11">
        <v>44998</v>
      </c>
      <c r="C1992" s="2" t="s">
        <v>2010</v>
      </c>
      <c r="D1992" s="2" t="s">
        <v>2015</v>
      </c>
      <c r="E1992">
        <v>0</v>
      </c>
      <c r="F1992">
        <v>0</v>
      </c>
      <c r="G1992">
        <v>1610.63</v>
      </c>
      <c r="H1992">
        <v>98248.430000000008</v>
      </c>
      <c r="I1992" s="2" t="s">
        <v>2024</v>
      </c>
      <c r="J1992" s="2" t="s">
        <v>2026</v>
      </c>
      <c r="K1992" s="2" t="s">
        <v>3467</v>
      </c>
      <c r="L1992" s="2" t="s">
        <v>4035</v>
      </c>
      <c r="M1992">
        <v>1610.63</v>
      </c>
      <c r="N1992" s="2" t="s">
        <v>4042</v>
      </c>
      <c r="O1992">
        <v>61</v>
      </c>
      <c r="P1992">
        <v>98248.430000000008</v>
      </c>
      <c r="Q1992" t="b">
        <v>0</v>
      </c>
      <c r="R1992" t="b">
        <v>0</v>
      </c>
      <c r="S1992" t="b">
        <v>0</v>
      </c>
      <c r="T1992" t="b">
        <v>0</v>
      </c>
      <c r="U1992">
        <v>0</v>
      </c>
      <c r="V1992" t="s">
        <v>4073</v>
      </c>
    </row>
    <row r="1993" spans="1:22" hidden="1" x14ac:dyDescent="0.45">
      <c r="A1993" s="2" t="s">
        <v>308</v>
      </c>
      <c r="B1993" s="11">
        <v>45555</v>
      </c>
      <c r="C1993" s="2" t="s">
        <v>2012</v>
      </c>
      <c r="D1993" s="2" t="s">
        <v>2017</v>
      </c>
      <c r="E1993">
        <v>1761.1</v>
      </c>
      <c r="F1993">
        <v>98621.599999999991</v>
      </c>
      <c r="G1993">
        <v>0</v>
      </c>
      <c r="H1993">
        <v>0</v>
      </c>
      <c r="I1993" s="2" t="s">
        <v>2023</v>
      </c>
      <c r="J1993" s="2" t="s">
        <v>2028</v>
      </c>
      <c r="K1993" s="2" t="s">
        <v>2329</v>
      </c>
      <c r="L1993" s="2" t="s">
        <v>4033</v>
      </c>
      <c r="M1993">
        <v>-1761.1</v>
      </c>
      <c r="N1993" s="2" t="s">
        <v>4044</v>
      </c>
      <c r="O1993">
        <v>56</v>
      </c>
      <c r="P1993">
        <v>-98621.599999999991</v>
      </c>
      <c r="Q1993" t="b">
        <v>0</v>
      </c>
      <c r="R1993" t="b">
        <v>0</v>
      </c>
      <c r="S1993" t="b">
        <v>0</v>
      </c>
      <c r="T1993" t="b">
        <v>0</v>
      </c>
      <c r="U1993">
        <v>0</v>
      </c>
      <c r="V1993" t="s">
        <v>4073</v>
      </c>
    </row>
    <row r="1994" spans="1:22" hidden="1" x14ac:dyDescent="0.45">
      <c r="A1994" s="2" t="s">
        <v>731</v>
      </c>
      <c r="B1994" s="11">
        <v>44987</v>
      </c>
      <c r="C1994" s="2" t="s">
        <v>2012</v>
      </c>
      <c r="D1994" s="2" t="s">
        <v>2017</v>
      </c>
      <c r="E1994">
        <v>1764.03</v>
      </c>
      <c r="F1994">
        <v>98785.68</v>
      </c>
      <c r="G1994">
        <v>0</v>
      </c>
      <c r="H1994">
        <v>0</v>
      </c>
      <c r="I1994" s="2" t="s">
        <v>2021</v>
      </c>
      <c r="J1994" s="2" t="s">
        <v>2026</v>
      </c>
      <c r="K1994" s="2" t="s">
        <v>2752</v>
      </c>
      <c r="L1994" s="2" t="s">
        <v>4033</v>
      </c>
      <c r="M1994">
        <v>-1764.03</v>
      </c>
      <c r="N1994" s="2" t="s">
        <v>4044</v>
      </c>
      <c r="O1994">
        <v>56</v>
      </c>
      <c r="P1994">
        <v>-98785.68</v>
      </c>
      <c r="Q1994" t="b">
        <v>0</v>
      </c>
      <c r="R1994" t="b">
        <v>0</v>
      </c>
      <c r="S1994" t="b">
        <v>0</v>
      </c>
      <c r="T1994" t="b">
        <v>0</v>
      </c>
      <c r="U1994">
        <v>0</v>
      </c>
      <c r="V1994" t="s">
        <v>4073</v>
      </c>
    </row>
    <row r="1995" spans="1:22" hidden="1" x14ac:dyDescent="0.45">
      <c r="A1995" s="2" t="s">
        <v>651</v>
      </c>
      <c r="B1995" s="11">
        <v>45096</v>
      </c>
      <c r="C1995" s="2" t="s">
        <v>2011</v>
      </c>
      <c r="D1995" s="2" t="s">
        <v>2016</v>
      </c>
      <c r="E1995">
        <v>961.83</v>
      </c>
      <c r="F1995">
        <v>99068.49</v>
      </c>
      <c r="G1995">
        <v>0</v>
      </c>
      <c r="H1995">
        <v>0</v>
      </c>
      <c r="I1995" s="2" t="s">
        <v>2023</v>
      </c>
      <c r="J1995" s="2" t="s">
        <v>2030</v>
      </c>
      <c r="K1995" s="2" t="s">
        <v>2672</v>
      </c>
      <c r="L1995" s="2" t="s">
        <v>4031</v>
      </c>
      <c r="M1995">
        <v>-961.83</v>
      </c>
      <c r="N1995" s="2" t="s">
        <v>2016</v>
      </c>
      <c r="O1995">
        <v>103</v>
      </c>
      <c r="P1995">
        <v>-99068.49</v>
      </c>
      <c r="Q1995" t="b">
        <v>0</v>
      </c>
      <c r="R1995" t="b">
        <v>0</v>
      </c>
      <c r="S1995" t="b">
        <v>0</v>
      </c>
      <c r="T1995" t="b">
        <v>0</v>
      </c>
      <c r="U1995">
        <v>0</v>
      </c>
      <c r="V1995" t="s">
        <v>4073</v>
      </c>
    </row>
    <row r="1996" spans="1:22" hidden="1" x14ac:dyDescent="0.45">
      <c r="A1996" s="2" t="s">
        <v>1248</v>
      </c>
      <c r="B1996" s="11">
        <v>45356</v>
      </c>
      <c r="C1996" s="2" t="s">
        <v>2012</v>
      </c>
      <c r="D1996" s="2" t="s">
        <v>2017</v>
      </c>
      <c r="E1996">
        <v>1626.01</v>
      </c>
      <c r="F1996">
        <v>99186.61</v>
      </c>
      <c r="G1996">
        <v>0</v>
      </c>
      <c r="H1996">
        <v>0</v>
      </c>
      <c r="I1996" s="2" t="s">
        <v>2022</v>
      </c>
      <c r="J1996" s="2" t="s">
        <v>2030</v>
      </c>
      <c r="K1996" s="2" t="s">
        <v>3269</v>
      </c>
      <c r="L1996" s="2" t="s">
        <v>4035</v>
      </c>
      <c r="M1996">
        <v>-1626.01</v>
      </c>
      <c r="N1996" s="2" t="s">
        <v>4044</v>
      </c>
      <c r="O1996">
        <v>61</v>
      </c>
      <c r="P1996">
        <v>-99186.61</v>
      </c>
      <c r="Q1996" t="b">
        <v>0</v>
      </c>
      <c r="R1996" t="b">
        <v>0</v>
      </c>
      <c r="S1996" t="b">
        <v>0</v>
      </c>
      <c r="T1996" t="b">
        <v>0</v>
      </c>
      <c r="U1996">
        <v>0</v>
      </c>
      <c r="V1996" t="s">
        <v>4073</v>
      </c>
    </row>
    <row r="1997" spans="1:22" hidden="1" x14ac:dyDescent="0.45">
      <c r="A1997" s="2" t="s">
        <v>1031</v>
      </c>
      <c r="B1997" s="11">
        <v>45811</v>
      </c>
      <c r="C1997" s="2" t="s">
        <v>2010</v>
      </c>
      <c r="D1997" s="2" t="s">
        <v>2015</v>
      </c>
      <c r="E1997">
        <v>0</v>
      </c>
      <c r="F1997">
        <v>0</v>
      </c>
      <c r="G1997">
        <v>1210.2</v>
      </c>
      <c r="H1997">
        <v>99236.400000000009</v>
      </c>
      <c r="I1997" s="2" t="s">
        <v>2021</v>
      </c>
      <c r="J1997" s="2" t="s">
        <v>2026</v>
      </c>
      <c r="K1997" s="2" t="s">
        <v>3052</v>
      </c>
      <c r="L1997" s="2" t="s">
        <v>4034</v>
      </c>
      <c r="M1997">
        <v>1210.2</v>
      </c>
      <c r="N1997" s="2" t="s">
        <v>4042</v>
      </c>
      <c r="O1997">
        <v>82</v>
      </c>
      <c r="P1997">
        <v>99236.400000000009</v>
      </c>
      <c r="Q1997" t="b">
        <v>0</v>
      </c>
      <c r="R1997" t="b">
        <v>0</v>
      </c>
      <c r="S1997" t="b">
        <v>0</v>
      </c>
      <c r="T1997" t="b">
        <v>0</v>
      </c>
      <c r="U1997">
        <v>0</v>
      </c>
      <c r="V1997" t="s">
        <v>4073</v>
      </c>
    </row>
    <row r="1998" spans="1:22" hidden="1" x14ac:dyDescent="0.45">
      <c r="A1998" s="2" t="s">
        <v>1000</v>
      </c>
      <c r="B1998" s="11">
        <v>45667</v>
      </c>
      <c r="C1998" s="2" t="s">
        <v>2012</v>
      </c>
      <c r="D1998" s="2" t="s">
        <v>2017</v>
      </c>
      <c r="E1998">
        <v>1628.38</v>
      </c>
      <c r="F1998">
        <v>99331.180000000008</v>
      </c>
      <c r="G1998">
        <v>0</v>
      </c>
      <c r="H1998">
        <v>0</v>
      </c>
      <c r="I1998" s="2" t="s">
        <v>2025</v>
      </c>
      <c r="J1998" s="2" t="s">
        <v>2026</v>
      </c>
      <c r="K1998" s="2" t="s">
        <v>3021</v>
      </c>
      <c r="L1998" s="2" t="s">
        <v>4035</v>
      </c>
      <c r="M1998">
        <v>-1628.38</v>
      </c>
      <c r="N1998" s="2" t="s">
        <v>4044</v>
      </c>
      <c r="O1998">
        <v>61</v>
      </c>
      <c r="P1998">
        <v>-99331.180000000008</v>
      </c>
      <c r="Q1998" t="b">
        <v>0</v>
      </c>
      <c r="R1998" t="b">
        <v>0</v>
      </c>
      <c r="S1998" t="b">
        <v>0</v>
      </c>
      <c r="T1998" t="b">
        <v>0</v>
      </c>
      <c r="U1998">
        <v>0</v>
      </c>
      <c r="V1998" t="s">
        <v>4073</v>
      </c>
    </row>
    <row r="1999" spans="1:22" hidden="1" x14ac:dyDescent="0.45">
      <c r="A1999" s="2" t="s">
        <v>379</v>
      </c>
      <c r="B1999" s="11">
        <v>45182</v>
      </c>
      <c r="C1999" s="2" t="s">
        <v>2012</v>
      </c>
      <c r="D1999" s="2" t="s">
        <v>2017</v>
      </c>
      <c r="E1999">
        <v>1129.06</v>
      </c>
      <c r="F1999">
        <v>99357.28</v>
      </c>
      <c r="G1999">
        <v>0</v>
      </c>
      <c r="H1999">
        <v>0</v>
      </c>
      <c r="I1999" s="2" t="s">
        <v>2025</v>
      </c>
      <c r="J1999" s="2" t="s">
        <v>2028</v>
      </c>
      <c r="K1999" s="2" t="s">
        <v>2400</v>
      </c>
      <c r="L1999" s="2" t="s">
        <v>4032</v>
      </c>
      <c r="M1999">
        <v>-1129.06</v>
      </c>
      <c r="N1999" s="2" t="s">
        <v>4044</v>
      </c>
      <c r="O1999">
        <v>88</v>
      </c>
      <c r="P1999">
        <v>-99357.28</v>
      </c>
      <c r="Q1999" t="b">
        <v>0</v>
      </c>
      <c r="R1999" t="b">
        <v>0</v>
      </c>
      <c r="S1999" t="b">
        <v>0</v>
      </c>
      <c r="T1999" t="b">
        <v>0</v>
      </c>
      <c r="U1999">
        <v>0</v>
      </c>
      <c r="V1999" t="s">
        <v>4073</v>
      </c>
    </row>
    <row r="2000" spans="1:22" hidden="1" x14ac:dyDescent="0.45">
      <c r="A2000" s="2" t="s">
        <v>1816</v>
      </c>
      <c r="B2000" s="11">
        <v>45728</v>
      </c>
      <c r="C2000" s="2" t="s">
        <v>2014</v>
      </c>
      <c r="D2000" s="2" t="s">
        <v>2019</v>
      </c>
      <c r="E2000">
        <v>0</v>
      </c>
      <c r="F2000">
        <v>0</v>
      </c>
      <c r="G2000">
        <v>1129.92</v>
      </c>
      <c r="H2000">
        <v>99432.960000000006</v>
      </c>
      <c r="I2000" s="2" t="s">
        <v>2025</v>
      </c>
      <c r="J2000" s="2" t="s">
        <v>2030</v>
      </c>
      <c r="K2000" s="2" t="s">
        <v>3837</v>
      </c>
      <c r="L2000" s="2" t="s">
        <v>4032</v>
      </c>
      <c r="M2000">
        <v>1129.92</v>
      </c>
      <c r="N2000" s="2" t="s">
        <v>4042</v>
      </c>
      <c r="O2000">
        <v>88</v>
      </c>
      <c r="P2000">
        <v>99432.960000000006</v>
      </c>
      <c r="Q2000" t="b">
        <v>0</v>
      </c>
      <c r="R2000" t="b">
        <v>0</v>
      </c>
      <c r="S2000" t="b">
        <v>0</v>
      </c>
      <c r="T2000" t="b">
        <v>0</v>
      </c>
      <c r="U2000">
        <v>0</v>
      </c>
      <c r="V2000" t="s">
        <v>4073</v>
      </c>
    </row>
    <row r="2001" spans="1:22" hidden="1" x14ac:dyDescent="0.45">
      <c r="A2001" s="2" t="s">
        <v>181</v>
      </c>
      <c r="B2001" s="11">
        <v>45384</v>
      </c>
      <c r="C2001" s="2" t="s">
        <v>2011</v>
      </c>
      <c r="D2001" s="2" t="s">
        <v>2016</v>
      </c>
      <c r="E2001">
        <v>60.93</v>
      </c>
      <c r="F2001">
        <v>3412.08</v>
      </c>
      <c r="G2001">
        <v>0</v>
      </c>
      <c r="H2001">
        <v>0</v>
      </c>
      <c r="I2001" s="2" t="s">
        <v>2024</v>
      </c>
      <c r="J2001" s="2" t="s">
        <v>2028</v>
      </c>
      <c r="K2001" s="2" t="s">
        <v>2202</v>
      </c>
      <c r="L2001" s="2" t="s">
        <v>4033</v>
      </c>
      <c r="M2001">
        <v>-60.93</v>
      </c>
      <c r="N2001" s="2" t="s">
        <v>2016</v>
      </c>
      <c r="O2001">
        <v>56</v>
      </c>
      <c r="P2001">
        <v>-3412.08</v>
      </c>
      <c r="Q2001" t="b">
        <v>0</v>
      </c>
      <c r="R2001" t="b">
        <v>0</v>
      </c>
      <c r="S2001" t="b">
        <v>0</v>
      </c>
      <c r="T2001" t="b">
        <v>0</v>
      </c>
      <c r="U2001">
        <v>0</v>
      </c>
      <c r="V2001" t="s">
        <v>4073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ADB2-C30F-4782-BAAB-FFB139E4EA21}">
  <dimension ref="A1:B6"/>
  <sheetViews>
    <sheetView workbookViewId="0">
      <selection sqref="A1:B6"/>
    </sheetView>
  </sheetViews>
  <sheetFormatPr defaultRowHeight="14.25" x14ac:dyDescent="0.45"/>
  <cols>
    <col min="1" max="1" width="14.06640625" customWidth="1"/>
    <col min="2" max="2" width="15.53125" bestFit="1" customWidth="1"/>
  </cols>
  <sheetData>
    <row r="1" spans="1:2" x14ac:dyDescent="0.45">
      <c r="A1" s="47" t="s">
        <v>3</v>
      </c>
      <c r="B1" s="48" t="s">
        <v>4041</v>
      </c>
    </row>
    <row r="2" spans="1:2" x14ac:dyDescent="0.45">
      <c r="A2" s="46" t="s">
        <v>2016</v>
      </c>
      <c r="B2" s="10" t="s">
        <v>2016</v>
      </c>
    </row>
    <row r="3" spans="1:2" x14ac:dyDescent="0.45">
      <c r="A3" s="46" t="s">
        <v>2019</v>
      </c>
      <c r="B3" s="10" t="s">
        <v>4042</v>
      </c>
    </row>
    <row r="4" spans="1:2" x14ac:dyDescent="0.45">
      <c r="A4" s="46" t="s">
        <v>2017</v>
      </c>
      <c r="B4" s="10" t="s">
        <v>4044</v>
      </c>
    </row>
    <row r="5" spans="1:2" x14ac:dyDescent="0.45">
      <c r="A5" s="46" t="s">
        <v>2015</v>
      </c>
      <c r="B5" s="10" t="s">
        <v>4042</v>
      </c>
    </row>
    <row r="6" spans="1:2" x14ac:dyDescent="0.45">
      <c r="A6" s="49" t="s">
        <v>2018</v>
      </c>
      <c r="B6" s="13" t="s">
        <v>4044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6230-C306-47AB-9CCD-569EA66BE94E}">
  <dimension ref="A1:C16"/>
  <sheetViews>
    <sheetView workbookViewId="0">
      <selection activeCell="J11" sqref="J11"/>
    </sheetView>
  </sheetViews>
  <sheetFormatPr defaultRowHeight="14.25" x14ac:dyDescent="0.45"/>
  <cols>
    <col min="1" max="1" width="10.06640625" customWidth="1"/>
    <col min="2" max="2" width="9.796875" customWidth="1"/>
    <col min="3" max="3" width="13" customWidth="1"/>
  </cols>
  <sheetData>
    <row r="1" spans="1:3" x14ac:dyDescent="0.45">
      <c r="A1" s="7" t="s">
        <v>4055</v>
      </c>
      <c r="B1" s="7" t="s">
        <v>9</v>
      </c>
      <c r="C1" s="7" t="s">
        <v>4056</v>
      </c>
    </row>
    <row r="2" spans="1:3" x14ac:dyDescent="0.45">
      <c r="A2" s="12">
        <v>44927</v>
      </c>
      <c r="B2" s="8" t="s">
        <v>4031</v>
      </c>
      <c r="C2" s="8">
        <v>103</v>
      </c>
    </row>
    <row r="3" spans="1:3" x14ac:dyDescent="0.45">
      <c r="A3" s="12">
        <v>44927</v>
      </c>
      <c r="B3" s="8" t="s">
        <v>4032</v>
      </c>
      <c r="C3" s="8">
        <v>88</v>
      </c>
    </row>
    <row r="4" spans="1:3" x14ac:dyDescent="0.45">
      <c r="A4" s="12">
        <v>44927</v>
      </c>
      <c r="B4" s="8" t="s">
        <v>4034</v>
      </c>
      <c r="C4" s="8">
        <v>82</v>
      </c>
    </row>
    <row r="5" spans="1:3" x14ac:dyDescent="0.45">
      <c r="A5" s="12">
        <v>44927</v>
      </c>
      <c r="B5" s="8" t="s">
        <v>4035</v>
      </c>
      <c r="C5" s="8">
        <v>61</v>
      </c>
    </row>
    <row r="6" spans="1:3" x14ac:dyDescent="0.45">
      <c r="A6" s="12">
        <v>44927</v>
      </c>
      <c r="B6" s="8" t="s">
        <v>4033</v>
      </c>
      <c r="C6" s="8">
        <v>56</v>
      </c>
    </row>
    <row r="7" spans="1:3" x14ac:dyDescent="0.45">
      <c r="A7" s="12">
        <v>45292</v>
      </c>
      <c r="B7" s="8" t="s">
        <v>4031</v>
      </c>
      <c r="C7" s="8">
        <v>105</v>
      </c>
    </row>
    <row r="8" spans="1:3" x14ac:dyDescent="0.45">
      <c r="A8" s="12">
        <v>45292</v>
      </c>
      <c r="B8" s="8" t="s">
        <v>4032</v>
      </c>
      <c r="C8" s="8">
        <v>90</v>
      </c>
    </row>
    <row r="9" spans="1:3" x14ac:dyDescent="0.45">
      <c r="A9" s="12">
        <v>45292</v>
      </c>
      <c r="B9" s="8" t="s">
        <v>4034</v>
      </c>
      <c r="C9" s="8">
        <v>83</v>
      </c>
    </row>
    <row r="10" spans="1:3" x14ac:dyDescent="0.45">
      <c r="A10" s="12">
        <v>45292</v>
      </c>
      <c r="B10" s="8" t="s">
        <v>4035</v>
      </c>
      <c r="C10" s="8">
        <v>62</v>
      </c>
    </row>
    <row r="11" spans="1:3" x14ac:dyDescent="0.45">
      <c r="A11" s="12">
        <v>45292</v>
      </c>
      <c r="B11" s="8" t="s">
        <v>4033</v>
      </c>
      <c r="C11" s="8">
        <v>55</v>
      </c>
    </row>
    <row r="12" spans="1:3" x14ac:dyDescent="0.45">
      <c r="A12" s="12">
        <v>45658</v>
      </c>
      <c r="B12" s="8" t="s">
        <v>4031</v>
      </c>
      <c r="C12" s="8">
        <v>108</v>
      </c>
    </row>
    <row r="13" spans="1:3" x14ac:dyDescent="0.45">
      <c r="A13" s="12">
        <v>45658</v>
      </c>
      <c r="B13" s="8" t="s">
        <v>4032</v>
      </c>
      <c r="C13" s="8">
        <v>92</v>
      </c>
    </row>
    <row r="14" spans="1:3" x14ac:dyDescent="0.45">
      <c r="A14" s="12">
        <v>45658</v>
      </c>
      <c r="B14" s="8" t="s">
        <v>4034</v>
      </c>
      <c r="C14" s="8">
        <v>84</v>
      </c>
    </row>
    <row r="15" spans="1:3" x14ac:dyDescent="0.45">
      <c r="A15" s="12">
        <v>45658</v>
      </c>
      <c r="B15" s="8" t="s">
        <v>4035</v>
      </c>
      <c r="C15" s="8">
        <v>63</v>
      </c>
    </row>
    <row r="16" spans="1:3" x14ac:dyDescent="0.45">
      <c r="A16" s="12">
        <v>45658</v>
      </c>
      <c r="B16" s="8" t="s">
        <v>4033</v>
      </c>
      <c r="C16" s="8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496F47-A3A2-489F-B98C-E7C79CDA06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Solutions</vt:lpstr>
      <vt:lpstr>Sheet6</vt:lpstr>
      <vt:lpstr>Audit</vt:lpstr>
      <vt:lpstr>Account_Mapping</vt:lpstr>
      <vt:lpstr>FX_table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Priyadharshini K J</cp:lastModifiedBy>
  <dcterms:created xsi:type="dcterms:W3CDTF">2025-06-28T04:56:09Z</dcterms:created>
  <dcterms:modified xsi:type="dcterms:W3CDTF">2026-01-12T06:46:53Z</dcterms:modified>
</cp:coreProperties>
</file>